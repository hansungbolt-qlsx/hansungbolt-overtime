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5.xml" ContentType="application/vnd.openxmlformats-officedocument.spreadsheetml.worksheet+xml"/>
  <Override PartName="/xl/worksheets/sheet3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2"/>
  </bookViews>
  <sheets>
    <sheet sheetId="9" name="HD" state="visible" r:id="rId4"/>
    <sheet sheetId="10" name="RL" state="visible" r:id="rId5"/>
    <sheet sheetId="15" name="Danh sách Nhân Viên" state="visible" r:id="rId6"/>
    <sheet sheetId="30" name="Thiết bị" state="visible" r:id="rId7"/>
    <sheet sheetId="1" name="CO" state="visible" r:id="rId8"/>
  </sheets>
  <definedNames>
    <definedName name="_xlnm._FilterDatabase">'Danh sách Nhân Viên'!$A$2:$C$2</definedName>
    <definedName name="_xlnm.Print_Area" localSheetId="0">'HD'!$B1:$M19</definedName>
    <definedName name="_xlnm.Print_Area" localSheetId="1">'RL'!$B1:$M15</definedName>
    <definedName name="_xlnm.Print_Area" localSheetId="4">'CO'!$B1:$M15</definedName>
  </definedNames>
  <calcPr calcId="171027"/>
</workbook>
</file>

<file path=xl/sharedStrings.xml><?xml version="1.0" encoding="utf-8"?>
<sst xmlns="http://schemas.openxmlformats.org/spreadsheetml/2006/main" count="349" uniqueCount="170">
  <si>
    <r>
      <t>PHI</t>
    </r>
    <r>
      <rPr>
        <b/>
        <family val="2"/>
        <sz val="20"/>
        <rFont val="맑은 고딕"/>
      </rPr>
      <t>Ế</t>
    </r>
    <r>
      <rPr>
        <b/>
        <family val="2"/>
        <sz val="20"/>
        <rFont val="Calibri"/>
      </rPr>
      <t xml:space="preserve">U ĐĂNG KÝ TĂNG CA 
</t>
    </r>
    <r>
      <rPr>
        <b/>
        <family val="2"/>
        <sz val="12"/>
        <rFont val="Calibri"/>
      </rPr>
      <t>OVERTIME REGISTRATION FORM</t>
    </r>
  </si>
  <si>
    <r>
      <t>Ngư</t>
    </r>
    <r>
      <rPr>
        <family val="2"/>
        <sz val="12"/>
        <rFont val="맑은 고딕"/>
      </rPr>
      <t>ờ</t>
    </r>
    <r>
      <rPr>
        <family val="2"/>
        <sz val="12"/>
        <rFont val="Calibri"/>
      </rPr>
      <t>i yêu c</t>
    </r>
    <r>
      <rPr>
        <family val="2"/>
        <sz val="12"/>
        <rFont val="맑은 고딕"/>
      </rPr>
      <t>ầ</t>
    </r>
    <r>
      <rPr>
        <family val="2"/>
        <sz val="12"/>
        <rFont val="Calibri"/>
      </rPr>
      <t xml:space="preserve">u: HOÀNG CHÍNH HỮU
Requestor</t>
    </r>
  </si>
  <si>
    <r>
      <t>B</t>
    </r>
    <r>
      <rPr>
        <family val="2"/>
        <sz val="12"/>
        <rFont val="맑은 고딕"/>
      </rPr>
      <t>ộ</t>
    </r>
    <r>
      <rPr>
        <family val="2"/>
        <sz val="12"/>
        <rFont val="Calibri"/>
      </rPr>
      <t xml:space="preserve"> ph</t>
    </r>
    <r>
      <rPr>
        <family val="2"/>
        <sz val="12"/>
        <rFont val="맑은 고딕"/>
      </rPr>
      <t>ậ</t>
    </r>
    <r>
      <rPr>
        <family val="2"/>
        <sz val="12"/>
        <rFont val="Calibri"/>
      </rPr>
      <t xml:space="preserve">n:  HD
Department:</t>
    </r>
  </si>
  <si>
    <t xml:space="preserve">STT
No.</t>
  </si>
  <si>
    <r>
      <t>H</t>
    </r>
    <r>
      <rPr>
        <family val="2"/>
        <sz val="10"/>
        <rFont val="맑은 고딕"/>
      </rPr>
      <t>ọ</t>
    </r>
    <r>
      <rPr>
        <family val="2"/>
        <sz val="10"/>
        <rFont val="Calibri"/>
      </rPr>
      <t xml:space="preserve"> và tên
Full Name
</t>
    </r>
  </si>
  <si>
    <r>
      <t>Th</t>
    </r>
    <r>
      <rPr>
        <family val="2"/>
        <sz val="10"/>
        <rFont val="맑은 고딕"/>
      </rPr>
      <t>ờ</t>
    </r>
    <r>
      <rPr>
        <family val="2"/>
        <sz val="10"/>
        <rFont val="Calibri"/>
      </rPr>
      <t xml:space="preserve">i gian đăng ký tăng ca
Registration time overtime</t>
    </r>
  </si>
  <si>
    <r>
      <t>Th</t>
    </r>
    <r>
      <rPr>
        <family val="2"/>
        <sz val="10"/>
        <rFont val="맑은 고딕"/>
      </rPr>
      <t>ờ</t>
    </r>
    <r>
      <rPr>
        <family val="2"/>
        <sz val="10"/>
        <rFont val="Calibri"/>
      </rPr>
      <t>i gian tăng ca th</t>
    </r>
    <r>
      <rPr>
        <family val="2"/>
        <sz val="10"/>
        <rFont val="맑은 고딕"/>
      </rPr>
      <t>ự</t>
    </r>
    <r>
      <rPr>
        <family val="2"/>
        <sz val="10"/>
        <rFont val="Calibri"/>
      </rPr>
      <t>c t</t>
    </r>
    <r>
      <rPr>
        <family val="2"/>
        <sz val="10"/>
        <rFont val="맑은 고딕"/>
      </rPr>
      <t xml:space="preserve">ế
</t>
    </r>
    <r>
      <rPr>
        <family val="2"/>
        <sz val="10"/>
        <rFont val="Calibri"/>
      </rPr>
      <t>Actual overtime</t>
    </r>
  </si>
  <si>
    <r>
      <t>Thi</t>
    </r>
    <r>
      <rPr>
        <family val="2"/>
        <sz val="10"/>
        <rFont val="맑은 고딕"/>
      </rPr>
      <t>ế</t>
    </r>
    <r>
      <rPr>
        <family val="2"/>
        <sz val="10"/>
        <rFont val="Calibri"/>
      </rPr>
      <t>t b</t>
    </r>
    <r>
      <rPr>
        <family val="2"/>
        <sz val="10"/>
        <rFont val="맑은 고딕"/>
      </rPr>
      <t xml:space="preserve">ị
</t>
    </r>
    <r>
      <rPr>
        <family val="2"/>
        <sz val="10"/>
        <rFont val="Calibri"/>
      </rPr>
      <t>s</t>
    </r>
    <r>
      <rPr>
        <family val="2"/>
        <sz val="10"/>
        <rFont val="맑은 고딕"/>
      </rPr>
      <t>ả</t>
    </r>
    <r>
      <rPr>
        <family val="2"/>
        <sz val="10"/>
        <rFont val="Calibri"/>
      </rPr>
      <t>n xu</t>
    </r>
    <r>
      <rPr>
        <family val="2"/>
        <sz val="10"/>
        <rFont val="맑은 고딕"/>
      </rPr>
      <t>ấ</t>
    </r>
    <r>
      <rPr>
        <family val="2"/>
        <sz val="10"/>
        <rFont val="Calibri"/>
      </rPr>
      <t>t</t>
    </r>
  </si>
  <si>
    <t>Mã hàng</t>
  </si>
  <si>
    <r>
      <t>S</t>
    </r>
    <r>
      <rPr>
        <family val="2"/>
        <sz val="10"/>
        <rFont val="맑은 고딕"/>
      </rPr>
      <t>ố</t>
    </r>
    <r>
      <rPr>
        <family val="2"/>
        <sz val="10"/>
        <rFont val="Calibri"/>
      </rPr>
      <t xml:space="preserve"> lư</t>
    </r>
    <r>
      <rPr>
        <family val="2"/>
        <sz val="10"/>
        <rFont val="맑은 고딕"/>
      </rPr>
      <t>ợ</t>
    </r>
    <r>
      <rPr>
        <family val="2"/>
        <sz val="10"/>
        <rFont val="Calibri"/>
      </rPr>
      <t xml:space="preserve">ng
k</t>
    </r>
    <r>
      <rPr>
        <family val="2"/>
        <sz val="10"/>
        <rFont val="맑은 고딕"/>
      </rPr>
      <t>ế</t>
    </r>
    <r>
      <rPr>
        <family val="2"/>
        <sz val="10"/>
        <rFont val="Calibri"/>
      </rPr>
      <t xml:space="preserve"> ho</t>
    </r>
    <r>
      <rPr>
        <family val="2"/>
        <sz val="10"/>
        <rFont val="맑은 고딕"/>
      </rPr>
      <t>ạ</t>
    </r>
    <r>
      <rPr>
        <family val="2"/>
        <sz val="10"/>
        <rFont val="Calibri"/>
      </rPr>
      <t>ch</t>
    </r>
  </si>
  <si>
    <r>
      <t>S</t>
    </r>
    <r>
      <rPr>
        <family val="2"/>
        <sz val="10"/>
        <rFont val="맑은 고딕"/>
      </rPr>
      <t>ố</t>
    </r>
    <r>
      <rPr>
        <family val="2"/>
        <sz val="10"/>
        <rFont val="Calibri"/>
      </rPr>
      <t xml:space="preserve"> lư</t>
    </r>
    <r>
      <rPr>
        <family val="2"/>
        <sz val="10"/>
        <rFont val="맑은 고딕"/>
      </rPr>
      <t>ợ</t>
    </r>
    <r>
      <rPr>
        <family val="2"/>
        <sz val="10"/>
        <rFont val="Calibri"/>
      </rPr>
      <t>ng th</t>
    </r>
    <r>
      <rPr>
        <family val="2"/>
        <sz val="10"/>
        <rFont val="맑은 고딕"/>
      </rPr>
      <t>ự</t>
    </r>
    <r>
      <rPr>
        <family val="2"/>
        <sz val="10"/>
        <rFont val="Calibri"/>
      </rPr>
      <t>c t</t>
    </r>
    <r>
      <rPr>
        <family val="2"/>
        <sz val="10"/>
        <rFont val="맑은 고딕"/>
      </rPr>
      <t>ế</t>
    </r>
  </si>
  <si>
    <r>
      <t>T</t>
    </r>
    <r>
      <rPr>
        <family val="2"/>
        <sz val="10"/>
        <rFont val="맑은 고딕"/>
      </rPr>
      <t>ỉ</t>
    </r>
    <r>
      <rPr>
        <family val="2"/>
        <sz val="10"/>
        <rFont val="Calibri"/>
      </rPr>
      <t xml:space="preserve"> l</t>
    </r>
    <r>
      <rPr>
        <family val="2"/>
        <sz val="10"/>
        <rFont val="맑은 고딕"/>
      </rPr>
      <t>ệ</t>
    </r>
  </si>
  <si>
    <t>Ghi chú</t>
  </si>
  <si>
    <r>
      <t xml:space="preserve">
T</t>
    </r>
    <r>
      <rPr>
        <family val="2"/>
        <sz val="10"/>
        <rFont val="맑은 고딕"/>
      </rPr>
      <t>ừ</t>
    </r>
    <r>
      <rPr>
        <family val="2"/>
        <sz val="10"/>
        <rFont val="Calibri"/>
      </rPr>
      <t>------Đ</t>
    </r>
    <r>
      <rPr>
        <family val="2"/>
        <sz val="10"/>
        <rFont val="맑은 고딕"/>
      </rPr>
      <t>ế</t>
    </r>
    <r>
      <rPr>
        <family val="2"/>
        <sz val="10"/>
        <rFont val="Calibri"/>
      </rPr>
      <t xml:space="preserve">n-----
From….to
</t>
    </r>
  </si>
  <si>
    <r>
      <t>S</t>
    </r>
    <r>
      <rPr>
        <family val="2"/>
        <sz val="10"/>
        <rFont val="맑은 고딕"/>
      </rPr>
      <t>ố</t>
    </r>
    <r>
      <rPr>
        <family val="2"/>
        <sz val="10"/>
        <rFont val="Calibri"/>
      </rPr>
      <t xml:space="preserve"> gi</t>
    </r>
    <r>
      <rPr>
        <family val="2"/>
        <sz val="10"/>
        <rFont val="맑은 고딕"/>
      </rPr>
      <t xml:space="preserve">ờ
</t>
    </r>
    <r>
      <rPr>
        <family val="2"/>
        <sz val="10"/>
        <rFont val="Calibri"/>
      </rPr>
      <t>Total hour</t>
    </r>
  </si>
  <si>
    <r>
      <t>Gi</t>
    </r>
    <r>
      <rPr>
        <family val="2"/>
        <sz val="10"/>
        <rFont val="맑은 고딕"/>
      </rPr>
      <t>ờ</t>
    </r>
    <r>
      <rPr>
        <family val="2"/>
        <sz val="10"/>
        <rFont val="Calibri"/>
      </rPr>
      <t xml:space="preserve"> k</t>
    </r>
    <r>
      <rPr>
        <family val="2"/>
        <sz val="10"/>
        <rFont val="맑은 고딕"/>
      </rPr>
      <t>ế</t>
    </r>
    <r>
      <rPr>
        <family val="2"/>
        <sz val="10"/>
        <rFont val="Calibri"/>
      </rPr>
      <t xml:space="preserve">t thúc
Finish time</t>
    </r>
  </si>
  <si>
    <t>NGUYỄN ĐỨC GIÁP</t>
  </si>
  <si>
    <t>16h30-19h30</t>
  </si>
  <si>
    <t>3</t>
  </si>
  <si>
    <t>HD-09</t>
  </si>
  <si>
    <t>5.5X16</t>
  </si>
  <si>
    <t>HD-9A</t>
  </si>
  <si>
    <t>5X12.5</t>
  </si>
  <si>
    <t>HD-10</t>
  </si>
  <si>
    <t>5X16</t>
  </si>
  <si>
    <t>HD-13</t>
  </si>
  <si>
    <t>5.9X5.9</t>
  </si>
  <si>
    <t>HD-14</t>
  </si>
  <si>
    <t>5.9X4.8</t>
  </si>
  <si>
    <t>PHẠM HỮU ANH</t>
  </si>
  <si>
    <t xml:space="preserve">HD-M4
(7EA)</t>
  </si>
  <si>
    <t>M4</t>
  </si>
  <si>
    <t>PHẠM TUẤN VŨ</t>
  </si>
  <si>
    <t xml:space="preserve"> </t>
  </si>
  <si>
    <r>
      <t>* Lưu ý: Đ</t>
    </r>
    <r>
      <rPr>
        <i/>
        <family val="1"/>
        <sz val="9"/>
        <rFont val="맑은 고딕"/>
      </rPr>
      <t>ề</t>
    </r>
    <r>
      <rPr>
        <i/>
        <family val="2"/>
        <sz val="9"/>
        <rFont val="Calibri"/>
      </rPr>
      <t xml:space="preserve"> ngh</t>
    </r>
    <r>
      <rPr>
        <i/>
        <family val="1"/>
        <sz val="9"/>
        <rFont val="맑은 고딕"/>
      </rPr>
      <t>ị</t>
    </r>
    <r>
      <rPr>
        <i/>
        <family val="2"/>
        <sz val="9"/>
        <rFont val="Calibri"/>
      </rPr>
      <t xml:space="preserve"> vi</t>
    </r>
    <r>
      <rPr>
        <i/>
        <family val="1"/>
        <sz val="9"/>
        <rFont val="맑은 고딕"/>
      </rPr>
      <t>ế</t>
    </r>
    <r>
      <rPr>
        <i/>
        <family val="2"/>
        <sz val="9"/>
        <rFont val="Calibri"/>
      </rPr>
      <t>t phi</t>
    </r>
    <r>
      <rPr>
        <i/>
        <family val="1"/>
        <sz val="9"/>
        <rFont val="맑은 고딕"/>
      </rPr>
      <t>ế</t>
    </r>
    <r>
      <rPr>
        <i/>
        <family val="2"/>
        <sz val="9"/>
        <rFont val="Calibri"/>
      </rPr>
      <t>u tăng ca và n</t>
    </r>
    <r>
      <rPr>
        <i/>
        <family val="1"/>
        <sz val="9"/>
        <rFont val="맑은 고딕"/>
      </rPr>
      <t>ộ</t>
    </r>
    <r>
      <rPr>
        <i/>
        <family val="2"/>
        <sz val="9"/>
        <rFont val="Calibri"/>
      </rPr>
      <t>p cho phòng Nhân s</t>
    </r>
    <r>
      <rPr>
        <i/>
        <family val="1"/>
        <sz val="9"/>
        <rFont val="맑은 고딕"/>
      </rPr>
      <t>ự</t>
    </r>
    <r>
      <rPr>
        <i/>
        <family val="2"/>
        <sz val="9"/>
        <rFont val="Calibri"/>
      </rPr>
      <t xml:space="preserve"> trư</t>
    </r>
    <r>
      <rPr>
        <i/>
        <family val="1"/>
        <sz val="9"/>
        <rFont val="맑은 고딕"/>
      </rPr>
      <t>ớ</t>
    </r>
    <r>
      <rPr>
        <i/>
        <family val="2"/>
        <sz val="9"/>
        <rFont val="Calibri"/>
      </rPr>
      <t>c 14h30 trư</t>
    </r>
    <r>
      <rPr>
        <i/>
        <family val="1"/>
        <sz val="9"/>
        <rFont val="맑은 고딕"/>
      </rPr>
      <t>ớ</t>
    </r>
    <r>
      <rPr>
        <i/>
        <family val="2"/>
        <sz val="9"/>
        <rFont val="Calibri"/>
      </rPr>
      <t>c khi tăng ca. Trư</t>
    </r>
    <r>
      <rPr>
        <i/>
        <family val="1"/>
        <sz val="9"/>
        <rFont val="맑은 고딕"/>
      </rPr>
      <t>ờ</t>
    </r>
    <r>
      <rPr>
        <i/>
        <family val="2"/>
        <sz val="9"/>
        <rFont val="Calibri"/>
      </rPr>
      <t>ng h</t>
    </r>
    <r>
      <rPr>
        <i/>
        <family val="1"/>
        <sz val="9"/>
        <rFont val="맑은 고딕"/>
      </rPr>
      <t>ợ</t>
    </r>
    <r>
      <rPr>
        <i/>
        <family val="2"/>
        <sz val="9"/>
        <rFont val="Calibri"/>
      </rPr>
      <t>p tăng ca trư</t>
    </r>
    <r>
      <rPr>
        <i/>
        <family val="1"/>
        <sz val="9"/>
        <rFont val="맑은 고딕"/>
      </rPr>
      <t>ớ</t>
    </r>
    <r>
      <rPr>
        <i/>
        <family val="2"/>
        <sz val="9"/>
        <rFont val="Calibri"/>
      </rPr>
      <t>c và n</t>
    </r>
    <r>
      <rPr>
        <i/>
        <family val="1"/>
        <sz val="9"/>
        <rFont val="맑은 고딕"/>
      </rPr>
      <t>ộ</t>
    </r>
    <r>
      <rPr>
        <i/>
        <family val="2"/>
        <sz val="9"/>
        <rFont val="Calibri"/>
      </rPr>
      <t>p đơn sau thì s</t>
    </r>
    <r>
      <rPr>
        <i/>
        <family val="1"/>
        <sz val="9"/>
        <rFont val="맑은 고딕"/>
      </rPr>
      <t>ẽ</t>
    </r>
    <r>
      <rPr>
        <i/>
        <family val="2"/>
        <sz val="9"/>
        <rFont val="Calibri"/>
      </rPr>
      <t xml:space="preserve"> không đư</t>
    </r>
    <r>
      <rPr>
        <i/>
        <family val="1"/>
        <sz val="9"/>
        <rFont val="맑은 고딕"/>
      </rPr>
      <t>ợ</t>
    </r>
    <r>
      <rPr>
        <i/>
        <family val="2"/>
        <sz val="9"/>
        <rFont val="Calibri"/>
      </rPr>
      <t>c tính ti</t>
    </r>
    <r>
      <rPr>
        <i/>
        <family val="1"/>
        <sz val="9"/>
        <rFont val="맑은 고딕"/>
      </rPr>
      <t>ề</t>
    </r>
    <r>
      <rPr>
        <i/>
        <family val="2"/>
        <sz val="9"/>
        <rFont val="Calibri"/>
      </rPr>
      <t>n tăng ca c</t>
    </r>
    <r>
      <rPr>
        <i/>
        <family val="1"/>
        <sz val="9"/>
        <rFont val="맑은 고딕"/>
      </rPr>
      <t>ủ</t>
    </r>
    <r>
      <rPr>
        <i/>
        <family val="2"/>
        <sz val="9"/>
        <rFont val="Calibri"/>
      </rPr>
      <t>a ngày đó.</t>
    </r>
  </si>
  <si>
    <r>
      <t>Ngư</t>
    </r>
    <r>
      <rPr>
        <family val="2"/>
        <sz val="12"/>
        <rFont val="맑은 고딕"/>
      </rPr>
      <t>ờ</t>
    </r>
    <r>
      <rPr>
        <family val="2"/>
        <sz val="12"/>
        <rFont val="Calibri"/>
      </rPr>
      <t>i yêu c</t>
    </r>
    <r>
      <rPr>
        <family val="2"/>
        <sz val="12"/>
        <rFont val="맑은 고딕"/>
      </rPr>
      <t>ầ</t>
    </r>
    <r>
      <rPr>
        <family val="2"/>
        <sz val="12"/>
        <rFont val="Calibri"/>
      </rPr>
      <t xml:space="preserve">u:  HOÀNG CHÍNH HỮU
Requestor</t>
    </r>
  </si>
  <si>
    <r>
      <t>B</t>
    </r>
    <r>
      <rPr>
        <family val="2"/>
        <sz val="12"/>
        <rFont val="맑은 고딕"/>
      </rPr>
      <t>ộ</t>
    </r>
    <r>
      <rPr>
        <family val="2"/>
        <sz val="12"/>
        <rFont val="Calibri"/>
      </rPr>
      <t xml:space="preserve"> ph</t>
    </r>
    <r>
      <rPr>
        <family val="2"/>
        <sz val="12"/>
        <rFont val="맑은 고딕"/>
      </rPr>
      <t>ậ</t>
    </r>
    <r>
      <rPr>
        <family val="2"/>
        <sz val="12"/>
        <rFont val="Calibri"/>
      </rPr>
      <t xml:space="preserve">n:  RL
Department:</t>
    </r>
  </si>
  <si>
    <t>TĂNG CA TỐI</t>
  </si>
  <si>
    <t>LÊ ĐÌNH TUẤN</t>
  </si>
  <si>
    <t>16h30 - 19h30</t>
  </si>
  <si>
    <t xml:space="preserve">VỆ SINH
MÁY LẠNH</t>
  </si>
  <si>
    <t>9/14 EA</t>
  </si>
  <si>
    <t xml:space="preserve">Dự kiến
4 ngày</t>
  </si>
  <si>
    <t>NGUYỄN ANH TÚ</t>
  </si>
  <si>
    <t>u</t>
  </si>
  <si>
    <t>DANH SÁCH NHÂN VIÊN HD &amp; RL</t>
  </si>
  <si>
    <t>STT</t>
  </si>
  <si>
    <t>HỌ VÀ TÊN</t>
  </si>
  <si>
    <t>BỘ PHẬN</t>
  </si>
  <si>
    <t>TRẦN ANH TUẤN</t>
  </si>
  <si>
    <t>Heading</t>
  </si>
  <si>
    <t>NGUYỄN TIẾN DŨNG</t>
  </si>
  <si>
    <t>NGUYỄN XUÂN QUANG</t>
  </si>
  <si>
    <t>PHẠM TẤN PHONG</t>
  </si>
  <si>
    <t>HÀ QUỐC ĐIỆP</t>
  </si>
  <si>
    <t>VŨ CÔNG THAO</t>
  </si>
  <si>
    <t>NGUYỄN CẢNH THIẾT</t>
  </si>
  <si>
    <t>NGUYỄN QUỐC BẢO</t>
  </si>
  <si>
    <t>TRẦN XUÂN ĐẠT</t>
  </si>
  <si>
    <t>HỨA TẤN ANH</t>
  </si>
  <si>
    <t>ĐINH MẠNH HOÀNG</t>
  </si>
  <si>
    <t>Rolling</t>
  </si>
  <si>
    <t>BÙI DOÃN TOÀN</t>
  </si>
  <si>
    <t>DƯƠNG ĐỨC LINH</t>
  </si>
  <si>
    <t>NGUYỄN VĂN TÙNG (A)</t>
  </si>
  <si>
    <t>HỒ VĂN BÁU</t>
  </si>
  <si>
    <t>VÕ VĂN TRÌNH</t>
  </si>
  <si>
    <t>NGUYỄN VĂN TUẤN</t>
  </si>
  <si>
    <t>ĐỖ HUY HOÀNG</t>
  </si>
  <si>
    <t>ĐỖ HOÀNG SƠN</t>
  </si>
  <si>
    <t>LƯƠNG HOÀNG NHÂN</t>
  </si>
  <si>
    <t>RPM by Production Equipment</t>
  </si>
  <si>
    <t>Update: 2024.06.14</t>
  </si>
  <si>
    <t>No</t>
  </si>
  <si>
    <t>Machine</t>
  </si>
  <si>
    <t>Quy cách</t>
  </si>
  <si>
    <t>Type</t>
  </si>
  <si>
    <t>Model / Maker</t>
  </si>
  <si>
    <t>Spec</t>
  </si>
  <si>
    <t>Max RPM</t>
  </si>
  <si>
    <t>Số lượng sản xuất 1 tiếng</t>
  </si>
  <si>
    <t>Remark</t>
  </si>
  <si>
    <t>HD-01</t>
  </si>
  <si>
    <t>M12</t>
  </si>
  <si>
    <t>FORMER</t>
  </si>
  <si>
    <t xml:space="preserve">BP-440L
SAKAMURA (JAPAN)</t>
  </si>
  <si>
    <t>M12 / 4D4B</t>
  </si>
  <si>
    <t>HD-02</t>
  </si>
  <si>
    <t>M10</t>
  </si>
  <si>
    <t>HEADER</t>
  </si>
  <si>
    <t>PL-JENJAOP (KOREA)</t>
  </si>
  <si>
    <t>M10 / 2D3B</t>
  </si>
  <si>
    <t>HD-03</t>
  </si>
  <si>
    <t xml:space="preserve">KMF-410
KOREA MACHINERY (KOREA)</t>
  </si>
  <si>
    <t>M10 / 4D4B</t>
  </si>
  <si>
    <t>HD-04</t>
  </si>
  <si>
    <t xml:space="preserve">FR-330
SAKAMURA (JAPAN)</t>
  </si>
  <si>
    <t>M10 / 3D3B</t>
  </si>
  <si>
    <t>HD-4A</t>
  </si>
  <si>
    <t xml:space="preserve">S-330
SAKAMURA (JAPAN)</t>
  </si>
  <si>
    <t>HD-05</t>
  </si>
  <si>
    <t xml:space="preserve">CH-10LL
CHUN ZU (KOREA)</t>
  </si>
  <si>
    <t>M10 / 1D2B</t>
  </si>
  <si>
    <t>HD-06</t>
  </si>
  <si>
    <t xml:space="preserve">2310HD5100
KOREA MACHINE (KOREA)</t>
  </si>
  <si>
    <t>HD-07</t>
  </si>
  <si>
    <t>M8</t>
  </si>
  <si>
    <t xml:space="preserve">JBF-13B2S
JERN YAO (TAIWAN)</t>
  </si>
  <si>
    <t>M8 / 2D-2B</t>
  </si>
  <si>
    <t>HD-7A</t>
  </si>
  <si>
    <t xml:space="preserve">AOT-8B
A.O COMPANY (JAPAN)</t>
  </si>
  <si>
    <t>HD-08</t>
  </si>
  <si>
    <t xml:space="preserve">HS-8
HAN SHIN (KOREA)</t>
  </si>
  <si>
    <t>M8 / 2D-3B</t>
  </si>
  <si>
    <t>HD-8A</t>
  </si>
  <si>
    <t xml:space="preserve">PF-860
NEW (JAPAN)</t>
  </si>
  <si>
    <t>M6</t>
  </si>
  <si>
    <t xml:space="preserve">PF-630
NEW (JAPAN)</t>
  </si>
  <si>
    <t>M6 / 2D-3B</t>
  </si>
  <si>
    <t xml:space="preserve">S-320
SAKAMURA (JAPAN)</t>
  </si>
  <si>
    <t>M6 / 3D-3B</t>
  </si>
  <si>
    <t>HD-9B</t>
  </si>
  <si>
    <t xml:space="preserve">KD304
SHANGHAI YIMING MACHINERY</t>
  </si>
  <si>
    <t>M4 / 3D-3B</t>
  </si>
  <si>
    <t>(KOREA)</t>
  </si>
  <si>
    <t>M6 / 1D-2B</t>
  </si>
  <si>
    <t>HD-11</t>
  </si>
  <si>
    <t xml:space="preserve">CH-6L
CHUN ZU (TAIWAN)</t>
  </si>
  <si>
    <t>HD-12</t>
  </si>
  <si>
    <t xml:space="preserve">CH-6S
CHUN ZU (TAIWAN)</t>
  </si>
  <si>
    <t xml:space="preserve">HD-15~31
(17EA)</t>
  </si>
  <si>
    <t xml:space="preserve">CH-5S
CHUN ZU (TAIWAN)</t>
  </si>
  <si>
    <t>M4 / 1D-2B</t>
  </si>
  <si>
    <t xml:space="preserve">HD-50~52
(3EA)</t>
  </si>
  <si>
    <t>M3</t>
  </si>
  <si>
    <t xml:space="preserve">3L
(JAPAN)</t>
  </si>
  <si>
    <t>M3 / 1D-2B</t>
  </si>
  <si>
    <t xml:space="preserve">HD-53~55
(3EA)</t>
  </si>
  <si>
    <t xml:space="preserve">3S
(JAPAN)</t>
  </si>
  <si>
    <r>
      <t xml:space="preserve">Total: 42 MC </t>
    </r>
    <r>
      <rPr>
        <b/>
        <color rgb="FF0070C0"/>
        <family val="2"/>
        <scheme val="minor"/>
        <sz val="16"/>
        <rFont val="Calibri"/>
      </rPr>
      <t>( 8 Former &amp; 34 Header)</t>
    </r>
  </si>
  <si>
    <t>RL-02</t>
  </si>
  <si>
    <t>ROLLING</t>
  </si>
  <si>
    <t xml:space="preserve">FR 120406 
KOREA MACHINERY (KOREA)</t>
  </si>
  <si>
    <t>RL-03</t>
  </si>
  <si>
    <t xml:space="preserve">DPR-10S
CHUN ZU (KOREA)</t>
  </si>
  <si>
    <t>RL-04</t>
  </si>
  <si>
    <t xml:space="preserve">JSR-M8
JIN SAN (KOREA)</t>
  </si>
  <si>
    <t xml:space="preserve">RL-05~08
(4EA)</t>
  </si>
  <si>
    <t xml:space="preserve">JSR-M6
JIN SAN (KOREA)</t>
  </si>
  <si>
    <t xml:space="preserve">RL-09~14
(6EA)</t>
  </si>
  <si>
    <t xml:space="preserve">ROLLING
(T/S-1)</t>
  </si>
  <si>
    <t xml:space="preserve">JSR-M4
JIN SAN (KOREA)</t>
  </si>
  <si>
    <t xml:space="preserve">RL-15~23
(9EA)</t>
  </si>
  <si>
    <t xml:space="preserve">RL-40~42
(3EA)</t>
  </si>
  <si>
    <t xml:space="preserve">JSR-M3
JIN SAN (KOREA)</t>
  </si>
  <si>
    <t>SM-01</t>
  </si>
  <si>
    <t>SEM ROLLING</t>
  </si>
  <si>
    <t xml:space="preserve">THI-12R
SAN MEI (TAIWAN)</t>
  </si>
  <si>
    <t>SM-02</t>
  </si>
  <si>
    <t>SM-2A</t>
  </si>
  <si>
    <t>SM-03</t>
  </si>
  <si>
    <t>SM-04</t>
  </si>
  <si>
    <t>SM-05</t>
  </si>
  <si>
    <t>SM-06</t>
  </si>
  <si>
    <r>
      <t xml:space="preserve">Total: 32 MC </t>
    </r>
    <r>
      <rPr>
        <b/>
        <color rgb="FF0070C0"/>
        <family val="2"/>
        <scheme val="minor"/>
        <sz val="16"/>
        <rFont val="Calibri"/>
      </rPr>
      <t>( 25 RL &amp; 7 SM)</t>
    </r>
  </si>
  <si>
    <t xml:space="preserve">CT-01~06
(6EA)</t>
  </si>
  <si>
    <t>CUTTING</t>
  </si>
  <si>
    <t>TAE HUNG</t>
  </si>
  <si>
    <t>M3-M6</t>
  </si>
  <si>
    <t xml:space="preserve">Bộ phận:  CO
Department: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</si>
</sst>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_-;-* #,##0_-;_-* &quot;-&quot;_-;_-@_-"/>
    <numFmt numFmtId="165" formatCode="_-* #,##0 _₫_-;-* #,##0 _₫_-;_-* &quot;-&quot;?? _₫_-;_-@_-"/>
  </numFmts>
  <fonts count="25" x14ac:knownFonts="1">
    <font>
      <color theme="1"/>
      <family val="2"/>
      <scheme val="minor"/>
      <sz val="11"/>
      <name val="Calibri"/>
    </font>
    <font>
      <family val="2"/>
      <sz val="10"/>
      <name val="Calibri"/>
    </font>
    <font>
      <family val="2"/>
      <sz val="12"/>
      <name val="Calibri"/>
    </font>
    <font>
      <b/>
      <family val="2"/>
      <sz val="20"/>
      <name val="Calibri"/>
    </font>
    <font>
      <color rgb="FF081B3A"/>
      <family val="2"/>
      <sz val="11"/>
      <name val="Segoe UI"/>
    </font>
    <font>
      <color theme="1"/>
      <family val="2"/>
      <sz val="10"/>
      <name val="Calibri"/>
    </font>
    <font>
      <i/>
      <family val="2"/>
      <sz val="9"/>
      <name val="Calibri"/>
    </font>
    <font>
      <i/>
      <family val="2"/>
      <sz val="12"/>
      <name val="Calibri"/>
    </font>
    <font>
      <b/>
      <i/>
      <family val="2"/>
      <sz val="10"/>
      <name val="Calibri"/>
    </font>
    <font>
      <b/>
      <color theme="1"/>
      <family val="2"/>
      <sz val="10"/>
      <name val="Calibri"/>
    </font>
    <font>
      <color rgb="FF081C36"/>
      <family val="2"/>
      <sz val="11"/>
      <name val="Calibri"/>
    </font>
    <font>
      <color theme="1"/>
      <family val="2"/>
      <scheme val="minor"/>
      <sz val="16"/>
      <name val="Calibri"/>
    </font>
    <font>
      <b/>
      <color theme="1"/>
      <family val="2"/>
      <scheme val="minor"/>
      <sz val="36"/>
      <name val="Calibri"/>
    </font>
    <font>
      <b/>
      <color theme="1"/>
      <family val="2"/>
      <scheme val="minor"/>
      <sz val="26"/>
      <name val="Calibri"/>
    </font>
    <font>
      <b/>
      <color theme="1"/>
      <family val="2"/>
      <scheme val="minor"/>
      <sz val="16"/>
      <name val="Calibri"/>
    </font>
    <font>
      <color theme="1"/>
      <family val="2"/>
      <scheme val="minor"/>
      <sz val="12"/>
      <name val="Calibri"/>
    </font>
    <font>
      <family val="2"/>
      <scheme val="minor"/>
      <sz val="12"/>
      <name val="Calibri"/>
    </font>
    <font>
      <color rgb="FFFF0000"/>
      <family val="2"/>
      <scheme val="minor"/>
      <sz val="12"/>
      <name val="Calibri"/>
    </font>
    <font>
      <charset val="128"/>
      <sz val="10"/>
      <name val="Arial"/>
    </font>
    <font>
      <b/>
      <color theme="1"/>
      <family val="2"/>
      <scheme val="minor"/>
      <sz val="34"/>
      <name val="Calibri"/>
    </font>
    <font>
      <charset val="129"/>
      <color rgb="FFFF0000"/>
      <family val="2"/>
      <scheme val="minor"/>
      <sz val="11"/>
      <name val="Calibri"/>
    </font>
    <font>
      <b/>
      <charset val="129"/>
      <color theme="1"/>
      <family val="3"/>
      <scheme val="minor"/>
      <sz val="11"/>
      <name val="Calibri"/>
    </font>
    <font>
      <b/>
      <charset val="129"/>
      <color theme="1"/>
      <family val="3"/>
      <scheme val="minor"/>
      <sz val="13"/>
      <name val="Calibri"/>
    </font>
    <font>
      <charset val="129"/>
      <color theme="1"/>
      <family val="2"/>
      <scheme val="minor"/>
      <sz val="12"/>
      <name val="Calibri"/>
    </font>
    <font>
      <color rgb="FF0070C0"/>
      <family val="2"/>
      <scheme val="minor"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indent="5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20" fontId="1" fillId="0" borderId="8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20" fontId="1" fillId="0" borderId="5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" fillId="0" borderId="5" xfId="0" applyFont="1" applyBorder="1"/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0" fillId="0" borderId="0" xfId="0" applyFont="1"/>
    <xf numFmtId="0" fontId="5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5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vertical="center"/>
    </xf>
    <xf numFmtId="0" fontId="16" fillId="3" borderId="5" xfId="0" applyFont="1" applyFill="1" applyBorder="1" applyAlignment="1">
      <alignment vertical="center"/>
    </xf>
    <xf numFmtId="0" fontId="17" fillId="3" borderId="5" xfId="0" applyFont="1" applyFill="1" applyBorder="1" applyAlignment="1">
      <alignment vertical="center"/>
    </xf>
    <xf numFmtId="0" fontId="17" fillId="0" borderId="5" xfId="0" applyFont="1" applyBorder="1" applyAlignment="1">
      <alignment vertical="center"/>
    </xf>
    <xf numFmtId="165" fontId="11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10.xml"/><Relationship Id="rId6" Type="http://schemas.openxmlformats.org/officeDocument/2006/relationships/worksheet" Target="worksheets/sheet15.xml"/><Relationship Id="rId7" Type="http://schemas.openxmlformats.org/officeDocument/2006/relationships/worksheet" Target="worksheets/sheet30.xml"/><Relationship Id="rId8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983</xdr:rowOff>
    </xdr:from>
    <xdr:to>
      <xdr:col>4</xdr:col>
      <xdr:colOff>378865</xdr:colOff>
      <xdr:row>1</xdr:row>
      <xdr:rowOff>156300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983</xdr:rowOff>
    </xdr:from>
    <xdr:to>
      <xdr:col>4</xdr:col>
      <xdr:colOff>378865</xdr:colOff>
      <xdr:row>1</xdr:row>
      <xdr:rowOff>156300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983</xdr:rowOff>
    </xdr:from>
    <xdr:to>
      <xdr:col>4</xdr:col>
      <xdr:colOff>378865</xdr:colOff>
      <xdr:row>1</xdr:row>
      <xdr:rowOff>156300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V18"/>
  <sheetViews>
    <sheetView workbookViewId="0" zoomScale="100" zoomScaleNormal="100">
      <selection activeCell="C12" sqref="C12"/>
    </sheetView>
  </sheetViews>
  <sheetFormatPr defaultRowHeight="12.75" outlineLevelRow="0" outlineLevelCol="0" x14ac:dyDescent="0" defaultColWidth="9.140625" customHeight="1"/>
  <cols>
    <col min="1" max="1" width="1.140625" customWidth="1"/>
    <col min="2" max="2" width="4.85546875" customWidth="1"/>
    <col min="3" max="3" width="20.42578125" customWidth="1"/>
    <col min="4" max="4" width="12.7109375" customWidth="1"/>
    <col min="5" max="5" width="8.7109375" customWidth="1"/>
    <col min="6" max="6" width="11.42578125" customWidth="1"/>
    <col min="7" max="7" width="11.5703125" customWidth="1"/>
    <col min="8" max="8" width="10.140625" customWidth="1"/>
    <col min="9" max="9" width="11.5703125" customWidth="1"/>
    <col min="10" max="11" width="8.140625" customWidth="1"/>
    <col min="12" max="12" width="5.28515625" customWidth="1"/>
    <col min="13" max="13" width="12.5703125" customWidth="1"/>
    <col min="14" max="16384" width="9.140625" customWidth="1"/>
  </cols>
  <sheetData>
    <row r="1" ht="15.75" customHeight="1" spans="1:2" x14ac:dyDescent="0.25">
      <c r="A1" s="1"/>
      <c r="B1" s="2"/>
    </row>
    <row r="2" ht="15.75" customHeight="1" spans="1:2" x14ac:dyDescent="0.25">
      <c r="A2" s="1"/>
      <c r="B2" s="2"/>
    </row>
    <row r="3" ht="15.75" customHeight="1" spans="1:2" x14ac:dyDescent="0.25">
      <c r="A3" s="1"/>
      <c r="B3" s="3"/>
    </row>
    <row r="4" ht="65.45" customHeight="1" spans="1:13" x14ac:dyDescent="0.25">
      <c r="A4" s="4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ht="38.25" customHeight="1" spans="1:16" x14ac:dyDescent="0.25">
      <c r="A5" s="4"/>
      <c r="B5" s="7" t="s">
        <v>35</v>
      </c>
      <c r="C5" s="7"/>
      <c r="D5" s="7"/>
      <c r="E5" s="7"/>
      <c r="F5" s="7"/>
      <c r="G5" s="7"/>
      <c r="H5" s="7" t="s">
        <v>169</v>
      </c>
      <c r="I5" s="7"/>
      <c r="J5" s="7"/>
      <c r="K5" s="7"/>
      <c r="L5" s="7"/>
      <c r="M5" s="7"/>
      <c r="N5" s="4"/>
      <c r="O5" s="4"/>
      <c r="P5" s="6"/>
    </row>
    <row r="6" ht="9" customHeight="1" x14ac:dyDescent="0.25"/>
    <row r="7" ht="38.45" customHeight="1" spans="1:16" x14ac:dyDescent="0.25">
      <c r="A7" s="1"/>
      <c r="B7" s="10" t="s">
        <v>3</v>
      </c>
      <c r="C7" s="10" t="s">
        <v>4</v>
      </c>
      <c r="D7" s="10" t="s">
        <v>5</v>
      </c>
      <c r="E7" s="10"/>
      <c r="F7" s="10" t="s">
        <v>6</v>
      </c>
      <c r="G7" s="10"/>
      <c r="H7" s="10" t="s">
        <v>7</v>
      </c>
      <c r="I7" s="10" t="s">
        <v>8</v>
      </c>
      <c r="J7" s="10" t="s">
        <v>9</v>
      </c>
      <c r="K7" s="10" t="s">
        <v>10</v>
      </c>
      <c r="L7" s="10" t="s">
        <v>11</v>
      </c>
      <c r="M7" s="10" t="s">
        <v>12</v>
      </c>
      <c r="N7" s="1"/>
      <c r="O7" s="1"/>
      <c r="P7" s="6"/>
    </row>
    <row r="8" ht="42.6" customHeight="1" spans="1:15" x14ac:dyDescent="0.25">
      <c r="A8" s="1"/>
      <c r="B8" s="10"/>
      <c r="C8" s="10"/>
      <c r="D8" s="10" t="s">
        <v>13</v>
      </c>
      <c r="E8" s="10" t="s">
        <v>14</v>
      </c>
      <c r="F8" s="10" t="s">
        <v>15</v>
      </c>
      <c r="G8" s="10" t="s">
        <v>14</v>
      </c>
      <c r="H8" s="10"/>
      <c r="I8" s="10"/>
      <c r="J8" s="10"/>
      <c r="K8" s="10"/>
      <c r="L8" s="10"/>
      <c r="M8" s="10"/>
      <c r="N8" s="1"/>
      <c r="O8" s="6"/>
    </row>
    <row r="9" ht="24.95" customHeight="1" spans="1:13" x14ac:dyDescent="0.25">
      <c r="A9" s="1"/>
      <c r="B9" s="31" t="s">
        <v>37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 ht="28.5" customHeight="1" spans="1:16" x14ac:dyDescent="0.25">
      <c r="A10" s="34"/>
      <c r="B10" s="35">
        <v>1</v>
      </c>
      <c r="C10" s="35" t="s">
        <v>38</v>
      </c>
      <c r="D10" s="36" t="s">
        <v>39</v>
      </c>
      <c r="E10" s="36">
        <v>3</v>
      </c>
      <c r="F10" s="36"/>
      <c r="G10" s="36"/>
      <c r="H10" s="36" t="s">
        <v>40</v>
      </c>
      <c r="I10" s="37" t="s">
        <v>41</v>
      </c>
      <c r="J10" s="16"/>
      <c r="K10" s="38"/>
      <c r="L10" s="39"/>
      <c r="M10" s="37" t="s">
        <v>42</v>
      </c>
      <c r="N10" s="1"/>
      <c r="O10" s="1"/>
      <c r="P10" s="40"/>
    </row>
    <row r="11" ht="28.5" customHeight="1" spans="1:16" x14ac:dyDescent="0.25">
      <c r="A11" s="34"/>
      <c r="B11" s="39">
        <v>2</v>
      </c>
      <c r="C11" s="39" t="s">
        <v>43</v>
      </c>
      <c r="D11" s="38" t="s">
        <v>39</v>
      </c>
      <c r="E11" s="38">
        <v>3</v>
      </c>
      <c r="F11" s="38"/>
      <c r="G11" s="38"/>
      <c r="H11" s="36"/>
      <c r="I11" s="37"/>
      <c r="J11" s="16"/>
      <c r="K11" s="38"/>
      <c r="L11" s="39"/>
      <c r="M11" s="37"/>
      <c r="N11" s="1"/>
      <c r="O11" s="1"/>
      <c r="P11" s="40"/>
    </row>
    <row r="12" ht="71.25" customHeight="1" spans="1:22" x14ac:dyDescent="0.25">
      <c r="A12" s="1"/>
      <c r="B12" s="28" t="s">
        <v>44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33</v>
      </c>
    </row>
    <row r="13" ht="16.5" customHeight="1" spans="1:13" x14ac:dyDescent="0.25">
      <c r="A13" s="2"/>
      <c r="B13" s="29" t="s">
        <v>34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</row>
    <row r="14" ht="23.25" customHeight="1" spans="1:13" x14ac:dyDescent="0.25">
      <c r="A14" s="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</row>
    <row r="15" ht="3.75" customHeight="1" spans="1:13" x14ac:dyDescent="0.25">
      <c r="A15" s="2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ht="33" customHeight="1" spans="1:13" x14ac:dyDescent="0.25">
      <c r="A16" s="2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ht="17.25" customHeight="1" x14ac:dyDescent="0.25"/>
    <row r="18" ht="5.25" customHeight="1" x14ac:dyDescent="0.25"/>
  </sheetData>
  <mergeCells count="19">
    <mergeCell ref="B4:M4"/>
    <mergeCell ref="B5:G5"/>
    <mergeCell ref="H5:M5"/>
    <mergeCell ref="D7:E7"/>
    <mergeCell ref="F7:G7"/>
    <mergeCell ref="B7:B8"/>
    <mergeCell ref="C7:C8"/>
    <mergeCell ref="H7:H8"/>
    <mergeCell ref="I7:I8"/>
    <mergeCell ref="J7:J8"/>
    <mergeCell ref="K7:K8"/>
    <mergeCell ref="L7:L8"/>
    <mergeCell ref="M7:M8"/>
    <mergeCell ref="B9:M9"/>
    <mergeCell ref="H10:H11"/>
    <mergeCell ref="I10:I11"/>
    <mergeCell ref="M10:M11"/>
    <mergeCell ref="B13:M14"/>
    <mergeCell ref="B15:M16"/>
  </mergeCells>
  <printOptions horizontalCentered="1"/>
  <pageMargins left="0.3937007874015748" right="0.3937007874015748" top="0" bottom="0" header="0" footer="0"/>
  <pageSetup paperSize="9" orientation="portrait" horizontalDpi="4294967295" verticalDpi="4294967295" scale="77" fitToWidth="1" fitToHeight="1" firstPageNumber="1" useFirstPageNumber="1" copies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T22"/>
  <sheetViews>
    <sheetView workbookViewId="0" zoomScale="100" zoomScaleNormal="100">
      <selection activeCell="R10" sqref="R10"/>
    </sheetView>
  </sheetViews>
  <sheetFormatPr defaultRowHeight="12.75" outlineLevelRow="0" outlineLevelCol="0" x14ac:dyDescent="0" defaultColWidth="9.140625" customHeight="1"/>
  <cols>
    <col min="1" max="1" width="1.140625" style="1" customWidth="1"/>
    <col min="2" max="2" width="4.85546875" style="1" customWidth="1"/>
    <col min="3" max="3" width="20.42578125" style="1" customWidth="1"/>
    <col min="4" max="4" width="12.7109375" style="1" customWidth="1"/>
    <col min="5" max="5" width="7.140625" style="1" customWidth="1"/>
    <col min="6" max="6" width="11.140625" style="1" customWidth="1"/>
    <col min="7" max="8" width="10.140625" style="1" customWidth="1"/>
    <col min="9" max="9" width="11.5703125" style="1" customWidth="1"/>
    <col min="10" max="11" width="8.140625" style="1" customWidth="1"/>
    <col min="12" max="12" width="5.28515625" style="1" customWidth="1"/>
    <col min="13" max="13" width="12.5703125" style="1" customWidth="1"/>
    <col min="14" max="16384" width="9.140625" style="1" customWidth="1"/>
  </cols>
  <sheetData>
    <row r="1" ht="15.75" customHeight="1" spans="2:2" x14ac:dyDescent="0.25">
      <c r="B1" s="2"/>
    </row>
    <row r="2" ht="15.75" customHeight="1" spans="2:2" x14ac:dyDescent="0.25">
      <c r="B2" s="2"/>
    </row>
    <row r="3" ht="15.75" customHeight="1" spans="2:2" x14ac:dyDescent="0.25">
      <c r="B3" s="3"/>
    </row>
    <row r="4" ht="52.5" customHeight="1" spans="2:15" s="4" customFormat="1" x14ac:dyDescent="0.25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O4" s="6"/>
    </row>
    <row r="5" ht="30.95" customHeight="1" spans="2:13" s="4" customFormat="1" x14ac:dyDescent="0.25">
      <c r="B5" s="7" t="s">
        <v>1</v>
      </c>
      <c r="C5" s="8"/>
      <c r="D5" s="8"/>
      <c r="E5" s="8"/>
      <c r="F5" s="8"/>
      <c r="G5" s="9"/>
      <c r="H5" s="7" t="s">
        <v>2</v>
      </c>
      <c r="I5" s="8"/>
      <c r="J5" s="8"/>
      <c r="K5" s="8"/>
      <c r="L5" s="8"/>
      <c r="M5" s="9"/>
    </row>
    <row r="6" ht="9" customHeight="1" x14ac:dyDescent="0.25"/>
    <row r="7" ht="38.45" customHeight="1" spans="2:13" x14ac:dyDescent="0.25">
      <c r="B7" s="10" t="s">
        <v>3</v>
      </c>
      <c r="C7" s="10" t="s">
        <v>4</v>
      </c>
      <c r="D7" s="10" t="s">
        <v>5</v>
      </c>
      <c r="E7" s="10"/>
      <c r="F7" s="10" t="s">
        <v>6</v>
      </c>
      <c r="G7" s="10"/>
      <c r="H7" s="10" t="s">
        <v>7</v>
      </c>
      <c r="I7" s="10" t="s">
        <v>8</v>
      </c>
      <c r="J7" s="10" t="s">
        <v>9</v>
      </c>
      <c r="K7" s="10" t="s">
        <v>10</v>
      </c>
      <c r="L7" s="10" t="s">
        <v>11</v>
      </c>
      <c r="M7" s="10" t="s">
        <v>12</v>
      </c>
    </row>
    <row r="8" ht="42.6" customHeight="1" spans="2:13" x14ac:dyDescent="0.25">
      <c r="B8" s="11"/>
      <c r="C8" s="11"/>
      <c r="D8" s="10" t="s">
        <v>13</v>
      </c>
      <c r="E8" s="10" t="s">
        <v>14</v>
      </c>
      <c r="F8" s="10" t="s">
        <v>15</v>
      </c>
      <c r="G8" s="10" t="s">
        <v>14</v>
      </c>
      <c r="H8" s="10"/>
      <c r="I8" s="10"/>
      <c r="J8" s="10"/>
      <c r="K8" s="10"/>
      <c r="L8" s="11"/>
      <c r="M8" s="11"/>
    </row>
    <row r="9" ht="32.1" customHeight="1" spans="2:13" x14ac:dyDescent="0.25">
      <c r="B9" s="12">
        <v>1</v>
      </c>
      <c r="C9" s="12" t="s">
        <v>16</v>
      </c>
      <c r="D9" s="13" t="s">
        <v>17</v>
      </c>
      <c r="E9" s="14" t="s">
        <v>18</v>
      </c>
      <c r="F9" s="15"/>
      <c r="G9" s="15"/>
      <c r="H9" s="10" t="s">
        <v>19</v>
      </c>
      <c r="I9" s="10" t="s">
        <v>20</v>
      </c>
      <c r="J9" s="16">
        <f>70*60*2.5</f>
        <v>10500</v>
      </c>
      <c r="K9" s="10"/>
      <c r="L9" s="11"/>
      <c r="M9" s="17"/>
    </row>
    <row r="10" ht="32.1" customHeight="1" spans="2:13" x14ac:dyDescent="0.25">
      <c r="B10" s="18"/>
      <c r="C10" s="18"/>
      <c r="D10" s="19"/>
      <c r="E10" s="20"/>
      <c r="F10" s="21"/>
      <c r="G10" s="21"/>
      <c r="H10" s="10" t="s">
        <v>21</v>
      </c>
      <c r="I10" s="10" t="s">
        <v>22</v>
      </c>
      <c r="J10" s="16">
        <f t="shared" ref="J10" si="0">130*60*2.5</f>
        <v>19500</v>
      </c>
      <c r="K10" s="10"/>
      <c r="L10" s="11"/>
      <c r="M10" s="17"/>
    </row>
    <row r="11" ht="32.1" customHeight="1" spans="2:13" x14ac:dyDescent="0.25">
      <c r="B11" s="18"/>
      <c r="C11" s="18"/>
      <c r="D11" s="19"/>
      <c r="E11" s="20"/>
      <c r="F11" s="21"/>
      <c r="G11" s="21"/>
      <c r="H11" s="10" t="s">
        <v>23</v>
      </c>
      <c r="I11" s="10" t="s">
        <v>24</v>
      </c>
      <c r="J11" s="16">
        <f>80*60*2.5</f>
        <v>12000</v>
      </c>
      <c r="K11" s="10"/>
      <c r="L11" s="11"/>
      <c r="M11" s="17"/>
    </row>
    <row r="12" ht="32.1" customHeight="1" spans="2:13" x14ac:dyDescent="0.25">
      <c r="B12" s="18"/>
      <c r="C12" s="18"/>
      <c r="D12" s="19"/>
      <c r="E12" s="20"/>
      <c r="F12" s="21"/>
      <c r="G12" s="21"/>
      <c r="H12" s="10" t="s">
        <v>25</v>
      </c>
      <c r="I12" s="10" t="s">
        <v>26</v>
      </c>
      <c r="J12" s="16">
        <f>80*60*2.5</f>
        <v>12000</v>
      </c>
      <c r="K12" s="10"/>
      <c r="L12" s="11"/>
      <c r="M12" s="17"/>
    </row>
    <row r="13" ht="32.1" customHeight="1" spans="2:13" x14ac:dyDescent="0.25">
      <c r="B13" s="22"/>
      <c r="C13" s="22"/>
      <c r="D13" s="23"/>
      <c r="E13" s="24"/>
      <c r="F13" s="25"/>
      <c r="G13" s="25"/>
      <c r="H13" s="10" t="s">
        <v>27</v>
      </c>
      <c r="I13" s="10" t="s">
        <v>28</v>
      </c>
      <c r="J13" s="16">
        <f>80*60*2.5</f>
        <v>12000</v>
      </c>
      <c r="K13" s="10"/>
      <c r="L13" s="11"/>
      <c r="M13" s="17"/>
    </row>
    <row r="14" ht="32.1" customHeight="1" spans="2:13" x14ac:dyDescent="0.25">
      <c r="B14" s="11">
        <v>2</v>
      </c>
      <c r="C14" s="11" t="s">
        <v>29</v>
      </c>
      <c r="D14" s="26" t="s">
        <v>17</v>
      </c>
      <c r="E14" s="27" t="s">
        <v>18</v>
      </c>
      <c r="F14" s="10"/>
      <c r="G14" s="10"/>
      <c r="H14" s="10" t="s">
        <v>30</v>
      </c>
      <c r="I14" s="10" t="s">
        <v>31</v>
      </c>
      <c r="J14" s="16">
        <f>180*60*2.5*7</f>
        <v>189000</v>
      </c>
      <c r="K14" s="10"/>
      <c r="L14" s="11"/>
      <c r="M14" s="17"/>
    </row>
    <row r="15" ht="32.1" customHeight="1" spans="2:13" x14ac:dyDescent="0.25">
      <c r="B15" s="11">
        <v>3</v>
      </c>
      <c r="C15" s="11" t="s">
        <v>32</v>
      </c>
      <c r="D15" s="26" t="s">
        <v>17</v>
      </c>
      <c r="E15" s="27" t="s">
        <v>18</v>
      </c>
      <c r="F15" s="10"/>
      <c r="G15" s="10"/>
      <c r="H15" s="10" t="s">
        <v>30</v>
      </c>
      <c r="I15" s="10" t="s">
        <v>31</v>
      </c>
      <c r="J15" s="16">
        <f>180*60*2.5*7</f>
        <v>189000</v>
      </c>
      <c r="K15" s="10"/>
      <c r="L15" s="11"/>
      <c r="M15" s="17"/>
    </row>
    <row r="16" ht="71.25" customHeight="1" spans="2:20" x14ac:dyDescent="0.25">
      <c r="B16" s="28"/>
      <c r="T16" s="1" t="s">
        <v>33</v>
      </c>
    </row>
    <row r="17" ht="16.5" customHeight="1" spans="2:13" s="2" customFormat="1" x14ac:dyDescent="0.25">
      <c r="B17" s="29" t="s">
        <v>34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</row>
    <row r="18" ht="23.25" customHeight="1" spans="2:13" s="2" customFormat="1" x14ac:dyDescent="0.25"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</row>
    <row r="19" ht="3.75" customHeight="1" spans="2:13" s="2" customFormat="1" x14ac:dyDescent="0.25"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</row>
    <row r="20" ht="33" customHeight="1" spans="2:13" s="2" customFormat="1" x14ac:dyDescent="0.25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</row>
    <row r="21" ht="17.25" customHeight="1" x14ac:dyDescent="0.25"/>
    <row r="22" ht="5.25" customHeight="1" x14ac:dyDescent="0.25"/>
  </sheetData>
  <mergeCells count="21">
    <mergeCell ref="B4:M4"/>
    <mergeCell ref="B5:G5"/>
    <mergeCell ref="H5:M5"/>
    <mergeCell ref="D7:E7"/>
    <mergeCell ref="F7:G7"/>
    <mergeCell ref="B7:B8"/>
    <mergeCell ref="C7:C8"/>
    <mergeCell ref="H7:H8"/>
    <mergeCell ref="I7:I8"/>
    <mergeCell ref="J7:J8"/>
    <mergeCell ref="K7:K8"/>
    <mergeCell ref="L7:L8"/>
    <mergeCell ref="M7:M8"/>
    <mergeCell ref="B9:B13"/>
    <mergeCell ref="C9:C13"/>
    <mergeCell ref="D9:D13"/>
    <mergeCell ref="E9:E13"/>
    <mergeCell ref="F9:F13"/>
    <mergeCell ref="G9:G13"/>
    <mergeCell ref="B17:M18"/>
    <mergeCell ref="B19:M20"/>
  </mergeCells>
  <printOptions horizontalCentered="1"/>
  <pageMargins left="0.3937007874015748" right="0.3937007874015748" top="0" bottom="0" header="0" footer="0"/>
  <pageSetup paperSize="9" orientation="portrait" horizontalDpi="4294967295" verticalDpi="4294967295" scale="79" fitToWidth="1" fitToHeight="1" firstPageNumber="1" useFirstPageNumber="1" copies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V18"/>
  <sheetViews>
    <sheetView workbookViewId="0" zoomScale="100" zoomScaleNormal="100">
      <selection activeCell="C12" sqref="C12"/>
    </sheetView>
  </sheetViews>
  <sheetFormatPr defaultRowHeight="12.75" outlineLevelRow="0" outlineLevelCol="0" x14ac:dyDescent="0" defaultColWidth="9.140625" customHeight="1"/>
  <cols>
    <col min="1" max="1" width="1.140625" style="1" customWidth="1"/>
    <col min="2" max="2" width="4.85546875" style="1" customWidth="1"/>
    <col min="3" max="3" width="20.42578125" style="1" customWidth="1"/>
    <col min="4" max="4" width="12.7109375" style="1" customWidth="1"/>
    <col min="5" max="5" width="8.7109375" style="1" customWidth="1"/>
    <col min="6" max="6" width="11.42578125" style="1" customWidth="1"/>
    <col min="7" max="7" width="11.5703125" style="1" customWidth="1"/>
    <col min="8" max="8" width="10.140625" style="1" customWidth="1"/>
    <col min="9" max="9" width="11.5703125" style="1" customWidth="1"/>
    <col min="10" max="11" width="8.140625" style="1" customWidth="1"/>
    <col min="12" max="12" width="5.28515625" style="1" customWidth="1"/>
    <col min="13" max="13" width="12.5703125" style="1" customWidth="1"/>
    <col min="14" max="16384" width="9.140625" style="1" customWidth="1"/>
  </cols>
  <sheetData>
    <row r="1" ht="15.75" customHeight="1" spans="1:2" x14ac:dyDescent="0.25">
      <c r="A1" s="1"/>
      <c r="B1" s="2"/>
    </row>
    <row r="2" ht="15.75" customHeight="1" spans="1:2" x14ac:dyDescent="0.25">
      <c r="A2" s="1"/>
      <c r="B2" s="2"/>
    </row>
    <row r="3" ht="15.75" customHeight="1" spans="1:2" x14ac:dyDescent="0.25">
      <c r="A3" s="1"/>
      <c r="B3" s="3"/>
    </row>
    <row r="4" ht="65.45" customHeight="1" spans="1:13" s="4" customFormat="1" x14ac:dyDescent="0.25">
      <c r="A4" s="4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ht="38.25" customHeight="1" spans="1:16" s="4" customFormat="1" x14ac:dyDescent="0.25">
      <c r="A5" s="4"/>
      <c r="B5" s="7" t="s">
        <v>35</v>
      </c>
      <c r="C5" s="8"/>
      <c r="D5" s="8"/>
      <c r="E5" s="8"/>
      <c r="F5" s="8"/>
      <c r="G5" s="9"/>
      <c r="H5" s="7" t="s">
        <v>36</v>
      </c>
      <c r="I5" s="8"/>
      <c r="J5" s="8"/>
      <c r="K5" s="8"/>
      <c r="L5" s="8"/>
      <c r="M5" s="9"/>
      <c r="N5" s="4"/>
      <c r="O5" s="4"/>
      <c r="P5" s="6"/>
    </row>
    <row r="6" ht="9" customHeight="1" x14ac:dyDescent="0.25"/>
    <row r="7" ht="38.45" customHeight="1" spans="1:16" x14ac:dyDescent="0.25">
      <c r="A7" s="1"/>
      <c r="B7" s="10" t="s">
        <v>3</v>
      </c>
      <c r="C7" s="10" t="s">
        <v>4</v>
      </c>
      <c r="D7" s="10" t="s">
        <v>5</v>
      </c>
      <c r="E7" s="10"/>
      <c r="F7" s="10" t="s">
        <v>6</v>
      </c>
      <c r="G7" s="10"/>
      <c r="H7" s="10" t="s">
        <v>7</v>
      </c>
      <c r="I7" s="10" t="s">
        <v>8</v>
      </c>
      <c r="J7" s="10" t="s">
        <v>9</v>
      </c>
      <c r="K7" s="10" t="s">
        <v>10</v>
      </c>
      <c r="L7" s="10" t="s">
        <v>11</v>
      </c>
      <c r="M7" s="10" t="s">
        <v>12</v>
      </c>
      <c r="N7" s="1"/>
      <c r="O7" s="1"/>
      <c r="P7" s="6"/>
    </row>
    <row r="8" ht="42.6" customHeight="1" spans="1:15" x14ac:dyDescent="0.25">
      <c r="A8" s="1"/>
      <c r="B8" s="11"/>
      <c r="C8" s="11"/>
      <c r="D8" s="10" t="s">
        <v>13</v>
      </c>
      <c r="E8" s="10" t="s">
        <v>14</v>
      </c>
      <c r="F8" s="10" t="s">
        <v>15</v>
      </c>
      <c r="G8" s="10" t="s">
        <v>14</v>
      </c>
      <c r="H8" s="10"/>
      <c r="I8" s="10"/>
      <c r="J8" s="10"/>
      <c r="K8" s="10"/>
      <c r="L8" s="11"/>
      <c r="M8" s="11"/>
      <c r="N8" s="1"/>
      <c r="O8" s="6"/>
    </row>
    <row r="9" ht="24.95" customHeight="1" spans="1:13" x14ac:dyDescent="0.25">
      <c r="A9" s="1"/>
      <c r="B9" s="31" t="s">
        <v>37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3"/>
    </row>
    <row r="10" ht="28.5" customHeight="1" spans="1:16" x14ac:dyDescent="0.25">
      <c r="A10" s="34"/>
      <c r="B10" s="35">
        <v>1</v>
      </c>
      <c r="C10" s="35" t="s">
        <v>38</v>
      </c>
      <c r="D10" s="36" t="s">
        <v>39</v>
      </c>
      <c r="E10" s="36">
        <v>3</v>
      </c>
      <c r="F10" s="36"/>
      <c r="G10" s="36"/>
      <c r="H10" s="36" t="s">
        <v>40</v>
      </c>
      <c r="I10" s="37" t="s">
        <v>41</v>
      </c>
      <c r="J10" s="16"/>
      <c r="K10" s="38"/>
      <c r="L10" s="39"/>
      <c r="M10" s="37" t="s">
        <v>42</v>
      </c>
      <c r="N10" s="1"/>
      <c r="O10" s="1"/>
      <c r="P10" s="40"/>
    </row>
    <row r="11" ht="28.5" customHeight="1" spans="1:16" x14ac:dyDescent="0.25">
      <c r="A11" s="34"/>
      <c r="B11" s="39">
        <v>2</v>
      </c>
      <c r="C11" s="39" t="s">
        <v>43</v>
      </c>
      <c r="D11" s="38" t="s">
        <v>39</v>
      </c>
      <c r="E11" s="38">
        <v>3</v>
      </c>
      <c r="F11" s="38"/>
      <c r="G11" s="38"/>
      <c r="H11" s="41"/>
      <c r="I11" s="42"/>
      <c r="J11" s="16"/>
      <c r="K11" s="38"/>
      <c r="L11" s="39"/>
      <c r="M11" s="42"/>
      <c r="N11" s="1"/>
      <c r="O11" s="1"/>
      <c r="P11" s="40"/>
    </row>
    <row r="12" ht="71.25" customHeight="1" spans="1:22" x14ac:dyDescent="0.25">
      <c r="A12" s="1"/>
      <c r="B12" s="28" t="s">
        <v>44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33</v>
      </c>
    </row>
    <row r="13" ht="16.5" customHeight="1" spans="1:13" s="2" customFormat="1" x14ac:dyDescent="0.25">
      <c r="A13" s="2"/>
      <c r="B13" s="29" t="s">
        <v>34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</row>
    <row r="14" ht="23.25" customHeight="1" spans="1:13" s="2" customFormat="1" x14ac:dyDescent="0.25">
      <c r="A14" s="2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</row>
    <row r="15" ht="3.75" customHeight="1" spans="1:13" s="2" customFormat="1" x14ac:dyDescent="0.25">
      <c r="A15" s="2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ht="33" customHeight="1" spans="1:13" s="2" customFormat="1" x14ac:dyDescent="0.25">
      <c r="A16" s="2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ht="17.25" customHeight="1" x14ac:dyDescent="0.25"/>
    <row r="18" ht="5.25" customHeight="1" x14ac:dyDescent="0.25"/>
  </sheetData>
  <mergeCells count="19">
    <mergeCell ref="B4:M4"/>
    <mergeCell ref="B5:G5"/>
    <mergeCell ref="H5:M5"/>
    <mergeCell ref="D7:E7"/>
    <mergeCell ref="F7:G7"/>
    <mergeCell ref="B7:B8"/>
    <mergeCell ref="C7:C8"/>
    <mergeCell ref="H7:H8"/>
    <mergeCell ref="I7:I8"/>
    <mergeCell ref="J7:J8"/>
    <mergeCell ref="K7:K8"/>
    <mergeCell ref="L7:L8"/>
    <mergeCell ref="M7:M8"/>
    <mergeCell ref="B9:M9"/>
    <mergeCell ref="H10:H11"/>
    <mergeCell ref="I10:I11"/>
    <mergeCell ref="M10:M11"/>
    <mergeCell ref="B13:M14"/>
    <mergeCell ref="B15:M16"/>
  </mergeCells>
  <printOptions horizontalCentered="1"/>
  <pageMargins left="0.3937007874015748" right="0.3937007874015748" top="0" bottom="0" header="0" footer="0"/>
  <pageSetup paperSize="9" orientation="portrait" horizontalDpi="4294967295" verticalDpi="4294967295" scale="77" fitToWidth="1" fitToHeight="1" firstPageNumber="1" useFirstPageNumber="1" copies="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workbookViewId="0" zoomScale="100" zoomScaleNormal="100">
      <selection activeCell="G12" sqref="G12"/>
    </sheetView>
  </sheetViews>
  <sheetFormatPr defaultRowHeight="21" outlineLevelRow="0" outlineLevelCol="0" x14ac:dyDescent="0" defaultColWidth="9.140625" customHeight="1"/>
  <cols>
    <col min="1" max="1" width="9.85546875" style="43" customWidth="1"/>
    <col min="2" max="2" width="38.5703125" style="44" customWidth="1"/>
    <col min="3" max="3" width="61.28515625" style="43" customWidth="1"/>
    <col min="4" max="4" width="14.140625" style="44" customWidth="1"/>
    <col min="5" max="16384" width="9.140625" style="44" customWidth="1"/>
  </cols>
  <sheetData>
    <row r="1" ht="46.5" customHeight="1" spans="1:3" s="45" customFormat="1" x14ac:dyDescent="0.25">
      <c r="A1" s="46" t="s">
        <v>45</v>
      </c>
      <c r="B1" s="46"/>
      <c r="C1" s="46"/>
    </row>
    <row r="2" spans="1:3" s="47" customFormat="1" x14ac:dyDescent="0.25">
      <c r="A2" s="48" t="s">
        <v>46</v>
      </c>
      <c r="B2" s="48" t="s">
        <v>47</v>
      </c>
      <c r="C2" s="48" t="s">
        <v>48</v>
      </c>
    </row>
    <row r="3" ht="15.75" customHeight="1" spans="1:3" s="49" customFormat="1" x14ac:dyDescent="0.25">
      <c r="A3" s="50">
        <v>1</v>
      </c>
      <c r="B3" s="51" t="s">
        <v>49</v>
      </c>
      <c r="C3" s="50" t="s">
        <v>50</v>
      </c>
    </row>
    <row r="4" ht="15.75" customHeight="1" spans="1:3" s="49" customFormat="1" x14ac:dyDescent="0.25">
      <c r="A4" s="50">
        <v>2</v>
      </c>
      <c r="B4" s="52" t="s">
        <v>51</v>
      </c>
      <c r="C4" s="50" t="s">
        <v>50</v>
      </c>
    </row>
    <row r="5" ht="15.75" customHeight="1" spans="1:3" s="49" customFormat="1" x14ac:dyDescent="0.25">
      <c r="A5" s="50">
        <v>3</v>
      </c>
      <c r="B5" s="52" t="s">
        <v>52</v>
      </c>
      <c r="C5" s="50" t="s">
        <v>50</v>
      </c>
    </row>
    <row r="6" ht="15.75" customHeight="1" spans="1:3" s="49" customFormat="1" x14ac:dyDescent="0.25">
      <c r="A6" s="50">
        <v>4</v>
      </c>
      <c r="B6" s="52" t="s">
        <v>32</v>
      </c>
      <c r="C6" s="50" t="s">
        <v>50</v>
      </c>
    </row>
    <row r="7" ht="15.75" customHeight="1" spans="1:3" s="49" customFormat="1" x14ac:dyDescent="0.25">
      <c r="A7" s="50">
        <v>5</v>
      </c>
      <c r="B7" s="52" t="s">
        <v>53</v>
      </c>
      <c r="C7" s="50" t="s">
        <v>50</v>
      </c>
    </row>
    <row r="8" ht="15.75" customHeight="1" spans="1:3" s="49" customFormat="1" x14ac:dyDescent="0.25">
      <c r="A8" s="50">
        <v>6</v>
      </c>
      <c r="B8" s="52" t="s">
        <v>54</v>
      </c>
      <c r="C8" s="50" t="s">
        <v>50</v>
      </c>
    </row>
    <row r="9" ht="15.75" customHeight="1" spans="1:3" s="49" customFormat="1" x14ac:dyDescent="0.25">
      <c r="A9" s="50">
        <v>7</v>
      </c>
      <c r="B9" s="52" t="s">
        <v>29</v>
      </c>
      <c r="C9" s="50" t="s">
        <v>50</v>
      </c>
    </row>
    <row r="10" ht="15.75" customHeight="1" spans="1:3" s="49" customFormat="1" x14ac:dyDescent="0.25">
      <c r="A10" s="50">
        <v>8</v>
      </c>
      <c r="B10" s="52" t="s">
        <v>55</v>
      </c>
      <c r="C10" s="50" t="s">
        <v>50</v>
      </c>
    </row>
    <row r="11" ht="15.75" customHeight="1" spans="1:3" s="49" customFormat="1" x14ac:dyDescent="0.25">
      <c r="A11" s="50">
        <v>9</v>
      </c>
      <c r="B11" s="52" t="s">
        <v>16</v>
      </c>
      <c r="C11" s="50" t="s">
        <v>50</v>
      </c>
    </row>
    <row r="12" ht="15.75" customHeight="1" spans="1:3" s="49" customFormat="1" x14ac:dyDescent="0.25">
      <c r="A12" s="50">
        <v>10</v>
      </c>
      <c r="B12" s="52" t="s">
        <v>56</v>
      </c>
      <c r="C12" s="50" t="s">
        <v>50</v>
      </c>
    </row>
    <row r="13" ht="15.75" customHeight="1" spans="1:3" s="49" customFormat="1" x14ac:dyDescent="0.25">
      <c r="A13" s="50">
        <v>11</v>
      </c>
      <c r="B13" s="52" t="s">
        <v>57</v>
      </c>
      <c r="C13" s="50" t="s">
        <v>50</v>
      </c>
    </row>
    <row r="14" ht="15.75" customHeight="1" spans="1:3" s="49" customFormat="1" x14ac:dyDescent="0.25">
      <c r="A14" s="50">
        <v>12</v>
      </c>
      <c r="B14" s="52" t="s">
        <v>58</v>
      </c>
      <c r="C14" s="50" t="s">
        <v>50</v>
      </c>
    </row>
    <row r="15" ht="15.75" customHeight="1" spans="1:3" s="49" customFormat="1" x14ac:dyDescent="0.25">
      <c r="A15" s="50">
        <v>13</v>
      </c>
      <c r="B15" s="53" t="s">
        <v>59</v>
      </c>
      <c r="C15" s="50" t="s">
        <v>50</v>
      </c>
    </row>
    <row r="16" ht="15.75" customHeight="1" spans="1:3" s="49" customFormat="1" x14ac:dyDescent="0.25">
      <c r="A16" s="50">
        <v>14</v>
      </c>
      <c r="B16" s="54" t="s">
        <v>60</v>
      </c>
      <c r="C16" s="50" t="s">
        <v>61</v>
      </c>
    </row>
    <row r="17" spans="1:3" s="47" customFormat="1" x14ac:dyDescent="0.25">
      <c r="A17" s="48"/>
      <c r="B17" s="48"/>
      <c r="C17" s="48"/>
    </row>
    <row r="18" ht="15.75" customHeight="1" spans="1:3" s="49" customFormat="1" x14ac:dyDescent="0.25">
      <c r="A18" s="50">
        <v>1</v>
      </c>
      <c r="B18" s="51" t="s">
        <v>62</v>
      </c>
      <c r="C18" s="50" t="s">
        <v>61</v>
      </c>
    </row>
    <row r="19" ht="15.75" customHeight="1" spans="1:3" s="49" customFormat="1" x14ac:dyDescent="0.25">
      <c r="A19" s="50">
        <v>2</v>
      </c>
      <c r="B19" s="51" t="s">
        <v>63</v>
      </c>
      <c r="C19" s="50" t="s">
        <v>61</v>
      </c>
    </row>
    <row r="20" ht="15.75" customHeight="1" spans="1:3" s="49" customFormat="1" x14ac:dyDescent="0.25">
      <c r="A20" s="50">
        <v>3</v>
      </c>
      <c r="B20" s="51" t="s">
        <v>64</v>
      </c>
      <c r="C20" s="50" t="s">
        <v>61</v>
      </c>
    </row>
    <row r="21" ht="15.75" customHeight="1" spans="1:3" s="49" customFormat="1" x14ac:dyDescent="0.25">
      <c r="A21" s="50">
        <v>4</v>
      </c>
      <c r="B21" s="51" t="s">
        <v>65</v>
      </c>
      <c r="C21" s="50" t="s">
        <v>61</v>
      </c>
    </row>
    <row r="22" ht="15.75" customHeight="1" spans="1:3" s="49" customFormat="1" x14ac:dyDescent="0.25">
      <c r="A22" s="50">
        <v>5</v>
      </c>
      <c r="B22" s="51" t="s">
        <v>66</v>
      </c>
      <c r="C22" s="50" t="s">
        <v>61</v>
      </c>
    </row>
    <row r="23" ht="15.75" customHeight="1" spans="1:3" s="49" customFormat="1" x14ac:dyDescent="0.25">
      <c r="A23" s="50">
        <v>6</v>
      </c>
      <c r="B23" s="51" t="s">
        <v>67</v>
      </c>
      <c r="C23" s="50" t="s">
        <v>61</v>
      </c>
    </row>
    <row r="24" ht="15.75" customHeight="1" spans="1:3" s="49" customFormat="1" x14ac:dyDescent="0.25">
      <c r="A24" s="50">
        <v>7</v>
      </c>
      <c r="B24" s="51" t="s">
        <v>68</v>
      </c>
      <c r="C24" s="50" t="s">
        <v>61</v>
      </c>
    </row>
    <row r="25" ht="15.75" customHeight="1" spans="1:3" s="49" customFormat="1" x14ac:dyDescent="0.25">
      <c r="A25" s="50">
        <v>8</v>
      </c>
      <c r="B25" s="51" t="s">
        <v>38</v>
      </c>
      <c r="C25" s="50" t="s">
        <v>61</v>
      </c>
    </row>
    <row r="26" ht="15.75" customHeight="1" spans="1:3" s="49" customFormat="1" x14ac:dyDescent="0.25">
      <c r="A26" s="50">
        <v>9</v>
      </c>
      <c r="B26" s="51" t="s">
        <v>43</v>
      </c>
      <c r="C26" s="50" t="s">
        <v>61</v>
      </c>
    </row>
    <row r="27" ht="15.75" customHeight="1" spans="1:3" s="49" customFormat="1" x14ac:dyDescent="0.25">
      <c r="A27" s="50">
        <v>10</v>
      </c>
      <c r="B27" s="51" t="s">
        <v>69</v>
      </c>
      <c r="C27" s="50" t="s">
        <v>61</v>
      </c>
    </row>
    <row r="28" ht="15.75" customHeight="1" spans="1:3" s="49" customFormat="1" x14ac:dyDescent="0.25">
      <c r="A28" s="50">
        <v>11</v>
      </c>
      <c r="B28" s="54" t="s">
        <v>70</v>
      </c>
      <c r="C28" s="50" t="s">
        <v>61</v>
      </c>
    </row>
    <row r="50" spans="1:3" s="55" customFormat="1" x14ac:dyDescent="0.25">
      <c r="A50" s="43"/>
      <c r="B50" s="44"/>
      <c r="C50" s="43"/>
    </row>
    <row r="51" spans="1:3" s="55" customFormat="1" x14ac:dyDescent="0.25">
      <c r="A51" s="43"/>
      <c r="B51" s="44"/>
      <c r="C51" s="43"/>
    </row>
    <row r="56" spans="1:3" s="55" customFormat="1" x14ac:dyDescent="0.25">
      <c r="A56" s="43"/>
      <c r="B56" s="44"/>
      <c r="C56" s="43"/>
    </row>
    <row r="57" spans="1:3" s="55" customFormat="1" x14ac:dyDescent="0.25">
      <c r="A57" s="43"/>
      <c r="B57" s="44"/>
      <c r="C57" s="43"/>
    </row>
    <row r="58" spans="1:3" s="55" customFormat="1" x14ac:dyDescent="0.25">
      <c r="A58" s="43"/>
      <c r="B58" s="44"/>
      <c r="C58" s="43"/>
    </row>
  </sheetData>
  <autoFilter ref="A2:C2"/>
  <mergeCells count="1">
    <mergeCell ref="A1:C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 zoomScale="100" zoomScaleNormal="100">
      <selection activeCell="H10" sqref="H10"/>
    </sheetView>
  </sheetViews>
  <sheetFormatPr defaultRowHeight="12.75" outlineLevelRow="0" outlineLevelCol="0" x14ac:dyDescent="0" defaultColWidth="8.7109375" customHeight="1"/>
  <cols>
    <col min="1" max="1" width="7.5703125" style="56" customWidth="1"/>
    <col min="2" max="3" width="12.5703125" style="56" customWidth="1"/>
    <col min="4" max="4" width="13.140625" style="56" customWidth="1"/>
    <col min="5" max="5" width="29.85546875" style="56" customWidth="1"/>
    <col min="6" max="6" width="15.5703125" style="56" customWidth="1"/>
    <col min="7" max="7" width="12" style="57" customWidth="1"/>
    <col min="8" max="8" width="28.5703125" style="57" customWidth="1"/>
    <col min="9" max="9" width="15.85546875" style="56" customWidth="1"/>
    <col min="10" max="16384" width="8.7109375" style="56" customWidth="1"/>
  </cols>
  <sheetData>
    <row r="1" ht="13.5" customHeight="1" x14ac:dyDescent="0.25"/>
    <row r="2" ht="44.25" customHeight="1" spans="1:9" x14ac:dyDescent="0.25">
      <c r="A2" s="58" t="s">
        <v>71</v>
      </c>
      <c r="B2" s="59"/>
      <c r="C2" s="59"/>
      <c r="D2" s="59"/>
      <c r="E2" s="59"/>
      <c r="F2" s="59"/>
      <c r="G2" s="59"/>
      <c r="H2" s="59"/>
      <c r="I2" s="60"/>
    </row>
    <row r="3" ht="15.75" customHeight="1" spans="1:4" x14ac:dyDescent="0.25">
      <c r="A3" s="61" t="s">
        <v>72</v>
      </c>
      <c r="B3" s="61"/>
      <c r="C3" s="62"/>
      <c r="D3" s="62"/>
    </row>
    <row r="4" ht="17.25" customHeight="1" spans="1:9" s="63" customFormat="1" x14ac:dyDescent="0.25">
      <c r="A4" s="64" t="s">
        <v>73</v>
      </c>
      <c r="B4" s="65" t="s">
        <v>74</v>
      </c>
      <c r="C4" s="65" t="s">
        <v>75</v>
      </c>
      <c r="D4" s="65" t="s">
        <v>76</v>
      </c>
      <c r="E4" s="66" t="s">
        <v>77</v>
      </c>
      <c r="F4" s="66" t="s">
        <v>78</v>
      </c>
      <c r="G4" s="65" t="s">
        <v>79</v>
      </c>
      <c r="H4" s="67" t="s">
        <v>80</v>
      </c>
      <c r="I4" s="68" t="s">
        <v>81</v>
      </c>
    </row>
    <row r="5" ht="36" customHeight="1" spans="1:9" x14ac:dyDescent="0.25">
      <c r="A5" s="69">
        <v>1</v>
      </c>
      <c r="B5" s="70" t="s">
        <v>82</v>
      </c>
      <c r="C5" s="70" t="s">
        <v>83</v>
      </c>
      <c r="D5" s="71" t="s">
        <v>84</v>
      </c>
      <c r="E5" s="72" t="s">
        <v>85</v>
      </c>
      <c r="F5" s="70" t="s">
        <v>86</v>
      </c>
      <c r="G5" s="70">
        <v>55</v>
      </c>
      <c r="H5" s="73">
        <f>G5*60</f>
        <v>3300</v>
      </c>
      <c r="I5" s="74"/>
    </row>
    <row r="6" ht="36" customHeight="1" spans="1:9" x14ac:dyDescent="0.25">
      <c r="A6" s="69">
        <v>2</v>
      </c>
      <c r="B6" s="70" t="s">
        <v>87</v>
      </c>
      <c r="C6" s="70" t="s">
        <v>88</v>
      </c>
      <c r="D6" s="70" t="s">
        <v>89</v>
      </c>
      <c r="E6" s="70" t="s">
        <v>90</v>
      </c>
      <c r="F6" s="70" t="s">
        <v>91</v>
      </c>
      <c r="G6" s="70">
        <v>45</v>
      </c>
      <c r="H6" s="73">
        <f t="shared" ref="H6:H43" si="0">G6*60</f>
        <v>2700</v>
      </c>
      <c r="I6" s="74"/>
    </row>
    <row r="7" ht="36" customHeight="1" spans="1:9" x14ac:dyDescent="0.25">
      <c r="A7" s="69">
        <v>3</v>
      </c>
      <c r="B7" s="70" t="s">
        <v>92</v>
      </c>
      <c r="C7" s="70" t="s">
        <v>88</v>
      </c>
      <c r="D7" s="71" t="s">
        <v>84</v>
      </c>
      <c r="E7" s="72" t="s">
        <v>93</v>
      </c>
      <c r="F7" s="70" t="s">
        <v>94</v>
      </c>
      <c r="G7" s="70">
        <v>90</v>
      </c>
      <c r="H7" s="73">
        <f t="shared" si="0"/>
        <v>5400</v>
      </c>
      <c r="I7" s="74"/>
    </row>
    <row r="8" ht="36" customHeight="1" spans="1:9" x14ac:dyDescent="0.25">
      <c r="A8" s="69">
        <v>4</v>
      </c>
      <c r="B8" s="70" t="s">
        <v>95</v>
      </c>
      <c r="C8" s="70" t="s">
        <v>88</v>
      </c>
      <c r="D8" s="71" t="s">
        <v>84</v>
      </c>
      <c r="E8" s="72" t="s">
        <v>96</v>
      </c>
      <c r="F8" s="70" t="s">
        <v>97</v>
      </c>
      <c r="G8" s="70">
        <v>90</v>
      </c>
      <c r="H8" s="73">
        <f t="shared" si="0"/>
        <v>5400</v>
      </c>
      <c r="I8" s="74"/>
    </row>
    <row r="9" ht="36" customHeight="1" spans="1:9" x14ac:dyDescent="0.25">
      <c r="A9" s="69">
        <v>5</v>
      </c>
      <c r="B9" s="70" t="s">
        <v>98</v>
      </c>
      <c r="C9" s="70" t="s">
        <v>88</v>
      </c>
      <c r="D9" s="71" t="s">
        <v>84</v>
      </c>
      <c r="E9" s="72" t="s">
        <v>99</v>
      </c>
      <c r="F9" s="70" t="s">
        <v>97</v>
      </c>
      <c r="G9" s="70">
        <v>90</v>
      </c>
      <c r="H9" s="73">
        <f t="shared" si="0"/>
        <v>5400</v>
      </c>
      <c r="I9" s="74"/>
    </row>
    <row r="10" ht="36" customHeight="1" spans="1:9" x14ac:dyDescent="0.25">
      <c r="A10" s="69">
        <v>6</v>
      </c>
      <c r="B10" s="70" t="s">
        <v>100</v>
      </c>
      <c r="C10" s="70" t="s">
        <v>88</v>
      </c>
      <c r="D10" s="70" t="s">
        <v>89</v>
      </c>
      <c r="E10" s="72" t="s">
        <v>101</v>
      </c>
      <c r="F10" s="70" t="s">
        <v>102</v>
      </c>
      <c r="G10" s="70">
        <v>55</v>
      </c>
      <c r="H10" s="73">
        <f t="shared" si="0"/>
        <v>3300</v>
      </c>
      <c r="I10" s="74"/>
    </row>
    <row r="11" ht="36" customHeight="1" spans="1:9" x14ac:dyDescent="0.25">
      <c r="A11" s="69">
        <v>7</v>
      </c>
      <c r="B11" s="70" t="s">
        <v>103</v>
      </c>
      <c r="C11" s="70" t="s">
        <v>88</v>
      </c>
      <c r="D11" s="70" t="s">
        <v>89</v>
      </c>
      <c r="E11" s="72" t="s">
        <v>104</v>
      </c>
      <c r="F11" s="70" t="s">
        <v>91</v>
      </c>
      <c r="G11" s="70">
        <v>45</v>
      </c>
      <c r="H11" s="73">
        <f t="shared" si="0"/>
        <v>2700</v>
      </c>
      <c r="I11" s="74"/>
    </row>
    <row r="12" ht="36" customHeight="1" spans="1:9" x14ac:dyDescent="0.25">
      <c r="A12" s="69">
        <v>8</v>
      </c>
      <c r="B12" s="70" t="s">
        <v>105</v>
      </c>
      <c r="C12" s="70" t="s">
        <v>106</v>
      </c>
      <c r="D12" s="71" t="s">
        <v>84</v>
      </c>
      <c r="E12" s="72" t="s">
        <v>107</v>
      </c>
      <c r="F12" s="70" t="s">
        <v>108</v>
      </c>
      <c r="G12" s="70">
        <v>140</v>
      </c>
      <c r="H12" s="73">
        <f t="shared" si="0"/>
        <v>8400</v>
      </c>
      <c r="I12" s="74"/>
    </row>
    <row r="13" ht="36" customHeight="1" spans="1:9" x14ac:dyDescent="0.25">
      <c r="A13" s="69">
        <v>9</v>
      </c>
      <c r="B13" s="70" t="s">
        <v>109</v>
      </c>
      <c r="C13" s="70" t="s">
        <v>106</v>
      </c>
      <c r="D13" s="71" t="s">
        <v>84</v>
      </c>
      <c r="E13" s="72" t="s">
        <v>110</v>
      </c>
      <c r="F13" s="70" t="s">
        <v>108</v>
      </c>
      <c r="G13" s="70">
        <v>140</v>
      </c>
      <c r="H13" s="73">
        <f t="shared" si="0"/>
        <v>8400</v>
      </c>
      <c r="I13" s="74"/>
    </row>
    <row r="14" ht="36" customHeight="1" spans="1:9" x14ac:dyDescent="0.25">
      <c r="A14" s="69">
        <v>10</v>
      </c>
      <c r="B14" s="70" t="s">
        <v>111</v>
      </c>
      <c r="C14" s="70" t="s">
        <v>106</v>
      </c>
      <c r="D14" s="70" t="s">
        <v>89</v>
      </c>
      <c r="E14" s="72" t="s">
        <v>112</v>
      </c>
      <c r="F14" s="70" t="s">
        <v>113</v>
      </c>
      <c r="G14" s="70">
        <v>55</v>
      </c>
      <c r="H14" s="73">
        <f t="shared" si="0"/>
        <v>3300</v>
      </c>
      <c r="I14" s="74"/>
    </row>
    <row r="15" ht="36" customHeight="1" spans="1:9" x14ac:dyDescent="0.25">
      <c r="A15" s="69">
        <v>11</v>
      </c>
      <c r="B15" s="70" t="s">
        <v>114</v>
      </c>
      <c r="C15" s="70" t="s">
        <v>106</v>
      </c>
      <c r="D15" s="70" t="s">
        <v>89</v>
      </c>
      <c r="E15" s="72" t="s">
        <v>115</v>
      </c>
      <c r="F15" s="70" t="s">
        <v>113</v>
      </c>
      <c r="G15" s="70">
        <v>55</v>
      </c>
      <c r="H15" s="73">
        <f t="shared" si="0"/>
        <v>3300</v>
      </c>
      <c r="I15" s="74"/>
    </row>
    <row r="16" ht="36" customHeight="1" spans="1:9" x14ac:dyDescent="0.25">
      <c r="A16" s="69">
        <v>12</v>
      </c>
      <c r="B16" s="70" t="s">
        <v>19</v>
      </c>
      <c r="C16" s="70" t="s">
        <v>116</v>
      </c>
      <c r="D16" s="70" t="s">
        <v>89</v>
      </c>
      <c r="E16" s="72" t="s">
        <v>117</v>
      </c>
      <c r="F16" s="70" t="s">
        <v>118</v>
      </c>
      <c r="G16" s="70">
        <v>70</v>
      </c>
      <c r="H16" s="73">
        <f t="shared" si="0"/>
        <v>4200</v>
      </c>
      <c r="I16" s="74"/>
    </row>
    <row r="17" ht="36" customHeight="1" spans="1:9" x14ac:dyDescent="0.25">
      <c r="A17" s="69">
        <v>13</v>
      </c>
      <c r="B17" s="70" t="s">
        <v>21</v>
      </c>
      <c r="C17" s="70" t="s">
        <v>106</v>
      </c>
      <c r="D17" s="71" t="s">
        <v>84</v>
      </c>
      <c r="E17" s="72" t="s">
        <v>119</v>
      </c>
      <c r="F17" s="70" t="s">
        <v>120</v>
      </c>
      <c r="G17" s="70">
        <v>115</v>
      </c>
      <c r="H17" s="73">
        <f t="shared" si="0"/>
        <v>6900</v>
      </c>
      <c r="I17" s="74"/>
    </row>
    <row r="18" ht="36" customHeight="1" spans="1:9" x14ac:dyDescent="0.25">
      <c r="A18" s="69">
        <v>14</v>
      </c>
      <c r="B18" s="70" t="s">
        <v>121</v>
      </c>
      <c r="C18" s="70" t="s">
        <v>116</v>
      </c>
      <c r="D18" s="71" t="s">
        <v>84</v>
      </c>
      <c r="E18" s="72" t="s">
        <v>122</v>
      </c>
      <c r="F18" s="70" t="s">
        <v>123</v>
      </c>
      <c r="G18" s="70">
        <v>280</v>
      </c>
      <c r="H18" s="73">
        <f t="shared" si="0"/>
        <v>16800</v>
      </c>
      <c r="I18" s="74"/>
    </row>
    <row r="19" ht="36" customHeight="1" spans="1:9" x14ac:dyDescent="0.25">
      <c r="A19" s="69">
        <v>15</v>
      </c>
      <c r="B19" s="70" t="s">
        <v>23</v>
      </c>
      <c r="C19" s="70" t="s">
        <v>116</v>
      </c>
      <c r="D19" s="72" t="s">
        <v>89</v>
      </c>
      <c r="E19" s="70" t="s">
        <v>124</v>
      </c>
      <c r="F19" s="70" t="s">
        <v>125</v>
      </c>
      <c r="G19" s="70">
        <v>100</v>
      </c>
      <c r="H19" s="73">
        <f t="shared" si="0"/>
        <v>6000</v>
      </c>
      <c r="I19" s="74"/>
    </row>
    <row r="20" ht="36" customHeight="1" spans="1:9" x14ac:dyDescent="0.25">
      <c r="A20" s="69">
        <v>16</v>
      </c>
      <c r="B20" s="70" t="s">
        <v>126</v>
      </c>
      <c r="C20" s="70" t="s">
        <v>116</v>
      </c>
      <c r="D20" s="72" t="s">
        <v>89</v>
      </c>
      <c r="E20" s="72" t="s">
        <v>127</v>
      </c>
      <c r="F20" s="70" t="s">
        <v>125</v>
      </c>
      <c r="G20" s="70">
        <v>110</v>
      </c>
      <c r="H20" s="73">
        <f t="shared" si="0"/>
        <v>6600</v>
      </c>
      <c r="I20" s="74"/>
    </row>
    <row r="21" ht="36" customHeight="1" spans="1:9" x14ac:dyDescent="0.25">
      <c r="A21" s="69">
        <v>17</v>
      </c>
      <c r="B21" s="70" t="s">
        <v>128</v>
      </c>
      <c r="C21" s="70" t="s">
        <v>116</v>
      </c>
      <c r="D21" s="72" t="s">
        <v>89</v>
      </c>
      <c r="E21" s="72" t="s">
        <v>129</v>
      </c>
      <c r="F21" s="70" t="s">
        <v>125</v>
      </c>
      <c r="G21" s="70">
        <v>110</v>
      </c>
      <c r="H21" s="73">
        <f t="shared" si="0"/>
        <v>6600</v>
      </c>
      <c r="I21" s="74"/>
    </row>
    <row r="22" ht="36" customHeight="1" spans="1:9" x14ac:dyDescent="0.25">
      <c r="A22" s="69">
        <v>18</v>
      </c>
      <c r="B22" s="70" t="s">
        <v>25</v>
      </c>
      <c r="C22" s="70" t="s">
        <v>116</v>
      </c>
      <c r="D22" s="72" t="s">
        <v>89</v>
      </c>
      <c r="E22" s="72" t="s">
        <v>129</v>
      </c>
      <c r="F22" s="70" t="s">
        <v>125</v>
      </c>
      <c r="G22" s="70">
        <v>110</v>
      </c>
      <c r="H22" s="73">
        <f t="shared" si="0"/>
        <v>6600</v>
      </c>
      <c r="I22" s="74"/>
    </row>
    <row r="23" ht="36" customHeight="1" spans="1:9" x14ac:dyDescent="0.25">
      <c r="A23" s="69">
        <v>19</v>
      </c>
      <c r="B23" s="70" t="s">
        <v>27</v>
      </c>
      <c r="C23" s="70" t="s">
        <v>116</v>
      </c>
      <c r="D23" s="72" t="s">
        <v>89</v>
      </c>
      <c r="E23" s="72" t="s">
        <v>129</v>
      </c>
      <c r="F23" s="70" t="s">
        <v>125</v>
      </c>
      <c r="G23" s="70">
        <v>110</v>
      </c>
      <c r="H23" s="73">
        <f t="shared" si="0"/>
        <v>6600</v>
      </c>
      <c r="I23" s="74"/>
    </row>
    <row r="24" ht="36" customHeight="1" spans="1:9" x14ac:dyDescent="0.25">
      <c r="A24" s="69">
        <v>20</v>
      </c>
      <c r="B24" s="72" t="s">
        <v>130</v>
      </c>
      <c r="C24" s="72" t="s">
        <v>31</v>
      </c>
      <c r="D24" s="72" t="s">
        <v>89</v>
      </c>
      <c r="E24" s="72" t="s">
        <v>131</v>
      </c>
      <c r="F24" s="70" t="s">
        <v>132</v>
      </c>
      <c r="G24" s="70">
        <v>180</v>
      </c>
      <c r="H24" s="73">
        <f t="shared" si="0"/>
        <v>10800</v>
      </c>
      <c r="I24" s="74"/>
    </row>
    <row r="25" ht="36" customHeight="1" spans="1:9" x14ac:dyDescent="0.25">
      <c r="A25" s="69">
        <v>21</v>
      </c>
      <c r="B25" s="72" t="s">
        <v>133</v>
      </c>
      <c r="C25" s="72" t="s">
        <v>134</v>
      </c>
      <c r="D25" s="72" t="s">
        <v>89</v>
      </c>
      <c r="E25" s="72" t="s">
        <v>135</v>
      </c>
      <c r="F25" s="70" t="s">
        <v>136</v>
      </c>
      <c r="G25" s="70">
        <v>180</v>
      </c>
      <c r="H25" s="73">
        <f t="shared" si="0"/>
        <v>10800</v>
      </c>
      <c r="I25" s="74"/>
    </row>
    <row r="26" ht="36" customHeight="1" spans="1:9" x14ac:dyDescent="0.25">
      <c r="A26" s="69">
        <v>22</v>
      </c>
      <c r="B26" s="72" t="s">
        <v>137</v>
      </c>
      <c r="C26" s="72" t="s">
        <v>134</v>
      </c>
      <c r="D26" s="72" t="s">
        <v>89</v>
      </c>
      <c r="E26" s="72" t="s">
        <v>138</v>
      </c>
      <c r="F26" s="70" t="s">
        <v>136</v>
      </c>
      <c r="G26" s="70">
        <v>180</v>
      </c>
      <c r="H26" s="73">
        <f t="shared" si="0"/>
        <v>10800</v>
      </c>
      <c r="I26" s="74"/>
    </row>
    <row r="27" ht="24" customHeight="1" spans="1:9" x14ac:dyDescent="0.25">
      <c r="A27" s="75" t="s">
        <v>139</v>
      </c>
      <c r="B27" s="76"/>
      <c r="C27" s="76"/>
      <c r="D27" s="76"/>
      <c r="E27" s="76"/>
      <c r="F27" s="76"/>
      <c r="G27" s="76"/>
      <c r="H27" s="76"/>
      <c r="I27" s="77"/>
    </row>
    <row r="28" ht="31.5" customHeight="1" spans="1:9" x14ac:dyDescent="0.25">
      <c r="A28" s="69">
        <v>1</v>
      </c>
      <c r="B28" s="70" t="s">
        <v>140</v>
      </c>
      <c r="C28" s="70" t="s">
        <v>83</v>
      </c>
      <c r="D28" s="70" t="s">
        <v>141</v>
      </c>
      <c r="E28" s="72" t="s">
        <v>142</v>
      </c>
      <c r="F28" s="70" t="s">
        <v>83</v>
      </c>
      <c r="G28" s="70">
        <v>80</v>
      </c>
      <c r="H28" s="73">
        <f t="shared" si="0"/>
        <v>4800</v>
      </c>
      <c r="I28" s="74"/>
    </row>
    <row r="29" ht="31.5" customHeight="1" spans="1:9" x14ac:dyDescent="0.25">
      <c r="A29" s="69">
        <v>2</v>
      </c>
      <c r="B29" s="70" t="s">
        <v>143</v>
      </c>
      <c r="C29" s="70" t="s">
        <v>88</v>
      </c>
      <c r="D29" s="70" t="s">
        <v>141</v>
      </c>
      <c r="E29" s="72" t="s">
        <v>144</v>
      </c>
      <c r="F29" s="70" t="s">
        <v>88</v>
      </c>
      <c r="G29" s="70">
        <v>102</v>
      </c>
      <c r="H29" s="73">
        <f t="shared" si="0"/>
        <v>6120</v>
      </c>
      <c r="I29" s="74"/>
    </row>
    <row r="30" ht="31.5" customHeight="1" spans="1:9" x14ac:dyDescent="0.25">
      <c r="A30" s="69">
        <v>3</v>
      </c>
      <c r="B30" s="70" t="s">
        <v>145</v>
      </c>
      <c r="C30" s="70" t="s">
        <v>106</v>
      </c>
      <c r="D30" s="70" t="s">
        <v>141</v>
      </c>
      <c r="E30" s="72" t="s">
        <v>146</v>
      </c>
      <c r="F30" s="70" t="s">
        <v>106</v>
      </c>
      <c r="G30" s="70">
        <v>140</v>
      </c>
      <c r="H30" s="73">
        <f t="shared" si="0"/>
        <v>8400</v>
      </c>
      <c r="I30" s="74"/>
    </row>
    <row r="31" ht="31.5" customHeight="1" spans="1:9" x14ac:dyDescent="0.25">
      <c r="A31" s="69">
        <v>4</v>
      </c>
      <c r="B31" s="72" t="s">
        <v>147</v>
      </c>
      <c r="C31" s="72" t="s">
        <v>116</v>
      </c>
      <c r="D31" s="70" t="s">
        <v>141</v>
      </c>
      <c r="E31" s="72" t="s">
        <v>148</v>
      </c>
      <c r="F31" s="70" t="s">
        <v>116</v>
      </c>
      <c r="G31" s="70">
        <v>140</v>
      </c>
      <c r="H31" s="73">
        <f t="shared" si="0"/>
        <v>8400</v>
      </c>
      <c r="I31" s="74"/>
    </row>
    <row r="32" ht="31.5" customHeight="1" spans="1:9" x14ac:dyDescent="0.25">
      <c r="A32" s="69">
        <v>5</v>
      </c>
      <c r="B32" s="72" t="s">
        <v>149</v>
      </c>
      <c r="C32" s="72" t="s">
        <v>31</v>
      </c>
      <c r="D32" s="72" t="s">
        <v>150</v>
      </c>
      <c r="E32" s="72" t="s">
        <v>151</v>
      </c>
      <c r="F32" s="70" t="s">
        <v>31</v>
      </c>
      <c r="G32" s="70">
        <v>215</v>
      </c>
      <c r="H32" s="73">
        <f t="shared" si="0"/>
        <v>12900</v>
      </c>
      <c r="I32" s="74"/>
    </row>
    <row r="33" ht="31.5" customHeight="1" spans="1:9" x14ac:dyDescent="0.25">
      <c r="A33" s="69">
        <v>6</v>
      </c>
      <c r="B33" s="72" t="s">
        <v>152</v>
      </c>
      <c r="C33" s="72" t="s">
        <v>31</v>
      </c>
      <c r="D33" s="70" t="s">
        <v>141</v>
      </c>
      <c r="E33" s="72" t="s">
        <v>151</v>
      </c>
      <c r="F33" s="70" t="s">
        <v>31</v>
      </c>
      <c r="G33" s="70">
        <v>215</v>
      </c>
      <c r="H33" s="73">
        <f t="shared" si="0"/>
        <v>12900</v>
      </c>
      <c r="I33" s="74"/>
    </row>
    <row r="34" ht="31.5" customHeight="1" spans="1:9" x14ac:dyDescent="0.25">
      <c r="A34" s="69">
        <v>7</v>
      </c>
      <c r="B34" s="72" t="s">
        <v>153</v>
      </c>
      <c r="C34" s="72" t="s">
        <v>134</v>
      </c>
      <c r="D34" s="70" t="s">
        <v>141</v>
      </c>
      <c r="E34" s="72" t="s">
        <v>154</v>
      </c>
      <c r="F34" s="70" t="s">
        <v>31</v>
      </c>
      <c r="G34" s="70">
        <v>350</v>
      </c>
      <c r="H34" s="73">
        <f t="shared" si="0"/>
        <v>21000</v>
      </c>
      <c r="I34" s="74"/>
    </row>
    <row r="35" ht="31.5" customHeight="1" spans="1:9" x14ac:dyDescent="0.25">
      <c r="A35" s="69">
        <v>8</v>
      </c>
      <c r="B35" s="70" t="s">
        <v>155</v>
      </c>
      <c r="C35" s="70" t="s">
        <v>83</v>
      </c>
      <c r="D35" s="70" t="s">
        <v>156</v>
      </c>
      <c r="E35" s="72" t="s">
        <v>157</v>
      </c>
      <c r="F35" s="70" t="s">
        <v>83</v>
      </c>
      <c r="G35" s="70">
        <v>100</v>
      </c>
      <c r="H35" s="73">
        <f t="shared" si="0"/>
        <v>6000</v>
      </c>
      <c r="I35" s="74"/>
    </row>
    <row r="36" ht="31.5" customHeight="1" spans="1:9" x14ac:dyDescent="0.25">
      <c r="A36" s="69">
        <v>9</v>
      </c>
      <c r="B36" s="70" t="s">
        <v>158</v>
      </c>
      <c r="C36" s="70" t="s">
        <v>106</v>
      </c>
      <c r="D36" s="70" t="s">
        <v>156</v>
      </c>
      <c r="E36" s="72" t="s">
        <v>146</v>
      </c>
      <c r="F36" s="70" t="s">
        <v>106</v>
      </c>
      <c r="G36" s="70">
        <v>110</v>
      </c>
      <c r="H36" s="73">
        <f t="shared" si="0"/>
        <v>6600</v>
      </c>
      <c r="I36" s="74"/>
    </row>
    <row r="37" ht="31.5" customHeight="1" spans="1:9" x14ac:dyDescent="0.25">
      <c r="A37" s="69">
        <v>10</v>
      </c>
      <c r="B37" s="70" t="s">
        <v>159</v>
      </c>
      <c r="C37" s="70" t="s">
        <v>106</v>
      </c>
      <c r="D37" s="70" t="s">
        <v>156</v>
      </c>
      <c r="E37" s="72" t="s">
        <v>146</v>
      </c>
      <c r="F37" s="70" t="s">
        <v>106</v>
      </c>
      <c r="G37" s="70">
        <v>110</v>
      </c>
      <c r="H37" s="73">
        <f t="shared" si="0"/>
        <v>6600</v>
      </c>
      <c r="I37" s="74"/>
    </row>
    <row r="38" ht="31.5" customHeight="1" spans="1:9" x14ac:dyDescent="0.25">
      <c r="A38" s="69">
        <v>11</v>
      </c>
      <c r="B38" s="70" t="s">
        <v>160</v>
      </c>
      <c r="C38" s="70" t="s">
        <v>116</v>
      </c>
      <c r="D38" s="70" t="s">
        <v>156</v>
      </c>
      <c r="E38" s="72" t="s">
        <v>148</v>
      </c>
      <c r="F38" s="70" t="s">
        <v>116</v>
      </c>
      <c r="G38" s="70">
        <v>140</v>
      </c>
      <c r="H38" s="73">
        <f t="shared" si="0"/>
        <v>8400</v>
      </c>
      <c r="I38" s="74"/>
    </row>
    <row r="39" ht="31.5" customHeight="1" spans="1:9" x14ac:dyDescent="0.25">
      <c r="A39" s="69">
        <v>12</v>
      </c>
      <c r="B39" s="70" t="s">
        <v>161</v>
      </c>
      <c r="C39" s="70" t="s">
        <v>31</v>
      </c>
      <c r="D39" s="70" t="s">
        <v>156</v>
      </c>
      <c r="E39" s="72" t="s">
        <v>151</v>
      </c>
      <c r="F39" s="70" t="s">
        <v>31</v>
      </c>
      <c r="G39" s="70">
        <v>210</v>
      </c>
      <c r="H39" s="73">
        <f t="shared" si="0"/>
        <v>12600</v>
      </c>
      <c r="I39" s="74"/>
    </row>
    <row r="40" ht="31.5" customHeight="1" spans="1:9" x14ac:dyDescent="0.25">
      <c r="A40" s="69">
        <v>13</v>
      </c>
      <c r="B40" s="70" t="s">
        <v>162</v>
      </c>
      <c r="C40" s="70" t="s">
        <v>31</v>
      </c>
      <c r="D40" s="70" t="s">
        <v>156</v>
      </c>
      <c r="E40" s="72" t="s">
        <v>151</v>
      </c>
      <c r="F40" s="70" t="s">
        <v>31</v>
      </c>
      <c r="G40" s="70">
        <v>210</v>
      </c>
      <c r="H40" s="73">
        <f t="shared" si="0"/>
        <v>12600</v>
      </c>
      <c r="I40" s="74"/>
    </row>
    <row r="41" ht="31.5" customHeight="1" spans="1:9" x14ac:dyDescent="0.25">
      <c r="A41" s="69">
        <v>14</v>
      </c>
      <c r="B41" s="70" t="s">
        <v>163</v>
      </c>
      <c r="C41" s="70" t="s">
        <v>134</v>
      </c>
      <c r="D41" s="70" t="s">
        <v>156</v>
      </c>
      <c r="E41" s="72" t="s">
        <v>154</v>
      </c>
      <c r="F41" s="70" t="s">
        <v>134</v>
      </c>
      <c r="G41" s="70">
        <v>210</v>
      </c>
      <c r="H41" s="73">
        <f t="shared" si="0"/>
        <v>12600</v>
      </c>
      <c r="I41" s="74"/>
    </row>
    <row r="42" ht="21" customHeight="1" spans="1:9" x14ac:dyDescent="0.25">
      <c r="A42" s="75" t="s">
        <v>164</v>
      </c>
      <c r="B42" s="76"/>
      <c r="C42" s="76"/>
      <c r="D42" s="76"/>
      <c r="E42" s="76"/>
      <c r="F42" s="76"/>
      <c r="G42" s="76"/>
      <c r="H42" s="76"/>
      <c r="I42" s="77"/>
    </row>
    <row r="43" ht="38.1" customHeight="1" spans="1:9" x14ac:dyDescent="0.25">
      <c r="A43" s="78">
        <v>1</v>
      </c>
      <c r="B43" s="79" t="s">
        <v>165</v>
      </c>
      <c r="C43" s="79"/>
      <c r="D43" s="80" t="s">
        <v>166</v>
      </c>
      <c r="E43" s="79" t="s">
        <v>167</v>
      </c>
      <c r="F43" s="80" t="s">
        <v>168</v>
      </c>
      <c r="G43" s="80">
        <v>215</v>
      </c>
      <c r="H43" s="81">
        <f t="shared" si="0"/>
        <v>12900</v>
      </c>
      <c r="I43" s="82"/>
    </row>
  </sheetData>
  <mergeCells count="4">
    <mergeCell ref="A2:I2"/>
    <mergeCell ref="A3:B3"/>
    <mergeCell ref="A27:I27"/>
    <mergeCell ref="A42:I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HD</vt:lpstr>
      <vt:lpstr>RL</vt:lpstr>
      <vt:lpstr>Danh sách Nhân Viên</vt:lpstr>
      <vt:lpstr>Thiết bị</vt:lpstr>
      <vt:lpstr>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Mai 2 (BISG)</dc:creator>
  <cp:lastModifiedBy>Sigur Ros</cp:lastModifiedBy>
  <cp:lastPrinted>2026-04-18T07:58:58Z</cp:lastPrinted>
  <dcterms:created xsi:type="dcterms:W3CDTF">2016-02-27T02:04:07Z</dcterms:created>
  <dcterms:modified xsi:type="dcterms:W3CDTF">2026-04-18T12:53:45Z</dcterms:modified>
</cp:coreProperties>
</file>