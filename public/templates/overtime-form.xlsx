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HD" sheetId="1" state="visible" r:id="rId1"/>
    <sheet xmlns:r="http://schemas.openxmlformats.org/officeDocument/2006/relationships" name="RL" sheetId="2" state="visible" r:id="rId2"/>
    <sheet xmlns:r="http://schemas.openxmlformats.org/officeDocument/2006/relationships" name="Danh sách Nhân Viên" sheetId="3" state="visible" r:id="rId3"/>
    <sheet xmlns:r="http://schemas.openxmlformats.org/officeDocument/2006/relationships" name="Thiết bị" sheetId="4" state="visible" r:id="rId4"/>
    <sheet xmlns:r="http://schemas.openxmlformats.org/officeDocument/2006/relationships" name="CO" sheetId="5" state="visible" r:id="rId5"/>
  </sheets>
  <definedNames>
    <definedName name="_xlnm.Print_Area" localSheetId="0">'HD'!$B$1:$M$19</definedName>
    <definedName name="_xlnm.Print_Area" localSheetId="1">'RL'!$B$1:$M$15</definedName>
    <definedName name="_xlnm._FilterDatabase" localSheetId="2" hidden="1">'Danh sách Nhân Viên'!$A$2:$C$2</definedName>
  </definedNames>
  <calcPr calcId="191029" fullCalcOnLoad="1"/>
</workbook>
</file>

<file path=xl/styles.xml><?xml version="1.0" encoding="utf-8"?>
<styleSheet xmlns="http://schemas.openxmlformats.org/spreadsheetml/2006/main">
  <numFmts count="29">
    <numFmt numFmtId="164" formatCode="_-* #,##0\ _₫_-;\-* #,##0\ _₫_-;_-* &quot;-&quot;??\ _₫_-;_-@_-"/>
    <numFmt numFmtId="165" formatCode="_-* #,##0_-;\-* #,##0_-;_-* &quot;-&quot;_-;_-@_-"/>
    <numFmt numFmtId="166" formatCode="\(yy/mm/dd\)"/>
    <numFmt numFmtId="167" formatCode="&quot;(&quot;0%&quot;)   &quot;;[Red]\-&quot;(&quot;0%&quot;)   &quot;;&quot;?    &quot;"/>
    <numFmt numFmtId="168" formatCode="&quot;(&quot;0.00%&quot;)   &quot;;[Red]\-&quot;(&quot;0.00%&quot;)   &quot;;&quot;?    &quot;"/>
    <numFmt numFmtId="169" formatCode="0.00%;[Red]\-0.00%;&quot;?&quot;"/>
    <numFmt numFmtId="170" formatCode="#,###,###,###,##0"/>
    <numFmt numFmtId="171" formatCode="0.0"/>
    <numFmt numFmtId="172" formatCode="_-* #,##0.00_-;\-* #,##0.00_-;_-* &quot;-&quot;??_-;_-@_-"/>
    <numFmt numFmtId="173" formatCode="_-&quot;$&quot;* #,##0.00_-;\-&quot;$&quot;* #,##0.00_-;_-&quot;$&quot;* &quot;-&quot;??_-;_-@_-"/>
    <numFmt numFmtId="174" formatCode="0.0%"/>
    <numFmt numFmtId="175" formatCode="\$#,##0\ ;\(\$#,##0\)"/>
    <numFmt numFmtId="176" formatCode="#,##0\ _A_T_S;[Red]\-#,##0\ _A_T_S"/>
    <numFmt numFmtId="177" formatCode="#,##0.00\ _A_T_S;[Red]\-#,##0.00\ _A_T_S"/>
    <numFmt numFmtId="178" formatCode="&quot;False&quot;;;&quot;True&quot;;&quot;Character&quot;"/>
    <numFmt numFmtId="179" formatCode="_([$€]* #,##0.00_);_([$€]* \(#,##0.00\);_([$€]* &quot;-&quot;??_);_(@_)"/>
    <numFmt numFmtId="180" formatCode="0.0000;\-0.0000;0;&quot;Character&quot;"/>
    <numFmt numFmtId="181" formatCode="#,##0.00;\-#,##0.00;0;&quot;Character&quot;"/>
    <numFmt numFmtId="182" formatCode="#,##0;\(#,##0\)"/>
    <numFmt numFmtId="183" formatCode="&quot;False&quot;;&quot;False&quot;;&quot;True&quot;;@"/>
    <numFmt numFmtId="184" formatCode="&quot;£&quot;#,##0;[Red]\-&quot;£&quot;#,##0"/>
    <numFmt numFmtId="185" formatCode="&quot;£&quot;#,##0.00;[Red]\-&quot;£&quot;#,##0.00"/>
    <numFmt numFmtId="186" formatCode="&quot;(&quot;0%&quot;)   &quot;;[Red]\-&quot;(&quot;0%&quot;)   &quot;;&quot;－    &quot;"/>
    <numFmt numFmtId="187" formatCode="&quot;(&quot;0.00%&quot;)   &quot;;[Red]\-&quot;(&quot;0.00%&quot;)   &quot;;&quot;－    &quot;"/>
    <numFmt numFmtId="188" formatCode="0.00%;[Red]\-0.00%;&quot;－&quot;"/>
    <numFmt numFmtId="189" formatCode="&quot;¥&quot;#,##0;[Red]&quot;¥&quot;&quot;¥&quot;\-#,##0"/>
    <numFmt numFmtId="190" formatCode="&quot;¥&quot;#,##0.00;[Red]&quot;¥&quot;&quot;¥&quot;&quot;¥&quot;&quot;¥&quot;&quot;¥&quot;&quot;¥&quot;\-#,##0.00"/>
    <numFmt numFmtId="191" formatCode="&quot;¥&quot;#,##0.00;[Red]&quot;¥&quot;\-#,##0.00"/>
    <numFmt numFmtId="192" formatCode="&quot;¥&quot;#,##0;[Red]&quot;¥&quot;\-#,##0"/>
  </numFmts>
  <fonts count="130">
    <font>
      <name val="Arial"/>
      <charset val="128"/>
      <sz val="10"/>
    </font>
    <font>
      <name val="Calibri"/>
      <family val="2"/>
      <color theme="1"/>
      <sz val="11"/>
      <scheme val="minor"/>
    </font>
    <font>
      <name val="Arial"/>
      <family val="2"/>
      <sz val="10"/>
    </font>
    <font>
      <name val="Arial"/>
      <family val="2"/>
      <b val="1"/>
      <sz val="12"/>
    </font>
    <font>
      <name val="MS Sans Serif"/>
      <family val="2"/>
      <color indexed="8"/>
      <sz val="10"/>
    </font>
    <font>
      <name val="Times New Roman"/>
      <family val="1"/>
      <b val="1"/>
      <sz val="12"/>
    </font>
    <font>
      <name val="?? ?????"/>
      <charset val="128"/>
      <family val="3"/>
      <b val="1"/>
      <sz val="14"/>
    </font>
    <font>
      <name val="?? ????"/>
      <charset val="128"/>
      <family val="3"/>
      <sz val="11"/>
    </font>
    <font>
      <name val="?? ?????"/>
      <charset val="128"/>
      <family val="3"/>
      <color indexed="12"/>
      <sz val="11"/>
      <u val="single"/>
    </font>
    <font>
      <name val="?? ??"/>
      <charset val="128"/>
      <family val="1"/>
      <sz val="11"/>
    </font>
    <font>
      <name val="?? ?????"/>
      <charset val="128"/>
      <family val="3"/>
      <sz val="11"/>
    </font>
    <font>
      <name val="Helv"/>
      <family val="2"/>
      <sz val="10"/>
    </font>
    <font>
      <name val="Calibri"/>
      <family val="2"/>
      <color indexed="8"/>
      <sz val="11"/>
    </font>
    <font>
      <name val="Arial"/>
      <family val="2"/>
      <color indexed="8"/>
      <sz val="10"/>
    </font>
    <font>
      <name val="ＭＳ Ｐゴシック"/>
      <charset val="128"/>
      <family val="3"/>
      <color indexed="8"/>
      <sz val="11"/>
    </font>
    <font>
      <name val="Calibri"/>
      <family val="2"/>
      <color indexed="9"/>
      <sz val="11"/>
    </font>
    <font>
      <name val="Arial"/>
      <family val="2"/>
      <color indexed="9"/>
      <sz val="10"/>
    </font>
    <font>
      <name val="ＭＳ Ｐゴシック"/>
      <charset val="128"/>
      <family val="3"/>
      <color indexed="9"/>
      <sz val="11"/>
    </font>
    <font>
      <name val="Calibri"/>
      <family val="2"/>
      <color indexed="17"/>
      <sz val="11"/>
    </font>
    <font>
      <name val="Arial"/>
      <family val="2"/>
      <color indexed="17"/>
      <sz val="10"/>
    </font>
    <font>
      <name val="Arial"/>
      <family val="2"/>
      <sz val="14"/>
    </font>
    <font>
      <name val="Arial"/>
      <family val="2"/>
      <b val="1"/>
      <sz val="14"/>
    </font>
    <font>
      <name val="Arial"/>
      <family val="2"/>
      <b val="1"/>
      <color indexed="52"/>
      <sz val="10"/>
    </font>
    <font>
      <name val="Arial"/>
      <family val="2"/>
      <b val="1"/>
      <color indexed="9"/>
      <sz val="10"/>
    </font>
    <font>
      <name val="Arial"/>
      <family val="2"/>
      <color indexed="52"/>
      <sz val="10"/>
    </font>
    <font>
      <name val="Calibri"/>
      <family val="2"/>
      <b val="1"/>
      <color indexed="9"/>
      <sz val="11"/>
    </font>
    <font>
      <name val="Calibri"/>
      <family val="2"/>
      <color indexed="52"/>
      <sz val="11"/>
    </font>
    <font>
      <name val="Arial"/>
      <family val="2"/>
      <b val="1"/>
      <sz val="9"/>
    </font>
    <font>
      <name val="VNI-Aptima"/>
      <sz val="10"/>
    </font>
    <font>
      <name val="ＭＳ Ｐゴシック"/>
      <charset val="128"/>
      <family val="3"/>
      <sz val="11"/>
    </font>
    <font>
      <name val="Arial"/>
      <family val="2"/>
      <b val="1"/>
      <sz val="16"/>
    </font>
    <font>
      <name val="Tahoma"/>
      <family val="2"/>
      <sz val="10"/>
    </font>
    <font>
      <name val="MS Sans Serif"/>
      <family val="2"/>
      <sz val="10"/>
    </font>
    <font>
      <name val="Arial"/>
      <family val="2"/>
      <b val="1"/>
      <color indexed="56"/>
      <sz val="11"/>
    </font>
    <font>
      <name val="Arial"/>
      <family val="2"/>
      <color indexed="62"/>
      <sz val="10"/>
    </font>
    <font>
      <name val="Times New Roman"/>
      <family val="1"/>
      <b val="1"/>
      <color indexed="8"/>
      <sz val="12"/>
    </font>
    <font>
      <name val="Arial"/>
      <family val="2"/>
      <color indexed="20"/>
      <sz val="10"/>
    </font>
    <font>
      <name val="Calibri"/>
      <family val="2"/>
      <color indexed="20"/>
      <sz val="11"/>
    </font>
    <font>
      <name val="Times New Roman"/>
      <family val="1"/>
      <b val="1"/>
      <color indexed="58"/>
      <sz val="12"/>
    </font>
    <font>
      <name val="Calibri"/>
      <family val="2"/>
      <color indexed="60"/>
      <sz val="11"/>
    </font>
    <font>
      <name val="VN-NTime"/>
      <family val="2"/>
      <b val="1"/>
      <sz val="12"/>
    </font>
    <font>
      <name val="Arial"/>
      <family val="2"/>
      <color indexed="8"/>
      <sz val="14"/>
    </font>
    <font>
      <name val="Times New Roman"/>
      <family val="1"/>
      <color indexed="8"/>
      <sz val="12"/>
    </font>
    <font>
      <name val="Times New Roman"/>
      <family val="1"/>
      <sz val="8"/>
    </font>
    <font>
      <name val="Calibri"/>
      <family val="2"/>
      <b val="1"/>
      <color indexed="63"/>
      <sz val="11"/>
    </font>
    <font>
      <name val="Arial"/>
      <family val="2"/>
      <b val="1"/>
      <color indexed="63"/>
      <sz val="10"/>
    </font>
    <font>
      <name val="Arial"/>
      <family val="2"/>
      <b val="1"/>
      <color indexed="8"/>
      <sz val="8"/>
    </font>
    <font>
      <name val="Arial"/>
      <family val="2"/>
      <color indexed="39"/>
      <sz val="10"/>
    </font>
    <font>
      <name val="Arial"/>
      <family val="2"/>
      <b val="1"/>
      <color indexed="8"/>
      <sz val="9"/>
    </font>
    <font>
      <name val="ＭＳ Ｐゴシック"/>
      <charset val="128"/>
      <family val="3"/>
      <sz val="10"/>
    </font>
    <font>
      <name val="ＭＳ Ｐゴシック"/>
      <charset val="128"/>
      <family val="3"/>
      <b val="1"/>
      <color indexed="8"/>
      <sz val="10"/>
    </font>
    <font>
      <name val="Arial"/>
      <family val="2"/>
      <b val="1"/>
      <color indexed="8"/>
      <sz val="10"/>
    </font>
    <font>
      <name val="ＭＳ Ｐゴシック"/>
      <charset val="128"/>
      <family val="3"/>
      <color indexed="8"/>
      <sz val="10"/>
    </font>
    <font>
      <name val="Arial"/>
      <family val="2"/>
      <b val="1"/>
      <color indexed="8"/>
      <sz val="12"/>
    </font>
    <font>
      <name val="Arial"/>
      <family val="2"/>
      <color indexed="8"/>
      <sz val="8"/>
    </font>
    <font>
      <name val="Arial"/>
      <family val="2"/>
      <b val="1"/>
      <sz val="7"/>
    </font>
    <font>
      <name val="Arial"/>
      <family val="2"/>
      <b val="1"/>
      <color indexed="9"/>
      <sz val="8"/>
    </font>
    <font>
      <name val="ＭＳ Ｐゴシック"/>
      <charset val="128"/>
      <family val="3"/>
      <b val="1"/>
      <color indexed="23"/>
      <sz val="16"/>
    </font>
    <font>
      <name val="Arial"/>
      <family val="2"/>
      <b val="1"/>
      <color indexed="23"/>
      <sz val="16"/>
    </font>
    <font>
      <name val="Arial"/>
      <family val="2"/>
      <color indexed="10"/>
      <sz val="10"/>
    </font>
    <font>
      <name val="Arial"/>
      <family val="2"/>
      <color indexed="20"/>
      <sz val="9"/>
    </font>
    <font>
      <name val="Arial"/>
      <family val="2"/>
      <color indexed="48"/>
      <sz val="9"/>
    </font>
    <font>
      <name val="Arial"/>
      <family val="2"/>
      <b val="1"/>
      <color indexed="20"/>
      <sz val="12"/>
    </font>
    <font>
      <name val="Arial"/>
      <family val="2"/>
      <b val="1"/>
      <color indexed="20"/>
      <sz val="9"/>
    </font>
    <font>
      <name val="Geneva"/>
      <family val="2"/>
      <sz val="10"/>
    </font>
    <font>
      <name val="Calibri"/>
      <family val="2"/>
      <color indexed="10"/>
      <sz val="11"/>
    </font>
    <font>
      <name val="Arial"/>
      <family val="2"/>
      <i val="1"/>
      <color indexed="23"/>
      <sz val="10"/>
    </font>
    <font>
      <name val="Cambria"/>
      <family val="1"/>
      <b val="1"/>
      <color indexed="56"/>
      <sz val="18"/>
    </font>
    <font>
      <name val="Arial"/>
      <family val="2"/>
      <b val="1"/>
      <color indexed="56"/>
      <sz val="15"/>
    </font>
    <font>
      <name val="Arial"/>
      <family val="2"/>
      <b val="1"/>
      <color indexed="56"/>
      <sz val="13"/>
    </font>
    <font>
      <name val="Calibri"/>
      <family val="2"/>
      <b val="1"/>
      <color indexed="56"/>
      <sz val="11"/>
    </font>
    <font>
      <name val="Arial"/>
      <family val="2"/>
      <b val="1"/>
      <color indexed="8"/>
      <sz val="14"/>
    </font>
    <font>
      <name val="ＭＳ Ｐゴシック"/>
      <charset val="128"/>
      <family val="3"/>
      <b val="1"/>
      <color indexed="56"/>
      <sz val="18"/>
    </font>
    <font>
      <name val="ＭＳ Ｐゴシック"/>
      <charset val="128"/>
      <family val="3"/>
      <b val="1"/>
      <color indexed="9"/>
      <sz val="11"/>
    </font>
    <font>
      <name val="ＭＳ Ｐゴシック"/>
      <charset val="128"/>
      <family val="3"/>
      <color indexed="60"/>
      <sz val="11"/>
    </font>
    <font>
      <name val="ＭＳ ゴシック"/>
      <charset val="128"/>
      <family val="3"/>
      <sz val="11"/>
    </font>
    <font>
      <name val="Arial"/>
      <family val="2"/>
      <color indexed="12"/>
      <sz val="9.1"/>
      <u val="single"/>
    </font>
    <font>
      <name val="ＭＳ Ｐゴシック"/>
      <charset val="128"/>
      <family val="3"/>
      <color indexed="52"/>
      <sz val="11"/>
    </font>
    <font>
      <name val="뼻뮝"/>
      <charset val="129"/>
      <family val="3"/>
      <sz val="14"/>
    </font>
    <font>
      <name val="뼻뮝"/>
      <charset val="129"/>
      <family val="1"/>
      <sz val="12"/>
    </font>
    <font>
      <name val="바탕체"/>
      <charset val="129"/>
      <family val="3"/>
      <sz val="12"/>
    </font>
    <font>
      <name val="굴림체"/>
      <charset val="129"/>
      <family val="3"/>
      <sz val="10"/>
    </font>
    <font>
      <name val="Courier"/>
      <family val="3"/>
      <sz val="12"/>
    </font>
    <font>
      <name val="ＭＳ Ｐゴシック"/>
      <charset val="128"/>
      <family val="3"/>
      <color indexed="62"/>
      <sz val="11"/>
    </font>
    <font>
      <name val="ＭＳ Ｐゴシック"/>
      <charset val="128"/>
      <family val="3"/>
      <b val="1"/>
      <color indexed="63"/>
      <sz val="11"/>
    </font>
    <font>
      <name val="ＭＳ Ｐゴシック"/>
      <family val="3"/>
      <sz val="11"/>
    </font>
    <font>
      <name val="ＭＳ Ｐゴシック"/>
      <charset val="128"/>
      <family val="3"/>
      <color indexed="20"/>
      <sz val="11"/>
    </font>
    <font>
      <name val="ＭＳ 明朝"/>
      <charset val="128"/>
      <family val="1"/>
      <sz val="11"/>
    </font>
    <font>
      <name val="ＭＳ Ｐゴシック"/>
      <charset val="128"/>
      <family val="3"/>
      <sz val="12"/>
    </font>
    <font>
      <name val="ＭＳ Ｐゴシック"/>
      <charset val="128"/>
      <family val="3"/>
      <color indexed="17"/>
      <sz val="11"/>
    </font>
    <font>
      <name val="ＭＳ Ｐゴシック"/>
      <charset val="128"/>
      <family val="3"/>
      <b val="1"/>
      <color indexed="56"/>
      <sz val="15"/>
    </font>
    <font>
      <name val="ＭＳ Ｐゴシック"/>
      <charset val="128"/>
      <family val="3"/>
      <b val="1"/>
      <color indexed="56"/>
      <sz val="13"/>
    </font>
    <font>
      <name val="ＭＳ Ｐゴシック"/>
      <charset val="128"/>
      <family val="3"/>
      <b val="1"/>
      <color indexed="56"/>
      <sz val="11"/>
    </font>
    <font>
      <name val="ＭＳ Ｐゴシック"/>
      <charset val="128"/>
      <family val="3"/>
      <b val="1"/>
      <sz val="14"/>
    </font>
    <font>
      <name val="ＭＳ Ｐゴシック"/>
      <charset val="128"/>
      <family val="3"/>
      <b val="1"/>
      <color indexed="52"/>
      <sz val="11"/>
    </font>
    <font>
      <name val="ＭＳ Ｐゴシック"/>
      <charset val="128"/>
      <family val="3"/>
      <i val="1"/>
      <color indexed="23"/>
      <sz val="11"/>
    </font>
    <font>
      <name val="ＭＳ Ｐゴシック"/>
      <charset val="128"/>
      <family val="3"/>
      <color indexed="10"/>
      <sz val="11"/>
    </font>
    <font>
      <name val="ＭＳ Ｐゴシック"/>
      <charset val="128"/>
      <family val="3"/>
      <b val="1"/>
      <color indexed="8"/>
      <sz val="11"/>
    </font>
    <font>
      <name val="Arial"/>
      <family val="2"/>
      <sz val="10"/>
    </font>
    <font>
      <name val="Calibri"/>
      <family val="2"/>
      <sz val="12"/>
      <scheme val="minor"/>
    </font>
    <font>
      <name val="Arial"/>
      <family val="2"/>
      <sz val="10"/>
    </font>
    <font>
      <name val="Calibri"/>
      <family val="2"/>
      <b val="1"/>
      <color theme="1"/>
      <sz val="26"/>
      <scheme val="minor"/>
    </font>
    <font>
      <name val="Calibri"/>
      <family val="2"/>
      <b val="1"/>
      <color theme="1"/>
      <sz val="36"/>
      <scheme val="minor"/>
    </font>
    <font>
      <name val="Calibri"/>
      <family val="2"/>
      <color theme="1"/>
      <sz val="16"/>
      <scheme val="minor"/>
    </font>
    <font>
      <name val="Calibri"/>
      <family val="2"/>
      <b val="1"/>
      <color theme="1"/>
      <sz val="16"/>
      <scheme val="minor"/>
    </font>
    <font>
      <name val="Calibri"/>
      <family val="2"/>
      <color theme="1"/>
      <sz val="12"/>
      <scheme val="minor"/>
    </font>
    <font>
      <name val="Calibri"/>
      <family val="2"/>
      <color rgb="FFFF0000"/>
      <sz val="12"/>
      <scheme val="minor"/>
    </font>
    <font>
      <name val="Calibri"/>
      <family val="2"/>
      <sz val="12"/>
    </font>
    <font>
      <name val="Calibri"/>
      <family val="2"/>
      <sz val="10"/>
    </font>
    <font>
      <name val="Calibri"/>
      <family val="2"/>
      <b val="1"/>
      <sz val="20"/>
    </font>
    <font>
      <name val="맑은 고딕"/>
      <family val="2"/>
      <b val="1"/>
      <sz val="20"/>
    </font>
    <font>
      <name val="Calibri"/>
      <family val="2"/>
      <b val="1"/>
      <sz val="12"/>
    </font>
    <font>
      <name val="맑은 고딕"/>
      <family val="2"/>
      <sz val="12"/>
    </font>
    <font>
      <name val="맑은 고딕"/>
      <family val="2"/>
      <sz val="10"/>
    </font>
    <font>
      <name val="Calibri"/>
      <family val="2"/>
      <color theme="1"/>
      <sz val="10"/>
    </font>
    <font>
      <name val="Calibri"/>
      <family val="2"/>
      <i val="1"/>
      <sz val="9"/>
    </font>
    <font>
      <name val="맑은 고딕"/>
      <family val="1"/>
      <i val="1"/>
      <sz val="9"/>
    </font>
    <font>
      <name val="Calibri"/>
      <family val="2"/>
      <i val="1"/>
      <sz val="12"/>
    </font>
    <font>
      <name val="맑은 고딕"/>
      <charset val="129"/>
      <family val="3"/>
      <sz val="8"/>
    </font>
    <font>
      <name val="Calibri"/>
      <family val="2"/>
      <b val="1"/>
      <color theme="1"/>
      <sz val="10"/>
    </font>
    <font>
      <name val="Calibri"/>
      <family val="2"/>
      <color rgb="FF081C36"/>
      <sz val="11"/>
    </font>
    <font>
      <name val="Segoe UI"/>
      <family val="2"/>
      <color rgb="FF081B3A"/>
      <sz val="11"/>
    </font>
    <font>
      <name val="Calibri"/>
      <family val="2"/>
      <b val="1"/>
      <i val="1"/>
      <sz val="10"/>
    </font>
    <font>
      <name val="Calibri"/>
      <family val="2"/>
      <b val="1"/>
      <color theme="1"/>
      <sz val="34"/>
      <scheme val="minor"/>
    </font>
    <font>
      <name val="Calibri"/>
      <charset val="129"/>
      <family val="2"/>
      <color rgb="FFFF0000"/>
      <sz val="11"/>
      <scheme val="minor"/>
    </font>
    <font>
      <name val="Calibri"/>
      <charset val="129"/>
      <family val="3"/>
      <b val="1"/>
      <color theme="1"/>
      <sz val="13"/>
      <scheme val="minor"/>
    </font>
    <font>
      <name val="Calibri"/>
      <charset val="129"/>
      <family val="3"/>
      <b val="1"/>
      <color theme="1"/>
      <sz val="11"/>
      <scheme val="minor"/>
    </font>
    <font>
      <name val="Calibri"/>
      <charset val="129"/>
      <family val="2"/>
      <color theme="1"/>
      <sz val="12"/>
      <scheme val="minor"/>
    </font>
    <font>
      <name val="Calibri"/>
      <family val="2"/>
      <color rgb="FF0070C0"/>
      <sz val="12"/>
      <scheme val="minor"/>
    </font>
    <font>
      <name val="Calibri"/>
      <family val="2"/>
      <b val="1"/>
      <color rgb="FF0070C0"/>
      <sz val="16"/>
      <scheme val="minor"/>
    </font>
  </fonts>
  <fills count="51">
    <fill>
      <patternFill/>
    </fill>
    <fill>
      <patternFill patternType="gray125"/>
    </fill>
    <fill>
      <patternFill patternType="solid">
        <fgColor indexed="26"/>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43"/>
        <bgColor indexed="64"/>
      </patternFill>
    </fill>
    <fill>
      <patternFill patternType="solid">
        <fgColor indexed="22"/>
      </patternFill>
    </fill>
    <fill>
      <patternFill patternType="solid">
        <fgColor indexed="55"/>
      </patternFill>
    </fill>
    <fill>
      <patternFill patternType="solid">
        <fgColor indexed="13"/>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2"/>
        <bgColor indexed="64"/>
      </patternFill>
    </fill>
    <fill>
      <patternFill patternType="solid">
        <fgColor indexed="43"/>
      </patternFill>
    </fill>
    <fill>
      <patternFill patternType="solid">
        <fgColor indexed="26"/>
      </patternFill>
    </fill>
    <fill>
      <patternFill patternType="solid">
        <fgColor indexed="31"/>
        <bgColor indexed="64"/>
      </patternFill>
    </fill>
    <fill>
      <patternFill patternType="solid">
        <fgColor indexed="45"/>
        <bgColor indexed="64"/>
      </patternFill>
    </fill>
    <fill>
      <patternFill patternType="solid">
        <fgColor indexed="29"/>
        <bgColor indexed="64"/>
      </patternFill>
    </fill>
    <fill>
      <patternFill patternType="solid">
        <fgColor indexed="10"/>
        <bgColor indexed="64"/>
      </patternFill>
    </fill>
    <fill>
      <patternFill patternType="solid">
        <fgColor indexed="51"/>
        <bgColor indexed="64"/>
      </patternFill>
    </fill>
    <fill>
      <patternFill patternType="solid">
        <fgColor indexed="52"/>
        <bgColor indexed="64"/>
      </patternFill>
    </fill>
    <fill>
      <patternFill patternType="solid">
        <fgColor indexed="53"/>
        <bgColor indexed="64"/>
      </patternFill>
    </fill>
    <fill>
      <patternFill patternType="solid">
        <fgColor indexed="57"/>
        <bgColor indexed="64"/>
      </patternFill>
    </fill>
    <fill>
      <patternFill patternType="solid">
        <fgColor indexed="50"/>
        <bgColor indexed="64"/>
      </patternFill>
    </fill>
    <fill>
      <patternFill patternType="solid">
        <fgColor indexed="11"/>
        <bgColor indexed="64"/>
      </patternFill>
    </fill>
    <fill>
      <patternFill patternType="lightUp">
        <fgColor indexed="22"/>
        <bgColor indexed="35"/>
      </patternFill>
    </fill>
    <fill>
      <patternFill patternType="solid">
        <fgColor indexed="35"/>
        <bgColor indexed="64"/>
      </patternFill>
    </fill>
    <fill>
      <patternFill patternType="solid">
        <fgColor indexed="54"/>
        <bgColor indexed="64"/>
      </patternFill>
    </fill>
    <fill>
      <patternFill patternType="solid">
        <fgColor indexed="23"/>
        <bgColor indexed="64"/>
      </patternFill>
    </fill>
    <fill>
      <patternFill patternType="solid">
        <fgColor indexed="55"/>
        <bgColor indexed="64"/>
      </patternFill>
    </fill>
    <fill>
      <patternFill patternType="solid">
        <fgColor indexed="22"/>
        <bgColor indexed="64"/>
      </patternFill>
    </fill>
    <fill>
      <patternFill patternType="solid">
        <fgColor indexed="9"/>
      </patternFill>
    </fill>
    <fill>
      <patternFill patternType="solid">
        <fgColor indexed="12"/>
      </patternFill>
    </fill>
    <fill>
      <patternFill patternType="solid">
        <fgColor indexed="14"/>
        <bgColor indexed="64"/>
      </patternFill>
    </fill>
    <fill>
      <patternFill patternType="solid">
        <fgColor indexed="9"/>
        <bgColor indexed="64"/>
      </patternFill>
    </fill>
    <fill>
      <patternFill patternType="solid">
        <fgColor theme="4" tint="0.5999938962981048"/>
        <bgColor indexed="64"/>
      </patternFill>
    </fill>
    <fill>
      <patternFill patternType="solid">
        <fgColor theme="0" tint="-0.1499984740745262"/>
        <bgColor indexed="64"/>
      </patternFill>
    </fill>
    <fill>
      <patternFill patternType="solid">
        <fgColor rgb="FFFFFF00"/>
        <bgColor indexed="64"/>
      </patternFill>
    </fill>
  </fills>
  <borders count="5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top style="medium">
        <color indexed="64"/>
      </top>
      <bottom style="medium">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4"/>
      </left>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
      <left style="medium">
        <color indexed="64"/>
      </left>
      <right/>
      <top/>
      <bottom style="hair">
        <color indexed="64"/>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bottom style="hair">
        <color indexed="64"/>
      </bottom>
      <diagonal/>
    </border>
    <border>
      <left style="medium">
        <color indexed="64"/>
      </left>
      <right/>
      <top/>
      <bottom style="medium">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indexed="51"/>
      </left>
      <right style="thin">
        <color indexed="51"/>
      </right>
      <top/>
      <bottom/>
      <diagonal/>
    </border>
    <border>
      <left/>
      <right/>
      <top/>
      <bottom style="thick">
        <color indexed="62"/>
      </bottom>
      <diagonal/>
    </border>
    <border>
      <left/>
      <right/>
      <top/>
      <bottom style="thick">
        <color indexed="22"/>
      </bottom>
      <diagonal/>
    </border>
    <border>
      <left/>
      <right/>
      <top/>
      <bottom style="medium">
        <color indexed="30"/>
      </bottom>
      <diagonal/>
    </border>
    <border>
      <left style="medium">
        <color indexed="64"/>
      </left>
      <right/>
      <top/>
      <bottom/>
      <diagonal/>
    </border>
    <border>
      <left/>
      <right/>
      <top/>
      <bottom style="thin">
        <color indexed="8"/>
      </bottom>
      <diagonal/>
    </border>
    <border>
      <left/>
      <right/>
      <top style="thin">
        <color indexed="62"/>
      </top>
      <bottom style="double">
        <color indexed="62"/>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diagonal/>
    </border>
  </borders>
  <cellStyleXfs count="279">
    <xf numFmtId="0" fontId="0" fillId="0" borderId="0"/>
    <xf numFmtId="0" fontId="4" fillId="0" borderId="0"/>
    <xf numFmtId="166" fontId="5" fillId="2" borderId="0" applyAlignment="1" applyProtection="1">
      <alignment horizontal="center" vertical="top"/>
      <protection locked="0" hidden="0"/>
    </xf>
    <xf numFmtId="0" fontId="6" fillId="0" borderId="0"/>
    <xf numFmtId="167" fontId="7" fillId="0" borderId="0"/>
    <xf numFmtId="168" fontId="7" fillId="0" borderId="0" applyAlignment="1">
      <alignment vertical="top"/>
    </xf>
    <xf numFmtId="0" fontId="8" fillId="0" borderId="0" applyAlignment="1" applyProtection="1">
      <alignment vertical="top"/>
      <protection locked="0" hidden="0"/>
    </xf>
    <xf numFmtId="169" fontId="7" fillId="0" borderId="0"/>
    <xf numFmtId="9" fontId="100" fillId="0" borderId="0"/>
    <xf numFmtId="0" fontId="9" fillId="0" borderId="0" applyAlignment="1">
      <alignment horizontal="left" vertical="top" wrapText="1"/>
    </xf>
    <xf numFmtId="0" fontId="10" fillId="0" borderId="0"/>
    <xf numFmtId="0" fontId="100" fillId="0" borderId="0"/>
    <xf numFmtId="0" fontId="11" fillId="0" borderId="0"/>
    <xf numFmtId="0" fontId="11" fillId="0" borderId="0"/>
    <xf numFmtId="0" fontId="12" fillId="3" borderId="0"/>
    <xf numFmtId="0" fontId="12" fillId="4" borderId="0"/>
    <xf numFmtId="0" fontId="12" fillId="5" borderId="0"/>
    <xf numFmtId="0" fontId="12" fillId="6" borderId="0"/>
    <xf numFmtId="0" fontId="12" fillId="7" borderId="0"/>
    <xf numFmtId="0" fontId="12" fillId="8" borderId="0"/>
    <xf numFmtId="0" fontId="13" fillId="3" borderId="0"/>
    <xf numFmtId="0" fontId="13" fillId="4" borderId="0"/>
    <xf numFmtId="0" fontId="13" fillId="5" borderId="0"/>
    <xf numFmtId="0" fontId="13" fillId="6" borderId="0"/>
    <xf numFmtId="0" fontId="13" fillId="7" borderId="0"/>
    <xf numFmtId="0" fontId="13" fillId="8" borderId="0"/>
    <xf numFmtId="0" fontId="14" fillId="3" borderId="0" applyAlignment="1">
      <alignment vertical="center"/>
    </xf>
    <xf numFmtId="0" fontId="14" fillId="4" borderId="0" applyAlignment="1">
      <alignment vertical="center"/>
    </xf>
    <xf numFmtId="0" fontId="14" fillId="5" borderId="0" applyAlignment="1">
      <alignment vertical="center"/>
    </xf>
    <xf numFmtId="0" fontId="14" fillId="6" borderId="0" applyAlignment="1">
      <alignment vertical="center"/>
    </xf>
    <xf numFmtId="0" fontId="14" fillId="7" borderId="0" applyAlignment="1">
      <alignment vertical="center"/>
    </xf>
    <xf numFmtId="0" fontId="14" fillId="8" borderId="0" applyAlignment="1">
      <alignment vertical="center"/>
    </xf>
    <xf numFmtId="0" fontId="100" fillId="0" borderId="0"/>
    <xf numFmtId="0" fontId="12" fillId="9" borderId="0"/>
    <xf numFmtId="0" fontId="12" fillId="10" borderId="0"/>
    <xf numFmtId="0" fontId="12" fillId="11" borderId="0"/>
    <xf numFmtId="0" fontId="12" fillId="6" borderId="0"/>
    <xf numFmtId="0" fontId="12" fillId="9" borderId="0"/>
    <xf numFmtId="0" fontId="12" fillId="12" borderId="0"/>
    <xf numFmtId="0" fontId="13" fillId="9" borderId="0"/>
    <xf numFmtId="0" fontId="13" fillId="10" borderId="0"/>
    <xf numFmtId="0" fontId="13" fillId="11" borderId="0"/>
    <xf numFmtId="0" fontId="13" fillId="6" borderId="0"/>
    <xf numFmtId="0" fontId="13" fillId="9" borderId="0"/>
    <xf numFmtId="0" fontId="13" fillId="12" borderId="0"/>
    <xf numFmtId="0" fontId="14" fillId="9" borderId="0" applyAlignment="1">
      <alignment vertical="center"/>
    </xf>
    <xf numFmtId="0" fontId="14" fillId="10" borderId="0" applyAlignment="1">
      <alignment vertical="center"/>
    </xf>
    <xf numFmtId="0" fontId="14" fillId="11" borderId="0" applyAlignment="1">
      <alignment vertical="center"/>
    </xf>
    <xf numFmtId="0" fontId="14" fillId="6" borderId="0" applyAlignment="1">
      <alignment vertical="center"/>
    </xf>
    <xf numFmtId="0" fontId="14" fillId="9" borderId="0" applyAlignment="1">
      <alignment vertical="center"/>
    </xf>
    <xf numFmtId="0" fontId="14" fillId="12" borderId="0" applyAlignment="1">
      <alignment vertical="center"/>
    </xf>
    <xf numFmtId="0" fontId="15" fillId="13" borderId="0"/>
    <xf numFmtId="0" fontId="15" fillId="10" borderId="0"/>
    <xf numFmtId="0" fontId="15" fillId="11" borderId="0"/>
    <xf numFmtId="0" fontId="15" fillId="14" borderId="0"/>
    <xf numFmtId="0" fontId="15" fillId="15" borderId="0"/>
    <xf numFmtId="0" fontId="15" fillId="16" borderId="0"/>
    <xf numFmtId="0" fontId="16" fillId="13" borderId="0"/>
    <xf numFmtId="0" fontId="16" fillId="10" borderId="0"/>
    <xf numFmtId="0" fontId="16" fillId="11" borderId="0"/>
    <xf numFmtId="0" fontId="16" fillId="14" borderId="0"/>
    <xf numFmtId="0" fontId="16" fillId="15" borderId="0"/>
    <xf numFmtId="0" fontId="16" fillId="16" borderId="0"/>
    <xf numFmtId="0" fontId="17" fillId="13" borderId="0" applyAlignment="1">
      <alignment vertical="center"/>
    </xf>
    <xf numFmtId="0" fontId="17" fillId="10" borderId="0" applyAlignment="1">
      <alignment vertical="center"/>
    </xf>
    <xf numFmtId="0" fontId="17" fillId="11" borderId="0" applyAlignment="1">
      <alignment vertical="center"/>
    </xf>
    <xf numFmtId="0" fontId="17" fillId="14" borderId="0" applyAlignment="1">
      <alignment vertical="center"/>
    </xf>
    <xf numFmtId="0" fontId="17" fillId="15" borderId="0" applyAlignment="1">
      <alignment vertical="center"/>
    </xf>
    <xf numFmtId="0" fontId="17" fillId="16" borderId="0" applyAlignment="1">
      <alignment vertical="center"/>
    </xf>
    <xf numFmtId="0" fontId="18" fillId="5" borderId="0"/>
    <xf numFmtId="0" fontId="19" fillId="5" borderId="0"/>
    <xf numFmtId="170" fontId="20" fillId="17" borderId="5" applyAlignment="1">
      <alignment horizontal="center"/>
    </xf>
    <xf numFmtId="171" fontId="21" fillId="17" borderId="6"/>
    <xf numFmtId="2" fontId="21" fillId="17" borderId="6"/>
    <xf numFmtId="0" fontId="22" fillId="18" borderId="7"/>
    <xf numFmtId="0" fontId="23" fillId="19" borderId="8"/>
    <xf numFmtId="0" fontId="24" fillId="0" borderId="9"/>
    <xf numFmtId="0" fontId="25" fillId="19" borderId="8"/>
    <xf numFmtId="0" fontId="26" fillId="0" borderId="9"/>
    <xf numFmtId="0" fontId="27" fillId="0" borderId="0" applyAlignment="1" applyProtection="1">
      <alignment horizontal="center"/>
      <protection locked="0" hidden="0"/>
    </xf>
    <xf numFmtId="49" fontId="100" fillId="2" borderId="10" applyAlignment="1" applyProtection="1">
      <alignment horizontal="left"/>
      <protection locked="0" hidden="0"/>
    </xf>
    <xf numFmtId="1" fontId="28" fillId="0" borderId="11"/>
    <xf numFmtId="38" fontId="29" fillId="0" borderId="0"/>
    <xf numFmtId="38" fontId="29" fillId="0" borderId="0" applyAlignment="1">
      <alignment vertical="center"/>
    </xf>
    <xf numFmtId="40" fontId="29" fillId="0" borderId="0" applyAlignment="1">
      <alignment vertical="center"/>
    </xf>
    <xf numFmtId="170" fontId="100" fillId="0" borderId="0"/>
    <xf numFmtId="172" fontId="100" fillId="0" borderId="0"/>
    <xf numFmtId="172" fontId="14" fillId="0" borderId="0"/>
    <xf numFmtId="3" fontId="100" fillId="0" borderId="0"/>
    <xf numFmtId="0" fontId="30" fillId="20" borderId="0" applyAlignment="1">
      <alignment horizontal="centerContinuous"/>
    </xf>
    <xf numFmtId="0" fontId="3" fillId="0" borderId="0" applyProtection="1">
      <protection locked="0" hidden="0"/>
    </xf>
    <xf numFmtId="173" fontId="12" fillId="0" borderId="0"/>
    <xf numFmtId="174" fontId="100" fillId="0" borderId="0"/>
    <xf numFmtId="174" fontId="31" fillId="0" borderId="0"/>
    <xf numFmtId="44" fontId="31" fillId="0" borderId="0"/>
    <xf numFmtId="44" fontId="31" fillId="0" borderId="0"/>
    <xf numFmtId="175" fontId="100" fillId="0" borderId="0"/>
    <xf numFmtId="0" fontId="100" fillId="0" borderId="0"/>
    <xf numFmtId="0" fontId="100" fillId="2" borderId="12" applyAlignment="1" applyProtection="1">
      <alignment horizontal="left"/>
      <protection locked="0" hidden="0"/>
    </xf>
    <xf numFmtId="176" fontId="32" fillId="0" borderId="0"/>
    <xf numFmtId="177" fontId="32" fillId="0" borderId="0"/>
    <xf numFmtId="0" fontId="33" fillId="0" borderId="0"/>
    <xf numFmtId="0" fontId="15" fillId="21" borderId="0"/>
    <xf numFmtId="0" fontId="15" fillId="22" borderId="0"/>
    <xf numFmtId="0" fontId="15" fillId="23" borderId="0"/>
    <xf numFmtId="0" fontId="15" fillId="14" borderId="0"/>
    <xf numFmtId="0" fontId="15" fillId="15" borderId="0"/>
    <xf numFmtId="0" fontId="15" fillId="24" borderId="0"/>
    <xf numFmtId="0" fontId="16" fillId="21" borderId="0"/>
    <xf numFmtId="0" fontId="16" fillId="22" borderId="0"/>
    <xf numFmtId="0" fontId="16" fillId="23" borderId="0"/>
    <xf numFmtId="0" fontId="16" fillId="14" borderId="0"/>
    <xf numFmtId="0" fontId="16" fillId="15" borderId="0"/>
    <xf numFmtId="0" fontId="16" fillId="24" borderId="0"/>
    <xf numFmtId="0" fontId="34" fillId="8" borderId="7"/>
    <xf numFmtId="178" fontId="35" fillId="0" borderId="0"/>
    <xf numFmtId="179" fontId="100" fillId="0" borderId="0"/>
    <xf numFmtId="2" fontId="100" fillId="0" borderId="0"/>
    <xf numFmtId="0" fontId="3" fillId="0" borderId="13" applyAlignment="1">
      <alignment horizontal="left" vertical="center"/>
    </xf>
    <xf numFmtId="0" fontId="3" fillId="0" borderId="2" applyAlignment="1">
      <alignment horizontal="left" vertical="center"/>
    </xf>
    <xf numFmtId="0" fontId="27" fillId="0" borderId="0" applyProtection="1">
      <protection locked="0" hidden="0"/>
    </xf>
    <xf numFmtId="0" fontId="27" fillId="0" borderId="14" applyProtection="1">
      <protection locked="0" hidden="0"/>
    </xf>
    <xf numFmtId="0" fontId="36" fillId="4" borderId="0"/>
    <xf numFmtId="0" fontId="37" fillId="4" borderId="0"/>
    <xf numFmtId="0" fontId="100" fillId="25" borderId="15"/>
    <xf numFmtId="0" fontId="38" fillId="0" borderId="0"/>
    <xf numFmtId="44" fontId="100" fillId="0" borderId="0"/>
    <xf numFmtId="0" fontId="39" fillId="26" borderId="0"/>
    <xf numFmtId="0" fontId="40" fillId="0" borderId="4" applyAlignment="1">
      <alignment horizontal="center"/>
    </xf>
    <xf numFmtId="0" fontId="1" fillId="0" borderId="0"/>
    <xf numFmtId="0" fontId="29" fillId="0" borderId="0"/>
    <xf numFmtId="0" fontId="1" fillId="0" borderId="0"/>
    <xf numFmtId="0" fontId="29" fillId="0" borderId="0" applyAlignment="1">
      <alignment vertical="center"/>
    </xf>
    <xf numFmtId="0" fontId="100" fillId="0" borderId="0"/>
    <xf numFmtId="0" fontId="1" fillId="0" borderId="0"/>
    <xf numFmtId="0" fontId="14" fillId="0" borderId="0"/>
    <xf numFmtId="0" fontId="100" fillId="27" borderId="16"/>
    <xf numFmtId="0" fontId="13" fillId="27" borderId="16"/>
    <xf numFmtId="38" fontId="41" fillId="28" borderId="17" applyAlignment="1">
      <alignment horizontal="right"/>
    </xf>
    <xf numFmtId="38" fontId="41" fillId="2" borderId="15" applyAlignment="1" applyProtection="1">
      <alignment horizontal="right"/>
      <protection locked="0" hidden="0"/>
    </xf>
    <xf numFmtId="180" fontId="42" fillId="2" borderId="18" applyAlignment="1" applyProtection="1">
      <alignment horizontal="right"/>
      <protection locked="0" hidden="0"/>
    </xf>
    <xf numFmtId="181" fontId="41" fillId="2" borderId="15" applyAlignment="1" applyProtection="1">
      <alignment horizontal="right"/>
      <protection locked="0" hidden="0"/>
    </xf>
    <xf numFmtId="182" fontId="43" fillId="0" borderId="0"/>
    <xf numFmtId="9" fontId="29" fillId="0" borderId="0" applyAlignment="1">
      <alignment vertical="center"/>
    </xf>
    <xf numFmtId="9" fontId="31" fillId="0" borderId="0"/>
    <xf numFmtId="0" fontId="44" fillId="18" borderId="19"/>
    <xf numFmtId="0" fontId="45" fillId="18" borderId="19"/>
    <xf numFmtId="4" fontId="13" fillId="17" borderId="19" applyAlignment="1">
      <alignment vertical="center"/>
    </xf>
    <xf numFmtId="4" fontId="46" fillId="17" borderId="19" applyAlignment="1">
      <alignment vertical="center"/>
    </xf>
    <xf numFmtId="4" fontId="47" fillId="17" borderId="19" applyAlignment="1">
      <alignment vertical="center"/>
    </xf>
    <xf numFmtId="4" fontId="13" fillId="17" borderId="19" applyAlignment="1">
      <alignment horizontal="left" vertical="center" indent="1"/>
    </xf>
    <xf numFmtId="4" fontId="13" fillId="17" borderId="19" applyAlignment="1">
      <alignment horizontal="left" vertical="center" indent="1"/>
    </xf>
    <xf numFmtId="4" fontId="48" fillId="17" borderId="19" applyAlignment="1">
      <alignment horizontal="left" vertical="center" indent="1"/>
    </xf>
    <xf numFmtId="4" fontId="13" fillId="17" borderId="19" applyAlignment="1">
      <alignment horizontal="left" vertical="center" indent="1"/>
    </xf>
    <xf numFmtId="0" fontId="49" fillId="28" borderId="19" applyAlignment="1">
      <alignment horizontal="left" vertical="center" indent="1"/>
    </xf>
    <xf numFmtId="0" fontId="100" fillId="28" borderId="19" applyAlignment="1">
      <alignment horizontal="left" vertical="center" indent="1"/>
    </xf>
    <xf numFmtId="0" fontId="100" fillId="28" borderId="19" applyAlignment="1">
      <alignment horizontal="left" vertical="center" indent="1"/>
    </xf>
    <xf numFmtId="4" fontId="13" fillId="29" borderId="19" applyAlignment="1">
      <alignment horizontal="right" vertical="center"/>
    </xf>
    <xf numFmtId="4" fontId="13" fillId="30" borderId="19" applyAlignment="1">
      <alignment horizontal="right" vertical="center"/>
    </xf>
    <xf numFmtId="4" fontId="13" fillId="31" borderId="19" applyAlignment="1">
      <alignment horizontal="right" vertical="center"/>
    </xf>
    <xf numFmtId="4" fontId="13" fillId="32" borderId="19" applyAlignment="1">
      <alignment horizontal="right" vertical="center"/>
    </xf>
    <xf numFmtId="4" fontId="13" fillId="33" borderId="19" applyAlignment="1">
      <alignment horizontal="right" vertical="center"/>
    </xf>
    <xf numFmtId="4" fontId="13" fillId="34" borderId="19" applyAlignment="1">
      <alignment horizontal="right" vertical="center"/>
    </xf>
    <xf numFmtId="4" fontId="13" fillId="35" borderId="19" applyAlignment="1">
      <alignment horizontal="right" vertical="center"/>
    </xf>
    <xf numFmtId="4" fontId="13" fillId="36" borderId="19" applyAlignment="1">
      <alignment horizontal="right" vertical="center"/>
    </xf>
    <xf numFmtId="4" fontId="13" fillId="37" borderId="19" applyAlignment="1">
      <alignment horizontal="right" vertical="center"/>
    </xf>
    <xf numFmtId="4" fontId="50" fillId="38" borderId="19" applyAlignment="1">
      <alignment horizontal="left" vertical="center" indent="1"/>
    </xf>
    <xf numFmtId="4" fontId="51" fillId="38" borderId="19" applyAlignment="1">
      <alignment horizontal="left" vertical="center" indent="1"/>
    </xf>
    <xf numFmtId="4" fontId="51" fillId="38" borderId="19" applyAlignment="1">
      <alignment horizontal="left" vertical="center" indent="1"/>
    </xf>
    <xf numFmtId="4" fontId="52" fillId="39" borderId="20" applyAlignment="1">
      <alignment horizontal="left" vertical="center" indent="1"/>
    </xf>
    <xf numFmtId="4" fontId="13" fillId="39" borderId="20" applyAlignment="1">
      <alignment horizontal="left" vertical="center" indent="1"/>
    </xf>
    <xf numFmtId="4" fontId="13" fillId="39" borderId="20" applyAlignment="1">
      <alignment horizontal="left" vertical="center" indent="1"/>
    </xf>
    <xf numFmtId="4" fontId="53" fillId="40" borderId="0" applyAlignment="1">
      <alignment horizontal="left" vertical="center" indent="1"/>
    </xf>
    <xf numFmtId="0" fontId="100" fillId="28" borderId="19" applyAlignment="1">
      <alignment horizontal="left" vertical="center" indent="1"/>
    </xf>
    <xf numFmtId="0" fontId="100" fillId="28" borderId="19" applyAlignment="1">
      <alignment horizontal="left" vertical="center" indent="1"/>
    </xf>
    <xf numFmtId="0" fontId="100" fillId="28" borderId="19" applyAlignment="1">
      <alignment horizontal="left" vertical="center" indent="1"/>
    </xf>
    <xf numFmtId="4" fontId="52" fillId="39" borderId="19" applyAlignment="1">
      <alignment horizontal="left" vertical="center" indent="1"/>
    </xf>
    <xf numFmtId="4" fontId="13" fillId="39" borderId="19" applyAlignment="1">
      <alignment horizontal="left" vertical="center" indent="1"/>
    </xf>
    <xf numFmtId="4" fontId="13" fillId="39" borderId="19" applyAlignment="1">
      <alignment horizontal="left" vertical="center" indent="1"/>
    </xf>
    <xf numFmtId="4" fontId="52" fillId="41" borderId="19" applyAlignment="1">
      <alignment horizontal="left" vertical="center" indent="1"/>
    </xf>
    <xf numFmtId="4" fontId="13" fillId="41" borderId="19" applyAlignment="1">
      <alignment horizontal="left" vertical="center" indent="1"/>
    </xf>
    <xf numFmtId="4" fontId="13" fillId="41" borderId="19" applyAlignment="1">
      <alignment horizontal="left" vertical="center" indent="1"/>
    </xf>
    <xf numFmtId="0" fontId="100" fillId="41" borderId="19" applyAlignment="1">
      <alignment horizontal="left" vertical="center" indent="1"/>
    </xf>
    <xf numFmtId="0" fontId="100" fillId="41" borderId="19" applyAlignment="1">
      <alignment horizontal="left" vertical="center" indent="1"/>
    </xf>
    <xf numFmtId="0" fontId="100" fillId="42" borderId="19" applyAlignment="1">
      <alignment horizontal="left" vertical="center" indent="1"/>
    </xf>
    <xf numFmtId="0" fontId="100" fillId="42" borderId="19" applyAlignment="1">
      <alignment horizontal="left" vertical="center" indent="1"/>
    </xf>
    <xf numFmtId="0" fontId="100" fillId="43" borderId="19" applyAlignment="1">
      <alignment horizontal="left" vertical="center" indent="1"/>
    </xf>
    <xf numFmtId="0" fontId="100" fillId="43" borderId="19" applyAlignment="1">
      <alignment horizontal="left" vertical="center" indent="1"/>
    </xf>
    <xf numFmtId="0" fontId="100" fillId="28" borderId="19" applyAlignment="1">
      <alignment horizontal="left" vertical="center" indent="1"/>
    </xf>
    <xf numFmtId="0" fontId="100" fillId="28" borderId="19" applyAlignment="1">
      <alignment horizontal="left" vertical="center" indent="1"/>
    </xf>
    <xf numFmtId="4" fontId="13" fillId="2" borderId="19" applyAlignment="1">
      <alignment vertical="center"/>
    </xf>
    <xf numFmtId="4" fontId="47" fillId="2" borderId="19" applyAlignment="1">
      <alignment vertical="center"/>
    </xf>
    <xf numFmtId="4" fontId="13" fillId="2" borderId="19" applyAlignment="1">
      <alignment horizontal="left" vertical="center" indent="1"/>
    </xf>
    <xf numFmtId="4" fontId="13" fillId="2" borderId="19" applyAlignment="1">
      <alignment horizontal="left" vertical="center" indent="1"/>
    </xf>
    <xf numFmtId="4" fontId="13" fillId="39" borderId="19" applyAlignment="1">
      <alignment horizontal="right" vertical="center"/>
    </xf>
    <xf numFmtId="4" fontId="54" fillId="44" borderId="19" applyAlignment="1">
      <alignment horizontal="right" vertical="center"/>
    </xf>
    <xf numFmtId="4" fontId="47" fillId="39" borderId="19" applyAlignment="1">
      <alignment horizontal="right" vertical="center"/>
    </xf>
    <xf numFmtId="0" fontId="100" fillId="28" borderId="19" applyAlignment="1">
      <alignment horizontal="left" vertical="center" indent="1"/>
    </xf>
    <xf numFmtId="0" fontId="55" fillId="44" borderId="19" applyAlignment="1">
      <alignment horizontal="left" vertical="center" indent="1"/>
    </xf>
    <xf numFmtId="0" fontId="100" fillId="28" borderId="19" applyAlignment="1">
      <alignment horizontal="left" vertical="center" indent="1"/>
    </xf>
    <xf numFmtId="0" fontId="100" fillId="28" borderId="19" applyAlignment="1">
      <alignment horizontal="left" vertical="center" indent="1"/>
    </xf>
    <xf numFmtId="0" fontId="100" fillId="28" borderId="19" applyAlignment="1">
      <alignment horizontal="left" vertical="center" indent="1"/>
    </xf>
    <xf numFmtId="0" fontId="100" fillId="28" borderId="19" applyAlignment="1">
      <alignment horizontal="left" vertical="center" indent="1"/>
    </xf>
    <xf numFmtId="0" fontId="56" fillId="45" borderId="19" applyAlignment="1">
      <alignment horizontal="left" vertical="center" indent="1"/>
    </xf>
    <xf numFmtId="0" fontId="57" fillId="0" borderId="0"/>
    <xf numFmtId="0" fontId="58" fillId="0" borderId="0"/>
    <xf numFmtId="0" fontId="58" fillId="0" borderId="0"/>
    <xf numFmtId="4" fontId="59" fillId="39" borderId="19" applyAlignment="1">
      <alignment horizontal="right" vertical="center"/>
    </xf>
    <xf numFmtId="0" fontId="60" fillId="46" borderId="0"/>
    <xf numFmtId="49" fontId="61" fillId="46" borderId="0"/>
    <xf numFmtId="49" fontId="62" fillId="46" borderId="21"/>
    <xf numFmtId="49" fontId="62" fillId="46" borderId="0"/>
    <xf numFmtId="0" fontId="60" fillId="47" borderId="21" applyProtection="1">
      <protection locked="0" hidden="0"/>
    </xf>
    <xf numFmtId="0" fontId="60" fillId="46" borderId="0"/>
    <xf numFmtId="0" fontId="63" fillId="20" borderId="0"/>
    <xf numFmtId="0" fontId="63" fillId="37" borderId="0"/>
    <xf numFmtId="0" fontId="63" fillId="32" borderId="0"/>
    <xf numFmtId="43" fontId="100" fillId="0" borderId="0"/>
    <xf numFmtId="0" fontId="32" fillId="0" borderId="0"/>
    <xf numFmtId="0" fontId="64" fillId="0" borderId="0"/>
    <xf numFmtId="0" fontId="59" fillId="0" borderId="0"/>
    <xf numFmtId="0" fontId="65" fillId="0" borderId="0"/>
    <xf numFmtId="0" fontId="66" fillId="0" borderId="0"/>
    <xf numFmtId="0" fontId="67" fillId="0" borderId="0"/>
    <xf numFmtId="0" fontId="68" fillId="0" borderId="22"/>
    <xf numFmtId="0" fontId="69" fillId="0" borderId="23"/>
    <xf numFmtId="0" fontId="33" fillId="0" borderId="24"/>
    <xf numFmtId="0" fontId="70" fillId="0" borderId="0"/>
    <xf numFmtId="183" fontId="71" fillId="0" borderId="25"/>
    <xf numFmtId="184" fontId="32" fillId="0" borderId="0"/>
    <xf numFmtId="185" fontId="32" fillId="0" borderId="0"/>
    <xf numFmtId="0" fontId="17" fillId="21" borderId="0" applyAlignment="1">
      <alignment vertical="center"/>
    </xf>
    <xf numFmtId="0" fontId="17" fillId="22" borderId="0" applyAlignment="1">
      <alignment vertical="center"/>
    </xf>
    <xf numFmtId="0" fontId="17" fillId="23" borderId="0" applyAlignment="1">
      <alignment vertical="center"/>
    </xf>
    <xf numFmtId="0" fontId="17" fillId="14" borderId="0" applyAlignment="1">
      <alignment vertical="center"/>
    </xf>
    <xf numFmtId="0" fontId="17" fillId="15" borderId="0" applyAlignment="1">
      <alignment vertical="center"/>
    </xf>
    <xf numFmtId="0" fontId="17" fillId="24" borderId="0" applyAlignment="1">
      <alignment vertical="center"/>
    </xf>
    <xf numFmtId="0" fontId="72" fillId="0" borderId="0" applyAlignment="1">
      <alignment vertical="center"/>
    </xf>
    <xf numFmtId="0" fontId="73" fillId="19" borderId="8" applyAlignment="1">
      <alignment vertical="center"/>
    </xf>
    <xf numFmtId="0" fontId="74" fillId="26" borderId="0" applyAlignment="1">
      <alignment vertical="center"/>
    </xf>
    <xf numFmtId="186" fontId="75" fillId="0" borderId="0"/>
    <xf numFmtId="187" fontId="75" fillId="0" borderId="0" applyAlignment="1">
      <alignment vertical="top"/>
    </xf>
    <xf numFmtId="188" fontId="75" fillId="0" borderId="0"/>
    <xf numFmtId="0" fontId="76" fillId="0" borderId="0" applyAlignment="1" applyProtection="1">
      <alignment vertical="top"/>
      <protection locked="0" hidden="0"/>
    </xf>
    <xf numFmtId="0" fontId="100" fillId="27" borderId="16" applyAlignment="1">
      <alignment vertical="center"/>
    </xf>
    <xf numFmtId="0" fontId="77" fillId="0" borderId="9" applyAlignment="1">
      <alignment vertical="center"/>
    </xf>
    <xf numFmtId="40" fontId="78" fillId="0" borderId="0"/>
    <xf numFmtId="38" fontId="78" fillId="0" borderId="0"/>
    <xf numFmtId="0" fontId="78" fillId="0" borderId="0"/>
    <xf numFmtId="0" fontId="78" fillId="0" borderId="0"/>
    <xf numFmtId="10" fontId="100" fillId="0" borderId="0"/>
    <xf numFmtId="0" fontId="79" fillId="0" borderId="0"/>
    <xf numFmtId="189" fontId="100" fillId="0" borderId="0"/>
    <xf numFmtId="190" fontId="100" fillId="0" borderId="0"/>
    <xf numFmtId="191" fontId="80" fillId="0" borderId="0"/>
    <xf numFmtId="192" fontId="80" fillId="0" borderId="0"/>
    <xf numFmtId="0" fontId="81" fillId="0" borderId="0"/>
    <xf numFmtId="0" fontId="82" fillId="0" borderId="0"/>
    <xf numFmtId="0" fontId="83" fillId="8" borderId="7" applyAlignment="1">
      <alignment vertical="center"/>
    </xf>
    <xf numFmtId="0" fontId="84" fillId="18" borderId="19" applyAlignment="1">
      <alignment vertical="center"/>
    </xf>
    <xf numFmtId="38" fontId="29" fillId="0" borderId="0"/>
    <xf numFmtId="0" fontId="85" fillId="0" borderId="0"/>
    <xf numFmtId="0" fontId="86" fillId="4" borderId="0" applyAlignment="1">
      <alignment vertical="center"/>
    </xf>
    <xf numFmtId="0" fontId="87" fillId="0" borderId="0" applyAlignment="1">
      <alignment horizontal="left" vertical="top" wrapText="1"/>
    </xf>
    <xf numFmtId="0" fontId="88" fillId="0" borderId="26"/>
    <xf numFmtId="0" fontId="20" fillId="0" borderId="0"/>
    <xf numFmtId="0" fontId="4" fillId="0" borderId="0"/>
    <xf numFmtId="0" fontId="89" fillId="5" borderId="0" applyAlignment="1">
      <alignment vertical="center"/>
    </xf>
    <xf numFmtId="0" fontId="90" fillId="0" borderId="22" applyAlignment="1">
      <alignment vertical="center"/>
    </xf>
    <xf numFmtId="0" fontId="91" fillId="0" borderId="23" applyAlignment="1">
      <alignment vertical="center"/>
    </xf>
    <xf numFmtId="0" fontId="92" fillId="0" borderId="24" applyAlignment="1">
      <alignment vertical="center"/>
    </xf>
    <xf numFmtId="0" fontId="92" fillId="0" borderId="0" applyAlignment="1">
      <alignment vertical="center"/>
    </xf>
    <xf numFmtId="0" fontId="93" fillId="0" borderId="0"/>
    <xf numFmtId="0" fontId="94" fillId="18" borderId="7" applyAlignment="1">
      <alignment vertical="center"/>
    </xf>
    <xf numFmtId="0" fontId="95" fillId="0" borderId="0" applyAlignment="1">
      <alignment vertical="center"/>
    </xf>
    <xf numFmtId="0" fontId="96" fillId="0" borderId="0" applyAlignment="1">
      <alignment vertical="center"/>
    </xf>
    <xf numFmtId="0" fontId="97" fillId="0" borderId="27" applyAlignment="1">
      <alignment vertical="center"/>
    </xf>
    <xf numFmtId="43" fontId="100" fillId="0" borderId="0"/>
    <xf numFmtId="165" fontId="100" fillId="0" borderId="0"/>
  </cellStyleXfs>
  <cellXfs count="103">
    <xf numFmtId="0" fontId="0" fillId="0" borderId="0" pivotButton="0" quotePrefix="0" xfId="0"/>
    <xf numFmtId="0" fontId="102" fillId="0" borderId="0" applyAlignment="1" pivotButton="0" quotePrefix="0" xfId="0">
      <alignment horizontal="center" vertical="center"/>
    </xf>
    <xf numFmtId="0" fontId="103" fillId="0" borderId="0" applyAlignment="1" pivotButton="0" quotePrefix="0" xfId="0">
      <alignment vertical="center"/>
    </xf>
    <xf numFmtId="0" fontId="103" fillId="0" borderId="0" applyAlignment="1" pivotButton="0" quotePrefix="0" xfId="0">
      <alignment horizontal="center" vertical="center"/>
    </xf>
    <xf numFmtId="0" fontId="104" fillId="48" borderId="4" applyAlignment="1" pivotButton="0" quotePrefix="0" xfId="0">
      <alignment horizontal="center" vertical="center" wrapText="1"/>
    </xf>
    <xf numFmtId="0" fontId="103" fillId="0" borderId="0" applyAlignment="1" pivotButton="0" quotePrefix="0" xfId="0">
      <alignment horizontal="center" vertical="center" wrapText="1"/>
    </xf>
    <xf numFmtId="164" fontId="103" fillId="0" borderId="0" applyAlignment="1" pivotButton="0" quotePrefix="0" xfId="277">
      <alignment vertical="center"/>
    </xf>
    <xf numFmtId="0" fontId="105" fillId="0" borderId="4" applyAlignment="1" pivotButton="0" quotePrefix="0" xfId="0">
      <alignment horizontal="center" vertical="center"/>
    </xf>
    <xf numFmtId="0" fontId="105" fillId="0" borderId="0" applyAlignment="1" pivotButton="0" quotePrefix="0" xfId="0">
      <alignment vertical="center"/>
    </xf>
    <xf numFmtId="0" fontId="99" fillId="0" borderId="4" applyAlignment="1" pivotButton="0" quotePrefix="0" xfId="0">
      <alignment vertical="center"/>
    </xf>
    <xf numFmtId="0" fontId="106" fillId="0" borderId="4" applyAlignment="1" pivotButton="0" quotePrefix="0" xfId="0">
      <alignment vertical="center"/>
    </xf>
    <xf numFmtId="0" fontId="107" fillId="0" borderId="0" pivotButton="0" quotePrefix="0" xfId="0"/>
    <xf numFmtId="0" fontId="108" fillId="0" borderId="0" pivotButton="0" quotePrefix="0" xfId="0"/>
    <xf numFmtId="0" fontId="107" fillId="0" borderId="0" applyAlignment="1" pivotButton="0" quotePrefix="0" xfId="0">
      <alignment horizontal="left" indent="5"/>
    </xf>
    <xf numFmtId="0" fontId="108" fillId="0" borderId="0" applyAlignment="1" pivotButton="0" quotePrefix="0" xfId="0">
      <alignment vertical="center"/>
    </xf>
    <xf numFmtId="0" fontId="108" fillId="0" borderId="4" applyAlignment="1" pivotButton="0" quotePrefix="0" xfId="0">
      <alignment horizontal="center" vertical="center" wrapText="1"/>
    </xf>
    <xf numFmtId="165" fontId="114" fillId="0" borderId="4" applyAlignment="1" pivotButton="0" quotePrefix="0" xfId="278">
      <alignment horizontal="center" vertical="center" wrapText="1"/>
    </xf>
    <xf numFmtId="0" fontId="108" fillId="0" borderId="4" applyAlignment="1" pivotButton="0" quotePrefix="0" xfId="0">
      <alignment horizontal="center" vertical="center"/>
    </xf>
    <xf numFmtId="49" fontId="108" fillId="0" borderId="4" applyAlignment="1" pivotButton="0" quotePrefix="1" xfId="0">
      <alignment horizontal="center" vertical="center"/>
    </xf>
    <xf numFmtId="0" fontId="107" fillId="0" borderId="11" applyAlignment="1" pivotButton="0" quotePrefix="0" xfId="0">
      <alignment horizontal="center" vertical="center"/>
    </xf>
    <xf numFmtId="0" fontId="108" fillId="0" borderId="4" pivotButton="0" quotePrefix="0" xfId="0"/>
    <xf numFmtId="0" fontId="114" fillId="0" borderId="4" applyAlignment="1" pivotButton="0" quotePrefix="0" xfId="0">
      <alignment horizontal="center" vertical="center" wrapText="1"/>
    </xf>
    <xf numFmtId="165" fontId="114" fillId="0" borderId="4" applyAlignment="1" pivotButton="0" quotePrefix="0" xfId="278">
      <alignment horizontal="center" vertical="center" wrapText="1"/>
    </xf>
    <xf numFmtId="0" fontId="120" fillId="0" borderId="0" pivotButton="0" quotePrefix="0" xfId="0"/>
    <xf numFmtId="20" fontId="108" fillId="0" borderId="4" applyAlignment="1" pivotButton="0" quotePrefix="0" xfId="0">
      <alignment horizontal="center" vertical="center"/>
    </xf>
    <xf numFmtId="0" fontId="114" fillId="0" borderId="4" applyAlignment="1" pivotButton="0" quotePrefix="0" xfId="0">
      <alignment horizontal="center" vertical="center"/>
    </xf>
    <xf numFmtId="0" fontId="121" fillId="0" borderId="0" pivotButton="0" quotePrefix="0" xfId="0"/>
    <xf numFmtId="0" fontId="108" fillId="0" borderId="4" applyAlignment="1" pivotButton="0" quotePrefix="0" xfId="0">
      <alignment vertical="center" wrapText="1"/>
    </xf>
    <xf numFmtId="0" fontId="114" fillId="0" borderId="28" applyAlignment="1" pivotButton="0" quotePrefix="0" xfId="0">
      <alignment horizontal="center" vertical="center"/>
    </xf>
    <xf numFmtId="0" fontId="114" fillId="0" borderId="28" applyAlignment="1" pivotButton="0" quotePrefix="0" xfId="0">
      <alignment horizontal="center"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124" fillId="0" borderId="0" applyAlignment="1" pivotButton="0" quotePrefix="0" xfId="0">
      <alignment horizontal="left" vertical="center"/>
    </xf>
    <xf numFmtId="0" fontId="125" fillId="0" borderId="32" applyAlignment="1" pivotButton="0" quotePrefix="0" xfId="0">
      <alignment horizontal="center" vertical="center"/>
    </xf>
    <xf numFmtId="0" fontId="125" fillId="0" borderId="33" applyAlignment="1" pivotButton="0" quotePrefix="0" xfId="0">
      <alignment horizontal="center" vertical="center"/>
    </xf>
    <xf numFmtId="0" fontId="125" fillId="0" borderId="33" applyAlignment="1" pivotButton="0" quotePrefix="0" xfId="0">
      <alignment horizontal="center" vertical="center" wrapText="1"/>
    </xf>
    <xf numFmtId="0" fontId="125" fillId="0" borderId="34" applyAlignment="1" pivotButton="0" quotePrefix="0" xfId="0">
      <alignment horizontal="center" vertical="center"/>
    </xf>
    <xf numFmtId="0" fontId="126" fillId="0" borderId="0" applyAlignment="1" pivotButton="0" quotePrefix="0" xfId="0">
      <alignment vertical="center"/>
    </xf>
    <xf numFmtId="0" fontId="127" fillId="0" borderId="35" applyAlignment="1" pivotButton="0" quotePrefix="0" xfId="0">
      <alignment horizontal="center" vertical="center"/>
    </xf>
    <xf numFmtId="0" fontId="127" fillId="0" borderId="4" applyAlignment="1" pivotButton="0" quotePrefix="0" xfId="0">
      <alignment horizontal="center" vertical="center"/>
    </xf>
    <xf numFmtId="0" fontId="128" fillId="0" borderId="4" applyAlignment="1" pivotButton="0" quotePrefix="0" xfId="0">
      <alignment horizontal="center" vertical="center"/>
    </xf>
    <xf numFmtId="0" fontId="127" fillId="0" borderId="4" applyAlignment="1" pivotButton="0" quotePrefix="0" xfId="0">
      <alignment horizontal="center" vertical="center" wrapText="1"/>
    </xf>
    <xf numFmtId="0" fontId="127" fillId="0" borderId="36" applyAlignment="1" pivotButton="0" quotePrefix="0" xfId="0">
      <alignment horizontal="center" vertical="center"/>
    </xf>
    <xf numFmtId="0" fontId="127" fillId="0" borderId="39" applyAlignment="1" pivotButton="0" quotePrefix="0" xfId="0">
      <alignment horizontal="center" vertical="center"/>
    </xf>
    <xf numFmtId="0" fontId="127" fillId="0" borderId="40" applyAlignment="1" pivotButton="0" quotePrefix="0" xfId="0">
      <alignment horizontal="center" vertical="center" wrapText="1"/>
    </xf>
    <xf numFmtId="0" fontId="127" fillId="0" borderId="40" applyAlignment="1" pivotButton="0" quotePrefix="0" xfId="0">
      <alignment horizontal="center" vertical="center"/>
    </xf>
    <xf numFmtId="0" fontId="127" fillId="0" borderId="41" applyAlignment="1" pivotButton="0" quotePrefix="0" xfId="0">
      <alignment horizontal="center" vertical="center"/>
    </xf>
    <xf numFmtId="0" fontId="125" fillId="0" borderId="42" applyAlignment="1" pivotButton="0" quotePrefix="0" xfId="0">
      <alignment horizontal="center" vertical="center"/>
    </xf>
    <xf numFmtId="0" fontId="127" fillId="0" borderId="1" applyAlignment="1" pivotButton="0" quotePrefix="0" xfId="0">
      <alignment horizontal="center" vertical="center"/>
    </xf>
    <xf numFmtId="0" fontId="127" fillId="0" borderId="43" applyAlignment="1" pivotButton="0" quotePrefix="0" xfId="0">
      <alignment horizontal="center" vertical="center"/>
    </xf>
    <xf numFmtId="0" fontId="99" fillId="50" borderId="4" applyAlignment="1" pivotButton="0" quotePrefix="0" xfId="0">
      <alignment vertical="center"/>
    </xf>
    <xf numFmtId="0" fontId="106" fillId="50" borderId="4" applyAlignment="1" pivotButton="0" quotePrefix="0" xfId="0">
      <alignment vertical="center"/>
    </xf>
    <xf numFmtId="0" fontId="109" fillId="0" borderId="14" applyAlignment="1" pivotButton="0" quotePrefix="0" xfId="0">
      <alignment horizontal="center" vertical="center" wrapText="1"/>
    </xf>
    <xf numFmtId="0" fontId="107" fillId="0" borderId="1" applyAlignment="1" pivotButton="0" quotePrefix="0" xfId="0">
      <alignment horizontal="left" vertical="center" wrapText="1"/>
    </xf>
    <xf numFmtId="0" fontId="107" fillId="0" borderId="2" applyAlignment="1" pivotButton="0" quotePrefix="0" xfId="0">
      <alignment horizontal="left" vertical="center" wrapText="1"/>
    </xf>
    <xf numFmtId="0" fontId="107" fillId="0" borderId="3" applyAlignment="1" pivotButton="0" quotePrefix="0" xfId="0">
      <alignment horizontal="left" vertical="center" wrapText="1"/>
    </xf>
    <xf numFmtId="0" fontId="108" fillId="0" borderId="4" applyAlignment="1" pivotButton="0" quotePrefix="0" xfId="0">
      <alignment horizontal="center" vertical="center" wrapText="1"/>
    </xf>
    <xf numFmtId="0" fontId="108" fillId="0" borderId="4" applyAlignment="1" pivotButton="0" quotePrefix="0" xfId="0">
      <alignment horizontal="center" vertical="center"/>
    </xf>
    <xf numFmtId="0" fontId="122" fillId="0" borderId="1" applyAlignment="1" pivotButton="0" quotePrefix="0" xfId="0">
      <alignment horizontal="center" vertical="center"/>
    </xf>
    <xf numFmtId="0" fontId="122" fillId="0" borderId="2" applyAlignment="1" pivotButton="0" quotePrefix="0" xfId="0">
      <alignment horizontal="center" vertical="center"/>
    </xf>
    <xf numFmtId="0" fontId="122" fillId="0" borderId="3" applyAlignment="1" pivotButton="0" quotePrefix="0" xfId="0">
      <alignment horizontal="center" vertical="center"/>
    </xf>
    <xf numFmtId="0" fontId="117" fillId="0" borderId="0" applyAlignment="1" pivotButton="0" quotePrefix="0" xfId="0">
      <alignment horizontal="left" wrapText="1"/>
    </xf>
    <xf numFmtId="0" fontId="115" fillId="0" borderId="0" applyAlignment="1" pivotButton="0" quotePrefix="0" xfId="0">
      <alignment horizontal="left" wrapText="1"/>
    </xf>
    <xf numFmtId="0" fontId="114" fillId="0" borderId="28" applyAlignment="1" pivotButton="0" quotePrefix="0" xfId="0">
      <alignment horizontal="center" vertical="center" wrapText="1"/>
    </xf>
    <xf numFmtId="0" fontId="114" fillId="0" borderId="11" applyAlignment="1" pivotButton="0" quotePrefix="0" xfId="0">
      <alignment horizontal="center" vertical="center" wrapText="1"/>
    </xf>
    <xf numFmtId="0" fontId="119" fillId="0" borderId="28" applyAlignment="1" pivotButton="0" quotePrefix="0" xfId="0">
      <alignment horizontal="center" vertical="center" wrapText="1"/>
    </xf>
    <xf numFmtId="0" fontId="119" fillId="0" borderId="11" applyAlignment="1" pivotButton="0" quotePrefix="0" xfId="0">
      <alignment horizontal="center" vertical="center" wrapText="1"/>
    </xf>
    <xf numFmtId="0" fontId="108" fillId="0" borderId="28" applyAlignment="1" pivotButton="0" quotePrefix="0" xfId="0">
      <alignment horizontal="center" vertical="center"/>
    </xf>
    <xf numFmtId="0" fontId="108" fillId="0" borderId="29" applyAlignment="1" pivotButton="0" quotePrefix="0" xfId="0">
      <alignment horizontal="center" vertical="center"/>
    </xf>
    <xf numFmtId="0" fontId="108" fillId="0" borderId="11" applyAlignment="1" pivotButton="0" quotePrefix="0" xfId="0">
      <alignment horizontal="center" vertical="center"/>
    </xf>
    <xf numFmtId="0" fontId="108" fillId="0" borderId="28" applyAlignment="1" pivotButton="0" quotePrefix="0" xfId="0">
      <alignment horizontal="center" vertical="center" wrapText="1"/>
    </xf>
    <xf numFmtId="0" fontId="108" fillId="0" borderId="29" applyAlignment="1" pivotButton="0" quotePrefix="0" xfId="0">
      <alignment horizontal="center" vertical="center" wrapText="1"/>
    </xf>
    <xf numFmtId="0" fontId="108" fillId="0" borderId="11" applyAlignment="1" pivotButton="0" quotePrefix="0" xfId="0">
      <alignment horizontal="center" vertical="center" wrapText="1"/>
    </xf>
    <xf numFmtId="49" fontId="108" fillId="0" borderId="28" applyAlignment="1" pivotButton="0" quotePrefix="1" xfId="0">
      <alignment horizontal="center" vertical="center"/>
    </xf>
    <xf numFmtId="49" fontId="108" fillId="0" borderId="29" applyAlignment="1" pivotButton="0" quotePrefix="1" xfId="0">
      <alignment horizontal="center" vertical="center"/>
    </xf>
    <xf numFmtId="49" fontId="108" fillId="0" borderId="11" applyAlignment="1" pivotButton="0" quotePrefix="1" xfId="0">
      <alignment horizontal="center" vertical="center"/>
    </xf>
    <xf numFmtId="20" fontId="108" fillId="0" borderId="28" applyAlignment="1" pivotButton="0" quotePrefix="0" xfId="0">
      <alignment horizontal="center" vertical="center"/>
    </xf>
    <xf numFmtId="20" fontId="108" fillId="0" borderId="29" applyAlignment="1" pivotButton="0" quotePrefix="0" xfId="0">
      <alignment horizontal="center" vertical="center"/>
    </xf>
    <xf numFmtId="20" fontId="108" fillId="0" borderId="11" applyAlignment="1" pivotButton="0" quotePrefix="0" xfId="0">
      <alignment horizontal="center" vertical="center"/>
    </xf>
    <xf numFmtId="0" fontId="101" fillId="0" borderId="0" applyAlignment="1" pivotButton="0" quotePrefix="0" xfId="0">
      <alignment horizontal="center" vertical="center"/>
    </xf>
    <xf numFmtId="0" fontId="123" fillId="0" borderId="6" applyAlignment="1" pivotButton="0" quotePrefix="0" xfId="0">
      <alignment horizontal="center" vertical="center"/>
    </xf>
    <xf numFmtId="0" fontId="123" fillId="0" borderId="13" applyAlignment="1" pivotButton="0" quotePrefix="0" xfId="0">
      <alignment horizontal="center" vertical="center"/>
    </xf>
    <xf numFmtId="0" fontId="123" fillId="0" borderId="30" applyAlignment="1" pivotButton="0" quotePrefix="0" xfId="0">
      <alignment horizontal="center" vertical="center"/>
    </xf>
    <xf numFmtId="0" fontId="124" fillId="0" borderId="31" applyAlignment="1" pivotButton="0" quotePrefix="0" xfId="0">
      <alignment horizontal="left" vertical="center"/>
    </xf>
    <xf numFmtId="0" fontId="104" fillId="49" borderId="37" applyAlignment="1" pivotButton="0" quotePrefix="0" xfId="0">
      <alignment horizontal="center" vertical="center"/>
    </xf>
    <xf numFmtId="0" fontId="104" fillId="49" borderId="2" applyAlignment="1" pivotButton="0" quotePrefix="0" xfId="0">
      <alignment horizontal="center" vertical="center"/>
    </xf>
    <xf numFmtId="0" fontId="104" fillId="49" borderId="38" applyAlignment="1" pivotButton="0" quotePrefix="0" xfId="0">
      <alignment horizontal="center" vertical="center"/>
    </xf>
    <xf numFmtId="0" fontId="0" fillId="0" borderId="14" pivotButton="0" quotePrefix="0" xfId="0"/>
    <xf numFmtId="0" fontId="107" fillId="0" borderId="4" applyAlignment="1" pivotButton="0" quotePrefix="0" xfId="0">
      <alignment horizontal="left" vertical="center" wrapText="1"/>
    </xf>
    <xf numFmtId="0" fontId="0" fillId="0" borderId="2" pivotButton="0" quotePrefix="0" xfId="0"/>
    <xf numFmtId="0" fontId="0" fillId="0" borderId="3" pivotButton="0" quotePrefix="0" xfId="0"/>
    <xf numFmtId="0" fontId="0" fillId="0" borderId="11" pivotButton="0" quotePrefix="0" xfId="0"/>
    <xf numFmtId="165" fontId="114" fillId="0" borderId="4" applyAlignment="1" pivotButton="0" quotePrefix="0" xfId="278">
      <alignment horizontal="center" vertical="center" wrapText="1"/>
    </xf>
    <xf numFmtId="0" fontId="0" fillId="0" borderId="29" pivotButton="0" quotePrefix="0" xfId="0"/>
    <xf numFmtId="0" fontId="122" fillId="0" borderId="4" applyAlignment="1" pivotButton="0" quotePrefix="0" xfId="0">
      <alignment horizontal="center" vertical="center"/>
    </xf>
    <xf numFmtId="0" fontId="119" fillId="0" borderId="4" applyAlignment="1" pivotButton="0" quotePrefix="0" xfId="0">
      <alignment horizontal="center" vertical="center" wrapText="1"/>
    </xf>
    <xf numFmtId="164" fontId="103" fillId="0" borderId="0" applyAlignment="1" pivotButton="0" quotePrefix="0" xfId="277">
      <alignment vertical="center"/>
    </xf>
    <xf numFmtId="0" fontId="123" fillId="0" borderId="46" applyAlignment="1" pivotButton="0" quotePrefix="0" xfId="0">
      <alignment horizontal="center" vertical="center"/>
    </xf>
    <xf numFmtId="0" fontId="0" fillId="0" borderId="13" pivotButton="0" quotePrefix="0" xfId="0"/>
    <xf numFmtId="0" fontId="0" fillId="0" borderId="30" pivotButton="0" quotePrefix="0" xfId="0"/>
    <xf numFmtId="0" fontId="0" fillId="0" borderId="31" pivotButton="0" quotePrefix="0" xfId="0"/>
    <xf numFmtId="0" fontId="104" fillId="49" borderId="48" applyAlignment="1" pivotButton="0" quotePrefix="0" xfId="0">
      <alignment horizontal="center" vertical="center"/>
    </xf>
    <xf numFmtId="0" fontId="0" fillId="0" borderId="38" pivotButton="0" quotePrefix="0" xfId="0"/>
  </cellXfs>
  <cellStyles count="279">
    <cellStyle name="Normal" xfId="0" builtinId="0"/>
    <cellStyle name="_x000d__x000a_JournalTemplate=C:\COMFO\CTALK\JOURSTD.TPL_x000d__x000a_LbStateAddress=3 3 0 251 1 89 2 311_x000d__x000a_LbStateJou" xfId="1"/>
    <cellStyle name="(yy/mm/dd)" xfId="2"/>
    <cellStyle name="????" xfId="3"/>
    <cellStyle name="?????()" xfId="4"/>
    <cellStyle name="?????(0.00)" xfId="5"/>
    <cellStyle name="???????_MONTHLY-Americas" xfId="6"/>
    <cellStyle name="?????[0.00]" xfId="7"/>
    <cellStyle name="?????_MONTHLY-Americas" xfId="8"/>
    <cellStyle name="????_PL(Actual)" xfId="9"/>
    <cellStyle name="??_MONTHLY (A&amp;B Company)(Asian sales co.)" xfId="10"/>
    <cellStyle name="_【二次使用数量】数量まとめ(1次)20110207送付版" xfId="11"/>
    <cellStyle name="_DB" xfId="12"/>
    <cellStyle name="_代表機種" xfId="13"/>
    <cellStyle name="20% - Ênfase1" xfId="14"/>
    <cellStyle name="20% - Ênfase2" xfId="15"/>
    <cellStyle name="20% - Ênfase3" xfId="16"/>
    <cellStyle name="20% - Ênfase4" xfId="17"/>
    <cellStyle name="20% - Ênfase5" xfId="18"/>
    <cellStyle name="20% - Ênfase6" xfId="19"/>
    <cellStyle name="20% - Énfasis1" xfId="20"/>
    <cellStyle name="20% - Énfasis2" xfId="21"/>
    <cellStyle name="20% - Énfasis3" xfId="22"/>
    <cellStyle name="20% - Énfasis4" xfId="23"/>
    <cellStyle name="20% - Énfasis5" xfId="24"/>
    <cellStyle name="20% - Énfasis6" xfId="25"/>
    <cellStyle name="20% - アクセント 1" xfId="26"/>
    <cellStyle name="20% - アクセント 2" xfId="27"/>
    <cellStyle name="20% - アクセント 3" xfId="28"/>
    <cellStyle name="20% - アクセント 4" xfId="29"/>
    <cellStyle name="20% - アクセント 5" xfId="30"/>
    <cellStyle name="20% - アクセント 6" xfId="31"/>
    <cellStyle name="3232" xfId="32"/>
    <cellStyle name="40% - Ênfase1" xfId="33"/>
    <cellStyle name="40% - Ênfase2" xfId="34"/>
    <cellStyle name="40% - Ênfase3" xfId="35"/>
    <cellStyle name="40% - Ênfase4" xfId="36"/>
    <cellStyle name="40% - Ênfase5" xfId="37"/>
    <cellStyle name="40% - Ênfase6" xfId="38"/>
    <cellStyle name="40% - Énfasis1" xfId="39"/>
    <cellStyle name="40% - Énfasis2" xfId="40"/>
    <cellStyle name="40% - Énfasis3" xfId="41"/>
    <cellStyle name="40% - Énfasis4" xfId="42"/>
    <cellStyle name="40% - Énfasis5" xfId="43"/>
    <cellStyle name="40% - Énfasis6" xfId="44"/>
    <cellStyle name="40% - アクセント 1" xfId="45"/>
    <cellStyle name="40% - アクセント 2" xfId="46"/>
    <cellStyle name="40% - アクセント 3" xfId="47"/>
    <cellStyle name="40% - アクセント 4" xfId="48"/>
    <cellStyle name="40% - アクセント 5" xfId="49"/>
    <cellStyle name="40% - アクセント 6" xfId="50"/>
    <cellStyle name="60% - Ênfase1" xfId="51"/>
    <cellStyle name="60% - Ênfase2" xfId="52"/>
    <cellStyle name="60% - Ênfase3" xfId="53"/>
    <cellStyle name="60% - Ênfase4" xfId="54"/>
    <cellStyle name="60% - Ênfase5" xfId="55"/>
    <cellStyle name="60% - Ênfase6" xfId="56"/>
    <cellStyle name="60% - Énfasis1" xfId="57"/>
    <cellStyle name="60% - Énfasis2" xfId="58"/>
    <cellStyle name="60% - Énfasis3" xfId="59"/>
    <cellStyle name="60% - Énfasis4" xfId="60"/>
    <cellStyle name="60% - Énfasis5" xfId="61"/>
    <cellStyle name="60% - Énfasis6" xfId="62"/>
    <cellStyle name="60% - アクセント 1" xfId="63"/>
    <cellStyle name="60% - アクセント 2" xfId="64"/>
    <cellStyle name="60% - アクセント 3" xfId="65"/>
    <cellStyle name="60% - アクセント 4" xfId="66"/>
    <cellStyle name="60% - アクセント 5" xfId="67"/>
    <cellStyle name="60% - アクセント 6" xfId="68"/>
    <cellStyle name="Bom" xfId="69"/>
    <cellStyle name="Buena" xfId="70"/>
    <cellStyle name="Calculation-" xfId="71"/>
    <cellStyle name="Calculation2.1" xfId="72"/>
    <cellStyle name="Calculation2.2" xfId="73"/>
    <cellStyle name="Cálculo" xfId="74"/>
    <cellStyle name="Celda de comprobación" xfId="75"/>
    <cellStyle name="Celda vinculada" xfId="76"/>
    <cellStyle name="Célula de Verificação" xfId="77"/>
    <cellStyle name="Célula Vinculada" xfId="78"/>
    <cellStyle name="Centered Heading" xfId="79"/>
    <cellStyle name="CharacterInput" xfId="80"/>
    <cellStyle name="CHUONG" xfId="81"/>
    <cellStyle name="Comma [0] 2" xfId="82"/>
    <cellStyle name="Comma [0] 3" xfId="83"/>
    <cellStyle name="Comma 2" xfId="84"/>
    <cellStyle name="Comma 3" xfId="85"/>
    <cellStyle name="Comma 4" xfId="86"/>
    <cellStyle name="Comma 8" xfId="87"/>
    <cellStyle name="Comma0" xfId="88"/>
    <cellStyle name="comment" xfId="89"/>
    <cellStyle name="Company Name" xfId="90"/>
    <cellStyle name="Currency 2" xfId="91"/>
    <cellStyle name="Currency 3" xfId="92"/>
    <cellStyle name="Currency 4" xfId="93"/>
    <cellStyle name="Currency 4 2" xfId="94"/>
    <cellStyle name="Currency 5" xfId="95"/>
    <cellStyle name="Currency0" xfId="96"/>
    <cellStyle name="Date" xfId="97"/>
    <cellStyle name="DateOfIssue" xfId="98"/>
    <cellStyle name="Dezimal [0]_COVER" xfId="99"/>
    <cellStyle name="Dezimal_COVER" xfId="100"/>
    <cellStyle name="Encabezado 4" xfId="101"/>
    <cellStyle name="Ênfase1" xfId="102"/>
    <cellStyle name="Ênfase2" xfId="103"/>
    <cellStyle name="Ênfase3" xfId="104"/>
    <cellStyle name="Ênfase4" xfId="105"/>
    <cellStyle name="Ênfase5" xfId="106"/>
    <cellStyle name="Ênfase6" xfId="107"/>
    <cellStyle name="Énfasis1" xfId="108"/>
    <cellStyle name="Énfasis2" xfId="109"/>
    <cellStyle name="Énfasis3" xfId="110"/>
    <cellStyle name="Énfasis4" xfId="111"/>
    <cellStyle name="Énfasis5" xfId="112"/>
    <cellStyle name="Énfasis6" xfId="113"/>
    <cellStyle name="Entrada" xfId="114"/>
    <cellStyle name="err" xfId="115"/>
    <cellStyle name="Euro" xfId="116"/>
    <cellStyle name="Fixed" xfId="117"/>
    <cellStyle name="Header1" xfId="118"/>
    <cellStyle name="Header2" xfId="119"/>
    <cellStyle name="Heading No Underline" xfId="120"/>
    <cellStyle name="Heading With Underline" xfId="121"/>
    <cellStyle name="Incorrecto" xfId="122"/>
    <cellStyle name="Incorreto" xfId="123"/>
    <cellStyle name="LookupTitle" xfId="124"/>
    <cellStyle name="MenuTitle" xfId="125"/>
    <cellStyle name="Moneda_2009 product p&amp;l by engine" xfId="126"/>
    <cellStyle name="Neutra" xfId="127"/>
    <cellStyle name="ÑONVÒ" xfId="128"/>
    <cellStyle name="Normal 2" xfId="129"/>
    <cellStyle name="Normal 2 2" xfId="130"/>
    <cellStyle name="Normal 3" xfId="131"/>
    <cellStyle name="Normal 4" xfId="132"/>
    <cellStyle name="Normal 5" xfId="133"/>
    <cellStyle name="Normal 6" xfId="134"/>
    <cellStyle name="Normal 7" xfId="135"/>
    <cellStyle name="Nota" xfId="136"/>
    <cellStyle name="Notas" xfId="137"/>
    <cellStyle name="Number" xfId="138"/>
    <cellStyle name="NumberInput" xfId="139"/>
    <cellStyle name="NumberInput1.4" xfId="140"/>
    <cellStyle name="NumberInput2.2" xfId="141"/>
    <cellStyle name="parentesis" xfId="142"/>
    <cellStyle name="Percent 2" xfId="143"/>
    <cellStyle name="Percent 3" xfId="144"/>
    <cellStyle name="Saída" xfId="145"/>
    <cellStyle name="Salida" xfId="146"/>
    <cellStyle name="SAPBEXaggData" xfId="147"/>
    <cellStyle name="SAPBEXaggData 2" xfId="148"/>
    <cellStyle name="SAPBEXaggDataEmph" xfId="149"/>
    <cellStyle name="SAPBEXaggItem" xfId="150"/>
    <cellStyle name="SAPBEXaggItem 2" xfId="151"/>
    <cellStyle name="SAPBEXaggItem_DB" xfId="152"/>
    <cellStyle name="SAPBEXaggItemX" xfId="153"/>
    <cellStyle name="SAPBEXchaText" xfId="154"/>
    <cellStyle name="SAPBEXchaText 2" xfId="155"/>
    <cellStyle name="SAPBEXchaText_【二次使用数量】数量まとめ(1次)20110207送付版" xfId="156"/>
    <cellStyle name="SAPBEXexcBad7" xfId="157"/>
    <cellStyle name="SAPBEXexcBad8" xfId="158"/>
    <cellStyle name="SAPBEXexcBad9" xfId="159"/>
    <cellStyle name="SAPBEXexcCritical4" xfId="160"/>
    <cellStyle name="SAPBEXexcCritical5" xfId="161"/>
    <cellStyle name="SAPBEXexcCritical6" xfId="162"/>
    <cellStyle name="SAPBEXexcGood1" xfId="163"/>
    <cellStyle name="SAPBEXexcGood2" xfId="164"/>
    <cellStyle name="SAPBEXexcGood3" xfId="165"/>
    <cellStyle name="SAPBEXfilterDrill" xfId="166"/>
    <cellStyle name="SAPBEXfilterDrill 2" xfId="167"/>
    <cellStyle name="SAPBEXfilterDrill_【二次使用数量】数量まとめ(1次)20110207送付版" xfId="168"/>
    <cellStyle name="SAPBEXfilterItem" xfId="169"/>
    <cellStyle name="SAPBEXfilterItem 2" xfId="170"/>
    <cellStyle name="SAPBEXfilterItem_【二次使用数量】数量まとめ(1次)20110207送付版" xfId="171"/>
    <cellStyle name="SAPBEXfilterText" xfId="172"/>
    <cellStyle name="SAPBEXformats" xfId="173"/>
    <cellStyle name="SAPBEXformats 2" xfId="174"/>
    <cellStyle name="SAPBEXformats_YEAR-END" xfId="175"/>
    <cellStyle name="SAPBEXheaderItem" xfId="176"/>
    <cellStyle name="SAPBEXheaderItem 2" xfId="177"/>
    <cellStyle name="SAPBEXheaderItem_【二次使用数量】数量まとめ(1次)20110207送付版" xfId="178"/>
    <cellStyle name="SAPBEXheaderText" xfId="179"/>
    <cellStyle name="SAPBEXheaderText 2" xfId="180"/>
    <cellStyle name="SAPBEXheaderText_【二次使用数量】数量まとめ(1次)20110207送付版" xfId="181"/>
    <cellStyle name="SAPBEXHLevel0" xfId="182"/>
    <cellStyle name="SAPBEXHLevel0X" xfId="183"/>
    <cellStyle name="SAPBEXHLevel1" xfId="184"/>
    <cellStyle name="SAPBEXHLevel1X" xfId="185"/>
    <cellStyle name="SAPBEXHLevel2" xfId="186"/>
    <cellStyle name="SAPBEXHLevel2X" xfId="187"/>
    <cellStyle name="SAPBEXHLevel3" xfId="188"/>
    <cellStyle name="SAPBEXHLevel3X" xfId="189"/>
    <cellStyle name="SAPBEXresData" xfId="190"/>
    <cellStyle name="SAPBEXresDataEmph" xfId="191"/>
    <cellStyle name="SAPBEXresItem" xfId="192"/>
    <cellStyle name="SAPBEXresItemX" xfId="193"/>
    <cellStyle name="SAPBEXstdData" xfId="194"/>
    <cellStyle name="SAPBEXstdData 2" xfId="195"/>
    <cellStyle name="SAPBEXstdDataEmph" xfId="196"/>
    <cellStyle name="SAPBEXstdItem" xfId="197"/>
    <cellStyle name="SAPBEXstdItem 2" xfId="198"/>
    <cellStyle name="SAPBEXstdItem 3" xfId="199"/>
    <cellStyle name="SAPBEXstdItem_Sales Track 2008 (SOP208 Preliminary-1)_1.07" xfId="200"/>
    <cellStyle name="SAPBEXstdItemX" xfId="201"/>
    <cellStyle name="SAPBEXstdItemX 2" xfId="202"/>
    <cellStyle name="SAPBEXstdItemX_DB" xfId="203"/>
    <cellStyle name="SAPBEXtitle" xfId="204"/>
    <cellStyle name="SAPBEXtitle 2" xfId="205"/>
    <cellStyle name="SAPBEXtitle_【二次使用数量】数量まとめ(1次)20110207送付版" xfId="206"/>
    <cellStyle name="SAPBEXundefined" xfId="207"/>
    <cellStyle name="SEM-BPS-data" xfId="208"/>
    <cellStyle name="SEM-BPS-head" xfId="209"/>
    <cellStyle name="SEM-BPS-headdata" xfId="210"/>
    <cellStyle name="SEM-BPS-headkey" xfId="211"/>
    <cellStyle name="SEM-BPS-input-on" xfId="212"/>
    <cellStyle name="SEM-BPS-key" xfId="213"/>
    <cellStyle name="SEM-BPS-sub1" xfId="214"/>
    <cellStyle name="SEM-BPS-sub2" xfId="215"/>
    <cellStyle name="SEM-BPS-total" xfId="216"/>
    <cellStyle name="Separador de milhares 2" xfId="217"/>
    <cellStyle name="Standard_COVER" xfId="218"/>
    <cellStyle name="Style 1" xfId="219"/>
    <cellStyle name="Texto de advertencia" xfId="220"/>
    <cellStyle name="Texto de Aviso" xfId="221"/>
    <cellStyle name="Texto explicativo" xfId="222"/>
    <cellStyle name="Título" xfId="223"/>
    <cellStyle name="Título 1" xfId="224"/>
    <cellStyle name="Título 2" xfId="225"/>
    <cellStyle name="Título 3" xfId="226"/>
    <cellStyle name="Título 4" xfId="227"/>
    <cellStyle name="True0False1" xfId="228"/>
    <cellStyle name="Währung [0]_COVER" xfId="229"/>
    <cellStyle name="Währung_COVER" xfId="230"/>
    <cellStyle name="アクセント 1" xfId="231"/>
    <cellStyle name="アクセント 2" xfId="232"/>
    <cellStyle name="アクセント 3" xfId="233"/>
    <cellStyle name="アクセント 4" xfId="234"/>
    <cellStyle name="アクセント 5" xfId="235"/>
    <cellStyle name="アクセント 6" xfId="236"/>
    <cellStyle name="タイトル" xfId="237"/>
    <cellStyle name="チェック セル" xfId="238"/>
    <cellStyle name="どちらでもない" xfId="239"/>
    <cellStyle name="パーセント()" xfId="240"/>
    <cellStyle name="パーセント(0.00)" xfId="241"/>
    <cellStyle name="パーセント[0.00]" xfId="242"/>
    <cellStyle name="ハイパーリンク_BUDGET(J)-M" xfId="243"/>
    <cellStyle name="メモ" xfId="244"/>
    <cellStyle name="リンク セル" xfId="245"/>
    <cellStyle name="똿뗦먛귟 [0.00]_PRODUCT DETAIL Q1" xfId="246"/>
    <cellStyle name="똿뗦먛귟_PRODUCT DETAIL Q1" xfId="247"/>
    <cellStyle name="믅됞 [0.00]_PRODUCT DETAIL Q1" xfId="248"/>
    <cellStyle name="믅됞_PRODUCT DETAIL Q1" xfId="249"/>
    <cellStyle name="백분율_HOBONG" xfId="250"/>
    <cellStyle name="뷭?_BOOKSHIP" xfId="251"/>
    <cellStyle name="콤마 [0]_1202" xfId="252"/>
    <cellStyle name="콤마_1202" xfId="253"/>
    <cellStyle name="통화 [0]_1202" xfId="254"/>
    <cellStyle name="통화_1202" xfId="255"/>
    <cellStyle name="표준_(정보부문)월별인원계획" xfId="256"/>
    <cellStyle name="一般_Sheet1" xfId="257"/>
    <cellStyle name="入力" xfId="258"/>
    <cellStyle name="出力" xfId="259"/>
    <cellStyle name="千位分隔[0]_业务系2005年计1" xfId="260"/>
    <cellStyle name="常规_Sheet1" xfId="261"/>
    <cellStyle name="悪い" xfId="262"/>
    <cellStyle name="折り返し" xfId="263"/>
    <cellStyle name="未定義" xfId="264"/>
    <cellStyle name="標準 2" xfId="265"/>
    <cellStyle name="標準_【新シート】2011年度年計人件費経費" xfId="266"/>
    <cellStyle name="良い" xfId="267"/>
    <cellStyle name="見出し 1" xfId="268"/>
    <cellStyle name="見出し 2" xfId="269"/>
    <cellStyle name="見出し 3" xfId="270"/>
    <cellStyle name="見出し 4" xfId="271"/>
    <cellStyle name="見出し１" xfId="272"/>
    <cellStyle name="計算" xfId="273"/>
    <cellStyle name="説明文" xfId="274"/>
    <cellStyle name="警告文" xfId="275"/>
    <cellStyle name="集計" xfId="276"/>
    <cellStyle name="Comma" xfId="277" builtinId="3"/>
    <cellStyle name="Comma [0]" xfId="278" builtinId="6"/>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twoCellAnchor editAs="oneCell">
    <from>
      <col>1</col>
      <colOff>1</colOff>
      <row>0</row>
      <rowOff>983</rowOff>
    </from>
    <to>
      <col>4</col>
      <colOff>378865</colOff>
      <row>1</row>
      <rowOff>156300</rowOff>
    </to>
    <pic>
      <nvPicPr>
        <cNvPr id="18" name="Picture 1"/>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82551" y="983"/>
          <a:ext cx="3026814" cy="320417"/>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colOff>
      <row>0</row>
      <rowOff>983</rowOff>
    </from>
    <to>
      <col>4</col>
      <colOff>378865</colOff>
      <row>1</row>
      <rowOff>156300</rowOff>
    </to>
    <pic>
      <nvPicPr>
        <cNvPr id="18" name="Picture 1"/>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82551" y="983"/>
          <a:ext cx="3026814" cy="320417"/>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FF0000"/>
    <outlinePr summaryBelow="1" summaryRight="1"/>
    <pageSetUpPr fitToPage="1"/>
  </sheetPr>
  <dimension ref="B1:T20"/>
  <sheetViews>
    <sheetView zoomScaleNormal="100" zoomScaleSheetLayoutView="100" workbookViewId="0">
      <selection activeCell="R10" sqref="R10"/>
    </sheetView>
  </sheetViews>
  <sheetFormatPr baseColWidth="8" defaultColWidth="9.140625" defaultRowHeight="12.75"/>
  <cols>
    <col width="1.140625" customWidth="1" style="12" min="1" max="1"/>
    <col width="4.85546875" customWidth="1" style="12" min="2" max="2"/>
    <col width="20.42578125" customWidth="1" style="12" min="3" max="3"/>
    <col width="12.7109375" customWidth="1" style="12" min="4" max="4"/>
    <col width="7.140625" customWidth="1" style="12" min="5" max="5"/>
    <col width="11.140625" customWidth="1" style="12" min="6" max="6"/>
    <col width="10.140625" customWidth="1" style="12" min="7" max="8"/>
    <col width="11.5703125" customWidth="1" style="12" min="9" max="9"/>
    <col width="8.140625" customWidth="1" style="12" min="10" max="11"/>
    <col width="5.28515625" customWidth="1" style="12" min="12" max="12"/>
    <col width="12.5703125" customWidth="1" style="12" min="13" max="13"/>
    <col width="9.140625" customWidth="1" style="12" min="14" max="16384"/>
  </cols>
  <sheetData>
    <row r="1" ht="15.75" customHeight="1">
      <c r="B1" s="11" t="n"/>
    </row>
    <row r="2" ht="15.75" customHeight="1">
      <c r="B2" s="11" t="n"/>
    </row>
    <row r="3" ht="15.75" customHeight="1">
      <c r="B3" s="13" t="n"/>
    </row>
    <row r="4" ht="52.5" customFormat="1" customHeight="1" s="14">
      <c r="B4" s="52" t="inlineStr">
        <is>
          <t>PHIẾU ĐĂNG KÝ TĂNG CA 
OVERTIME REGISTRATION FORM</t>
        </is>
      </c>
      <c r="C4" s="87" t="n"/>
      <c r="D4" s="87" t="n"/>
      <c r="E4" s="87" t="n"/>
      <c r="F4" s="87" t="n"/>
      <c r="G4" s="87" t="n"/>
      <c r="H4" s="87" t="n"/>
      <c r="I4" s="87" t="n"/>
      <c r="J4" s="87" t="n"/>
      <c r="K4" s="87" t="n"/>
      <c r="L4" s="87" t="n"/>
      <c r="M4" s="87" t="n"/>
      <c r="O4" s="26" t="n"/>
    </row>
    <row r="5" ht="30.95" customFormat="1" customHeight="1" s="14">
      <c r="B5" s="88" t="inlineStr">
        <is>
          <t>Người yêu cầu: HOÀNG CHÍNH HỮU
Requestor</t>
        </is>
      </c>
      <c r="C5" s="89" t="n"/>
      <c r="D5" s="89" t="n"/>
      <c r="E5" s="89" t="n"/>
      <c r="F5" s="89" t="n"/>
      <c r="G5" s="90" t="n"/>
      <c r="H5" s="88" t="inlineStr">
        <is>
          <t>Bộ phận:  HD
Department:</t>
        </is>
      </c>
      <c r="I5" s="89" t="n"/>
      <c r="J5" s="89" t="n"/>
      <c r="K5" s="89" t="n"/>
      <c r="L5" s="89" t="n"/>
      <c r="M5" s="90" t="n"/>
    </row>
    <row r="6" ht="9" customHeight="1"/>
    <row r="7" ht="38.45" customHeight="1">
      <c r="B7" s="56" t="inlineStr">
        <is>
          <t>STT
No.</t>
        </is>
      </c>
      <c r="C7" s="56" t="inlineStr">
        <is>
          <t xml:space="preserve">Họ và tên
Full Name
</t>
        </is>
      </c>
      <c r="D7" s="56" t="inlineStr">
        <is>
          <t>Thời gian đăng ký tăng ca
Registration time overtime</t>
        </is>
      </c>
      <c r="E7" s="90" t="n"/>
      <c r="F7" s="56" t="inlineStr">
        <is>
          <t>Thời gian tăng ca thực tế
Actual overtime</t>
        </is>
      </c>
      <c r="G7" s="90" t="n"/>
      <c r="H7" s="56" t="inlineStr">
        <is>
          <t>Thiết bị
sản xuất</t>
        </is>
      </c>
      <c r="I7" s="56" t="inlineStr">
        <is>
          <t>Mã hàng</t>
        </is>
      </c>
      <c r="J7" s="56" t="inlineStr">
        <is>
          <t>Số lượng
kế hoạch</t>
        </is>
      </c>
      <c r="K7" s="56" t="inlineStr">
        <is>
          <t>Số lượng thực tế</t>
        </is>
      </c>
      <c r="L7" s="56" t="inlineStr">
        <is>
          <t>Tỉ lệ</t>
        </is>
      </c>
      <c r="M7" s="56" t="inlineStr">
        <is>
          <t>Ghi chú</t>
        </is>
      </c>
    </row>
    <row r="8" ht="42.6" customHeight="1">
      <c r="B8" s="91" t="n"/>
      <c r="C8" s="91" t="n"/>
      <c r="D8" s="56" t="inlineStr">
        <is>
          <t xml:space="preserve">
Từ------Đến-----
From….to
</t>
        </is>
      </c>
      <c r="E8" s="56" t="inlineStr">
        <is>
          <t>Số giờ
Total hour</t>
        </is>
      </c>
      <c r="F8" s="56" t="inlineStr">
        <is>
          <t>Giờ kết thúc
Finish time</t>
        </is>
      </c>
      <c r="G8" s="56" t="inlineStr">
        <is>
          <t>Số giờ
Total hour</t>
        </is>
      </c>
      <c r="H8" s="91" t="n"/>
      <c r="I8" s="91" t="n"/>
      <c r="J8" s="91" t="n"/>
      <c r="K8" s="91" t="n"/>
      <c r="L8" s="91" t="n"/>
      <c r="M8" s="91" t="n"/>
    </row>
    <row r="9" ht="32.1" customHeight="1">
      <c r="B9" s="57" t="n">
        <v>1</v>
      </c>
      <c r="C9" s="57" t="inlineStr">
        <is>
          <t>NGUYỄN ĐỨC GIÁP</t>
        </is>
      </c>
      <c r="D9" s="24" t="inlineStr">
        <is>
          <t>16h30-19h30</t>
        </is>
      </c>
      <c r="E9" s="18" t="inlineStr">
        <is>
          <t>3</t>
        </is>
      </c>
      <c r="F9" s="56" t="n"/>
      <c r="G9" s="56" t="n"/>
      <c r="H9" s="56" t="inlineStr">
        <is>
          <t>HD-09</t>
        </is>
      </c>
      <c r="I9" s="56" t="inlineStr">
        <is>
          <t>5.5X16</t>
        </is>
      </c>
      <c r="J9" s="92">
        <f>70*60*2.5</f>
        <v/>
      </c>
      <c r="K9" s="56" t="n"/>
      <c r="L9" s="57" t="n"/>
      <c r="M9" s="27" t="n"/>
    </row>
    <row r="10" ht="32.1" customHeight="1">
      <c r="B10" s="93" t="n"/>
      <c r="C10" s="93" t="n"/>
      <c r="D10" s="93" t="n"/>
      <c r="E10" s="93" t="n"/>
      <c r="F10" s="93" t="n"/>
      <c r="G10" s="93" t="n"/>
      <c r="H10" s="56" t="inlineStr">
        <is>
          <t>HD-9A</t>
        </is>
      </c>
      <c r="I10" s="56" t="inlineStr">
        <is>
          <t>5X12.5</t>
        </is>
      </c>
      <c r="J10" s="92">
        <f>130*60*2.5</f>
        <v/>
      </c>
      <c r="K10" s="56" t="n"/>
      <c r="L10" s="57" t="n"/>
      <c r="M10" s="27" t="n"/>
    </row>
    <row r="11" ht="32.1" customHeight="1">
      <c r="B11" s="93" t="n"/>
      <c r="C11" s="93" t="n"/>
      <c r="D11" s="93" t="n"/>
      <c r="E11" s="93" t="n"/>
      <c r="F11" s="93" t="n"/>
      <c r="G11" s="93" t="n"/>
      <c r="H11" s="56" t="inlineStr">
        <is>
          <t>HD-10</t>
        </is>
      </c>
      <c r="I11" s="56" t="inlineStr">
        <is>
          <t>5X16</t>
        </is>
      </c>
      <c r="J11" s="92">
        <f>80*60*2.5</f>
        <v/>
      </c>
      <c r="K11" s="56" t="n"/>
      <c r="L11" s="57" t="n"/>
      <c r="M11" s="27" t="n"/>
    </row>
    <row r="12" ht="32.1" customHeight="1">
      <c r="B12" s="93" t="n"/>
      <c r="C12" s="93" t="n"/>
      <c r="D12" s="93" t="n"/>
      <c r="E12" s="93" t="n"/>
      <c r="F12" s="93" t="n"/>
      <c r="G12" s="93" t="n"/>
      <c r="H12" s="56" t="inlineStr">
        <is>
          <t>HD-13</t>
        </is>
      </c>
      <c r="I12" s="56" t="inlineStr">
        <is>
          <t>5.9X5.9</t>
        </is>
      </c>
      <c r="J12" s="92">
        <f>80*60*2.5</f>
        <v/>
      </c>
      <c r="K12" s="56" t="n"/>
      <c r="L12" s="57" t="n"/>
      <c r="M12" s="27" t="n"/>
    </row>
    <row r="13" ht="32.1" customHeight="1">
      <c r="B13" s="91" t="n"/>
      <c r="C13" s="91" t="n"/>
      <c r="D13" s="91" t="n"/>
      <c r="E13" s="91" t="n"/>
      <c r="F13" s="91" t="n"/>
      <c r="G13" s="91" t="n"/>
      <c r="H13" s="56" t="inlineStr">
        <is>
          <t>HD-14</t>
        </is>
      </c>
      <c r="I13" s="56" t="inlineStr">
        <is>
          <t>5.9X4.8</t>
        </is>
      </c>
      <c r="J13" s="92">
        <f>80*60*2.5</f>
        <v/>
      </c>
      <c r="K13" s="56" t="n"/>
      <c r="L13" s="57" t="n"/>
      <c r="M13" s="27" t="n"/>
    </row>
    <row r="14" ht="32.1" customHeight="1">
      <c r="B14" s="57" t="n">
        <v>2</v>
      </c>
      <c r="C14" s="57" t="inlineStr">
        <is>
          <t>PHẠM HỮU ANH</t>
        </is>
      </c>
      <c r="D14" s="24" t="inlineStr">
        <is>
          <t>16h30-19h30</t>
        </is>
      </c>
      <c r="E14" s="18" t="inlineStr">
        <is>
          <t>3</t>
        </is>
      </c>
      <c r="F14" s="56" t="n"/>
      <c r="G14" s="56" t="n"/>
      <c r="H14" s="56" t="inlineStr">
        <is>
          <t>HD-M4
(7EA)</t>
        </is>
      </c>
      <c r="I14" s="56" t="inlineStr">
        <is>
          <t>M4</t>
        </is>
      </c>
      <c r="J14" s="92">
        <f>180*60*2.5*7</f>
        <v/>
      </c>
      <c r="K14" s="56" t="n"/>
      <c r="L14" s="57" t="n"/>
      <c r="M14" s="27" t="n"/>
    </row>
    <row r="15" ht="32.1" customHeight="1">
      <c r="B15" s="57" t="n">
        <v>3</v>
      </c>
      <c r="C15" s="57" t="inlineStr">
        <is>
          <t>PHẠM TUẤN VŨ</t>
        </is>
      </c>
      <c r="D15" s="24" t="inlineStr">
        <is>
          <t>16h30-19h30</t>
        </is>
      </c>
      <c r="E15" s="18" t="inlineStr">
        <is>
          <t>3</t>
        </is>
      </c>
      <c r="F15" s="56" t="n"/>
      <c r="G15" s="56" t="n"/>
      <c r="H15" s="56" t="inlineStr">
        <is>
          <t>HD-M4
(7EA)</t>
        </is>
      </c>
      <c r="I15" s="56" t="inlineStr">
        <is>
          <t>M4</t>
        </is>
      </c>
      <c r="J15" s="92">
        <f>180*60*2.5*7</f>
        <v/>
      </c>
      <c r="K15" s="56" t="n"/>
      <c r="L15" s="57" t="n"/>
      <c r="M15" s="27" t="n"/>
    </row>
    <row r="16" ht="71.25" customHeight="1">
      <c r="B16" s="19" t="n"/>
      <c r="T16" s="12" t="inlineStr">
        <is>
          <t xml:space="preserve"> </t>
        </is>
      </c>
    </row>
    <row r="17" ht="16.5" customFormat="1" customHeight="1" s="11">
      <c r="B17" s="62" t="inlineStr">
        <is>
          <t>* Lưu ý: Đề nghị viết phiếu tăng ca và nộp cho phòng Nhân sự trước 14h30 trước khi tăng ca. Trường hợp tăng ca trước và nộp đơn sau thì sẽ không được tính tiền tăng ca của ngày đó.</t>
        </is>
      </c>
    </row>
    <row r="18" ht="23.25" customFormat="1" customHeight="1" s="11"/>
    <row r="19" ht="3.75" customFormat="1" customHeight="1" s="11">
      <c r="B19" s="61" t="n"/>
    </row>
    <row r="20" ht="33" customFormat="1" customHeight="1" s="11"/>
    <row r="21" ht="17.25" customHeight="1"/>
    <row r="22" ht="5.25" customHeight="1"/>
  </sheetData>
  <mergeCells count="21">
    <mergeCell ref="C9:C13"/>
    <mergeCell ref="B9:B13"/>
    <mergeCell ref="I7:I8"/>
    <mergeCell ref="M7:M8"/>
    <mergeCell ref="F7:G7"/>
    <mergeCell ref="D9:D13"/>
    <mergeCell ref="F9:F13"/>
    <mergeCell ref="H7:H8"/>
    <mergeCell ref="J7:J8"/>
    <mergeCell ref="G9:G13"/>
    <mergeCell ref="B17:M18"/>
    <mergeCell ref="D7:E7"/>
    <mergeCell ref="B5:G5"/>
    <mergeCell ref="H5:M5"/>
    <mergeCell ref="C7:C8"/>
    <mergeCell ref="K7:K8"/>
    <mergeCell ref="B4:M4"/>
    <mergeCell ref="B19:M20"/>
    <mergeCell ref="E9:E13"/>
    <mergeCell ref="B7:B8"/>
    <mergeCell ref="L7:L8"/>
  </mergeCells>
  <printOptions horizontalCentered="1"/>
  <pageMargins left="0.3937007874015748" right="0.3937007874015748" top="0" bottom="0" header="0" footer="0"/>
  <pageSetup orientation="portrait" paperSize="9" scale="79"/>
  <drawing xmlns:r="http://schemas.openxmlformats.org/officeDocument/2006/relationships" r:id="rId1"/>
</worksheet>
</file>

<file path=xl/worksheets/sheet2.xml><?xml version="1.0" encoding="utf-8"?>
<worksheet xmlns="http://schemas.openxmlformats.org/spreadsheetml/2006/main">
  <sheetPr>
    <tabColor rgb="FFFF0000"/>
    <outlinePr summaryBelow="1" summaryRight="1"/>
    <pageSetUpPr fitToPage="1"/>
  </sheetPr>
  <dimension ref="A1:V16"/>
  <sheetViews>
    <sheetView zoomScaleNormal="100" zoomScaleSheetLayoutView="100" workbookViewId="0">
      <selection activeCell="C12" sqref="C12"/>
    </sheetView>
  </sheetViews>
  <sheetFormatPr baseColWidth="8" defaultColWidth="9.140625" defaultRowHeight="12.75"/>
  <cols>
    <col width="1.140625" customWidth="1" style="12" min="1" max="1"/>
    <col width="4.85546875" customWidth="1" style="12" min="2" max="2"/>
    <col width="20.42578125" customWidth="1" style="12" min="3" max="3"/>
    <col width="12.7109375" customWidth="1" style="12" min="4" max="4"/>
    <col width="8.7109375" customWidth="1" style="12" min="5" max="5"/>
    <col width="11.42578125" customWidth="1" style="12" min="6" max="6"/>
    <col width="11.5703125" customWidth="1" style="12" min="7" max="7"/>
    <col width="10.140625" customWidth="1" style="12" min="8" max="8"/>
    <col width="11.5703125" customWidth="1" style="12" min="9" max="9"/>
    <col width="8.140625" customWidth="1" style="12" min="10" max="11"/>
    <col width="5.28515625" customWidth="1" style="12" min="12" max="12"/>
    <col width="12.5703125" customWidth="1" style="12" min="13" max="13"/>
    <col width="9.140625" customWidth="1" style="12" min="14" max="16384"/>
  </cols>
  <sheetData>
    <row r="1" ht="15.75" customHeight="1">
      <c r="B1" s="11" t="n"/>
    </row>
    <row r="2" ht="15.75" customHeight="1">
      <c r="B2" s="11" t="n"/>
    </row>
    <row r="3" ht="15.75" customHeight="1">
      <c r="B3" s="13" t="n"/>
    </row>
    <row r="4" ht="65.45" customFormat="1" customHeight="1" s="14">
      <c r="B4" s="52" t="inlineStr">
        <is>
          <t>PHIẾU ĐĂNG KÝ TĂNG CA 
OVERTIME REGISTRATION FORM</t>
        </is>
      </c>
      <c r="C4" s="87" t="n"/>
      <c r="D4" s="87" t="n"/>
      <c r="E4" s="87" t="n"/>
      <c r="F4" s="87" t="n"/>
      <c r="G4" s="87" t="n"/>
      <c r="H4" s="87" t="n"/>
      <c r="I4" s="87" t="n"/>
      <c r="J4" s="87" t="n"/>
      <c r="K4" s="87" t="n"/>
      <c r="L4" s="87" t="n"/>
      <c r="M4" s="87" t="n"/>
    </row>
    <row r="5" ht="38.25" customFormat="1" customHeight="1" s="14">
      <c r="B5" s="88" t="inlineStr">
        <is>
          <t>Người yêu cầu:  HOÀNG CHÍNH HỮU
Requestor</t>
        </is>
      </c>
      <c r="C5" s="89" t="n"/>
      <c r="D5" s="89" t="n"/>
      <c r="E5" s="89" t="n"/>
      <c r="F5" s="89" t="n"/>
      <c r="G5" s="90" t="n"/>
      <c r="H5" s="88" t="inlineStr">
        <is>
          <t>Bộ phận:  RL
Department:</t>
        </is>
      </c>
      <c r="I5" s="89" t="n"/>
      <c r="J5" s="89" t="n"/>
      <c r="K5" s="89" t="n"/>
      <c r="L5" s="89" t="n"/>
      <c r="M5" s="90" t="n"/>
      <c r="P5" s="26" t="n"/>
    </row>
    <row r="6" ht="9" customHeight="1"/>
    <row r="7" ht="38.45" customHeight="1">
      <c r="B7" s="56" t="inlineStr">
        <is>
          <t>STT
No.</t>
        </is>
      </c>
      <c r="C7" s="56" t="inlineStr">
        <is>
          <t xml:space="preserve">Họ và tên
Full Name
</t>
        </is>
      </c>
      <c r="D7" s="56" t="inlineStr">
        <is>
          <t>Thời gian đăng ký tăng ca
Registration time overtime</t>
        </is>
      </c>
      <c r="E7" s="90" t="n"/>
      <c r="F7" s="56" t="inlineStr">
        <is>
          <t>Thời gian tăng ca thực tế
Actual overtime</t>
        </is>
      </c>
      <c r="G7" s="90" t="n"/>
      <c r="H7" s="56" t="inlineStr">
        <is>
          <t>Thiết bị
sản xuất</t>
        </is>
      </c>
      <c r="I7" s="56" t="inlineStr">
        <is>
          <t>Mã hàng</t>
        </is>
      </c>
      <c r="J7" s="56" t="inlineStr">
        <is>
          <t>Số lượng
kế hoạch</t>
        </is>
      </c>
      <c r="K7" s="56" t="inlineStr">
        <is>
          <t>Số lượng thực tế</t>
        </is>
      </c>
      <c r="L7" s="56" t="inlineStr">
        <is>
          <t>Tỉ lệ</t>
        </is>
      </c>
      <c r="M7" s="56" t="inlineStr">
        <is>
          <t>Ghi chú</t>
        </is>
      </c>
      <c r="P7" s="26" t="n"/>
    </row>
    <row r="8" ht="42.6" customHeight="1">
      <c r="B8" s="91" t="n"/>
      <c r="C8" s="91" t="n"/>
      <c r="D8" s="56" t="inlineStr">
        <is>
          <t xml:space="preserve">
Từ------Đến-----
From….to
</t>
        </is>
      </c>
      <c r="E8" s="56" t="inlineStr">
        <is>
          <t>Số giờ
Total hour</t>
        </is>
      </c>
      <c r="F8" s="56" t="inlineStr">
        <is>
          <t>Giờ kết thúc
Finish time</t>
        </is>
      </c>
      <c r="G8" s="56" t="inlineStr">
        <is>
          <t>Số giờ
Total hour</t>
        </is>
      </c>
      <c r="H8" s="91" t="n"/>
      <c r="I8" s="91" t="n"/>
      <c r="J8" s="91" t="n"/>
      <c r="K8" s="91" t="n"/>
      <c r="L8" s="91" t="n"/>
      <c r="M8" s="91" t="n"/>
      <c r="O8" s="26" t="n"/>
    </row>
    <row r="9" ht="24.95" customHeight="1">
      <c r="B9" s="94" t="inlineStr">
        <is>
          <t>TĂNG CA TỐI</t>
        </is>
      </c>
      <c r="C9" s="89" t="n"/>
      <c r="D9" s="89" t="n"/>
      <c r="E9" s="89" t="n"/>
      <c r="F9" s="89" t="n"/>
      <c r="G9" s="89" t="n"/>
      <c r="H9" s="89" t="n"/>
      <c r="I9" s="89" t="n"/>
      <c r="J9" s="89" t="n"/>
      <c r="K9" s="89" t="n"/>
      <c r="L9" s="89" t="n"/>
      <c r="M9" s="90" t="n"/>
    </row>
    <row r="10" ht="28.5" customHeight="1">
      <c r="A10" s="20" t="n"/>
      <c r="B10" s="28" t="n">
        <v>1</v>
      </c>
      <c r="C10" s="28" t="inlineStr">
        <is>
          <t>LÊ ĐÌNH TUẤN</t>
        </is>
      </c>
      <c r="D10" s="63" t="inlineStr">
        <is>
          <t>16h30 - 19h30</t>
        </is>
      </c>
      <c r="E10" s="63" t="n">
        <v>3</v>
      </c>
      <c r="F10" s="63" t="n"/>
      <c r="G10" s="63" t="n"/>
      <c r="H10" s="21" t="inlineStr">
        <is>
          <t>VỆ SINH
MÁY LẠNH</t>
        </is>
      </c>
      <c r="I10" s="95" t="inlineStr">
        <is>
          <t>9/14 EA</t>
        </is>
      </c>
      <c r="J10" s="92" t="n"/>
      <c r="K10" s="21" t="n"/>
      <c r="L10" s="25" t="n"/>
      <c r="M10" s="95" t="inlineStr">
        <is>
          <t>Dự kiến
4 ngày</t>
        </is>
      </c>
      <c r="P10" s="23" t="n"/>
    </row>
    <row r="11" ht="28.5" customHeight="1">
      <c r="A11" s="20" t="n"/>
      <c r="B11" s="25" t="n">
        <v>2</v>
      </c>
      <c r="C11" s="25" t="inlineStr">
        <is>
          <t>NGUYỄN ANH TÚ</t>
        </is>
      </c>
      <c r="D11" s="21" t="inlineStr">
        <is>
          <t>16h30 - 19h30</t>
        </is>
      </c>
      <c r="E11" s="21" t="n">
        <v>3</v>
      </c>
      <c r="F11" s="21" t="n"/>
      <c r="G11" s="21" t="n"/>
      <c r="H11" s="91" t="n"/>
      <c r="I11" s="91" t="n"/>
      <c r="J11" s="92" t="n"/>
      <c r="K11" s="21" t="n"/>
      <c r="L11" s="25" t="n"/>
      <c r="M11" s="91" t="n"/>
      <c r="P11" s="23" t="n"/>
    </row>
    <row r="12" ht="71.25" customHeight="1">
      <c r="B12" s="19" t="inlineStr">
        <is>
          <t>u</t>
        </is>
      </c>
      <c r="V12" s="12" t="inlineStr">
        <is>
          <t xml:space="preserve"> </t>
        </is>
      </c>
    </row>
    <row r="13" ht="16.5" customFormat="1" customHeight="1" s="11">
      <c r="B13" s="62" t="inlineStr">
        <is>
          <t>* Lưu ý: Đề nghị viết phiếu tăng ca và nộp cho phòng Nhân sự trước 14h30 trước khi tăng ca. Trường hợp tăng ca trước và nộp đơn sau thì sẽ không được tính tiền tăng ca của ngày đó.</t>
        </is>
      </c>
    </row>
    <row r="14" ht="23.25" customFormat="1" customHeight="1" s="11"/>
    <row r="15" ht="3.75" customFormat="1" customHeight="1" s="11">
      <c r="B15" s="61" t="n"/>
    </row>
    <row r="16" ht="33" customFormat="1" customHeight="1" s="11"/>
    <row r="17" ht="17.25" customHeight="1"/>
    <row r="18" ht="5.25" customHeight="1"/>
  </sheetData>
  <mergeCells count="19">
    <mergeCell ref="I7:I8"/>
    <mergeCell ref="M7:M8"/>
    <mergeCell ref="F7:G7"/>
    <mergeCell ref="M10:M11"/>
    <mergeCell ref="H7:H8"/>
    <mergeCell ref="B9:M9"/>
    <mergeCell ref="J7:J8"/>
    <mergeCell ref="D7:E7"/>
    <mergeCell ref="B5:G5"/>
    <mergeCell ref="H5:M5"/>
    <mergeCell ref="C7:C8"/>
    <mergeCell ref="K7:K8"/>
    <mergeCell ref="B13:M14"/>
    <mergeCell ref="B4:M4"/>
    <mergeCell ref="I10:I11"/>
    <mergeCell ref="B15:M16"/>
    <mergeCell ref="B7:B8"/>
    <mergeCell ref="L7:L8"/>
    <mergeCell ref="H10:H11"/>
  </mergeCells>
  <printOptions horizontalCentered="1"/>
  <pageMargins left="0.3937007874015748" right="0.3937007874015748" top="0" bottom="0" header="0" footer="0"/>
  <pageSetup orientation="portrait" paperSize="9" scale="77"/>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58"/>
  <sheetViews>
    <sheetView tabSelected="1" workbookViewId="0">
      <selection activeCell="G12" sqref="G12"/>
    </sheetView>
  </sheetViews>
  <sheetFormatPr baseColWidth="8" defaultColWidth="9.140625" defaultRowHeight="21"/>
  <cols>
    <col width="9.85546875" bestFit="1" customWidth="1" style="3" min="1" max="1"/>
    <col width="38.5703125" customWidth="1" style="2" min="2" max="2"/>
    <col width="61.28515625" customWidth="1" style="3" min="3" max="3"/>
    <col width="14.140625" bestFit="1" customWidth="1" style="2" min="4" max="4"/>
    <col width="9.140625" customWidth="1" style="2" min="5" max="16384"/>
  </cols>
  <sheetData>
    <row r="1" ht="46.5" customFormat="1" customHeight="1" s="1">
      <c r="A1" s="79" t="inlineStr">
        <is>
          <t>DANH SÁCH NHÂN VIÊN HD &amp; RL</t>
        </is>
      </c>
    </row>
    <row r="2" customFormat="1" s="5">
      <c r="A2" s="4" t="inlineStr">
        <is>
          <t>STT</t>
        </is>
      </c>
      <c r="B2" s="4" t="inlineStr">
        <is>
          <t>HỌ VÀ TÊN</t>
        </is>
      </c>
      <c r="C2" s="4" t="inlineStr">
        <is>
          <t>BỘ PHẬN</t>
        </is>
      </c>
    </row>
    <row r="3" ht="15.75" customFormat="1" customHeight="1" s="8">
      <c r="A3" s="7" t="n">
        <v>1</v>
      </c>
      <c r="B3" s="9" t="inlineStr">
        <is>
          <t>TRẦN ANH TUẤN</t>
        </is>
      </c>
      <c r="C3" s="7" t="inlineStr">
        <is>
          <t>Heading</t>
        </is>
      </c>
    </row>
    <row r="4" ht="15.75" customFormat="1" customHeight="1" s="8">
      <c r="A4" s="7" t="n">
        <v>2</v>
      </c>
      <c r="B4" s="50" t="inlineStr">
        <is>
          <t>NGUYỄN TIẾN DŨNG</t>
        </is>
      </c>
      <c r="C4" s="7" t="inlineStr">
        <is>
          <t>Heading</t>
        </is>
      </c>
    </row>
    <row r="5" ht="15.75" customFormat="1" customHeight="1" s="8">
      <c r="A5" s="7" t="n">
        <v>3</v>
      </c>
      <c r="B5" s="50" t="inlineStr">
        <is>
          <t>NGUYỄN XUÂN QUANG</t>
        </is>
      </c>
      <c r="C5" s="7" t="inlineStr">
        <is>
          <t>Heading</t>
        </is>
      </c>
    </row>
    <row r="6" ht="15.75" customFormat="1" customHeight="1" s="8">
      <c r="A6" s="7" t="n">
        <v>4</v>
      </c>
      <c r="B6" s="50" t="inlineStr">
        <is>
          <t>PHẠM TUẤN VŨ</t>
        </is>
      </c>
      <c r="C6" s="7" t="inlineStr">
        <is>
          <t>Heading</t>
        </is>
      </c>
    </row>
    <row r="7" ht="15.75" customFormat="1" customHeight="1" s="8">
      <c r="A7" s="7" t="n">
        <v>5</v>
      </c>
      <c r="B7" s="50" t="inlineStr">
        <is>
          <t>PHẠM TẤN PHONG</t>
        </is>
      </c>
      <c r="C7" s="7" t="inlineStr">
        <is>
          <t>Heading</t>
        </is>
      </c>
    </row>
    <row r="8" ht="15.75" customFormat="1" customHeight="1" s="8">
      <c r="A8" s="7" t="n">
        <v>6</v>
      </c>
      <c r="B8" s="50" t="inlineStr">
        <is>
          <t>HÀ QUỐC ĐIỆP</t>
        </is>
      </c>
      <c r="C8" s="7" t="inlineStr">
        <is>
          <t>Heading</t>
        </is>
      </c>
    </row>
    <row r="9" ht="15.75" customFormat="1" customHeight="1" s="8">
      <c r="A9" s="7" t="n">
        <v>7</v>
      </c>
      <c r="B9" s="50" t="inlineStr">
        <is>
          <t>PHẠM HỮU ANH</t>
        </is>
      </c>
      <c r="C9" s="7" t="inlineStr">
        <is>
          <t>Heading</t>
        </is>
      </c>
    </row>
    <row r="10" ht="15.75" customFormat="1" customHeight="1" s="8">
      <c r="A10" s="7" t="n">
        <v>8</v>
      </c>
      <c r="B10" s="50" t="inlineStr">
        <is>
          <t>VŨ CÔNG THAO</t>
        </is>
      </c>
      <c r="C10" s="7" t="inlineStr">
        <is>
          <t>Heading</t>
        </is>
      </c>
    </row>
    <row r="11" ht="15.75" customFormat="1" customHeight="1" s="8">
      <c r="A11" s="7" t="n">
        <v>9</v>
      </c>
      <c r="B11" s="50" t="inlineStr">
        <is>
          <t>NGUYỄN ĐỨC GIÁP</t>
        </is>
      </c>
      <c r="C11" s="7" t="inlineStr">
        <is>
          <t>Heading</t>
        </is>
      </c>
    </row>
    <row r="12" ht="15.75" customFormat="1" customHeight="1" s="8">
      <c r="A12" s="7" t="n">
        <v>10</v>
      </c>
      <c r="B12" s="50" t="inlineStr">
        <is>
          <t>NGUYỄN CẢNH THIẾT</t>
        </is>
      </c>
      <c r="C12" s="7" t="inlineStr">
        <is>
          <t>Heading</t>
        </is>
      </c>
    </row>
    <row r="13" ht="15.75" customFormat="1" customHeight="1" s="8">
      <c r="A13" s="7" t="n">
        <v>11</v>
      </c>
      <c r="B13" s="50" t="inlineStr">
        <is>
          <t>NGUYỄN QUỐC BẢO</t>
        </is>
      </c>
      <c r="C13" s="7" t="inlineStr">
        <is>
          <t>Heading</t>
        </is>
      </c>
    </row>
    <row r="14" ht="15.75" customFormat="1" customHeight="1" s="8">
      <c r="A14" s="7" t="n">
        <v>12</v>
      </c>
      <c r="B14" s="50" t="inlineStr">
        <is>
          <t>TRẦN XUÂN ĐẠT</t>
        </is>
      </c>
      <c r="C14" s="7" t="inlineStr">
        <is>
          <t>Heading</t>
        </is>
      </c>
    </row>
    <row r="15" ht="15.75" customFormat="1" customHeight="1" s="8">
      <c r="A15" s="7" t="n">
        <v>13</v>
      </c>
      <c r="B15" s="51" t="inlineStr">
        <is>
          <t>HỨA TẤN ANH</t>
        </is>
      </c>
      <c r="C15" s="7" t="inlineStr">
        <is>
          <t>Heading</t>
        </is>
      </c>
    </row>
    <row r="16" ht="15.75" customFormat="1" customHeight="1" s="8">
      <c r="A16" s="7" t="n">
        <v>14</v>
      </c>
      <c r="B16" s="10" t="inlineStr">
        <is>
          <t>ĐINH MẠNH HOÀNG</t>
        </is>
      </c>
      <c r="C16" s="7" t="inlineStr">
        <is>
          <t>Rolling</t>
        </is>
      </c>
    </row>
    <row r="17" customFormat="1" s="5">
      <c r="A17" s="4" t="n"/>
      <c r="B17" s="4" t="n"/>
      <c r="C17" s="4" t="n"/>
    </row>
    <row r="18" ht="15.75" customFormat="1" customHeight="1" s="8">
      <c r="A18" s="7" t="n">
        <v>1</v>
      </c>
      <c r="B18" s="9" t="inlineStr">
        <is>
          <t>BÙI DOÃN TOÀN</t>
        </is>
      </c>
      <c r="C18" s="7" t="inlineStr">
        <is>
          <t>Rolling</t>
        </is>
      </c>
    </row>
    <row r="19" ht="15.75" customFormat="1" customHeight="1" s="8">
      <c r="A19" s="7" t="n">
        <v>2</v>
      </c>
      <c r="B19" s="9" t="inlineStr">
        <is>
          <t>DƯƠNG ĐỨC LINH</t>
        </is>
      </c>
      <c r="C19" s="7" t="inlineStr">
        <is>
          <t>Rolling</t>
        </is>
      </c>
    </row>
    <row r="20" ht="15.75" customFormat="1" customHeight="1" s="8">
      <c r="A20" s="7" t="n">
        <v>3</v>
      </c>
      <c r="B20" s="9" t="inlineStr">
        <is>
          <t>NGUYỄN VĂN TÙNG (A)</t>
        </is>
      </c>
      <c r="C20" s="7" t="inlineStr">
        <is>
          <t>Rolling</t>
        </is>
      </c>
    </row>
    <row r="21" ht="15.75" customFormat="1" customHeight="1" s="8">
      <c r="A21" s="7" t="n">
        <v>4</v>
      </c>
      <c r="B21" s="9" t="inlineStr">
        <is>
          <t>HỒ VĂN BÁU</t>
        </is>
      </c>
      <c r="C21" s="7" t="inlineStr">
        <is>
          <t>Rolling</t>
        </is>
      </c>
    </row>
    <row r="22" ht="15.75" customFormat="1" customHeight="1" s="8">
      <c r="A22" s="7" t="n">
        <v>5</v>
      </c>
      <c r="B22" s="9" t="inlineStr">
        <is>
          <t>VÕ VĂN TRÌNH</t>
        </is>
      </c>
      <c r="C22" s="7" t="inlineStr">
        <is>
          <t>Rolling</t>
        </is>
      </c>
    </row>
    <row r="23" ht="15.75" customFormat="1" customHeight="1" s="8">
      <c r="A23" s="7" t="n">
        <v>6</v>
      </c>
      <c r="B23" s="9" t="inlineStr">
        <is>
          <t>NGUYỄN VĂN TUẤN</t>
        </is>
      </c>
      <c r="C23" s="7" t="inlineStr">
        <is>
          <t>Rolling</t>
        </is>
      </c>
    </row>
    <row r="24" ht="15.75" customFormat="1" customHeight="1" s="8">
      <c r="A24" s="7" t="n">
        <v>7</v>
      </c>
      <c r="B24" s="9" t="inlineStr">
        <is>
          <t>ĐỖ HUY HOÀNG</t>
        </is>
      </c>
      <c r="C24" s="7" t="inlineStr">
        <is>
          <t>Rolling</t>
        </is>
      </c>
    </row>
    <row r="25" ht="15.75" customFormat="1" customHeight="1" s="8">
      <c r="A25" s="7" t="n">
        <v>8</v>
      </c>
      <c r="B25" s="9" t="inlineStr">
        <is>
          <t>LÊ ĐÌNH TUẤN</t>
        </is>
      </c>
      <c r="C25" s="7" t="inlineStr">
        <is>
          <t>Rolling</t>
        </is>
      </c>
    </row>
    <row r="26" ht="15.75" customFormat="1" customHeight="1" s="8">
      <c r="A26" s="7" t="n">
        <v>9</v>
      </c>
      <c r="B26" s="9" t="inlineStr">
        <is>
          <t>NGUYỄN ANH TÚ</t>
        </is>
      </c>
      <c r="C26" s="7" t="inlineStr">
        <is>
          <t>Rolling</t>
        </is>
      </c>
    </row>
    <row r="27" ht="15.75" customFormat="1" customHeight="1" s="8">
      <c r="A27" s="7" t="n">
        <v>10</v>
      </c>
      <c r="B27" s="9" t="inlineStr">
        <is>
          <t>ĐỖ HOÀNG SƠN</t>
        </is>
      </c>
      <c r="C27" s="7" t="inlineStr">
        <is>
          <t>Rolling</t>
        </is>
      </c>
    </row>
    <row r="28" ht="15.75" customFormat="1" customHeight="1" s="8">
      <c r="A28" s="7" t="n">
        <v>11</v>
      </c>
      <c r="B28" s="10" t="inlineStr">
        <is>
          <t>LƯƠNG HOÀNG NHÂN</t>
        </is>
      </c>
      <c r="C28" s="7" t="inlineStr">
        <is>
          <t>Rolling</t>
        </is>
      </c>
    </row>
    <row r="50" customFormat="1" s="96">
      <c r="A50" s="3" t="n"/>
      <c r="B50" s="2" t="n"/>
      <c r="C50" s="3" t="n"/>
    </row>
    <row r="51" customFormat="1" s="96">
      <c r="A51" s="3" t="n"/>
      <c r="B51" s="2" t="n"/>
      <c r="C51" s="3" t="n"/>
    </row>
    <row r="56" customFormat="1" s="96">
      <c r="A56" s="3" t="n"/>
      <c r="B56" s="2" t="n"/>
      <c r="C56" s="3" t="n"/>
    </row>
    <row r="57" customFormat="1" s="96">
      <c r="A57" s="3" t="n"/>
      <c r="B57" s="2" t="n"/>
      <c r="C57" s="3" t="n"/>
    </row>
    <row r="58" customFormat="1" s="96">
      <c r="A58" s="3" t="n"/>
      <c r="B58" s="2" t="n"/>
      <c r="C58" s="3" t="n"/>
    </row>
  </sheetData>
  <autoFilter ref="A2:C2"/>
  <mergeCells count="1">
    <mergeCell ref="A1:C1"/>
  </mergeCell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2:I43"/>
  <sheetViews>
    <sheetView workbookViewId="0">
      <selection activeCell="H10" sqref="H10"/>
    </sheetView>
  </sheetViews>
  <sheetFormatPr baseColWidth="8" defaultColWidth="8.7109375" defaultRowHeight="12.75"/>
  <cols>
    <col width="7.5703125" customWidth="1" style="30" min="1" max="1"/>
    <col width="12.5703125" customWidth="1" style="30" min="2" max="3"/>
    <col width="13.140625" bestFit="1" customWidth="1" style="30" min="4" max="4"/>
    <col width="29.85546875" bestFit="1" customWidth="1" style="30" min="5" max="5"/>
    <col width="15.5703125" customWidth="1" style="30" min="6" max="6"/>
    <col width="12" customWidth="1" style="31" min="7" max="7"/>
    <col width="28.5703125" customWidth="1" style="31" min="8" max="8"/>
    <col width="15.85546875" customWidth="1" style="30" min="9" max="9"/>
    <col width="8.7109375" customWidth="1" style="30" min="10" max="16384"/>
  </cols>
  <sheetData>
    <row r="1" ht="13.5" customHeight="1" thickBot="1"/>
    <row r="2" ht="44.25" customHeight="1" thickBot="1">
      <c r="A2" s="97" t="inlineStr">
        <is>
          <t>RPM by Production Equipment</t>
        </is>
      </c>
      <c r="B2" s="98" t="n"/>
      <c r="C2" s="98" t="n"/>
      <c r="D2" s="98" t="n"/>
      <c r="E2" s="98" t="n"/>
      <c r="F2" s="98" t="n"/>
      <c r="G2" s="98" t="n"/>
      <c r="H2" s="98" t="n"/>
      <c r="I2" s="99" t="n"/>
    </row>
    <row r="3" ht="15.75" customHeight="1" thickBot="1">
      <c r="A3" s="83" t="inlineStr">
        <is>
          <t>Update: 2024.06.14</t>
        </is>
      </c>
      <c r="B3" s="100" t="n"/>
      <c r="C3" s="32" t="n"/>
      <c r="D3" s="32" t="n"/>
    </row>
    <row r="4" ht="17.25" customFormat="1" customHeight="1" s="37">
      <c r="A4" s="33" t="inlineStr">
        <is>
          <t>No</t>
        </is>
      </c>
      <c r="B4" s="34" t="inlineStr">
        <is>
          <t>Machine</t>
        </is>
      </c>
      <c r="C4" s="34" t="inlineStr">
        <is>
          <t>Quy cách</t>
        </is>
      </c>
      <c r="D4" s="34" t="inlineStr">
        <is>
          <t>Type</t>
        </is>
      </c>
      <c r="E4" s="35" t="inlineStr">
        <is>
          <t>Model / Maker</t>
        </is>
      </c>
      <c r="F4" s="35" t="inlineStr">
        <is>
          <t>Spec</t>
        </is>
      </c>
      <c r="G4" s="34" t="inlineStr">
        <is>
          <t>Max RPM</t>
        </is>
      </c>
      <c r="H4" s="47" t="inlineStr">
        <is>
          <t>Số lượng sản xuất 1 tiếng</t>
        </is>
      </c>
      <c r="I4" s="36" t="inlineStr">
        <is>
          <t>Remark</t>
        </is>
      </c>
    </row>
    <row r="5" ht="36" customHeight="1">
      <c r="A5" s="38" t="n">
        <v>1</v>
      </c>
      <c r="B5" s="39" t="inlineStr">
        <is>
          <t>HD-01</t>
        </is>
      </c>
      <c r="C5" s="39" t="inlineStr">
        <is>
          <t>M12</t>
        </is>
      </c>
      <c r="D5" s="40" t="inlineStr">
        <is>
          <t>FORMER</t>
        </is>
      </c>
      <c r="E5" s="41" t="inlineStr">
        <is>
          <t>BP-440L
SAKAMURA (JAPAN)</t>
        </is>
      </c>
      <c r="F5" s="39" t="inlineStr">
        <is>
          <t>M12 / 4D4B</t>
        </is>
      </c>
      <c r="G5" s="39" t="n">
        <v>55</v>
      </c>
      <c r="H5" s="48">
        <f>G5*60</f>
        <v/>
      </c>
      <c r="I5" s="42" t="n"/>
    </row>
    <row r="6" ht="36" customHeight="1">
      <c r="A6" s="38" t="n">
        <v>2</v>
      </c>
      <c r="B6" s="39" t="inlineStr">
        <is>
          <t>HD-02</t>
        </is>
      </c>
      <c r="C6" s="39" t="inlineStr">
        <is>
          <t>M10</t>
        </is>
      </c>
      <c r="D6" s="39" t="inlineStr">
        <is>
          <t>HEADER</t>
        </is>
      </c>
      <c r="E6" s="39" t="inlineStr">
        <is>
          <t>PL-JENJAOP (KOREA)</t>
        </is>
      </c>
      <c r="F6" s="39" t="inlineStr">
        <is>
          <t>M10 / 2D3B</t>
        </is>
      </c>
      <c r="G6" s="39" t="n">
        <v>45</v>
      </c>
      <c r="H6" s="48">
        <f>G6*60</f>
        <v/>
      </c>
      <c r="I6" s="42" t="n"/>
    </row>
    <row r="7" ht="36" customHeight="1">
      <c r="A7" s="38" t="n">
        <v>3</v>
      </c>
      <c r="B7" s="39" t="inlineStr">
        <is>
          <t>HD-03</t>
        </is>
      </c>
      <c r="C7" s="39" t="inlineStr">
        <is>
          <t>M10</t>
        </is>
      </c>
      <c r="D7" s="40" t="inlineStr">
        <is>
          <t>FORMER</t>
        </is>
      </c>
      <c r="E7" s="41" t="inlineStr">
        <is>
          <t>KMF-410
KOREA MACHINERY (KOREA)</t>
        </is>
      </c>
      <c r="F7" s="39" t="inlineStr">
        <is>
          <t>M10 / 4D4B</t>
        </is>
      </c>
      <c r="G7" s="39" t="n">
        <v>90</v>
      </c>
      <c r="H7" s="48">
        <f>G7*60</f>
        <v/>
      </c>
      <c r="I7" s="42" t="n"/>
    </row>
    <row r="8" ht="36" customHeight="1">
      <c r="A8" s="38" t="n">
        <v>4</v>
      </c>
      <c r="B8" s="39" t="inlineStr">
        <is>
          <t>HD-04</t>
        </is>
      </c>
      <c r="C8" s="39" t="inlineStr">
        <is>
          <t>M10</t>
        </is>
      </c>
      <c r="D8" s="40" t="inlineStr">
        <is>
          <t>FORMER</t>
        </is>
      </c>
      <c r="E8" s="41" t="inlineStr">
        <is>
          <t>FR-330
SAKAMURA (JAPAN)</t>
        </is>
      </c>
      <c r="F8" s="39" t="inlineStr">
        <is>
          <t>M10 / 3D3B</t>
        </is>
      </c>
      <c r="G8" s="39" t="n">
        <v>90</v>
      </c>
      <c r="H8" s="48">
        <f>G8*60</f>
        <v/>
      </c>
      <c r="I8" s="42" t="n"/>
    </row>
    <row r="9" ht="36" customHeight="1">
      <c r="A9" s="38" t="n">
        <v>5</v>
      </c>
      <c r="B9" s="39" t="inlineStr">
        <is>
          <t>HD-4A</t>
        </is>
      </c>
      <c r="C9" s="39" t="inlineStr">
        <is>
          <t>M10</t>
        </is>
      </c>
      <c r="D9" s="40" t="inlineStr">
        <is>
          <t>FORMER</t>
        </is>
      </c>
      <c r="E9" s="41" t="inlineStr">
        <is>
          <t>S-330
SAKAMURA (JAPAN)</t>
        </is>
      </c>
      <c r="F9" s="39" t="inlineStr">
        <is>
          <t>M10 / 3D3B</t>
        </is>
      </c>
      <c r="G9" s="39" t="n">
        <v>90</v>
      </c>
      <c r="H9" s="48">
        <f>G9*60</f>
        <v/>
      </c>
      <c r="I9" s="42" t="n"/>
    </row>
    <row r="10" ht="36" customHeight="1">
      <c r="A10" s="38" t="n">
        <v>6</v>
      </c>
      <c r="B10" s="39" t="inlineStr">
        <is>
          <t>HD-05</t>
        </is>
      </c>
      <c r="C10" s="39" t="inlineStr">
        <is>
          <t>M10</t>
        </is>
      </c>
      <c r="D10" s="39" t="inlineStr">
        <is>
          <t>HEADER</t>
        </is>
      </c>
      <c r="E10" s="41" t="inlineStr">
        <is>
          <t>CH-10LL
CHUN ZU (KOREA)</t>
        </is>
      </c>
      <c r="F10" s="39" t="inlineStr">
        <is>
          <t>M10 / 1D2B</t>
        </is>
      </c>
      <c r="G10" s="39" t="n">
        <v>55</v>
      </c>
      <c r="H10" s="48">
        <f>G10*60</f>
        <v/>
      </c>
      <c r="I10" s="42" t="n"/>
    </row>
    <row r="11" ht="36" customHeight="1">
      <c r="A11" s="38" t="n">
        <v>7</v>
      </c>
      <c r="B11" s="39" t="inlineStr">
        <is>
          <t>HD-06</t>
        </is>
      </c>
      <c r="C11" s="39" t="inlineStr">
        <is>
          <t>M10</t>
        </is>
      </c>
      <c r="D11" s="39" t="inlineStr">
        <is>
          <t>HEADER</t>
        </is>
      </c>
      <c r="E11" s="41" t="inlineStr">
        <is>
          <t>2310HD5100
KOREA MACHINE (KOREA)</t>
        </is>
      </c>
      <c r="F11" s="39" t="inlineStr">
        <is>
          <t>M10 / 2D3B</t>
        </is>
      </c>
      <c r="G11" s="39" t="n">
        <v>45</v>
      </c>
      <c r="H11" s="48">
        <f>G11*60</f>
        <v/>
      </c>
      <c r="I11" s="42" t="n"/>
    </row>
    <row r="12" ht="36" customHeight="1">
      <c r="A12" s="38" t="n">
        <v>8</v>
      </c>
      <c r="B12" s="39" t="inlineStr">
        <is>
          <t>HD-07</t>
        </is>
      </c>
      <c r="C12" s="39" t="inlineStr">
        <is>
          <t>M8</t>
        </is>
      </c>
      <c r="D12" s="40" t="inlineStr">
        <is>
          <t>FORMER</t>
        </is>
      </c>
      <c r="E12" s="41" t="inlineStr">
        <is>
          <t>JBF-13B2S
JERN YAO (TAIWAN)</t>
        </is>
      </c>
      <c r="F12" s="39" t="inlineStr">
        <is>
          <t>M8 / 2D-2B</t>
        </is>
      </c>
      <c r="G12" s="39" t="n">
        <v>140</v>
      </c>
      <c r="H12" s="48">
        <f>G12*60</f>
        <v/>
      </c>
      <c r="I12" s="42" t="n"/>
    </row>
    <row r="13" ht="36" customHeight="1">
      <c r="A13" s="38" t="n">
        <v>9</v>
      </c>
      <c r="B13" s="39" t="inlineStr">
        <is>
          <t>HD-7A</t>
        </is>
      </c>
      <c r="C13" s="39" t="inlineStr">
        <is>
          <t>M8</t>
        </is>
      </c>
      <c r="D13" s="40" t="inlineStr">
        <is>
          <t>FORMER</t>
        </is>
      </c>
      <c r="E13" s="41" t="inlineStr">
        <is>
          <t>AOT-8B
A.O COMPANY (JAPAN)</t>
        </is>
      </c>
      <c r="F13" s="39" t="inlineStr">
        <is>
          <t>M8 / 2D-2B</t>
        </is>
      </c>
      <c r="G13" s="39" t="n">
        <v>140</v>
      </c>
      <c r="H13" s="48">
        <f>G13*60</f>
        <v/>
      </c>
      <c r="I13" s="42" t="n"/>
    </row>
    <row r="14" ht="36" customHeight="1">
      <c r="A14" s="38" t="n">
        <v>10</v>
      </c>
      <c r="B14" s="39" t="inlineStr">
        <is>
          <t>HD-08</t>
        </is>
      </c>
      <c r="C14" s="39" t="inlineStr">
        <is>
          <t>M8</t>
        </is>
      </c>
      <c r="D14" s="39" t="inlineStr">
        <is>
          <t>HEADER</t>
        </is>
      </c>
      <c r="E14" s="41" t="inlineStr">
        <is>
          <t>HS-8
HAN SHIN (KOREA)</t>
        </is>
      </c>
      <c r="F14" s="39" t="inlineStr">
        <is>
          <t>M8 / 2D-3B</t>
        </is>
      </c>
      <c r="G14" s="39" t="n">
        <v>55</v>
      </c>
      <c r="H14" s="48">
        <f>G14*60</f>
        <v/>
      </c>
      <c r="I14" s="42" t="n"/>
    </row>
    <row r="15" ht="36" customHeight="1">
      <c r="A15" s="38" t="n">
        <v>11</v>
      </c>
      <c r="B15" s="39" t="inlineStr">
        <is>
          <t>HD-8A</t>
        </is>
      </c>
      <c r="C15" s="39" t="inlineStr">
        <is>
          <t>M8</t>
        </is>
      </c>
      <c r="D15" s="39" t="inlineStr">
        <is>
          <t>HEADER</t>
        </is>
      </c>
      <c r="E15" s="41" t="inlineStr">
        <is>
          <t>PF-860
NEW (JAPAN)</t>
        </is>
      </c>
      <c r="F15" s="39" t="inlineStr">
        <is>
          <t>M8 / 2D-3B</t>
        </is>
      </c>
      <c r="G15" s="39" t="n">
        <v>55</v>
      </c>
      <c r="H15" s="48">
        <f>G15*60</f>
        <v/>
      </c>
      <c r="I15" s="42" t="n"/>
    </row>
    <row r="16" ht="36" customHeight="1">
      <c r="A16" s="38" t="n">
        <v>12</v>
      </c>
      <c r="B16" s="39" t="inlineStr">
        <is>
          <t>HD-09</t>
        </is>
      </c>
      <c r="C16" s="39" t="inlineStr">
        <is>
          <t>M6</t>
        </is>
      </c>
      <c r="D16" s="39" t="inlineStr">
        <is>
          <t>HEADER</t>
        </is>
      </c>
      <c r="E16" s="41" t="inlineStr">
        <is>
          <t>PF-630
NEW (JAPAN)</t>
        </is>
      </c>
      <c r="F16" s="39" t="inlineStr">
        <is>
          <t>M6 / 2D-3B</t>
        </is>
      </c>
      <c r="G16" s="39" t="n">
        <v>70</v>
      </c>
      <c r="H16" s="48">
        <f>G16*60</f>
        <v/>
      </c>
      <c r="I16" s="42" t="n"/>
    </row>
    <row r="17" ht="36" customHeight="1">
      <c r="A17" s="38" t="n">
        <v>13</v>
      </c>
      <c r="B17" s="39" t="inlineStr">
        <is>
          <t>HD-9A</t>
        </is>
      </c>
      <c r="C17" s="39" t="inlineStr">
        <is>
          <t>M8</t>
        </is>
      </c>
      <c r="D17" s="40" t="inlineStr">
        <is>
          <t>FORMER</t>
        </is>
      </c>
      <c r="E17" s="41" t="inlineStr">
        <is>
          <t>S-320
SAKAMURA (JAPAN)</t>
        </is>
      </c>
      <c r="F17" s="39" t="inlineStr">
        <is>
          <t>M6 / 3D-3B</t>
        </is>
      </c>
      <c r="G17" s="39" t="n">
        <v>115</v>
      </c>
      <c r="H17" s="48">
        <f>G17*60</f>
        <v/>
      </c>
      <c r="I17" s="42" t="n"/>
    </row>
    <row r="18" ht="36" customHeight="1">
      <c r="A18" s="38" t="n">
        <v>14</v>
      </c>
      <c r="B18" s="39" t="inlineStr">
        <is>
          <t>HD-9B</t>
        </is>
      </c>
      <c r="C18" s="39" t="inlineStr">
        <is>
          <t>M6</t>
        </is>
      </c>
      <c r="D18" s="40" t="inlineStr">
        <is>
          <t>FORMER</t>
        </is>
      </c>
      <c r="E18" s="41" t="inlineStr">
        <is>
          <t>KD304
SHANGHAI YIMING MACHINERY</t>
        </is>
      </c>
      <c r="F18" s="39" t="inlineStr">
        <is>
          <t>M4 / 3D-3B</t>
        </is>
      </c>
      <c r="G18" s="39" t="n">
        <v>280</v>
      </c>
      <c r="H18" s="48">
        <f>G18*60</f>
        <v/>
      </c>
      <c r="I18" s="42" t="n"/>
    </row>
    <row r="19" ht="36" customHeight="1">
      <c r="A19" s="38" t="n">
        <v>15</v>
      </c>
      <c r="B19" s="39" t="inlineStr">
        <is>
          <t>HD-10</t>
        </is>
      </c>
      <c r="C19" s="39" t="inlineStr">
        <is>
          <t>M6</t>
        </is>
      </c>
      <c r="D19" s="41" t="inlineStr">
        <is>
          <t>HEADER</t>
        </is>
      </c>
      <c r="E19" s="39" t="inlineStr">
        <is>
          <t>(KOREA)</t>
        </is>
      </c>
      <c r="F19" s="39" t="inlineStr">
        <is>
          <t>M6 / 1D-2B</t>
        </is>
      </c>
      <c r="G19" s="39" t="n">
        <v>100</v>
      </c>
      <c r="H19" s="48">
        <f>G19*60</f>
        <v/>
      </c>
      <c r="I19" s="42" t="n"/>
    </row>
    <row r="20" ht="36" customHeight="1">
      <c r="A20" s="38" t="n">
        <v>16</v>
      </c>
      <c r="B20" s="39" t="inlineStr">
        <is>
          <t>HD-11</t>
        </is>
      </c>
      <c r="C20" s="39" t="inlineStr">
        <is>
          <t>M6</t>
        </is>
      </c>
      <c r="D20" s="41" t="inlineStr">
        <is>
          <t>HEADER</t>
        </is>
      </c>
      <c r="E20" s="41" t="inlineStr">
        <is>
          <t>CH-6L
CHUN ZU (TAIWAN)</t>
        </is>
      </c>
      <c r="F20" s="39" t="inlineStr">
        <is>
          <t>M6 / 1D-2B</t>
        </is>
      </c>
      <c r="G20" s="39" t="n">
        <v>110</v>
      </c>
      <c r="H20" s="48">
        <f>G20*60</f>
        <v/>
      </c>
      <c r="I20" s="42" t="n"/>
    </row>
    <row r="21" ht="36" customHeight="1">
      <c r="A21" s="38" t="n">
        <v>17</v>
      </c>
      <c r="B21" s="39" t="inlineStr">
        <is>
          <t>HD-12</t>
        </is>
      </c>
      <c r="C21" s="39" t="inlineStr">
        <is>
          <t>M6</t>
        </is>
      </c>
      <c r="D21" s="41" t="inlineStr">
        <is>
          <t>HEADER</t>
        </is>
      </c>
      <c r="E21" s="41" t="inlineStr">
        <is>
          <t>CH-6S
CHUN ZU (TAIWAN)</t>
        </is>
      </c>
      <c r="F21" s="39" t="inlineStr">
        <is>
          <t>M6 / 1D-2B</t>
        </is>
      </c>
      <c r="G21" s="39" t="n">
        <v>110</v>
      </c>
      <c r="H21" s="48">
        <f>G21*60</f>
        <v/>
      </c>
      <c r="I21" s="42" t="n"/>
    </row>
    <row r="22" ht="36" customHeight="1">
      <c r="A22" s="38" t="n">
        <v>18</v>
      </c>
      <c r="B22" s="39" t="inlineStr">
        <is>
          <t>HD-13</t>
        </is>
      </c>
      <c r="C22" s="39" t="inlineStr">
        <is>
          <t>M6</t>
        </is>
      </c>
      <c r="D22" s="41" t="inlineStr">
        <is>
          <t>HEADER</t>
        </is>
      </c>
      <c r="E22" s="41" t="inlineStr">
        <is>
          <t>CH-6S
CHUN ZU (TAIWAN)</t>
        </is>
      </c>
      <c r="F22" s="39" t="inlineStr">
        <is>
          <t>M6 / 1D-2B</t>
        </is>
      </c>
      <c r="G22" s="39" t="n">
        <v>110</v>
      </c>
      <c r="H22" s="48">
        <f>G22*60</f>
        <v/>
      </c>
      <c r="I22" s="42" t="n"/>
    </row>
    <row r="23" ht="36" customHeight="1">
      <c r="A23" s="38" t="n">
        <v>19</v>
      </c>
      <c r="B23" s="39" t="inlineStr">
        <is>
          <t>HD-14</t>
        </is>
      </c>
      <c r="C23" s="39" t="inlineStr">
        <is>
          <t>M6</t>
        </is>
      </c>
      <c r="D23" s="41" t="inlineStr">
        <is>
          <t>HEADER</t>
        </is>
      </c>
      <c r="E23" s="41" t="inlineStr">
        <is>
          <t>CH-6S
CHUN ZU (TAIWAN)</t>
        </is>
      </c>
      <c r="F23" s="39" t="inlineStr">
        <is>
          <t>M6 / 1D-2B</t>
        </is>
      </c>
      <c r="G23" s="39" t="n">
        <v>110</v>
      </c>
      <c r="H23" s="48">
        <f>G23*60</f>
        <v/>
      </c>
      <c r="I23" s="42" t="n"/>
    </row>
    <row r="24" ht="36" customHeight="1">
      <c r="A24" s="38" t="n">
        <v>20</v>
      </c>
      <c r="B24" s="41" t="inlineStr">
        <is>
          <t>HD-15~31
(17EA)</t>
        </is>
      </c>
      <c r="C24" s="41" t="inlineStr">
        <is>
          <t>M4</t>
        </is>
      </c>
      <c r="D24" s="41" t="inlineStr">
        <is>
          <t>HEADER</t>
        </is>
      </c>
      <c r="E24" s="41" t="inlineStr">
        <is>
          <t>CH-5S
CHUN ZU (TAIWAN)</t>
        </is>
      </c>
      <c r="F24" s="39" t="inlineStr">
        <is>
          <t>M4 / 1D-2B</t>
        </is>
      </c>
      <c r="G24" s="39" t="n">
        <v>180</v>
      </c>
      <c r="H24" s="48">
        <f>G24*60</f>
        <v/>
      </c>
      <c r="I24" s="42" t="n"/>
    </row>
    <row r="25" ht="36" customHeight="1">
      <c r="A25" s="38" t="n">
        <v>21</v>
      </c>
      <c r="B25" s="41" t="inlineStr">
        <is>
          <t>HD-50~52
(3EA)</t>
        </is>
      </c>
      <c r="C25" s="41" t="inlineStr">
        <is>
          <t>M3</t>
        </is>
      </c>
      <c r="D25" s="41" t="inlineStr">
        <is>
          <t>HEADER</t>
        </is>
      </c>
      <c r="E25" s="41" t="inlineStr">
        <is>
          <t>3L
(JAPAN)</t>
        </is>
      </c>
      <c r="F25" s="39" t="inlineStr">
        <is>
          <t>M3 / 1D-2B</t>
        </is>
      </c>
      <c r="G25" s="39" t="n">
        <v>180</v>
      </c>
      <c r="H25" s="48">
        <f>G25*60</f>
        <v/>
      </c>
      <c r="I25" s="42" t="n"/>
    </row>
    <row r="26" ht="36" customHeight="1">
      <c r="A26" s="38" t="n">
        <v>22</v>
      </c>
      <c r="B26" s="41" t="inlineStr">
        <is>
          <t>HD-53~55
(3EA)</t>
        </is>
      </c>
      <c r="C26" s="41" t="inlineStr">
        <is>
          <t>M3</t>
        </is>
      </c>
      <c r="D26" s="41" t="inlineStr">
        <is>
          <t>HEADER</t>
        </is>
      </c>
      <c r="E26" s="41" t="inlineStr">
        <is>
          <t>3S
(JAPAN)</t>
        </is>
      </c>
      <c r="F26" s="39" t="inlineStr">
        <is>
          <t>M3 / 1D-2B</t>
        </is>
      </c>
      <c r="G26" s="39" t="n">
        <v>180</v>
      </c>
      <c r="H26" s="48">
        <f>G26*60</f>
        <v/>
      </c>
      <c r="I26" s="42" t="n"/>
    </row>
    <row r="27" ht="24" customHeight="1">
      <c r="A27" s="101" t="inlineStr">
        <is>
          <t>Total: 42 MC ( 8 Former &amp; 34 Header)</t>
        </is>
      </c>
      <c r="B27" s="89" t="n"/>
      <c r="C27" s="89" t="n"/>
      <c r="D27" s="89" t="n"/>
      <c r="E27" s="89" t="n"/>
      <c r="F27" s="89" t="n"/>
      <c r="G27" s="89" t="n"/>
      <c r="H27" s="89" t="n"/>
      <c r="I27" s="102" t="n"/>
    </row>
    <row r="28" ht="31.5" customHeight="1">
      <c r="A28" s="38" t="n">
        <v>1</v>
      </c>
      <c r="B28" s="39" t="inlineStr">
        <is>
          <t>RL-02</t>
        </is>
      </c>
      <c r="C28" s="39" t="inlineStr">
        <is>
          <t>M12</t>
        </is>
      </c>
      <c r="D28" s="39" t="inlineStr">
        <is>
          <t>ROLLING</t>
        </is>
      </c>
      <c r="E28" s="41" t="inlineStr">
        <is>
          <t>FR 120406 
KOREA MACHINERY (KOREA)</t>
        </is>
      </c>
      <c r="F28" s="39" t="inlineStr">
        <is>
          <t>M12</t>
        </is>
      </c>
      <c r="G28" s="39" t="n">
        <v>80</v>
      </c>
      <c r="H28" s="48">
        <f>G28*60</f>
        <v/>
      </c>
      <c r="I28" s="42" t="n"/>
    </row>
    <row r="29" ht="31.5" customHeight="1">
      <c r="A29" s="38" t="n">
        <v>2</v>
      </c>
      <c r="B29" s="39" t="inlineStr">
        <is>
          <t>RL-03</t>
        </is>
      </c>
      <c r="C29" s="39" t="inlineStr">
        <is>
          <t>M10</t>
        </is>
      </c>
      <c r="D29" s="39" t="inlineStr">
        <is>
          <t>ROLLING</t>
        </is>
      </c>
      <c r="E29" s="41" t="inlineStr">
        <is>
          <t>DPR-10S
CHUN ZU (KOREA)</t>
        </is>
      </c>
      <c r="F29" s="39" t="inlineStr">
        <is>
          <t>M10</t>
        </is>
      </c>
      <c r="G29" s="39" t="n">
        <v>102</v>
      </c>
      <c r="H29" s="48">
        <f>G29*60</f>
        <v/>
      </c>
      <c r="I29" s="42" t="n"/>
    </row>
    <row r="30" ht="31.5" customHeight="1">
      <c r="A30" s="38" t="n">
        <v>3</v>
      </c>
      <c r="B30" s="39" t="inlineStr">
        <is>
          <t>RL-04</t>
        </is>
      </c>
      <c r="C30" s="39" t="inlineStr">
        <is>
          <t>M8</t>
        </is>
      </c>
      <c r="D30" s="39" t="inlineStr">
        <is>
          <t>ROLLING</t>
        </is>
      </c>
      <c r="E30" s="41" t="inlineStr">
        <is>
          <t>JSR-M8
JIN SAN (KOREA)</t>
        </is>
      </c>
      <c r="F30" s="39" t="inlineStr">
        <is>
          <t>M8</t>
        </is>
      </c>
      <c r="G30" s="39" t="n">
        <v>140</v>
      </c>
      <c r="H30" s="48">
        <f>G30*60</f>
        <v/>
      </c>
      <c r="I30" s="42" t="n"/>
    </row>
    <row r="31" ht="31.5" customHeight="1">
      <c r="A31" s="38" t="n">
        <v>4</v>
      </c>
      <c r="B31" s="41" t="inlineStr">
        <is>
          <t>RL-05~08
(4EA)</t>
        </is>
      </c>
      <c r="C31" s="41" t="inlineStr">
        <is>
          <t>M6</t>
        </is>
      </c>
      <c r="D31" s="39" t="inlineStr">
        <is>
          <t>ROLLING</t>
        </is>
      </c>
      <c r="E31" s="41" t="inlineStr">
        <is>
          <t>JSR-M6
JIN SAN (KOREA)</t>
        </is>
      </c>
      <c r="F31" s="39" t="inlineStr">
        <is>
          <t>M6</t>
        </is>
      </c>
      <c r="G31" s="39" t="n">
        <v>140</v>
      </c>
      <c r="H31" s="48">
        <f>G31*60</f>
        <v/>
      </c>
      <c r="I31" s="42" t="n"/>
    </row>
    <row r="32" ht="31.5" customHeight="1">
      <c r="A32" s="38" t="n">
        <v>5</v>
      </c>
      <c r="B32" s="41" t="inlineStr">
        <is>
          <t>RL-09~14
(6EA)</t>
        </is>
      </c>
      <c r="C32" s="41" t="inlineStr">
        <is>
          <t>M4</t>
        </is>
      </c>
      <c r="D32" s="41" t="inlineStr">
        <is>
          <t>ROLLING
(T/S-1)</t>
        </is>
      </c>
      <c r="E32" s="41" t="inlineStr">
        <is>
          <t>JSR-M4
JIN SAN (KOREA)</t>
        </is>
      </c>
      <c r="F32" s="39" t="inlineStr">
        <is>
          <t>M4</t>
        </is>
      </c>
      <c r="G32" s="39" t="n">
        <v>215</v>
      </c>
      <c r="H32" s="48">
        <f>G32*60</f>
        <v/>
      </c>
      <c r="I32" s="42" t="n"/>
    </row>
    <row r="33" ht="31.5" customHeight="1">
      <c r="A33" s="38" t="n">
        <v>6</v>
      </c>
      <c r="B33" s="41" t="inlineStr">
        <is>
          <t>RL-15~23
(9EA)</t>
        </is>
      </c>
      <c r="C33" s="41" t="inlineStr">
        <is>
          <t>M4</t>
        </is>
      </c>
      <c r="D33" s="39" t="inlineStr">
        <is>
          <t>ROLLING</t>
        </is>
      </c>
      <c r="E33" s="41" t="inlineStr">
        <is>
          <t>JSR-M4
JIN SAN (KOREA)</t>
        </is>
      </c>
      <c r="F33" s="39" t="inlineStr">
        <is>
          <t>M4</t>
        </is>
      </c>
      <c r="G33" s="39" t="n">
        <v>215</v>
      </c>
      <c r="H33" s="48">
        <f>G33*60</f>
        <v/>
      </c>
      <c r="I33" s="42" t="n"/>
    </row>
    <row r="34" ht="31.5" customHeight="1">
      <c r="A34" s="38" t="n">
        <v>7</v>
      </c>
      <c r="B34" s="41" t="inlineStr">
        <is>
          <t>RL-40~42
(3EA)</t>
        </is>
      </c>
      <c r="C34" s="41" t="inlineStr">
        <is>
          <t>M3</t>
        </is>
      </c>
      <c r="D34" s="39" t="inlineStr">
        <is>
          <t>ROLLING</t>
        </is>
      </c>
      <c r="E34" s="41" t="inlineStr">
        <is>
          <t>JSR-M3
JIN SAN (KOREA)</t>
        </is>
      </c>
      <c r="F34" s="39" t="inlineStr">
        <is>
          <t>M4</t>
        </is>
      </c>
      <c r="G34" s="39" t="n">
        <v>350</v>
      </c>
      <c r="H34" s="48">
        <f>G34*60</f>
        <v/>
      </c>
      <c r="I34" s="42" t="n"/>
    </row>
    <row r="35" ht="31.5" customHeight="1">
      <c r="A35" s="38" t="n">
        <v>8</v>
      </c>
      <c r="B35" s="39" t="inlineStr">
        <is>
          <t>SM-01</t>
        </is>
      </c>
      <c r="C35" s="39" t="inlineStr">
        <is>
          <t>M12</t>
        </is>
      </c>
      <c r="D35" s="39" t="inlineStr">
        <is>
          <t>SEM ROLLING</t>
        </is>
      </c>
      <c r="E35" s="41" t="inlineStr">
        <is>
          <t>THI-12R
SAN MEI (TAIWAN)</t>
        </is>
      </c>
      <c r="F35" s="39" t="inlineStr">
        <is>
          <t>M12</t>
        </is>
      </c>
      <c r="G35" s="39" t="n">
        <v>100</v>
      </c>
      <c r="H35" s="48">
        <f>G35*60</f>
        <v/>
      </c>
      <c r="I35" s="42" t="n"/>
    </row>
    <row r="36" ht="31.5" customHeight="1">
      <c r="A36" s="38" t="n">
        <v>9</v>
      </c>
      <c r="B36" s="39" t="inlineStr">
        <is>
          <t>SM-02</t>
        </is>
      </c>
      <c r="C36" s="39" t="inlineStr">
        <is>
          <t>M8</t>
        </is>
      </c>
      <c r="D36" s="39" t="inlineStr">
        <is>
          <t>SEM ROLLING</t>
        </is>
      </c>
      <c r="E36" s="41" t="inlineStr">
        <is>
          <t>JSR-M8
JIN SAN (KOREA)</t>
        </is>
      </c>
      <c r="F36" s="39" t="inlineStr">
        <is>
          <t>M8</t>
        </is>
      </c>
      <c r="G36" s="39" t="n">
        <v>110</v>
      </c>
      <c r="H36" s="48">
        <f>G36*60</f>
        <v/>
      </c>
      <c r="I36" s="42" t="n"/>
    </row>
    <row r="37" ht="31.5" customHeight="1">
      <c r="A37" s="38" t="n">
        <v>10</v>
      </c>
      <c r="B37" s="39" t="inlineStr">
        <is>
          <t>SM-2A</t>
        </is>
      </c>
      <c r="C37" s="39" t="inlineStr">
        <is>
          <t>M8</t>
        </is>
      </c>
      <c r="D37" s="39" t="inlineStr">
        <is>
          <t>SEM ROLLING</t>
        </is>
      </c>
      <c r="E37" s="41" t="inlineStr">
        <is>
          <t>JSR-M8
JIN SAN (KOREA)</t>
        </is>
      </c>
      <c r="F37" s="39" t="inlineStr">
        <is>
          <t>M8</t>
        </is>
      </c>
      <c r="G37" s="39" t="n">
        <v>110</v>
      </c>
      <c r="H37" s="48">
        <f>G37*60</f>
        <v/>
      </c>
      <c r="I37" s="42" t="n"/>
    </row>
    <row r="38" ht="31.5" customHeight="1">
      <c r="A38" s="38" t="n">
        <v>11</v>
      </c>
      <c r="B38" s="39" t="inlineStr">
        <is>
          <t>SM-03</t>
        </is>
      </c>
      <c r="C38" s="39" t="inlineStr">
        <is>
          <t>M6</t>
        </is>
      </c>
      <c r="D38" s="39" t="inlineStr">
        <is>
          <t>SEM ROLLING</t>
        </is>
      </c>
      <c r="E38" s="41" t="inlineStr">
        <is>
          <t>JSR-M6
JIN SAN (KOREA)</t>
        </is>
      </c>
      <c r="F38" s="39" t="inlineStr">
        <is>
          <t>M6</t>
        </is>
      </c>
      <c r="G38" s="39" t="n">
        <v>140</v>
      </c>
      <c r="H38" s="48">
        <f>G38*60</f>
        <v/>
      </c>
      <c r="I38" s="42" t="n"/>
    </row>
    <row r="39" ht="31.5" customHeight="1">
      <c r="A39" s="38" t="n">
        <v>12</v>
      </c>
      <c r="B39" s="39" t="inlineStr">
        <is>
          <t>SM-04</t>
        </is>
      </c>
      <c r="C39" s="39" t="inlineStr">
        <is>
          <t>M4</t>
        </is>
      </c>
      <c r="D39" s="39" t="inlineStr">
        <is>
          <t>SEM ROLLING</t>
        </is>
      </c>
      <c r="E39" s="41" t="inlineStr">
        <is>
          <t>JSR-M4
JIN SAN (KOREA)</t>
        </is>
      </c>
      <c r="F39" s="39" t="inlineStr">
        <is>
          <t>M4</t>
        </is>
      </c>
      <c r="G39" s="39" t="n">
        <v>210</v>
      </c>
      <c r="H39" s="48">
        <f>G39*60</f>
        <v/>
      </c>
      <c r="I39" s="42" t="n"/>
    </row>
    <row r="40" ht="31.5" customHeight="1">
      <c r="A40" s="38" t="n">
        <v>13</v>
      </c>
      <c r="B40" s="39" t="inlineStr">
        <is>
          <t>SM-05</t>
        </is>
      </c>
      <c r="C40" s="39" t="inlineStr">
        <is>
          <t>M4</t>
        </is>
      </c>
      <c r="D40" s="39" t="inlineStr">
        <is>
          <t>SEM ROLLING</t>
        </is>
      </c>
      <c r="E40" s="41" t="inlineStr">
        <is>
          <t>JSR-M4
JIN SAN (KOREA)</t>
        </is>
      </c>
      <c r="F40" s="39" t="inlineStr">
        <is>
          <t>M4</t>
        </is>
      </c>
      <c r="G40" s="39" t="n">
        <v>210</v>
      </c>
      <c r="H40" s="48">
        <f>G40*60</f>
        <v/>
      </c>
      <c r="I40" s="42" t="n"/>
    </row>
    <row r="41" ht="31.5" customHeight="1">
      <c r="A41" s="38" t="n">
        <v>14</v>
      </c>
      <c r="B41" s="39" t="inlineStr">
        <is>
          <t>SM-06</t>
        </is>
      </c>
      <c r="C41" s="39" t="inlineStr">
        <is>
          <t>M3</t>
        </is>
      </c>
      <c r="D41" s="39" t="inlineStr">
        <is>
          <t>SEM ROLLING</t>
        </is>
      </c>
      <c r="E41" s="41" t="inlineStr">
        <is>
          <t>JSR-M3
JIN SAN (KOREA)</t>
        </is>
      </c>
      <c r="F41" s="39" t="inlineStr">
        <is>
          <t>M3</t>
        </is>
      </c>
      <c r="G41" s="39" t="n">
        <v>210</v>
      </c>
      <c r="H41" s="48">
        <f>G41*60</f>
        <v/>
      </c>
      <c r="I41" s="42" t="n"/>
    </row>
    <row r="42" ht="21" customHeight="1">
      <c r="A42" s="101" t="inlineStr">
        <is>
          <t>Total: 32 MC ( 25 RL &amp; 7 SM)</t>
        </is>
      </c>
      <c r="B42" s="89" t="n"/>
      <c r="C42" s="89" t="n"/>
      <c r="D42" s="89" t="n"/>
      <c r="E42" s="89" t="n"/>
      <c r="F42" s="89" t="n"/>
      <c r="G42" s="89" t="n"/>
      <c r="H42" s="89" t="n"/>
      <c r="I42" s="102" t="n"/>
    </row>
    <row r="43" ht="38.1" customHeight="1" thickBot="1">
      <c r="A43" s="43" t="n">
        <v>1</v>
      </c>
      <c r="B43" s="44" t="inlineStr">
        <is>
          <t>CT-01~06
(6EA)</t>
        </is>
      </c>
      <c r="C43" s="44" t="n"/>
      <c r="D43" s="45" t="inlineStr">
        <is>
          <t>CUTTING</t>
        </is>
      </c>
      <c r="E43" s="44" t="inlineStr">
        <is>
          <t>TAE HUNG</t>
        </is>
      </c>
      <c r="F43" s="45" t="inlineStr">
        <is>
          <t>M3-M6</t>
        </is>
      </c>
      <c r="G43" s="45" t="n">
        <v>215</v>
      </c>
      <c r="H43" s="49">
        <f>G43*60</f>
        <v/>
      </c>
      <c r="I43" s="46" t="n"/>
    </row>
  </sheetData>
  <mergeCells count="4">
    <mergeCell ref="A42:I42"/>
    <mergeCell ref="A27:I27"/>
    <mergeCell ref="A2:I2"/>
    <mergeCell ref="A3:B3"/>
  </mergeCells>
  <pageMargins left="0.7" right="0.7" top="0.75" bottom="0.75" header="0.3" footer="0.3"/>
</worksheet>
</file>

<file path=xl/worksheets/sheet5.xml><?xml version="1.0" encoding="utf-8"?>
<worksheet xmlns="http://schemas.openxmlformats.org/spreadsheetml/2006/main">
  <sheetPr>
    <tabColor rgb="FFFF0000"/>
    <outlinePr summaryBelow="1" summaryRight="1"/>
    <pageSetUpPr fitToPage="1"/>
  </sheetPr>
  <dimension ref="A1:V16"/>
  <sheetViews>
    <sheetView workbookViewId="0">
      <selection activeCell="A1" sqref="A1"/>
    </sheetView>
  </sheetViews>
  <sheetFormatPr baseColWidth="8" defaultColWidth="9.140625" defaultRowHeight="12.75"/>
  <cols>
    <col width="1.140625" customWidth="1" style="12" min="1" max="1"/>
    <col width="4.85546875" customWidth="1" style="12" min="2" max="2"/>
    <col width="20.42578125" customWidth="1" style="12" min="3" max="3"/>
    <col width="12.7109375" customWidth="1" style="12" min="4" max="4"/>
    <col width="8.7109375" customWidth="1" style="12" min="5" max="5"/>
    <col width="11.42578125" customWidth="1" style="12" min="6" max="6"/>
    <col width="11.5703125" customWidth="1" style="12" min="7" max="7"/>
    <col width="10.140625" customWidth="1" style="12" min="8" max="8"/>
    <col width="11.5703125" customWidth="1" style="12" min="9" max="9"/>
    <col width="8.140625" customWidth="1" style="12" min="10" max="11"/>
    <col width="5.28515625" customWidth="1" style="12" min="12" max="12"/>
    <col width="12.5703125" customWidth="1" style="12" min="13" max="13"/>
    <col width="9.140625" customWidth="1" style="12" min="14" max="16384"/>
  </cols>
  <sheetData>
    <row r="1" ht="15.75" customHeight="1">
      <c r="B1" s="11" t="n"/>
    </row>
    <row r="2" ht="15.75" customHeight="1">
      <c r="B2" s="11" t="n"/>
    </row>
    <row r="3" ht="15.75" customHeight="1">
      <c r="B3" s="13" t="n"/>
    </row>
    <row r="4" ht="65.45" customFormat="1" customHeight="1" s="14">
      <c r="B4" s="52" t="inlineStr">
        <is>
          <t>PHIẾU ĐĂNG KÝ TĂNG CA 
OVERTIME REGISTRATION FORM</t>
        </is>
      </c>
      <c r="C4" s="87" t="n"/>
      <c r="D4" s="87" t="n"/>
      <c r="E4" s="87" t="n"/>
      <c r="F4" s="87" t="n"/>
      <c r="G4" s="87" t="n"/>
      <c r="H4" s="87" t="n"/>
      <c r="I4" s="87" t="n"/>
      <c r="J4" s="87" t="n"/>
      <c r="K4" s="87" t="n"/>
      <c r="L4" s="87" t="n"/>
      <c r="M4" s="87" t="n"/>
    </row>
    <row r="5" ht="38.25" customFormat="1" customHeight="1" s="14">
      <c r="B5" s="88" t="inlineStr">
        <is>
          <t>Người yêu cầu:  HOÀNG CHÍNH HỮU
Requestor</t>
        </is>
      </c>
      <c r="C5" s="89" t="n"/>
      <c r="D5" s="89" t="n"/>
      <c r="E5" s="89" t="n"/>
      <c r="F5" s="89" t="n"/>
      <c r="G5" s="90" t="n"/>
      <c r="H5" s="88" t="inlineStr">
        <is>
          <t>Bộ phận:  CO
Department:</t>
        </is>
      </c>
      <c r="I5" s="89" t="n"/>
      <c r="J5" s="89" t="n"/>
      <c r="K5" s="89" t="n"/>
      <c r="L5" s="89" t="n"/>
      <c r="M5" s="90" t="n"/>
      <c r="P5" s="26" t="n"/>
    </row>
    <row r="6" ht="9" customHeight="1"/>
    <row r="7" ht="38.45" customHeight="1">
      <c r="B7" s="56" t="inlineStr">
        <is>
          <t>STT
No.</t>
        </is>
      </c>
      <c r="C7" s="56" t="inlineStr">
        <is>
          <t xml:space="preserve">Họ và tên
Full Name
</t>
        </is>
      </c>
      <c r="D7" s="56" t="inlineStr">
        <is>
          <t>Thời gian đăng ký tăng ca
Registration time overtime</t>
        </is>
      </c>
      <c r="E7" s="90" t="n"/>
      <c r="F7" s="56" t="inlineStr">
        <is>
          <t>Thời gian tăng ca thực tế
Actual overtime</t>
        </is>
      </c>
      <c r="G7" s="90" t="n"/>
      <c r="H7" s="56" t="inlineStr">
        <is>
          <t>Thiết bị
sản xuất</t>
        </is>
      </c>
      <c r="I7" s="56" t="inlineStr">
        <is>
          <t>Mã hàng</t>
        </is>
      </c>
      <c r="J7" s="56" t="inlineStr">
        <is>
          <t>Số lượng
kế hoạch</t>
        </is>
      </c>
      <c r="K7" s="56" t="inlineStr">
        <is>
          <t>Số lượng thực tế</t>
        </is>
      </c>
      <c r="L7" s="56" t="inlineStr">
        <is>
          <t>Tỉ lệ</t>
        </is>
      </c>
      <c r="M7" s="56" t="inlineStr">
        <is>
          <t>Ghi chú</t>
        </is>
      </c>
      <c r="P7" s="26" t="n"/>
    </row>
    <row r="8" ht="42.6" customHeight="1">
      <c r="B8" s="91" t="n"/>
      <c r="C8" s="91" t="n"/>
      <c r="D8" s="56" t="inlineStr">
        <is>
          <t xml:space="preserve">
Từ------Đến-----
From….to
</t>
        </is>
      </c>
      <c r="E8" s="56" t="inlineStr">
        <is>
          <t>Số giờ
Total hour</t>
        </is>
      </c>
      <c r="F8" s="56" t="inlineStr">
        <is>
          <t>Giờ kết thúc
Finish time</t>
        </is>
      </c>
      <c r="G8" s="56" t="inlineStr">
        <is>
          <t>Số giờ
Total hour</t>
        </is>
      </c>
      <c r="H8" s="91" t="n"/>
      <c r="I8" s="91" t="n"/>
      <c r="J8" s="91" t="n"/>
      <c r="K8" s="91" t="n"/>
      <c r="L8" s="91" t="n"/>
      <c r="M8" s="91" t="n"/>
      <c r="O8" s="26" t="n"/>
    </row>
    <row r="9" ht="24.95" customHeight="1">
      <c r="B9" s="94" t="inlineStr">
        <is>
          <t>TĂNG CA TỐI</t>
        </is>
      </c>
      <c r="C9" s="89" t="n"/>
      <c r="D9" s="89" t="n"/>
      <c r="E9" s="89" t="n"/>
      <c r="F9" s="89" t="n"/>
      <c r="G9" s="89" t="n"/>
      <c r="H9" s="89" t="n"/>
      <c r="I9" s="89" t="n"/>
      <c r="J9" s="89" t="n"/>
      <c r="K9" s="89" t="n"/>
      <c r="L9" s="89" t="n"/>
      <c r="M9" s="90" t="n"/>
    </row>
    <row r="10" ht="28.5" customHeight="1">
      <c r="A10" s="20" t="n"/>
      <c r="B10" s="28" t="n">
        <v>1</v>
      </c>
      <c r="C10" s="28" t="inlineStr">
        <is>
          <t>LÊ ĐÌNH TUẤN</t>
        </is>
      </c>
      <c r="D10" s="63" t="inlineStr">
        <is>
          <t>16h30 - 19h30</t>
        </is>
      </c>
      <c r="E10" s="63" t="n">
        <v>3</v>
      </c>
      <c r="F10" s="63" t="n"/>
      <c r="G10" s="63" t="n"/>
      <c r="H10" s="21" t="inlineStr">
        <is>
          <t>VỆ SINH
MÁY LẠNH</t>
        </is>
      </c>
      <c r="I10" s="95" t="inlineStr">
        <is>
          <t>9/14 EA</t>
        </is>
      </c>
      <c r="J10" s="92" t="n"/>
      <c r="K10" s="21" t="n"/>
      <c r="L10" s="25" t="n"/>
      <c r="M10" s="95" t="inlineStr">
        <is>
          <t>Dự kiến
4 ngày</t>
        </is>
      </c>
      <c r="P10" s="23" t="n"/>
    </row>
    <row r="11" ht="28.5" customHeight="1">
      <c r="A11" s="20" t="n"/>
      <c r="B11" s="25" t="n">
        <v>2</v>
      </c>
      <c r="C11" s="25" t="inlineStr">
        <is>
          <t>NGUYỄN ANH TÚ</t>
        </is>
      </c>
      <c r="D11" s="21" t="inlineStr">
        <is>
          <t>16h30 - 19h30</t>
        </is>
      </c>
      <c r="E11" s="21" t="n">
        <v>3</v>
      </c>
      <c r="F11" s="21" t="n"/>
      <c r="G11" s="21" t="n"/>
      <c r="H11" s="91" t="n"/>
      <c r="I11" s="91" t="n"/>
      <c r="J11" s="92" t="n"/>
      <c r="K11" s="21" t="n"/>
      <c r="L11" s="25" t="n"/>
      <c r="M11" s="91" t="n"/>
      <c r="P11" s="23" t="n"/>
    </row>
    <row r="12" ht="71.25" customHeight="1">
      <c r="B12" s="19" t="inlineStr">
        <is>
          <t>u</t>
        </is>
      </c>
      <c r="V12" s="12" t="inlineStr">
        <is>
          <t xml:space="preserve"> </t>
        </is>
      </c>
    </row>
    <row r="13" ht="16.5" customFormat="1" customHeight="1" s="11">
      <c r="B13" s="62" t="inlineStr">
        <is>
          <t>* Lưu ý: Đề nghị viết phiếu tăng ca và nộp cho phòng Nhân sự trước 14h30 trước khi tăng ca. Trường hợp tăng ca trước và nộp đơn sau thì sẽ không được tính tiền tăng ca của ngày đó.</t>
        </is>
      </c>
    </row>
    <row r="14" ht="23.25" customFormat="1" customHeight="1" s="11"/>
    <row r="15" ht="3.75" customFormat="1" customHeight="1" s="11">
      <c r="B15" s="61" t="n"/>
    </row>
    <row r="16" ht="33" customFormat="1" customHeight="1" s="11"/>
    <row r="17" ht="17.25" customHeight="1"/>
    <row r="18" ht="5.25" customHeight="1"/>
  </sheetData>
  <mergeCells count="19">
    <mergeCell ref="I7:I8"/>
    <mergeCell ref="M7:M8"/>
    <mergeCell ref="M10:M11"/>
    <mergeCell ref="F7:G7"/>
    <mergeCell ref="H7:H8"/>
    <mergeCell ref="B9:M9"/>
    <mergeCell ref="J7:J8"/>
    <mergeCell ref="D7:E7"/>
    <mergeCell ref="B5:G5"/>
    <mergeCell ref="H5:M5"/>
    <mergeCell ref="C7:C8"/>
    <mergeCell ref="K7:K8"/>
    <mergeCell ref="B13:M14"/>
    <mergeCell ref="B4:M4"/>
    <mergeCell ref="I10:I11"/>
    <mergeCell ref="B15:M16"/>
    <mergeCell ref="B7:B8"/>
    <mergeCell ref="L7:L8"/>
    <mergeCell ref="H10:H11"/>
  </mergeCells>
  <printOptions horizontalCentered="1"/>
  <pageMargins left="0.3937007874015748" right="0.3937007874015748" top="0" bottom="0" header="0" footer="0"/>
  <pageSetup orientation="portrait" paperSize="9" scale="77"/>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Nguyen, Mai 2 (BISG)</dc:creator>
  <dcterms:created xmlns:dcterms="http://purl.org/dc/terms/" xmlns:xsi="http://www.w3.org/2001/XMLSchema-instance" xsi:type="dcterms:W3CDTF">2016-02-27T02:04:07Z</dcterms:created>
  <dcterms:modified xmlns:dcterms="http://purl.org/dc/terms/" xmlns:xsi="http://www.w3.org/2001/XMLSchema-instance" xsi:type="dcterms:W3CDTF">2026-10-05T06:40:52Z</dcterms:modified>
  <cp:lastModifiedBy>Sigur Ros</cp:lastModifiedBy>
  <cp:lastPrinted>2026-04-18T07:58:58Z</cp:lastPrinted>
</cp:coreProperties>
</file>