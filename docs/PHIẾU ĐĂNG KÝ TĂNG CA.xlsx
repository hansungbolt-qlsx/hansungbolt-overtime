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hansungbolt-overtime\docs\"/>
    </mc:Choice>
  </mc:AlternateContent>
  <xr:revisionPtr revIDLastSave="0" documentId="13_ncr:1_{68739A81-6B10-4693-9632-327D23B91A35}" xr6:coauthVersionLast="47" xr6:coauthVersionMax="47" xr10:uidLastSave="{00000000-0000-0000-0000-000000000000}"/>
  <bookViews>
    <workbookView xWindow="-50" yWindow="-50" windowWidth="38500" windowHeight="20980" xr2:uid="{00000000-000D-0000-FFFF-FFFF00000000}"/>
  </bookViews>
  <sheets>
    <sheet name="HD" sheetId="9" r:id="rId1"/>
    <sheet name="RL" sheetId="10" r:id="rId2"/>
    <sheet name="Danh sách Nhân Viên" sheetId="15" r:id="rId3"/>
    <sheet name="Thiết bị" sheetId="30" r:id="rId4"/>
  </sheets>
  <definedNames>
    <definedName name="_xlnm._FilterDatabase" localSheetId="2" hidden="1">'Danh sách Nhân Viên'!$A$2:$C$2</definedName>
    <definedName name="_xlnm.Print_Area" localSheetId="0">HD!$B$1:$M$19</definedName>
    <definedName name="_xlnm.Print_Area" localSheetId="1">RL!$B$1:$M$15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" i="30" l="1"/>
  <c r="H35" i="30"/>
  <c r="H45" i="30"/>
  <c r="H43" i="30"/>
  <c r="H42" i="30"/>
  <c r="H41" i="30"/>
  <c r="H40" i="30"/>
  <c r="H39" i="30"/>
  <c r="H38" i="30"/>
  <c r="H37" i="30"/>
  <c r="H36" i="30"/>
  <c r="H34" i="30"/>
  <c r="H33" i="30"/>
  <c r="H32" i="30"/>
  <c r="H31" i="30"/>
  <c r="H30" i="30"/>
  <c r="H29" i="30"/>
  <c r="H7" i="30"/>
  <c r="H8" i="30"/>
  <c r="H9" i="30"/>
  <c r="H10" i="30"/>
  <c r="H11" i="30"/>
  <c r="H12" i="30"/>
  <c r="H13" i="30"/>
  <c r="H14" i="30"/>
  <c r="H15" i="30"/>
  <c r="H16" i="30"/>
  <c r="H17" i="30"/>
  <c r="H18" i="30"/>
  <c r="H19" i="30"/>
  <c r="H20" i="30"/>
  <c r="H21" i="30"/>
  <c r="H22" i="30"/>
  <c r="H23" i="30"/>
  <c r="H24" i="30"/>
  <c r="H25" i="30"/>
  <c r="H26" i="30"/>
  <c r="H27" i="30"/>
  <c r="H5" i="30"/>
  <c r="J9" i="9"/>
  <c r="J13" i="9"/>
  <c r="J12" i="9"/>
  <c r="J10" i="9"/>
  <c r="J11" i="9"/>
  <c r="J15" i="9" l="1"/>
  <c r="J14" i="9" l="1"/>
</calcChain>
</file>

<file path=xl/sharedStrings.xml><?xml version="1.0" encoding="utf-8"?>
<sst xmlns="http://schemas.openxmlformats.org/spreadsheetml/2006/main" count="331" uniqueCount="175">
  <si>
    <t>STT
No.</t>
  </si>
  <si>
    <t>3</t>
  </si>
  <si>
    <t>16h30-19h30</t>
  </si>
  <si>
    <t xml:space="preserve"> </t>
  </si>
  <si>
    <t>Mã hàng</t>
  </si>
  <si>
    <t>Ghi chú</t>
  </si>
  <si>
    <t>M4</t>
  </si>
  <si>
    <t>NGUYỄN XUÂN QUANG</t>
  </si>
  <si>
    <t>NGUYỄN VĂN TUẤN</t>
  </si>
  <si>
    <t>NGUYỄN TIẾN DŨNG</t>
  </si>
  <si>
    <t>PHẠM TUẤN VŨ</t>
  </si>
  <si>
    <t>PHẠM TẤN PHONG</t>
  </si>
  <si>
    <t>PHẠM HỮU ANH</t>
  </si>
  <si>
    <t>TRẦN ANH TUẤN</t>
  </si>
  <si>
    <t>HỒ VĂN BÁU</t>
  </si>
  <si>
    <t>ĐỖ HUY HOÀNG</t>
  </si>
  <si>
    <t>Rolling</t>
  </si>
  <si>
    <t>DƯƠNG ĐỨC LINH</t>
  </si>
  <si>
    <t>BÙI DOÃN TOÀN</t>
  </si>
  <si>
    <t>Heading</t>
  </si>
  <si>
    <t>VÕ VĂN TRÌNH</t>
  </si>
  <si>
    <t>NGUYỄN VĂN TÙNG (A)</t>
  </si>
  <si>
    <t>HÀ QUỐC ĐIỆP</t>
  </si>
  <si>
    <t>VŨ CÔNG THAO</t>
  </si>
  <si>
    <t>HD-05</t>
  </si>
  <si>
    <t>5X16</t>
  </si>
  <si>
    <t>LÊ ĐÌNH TUẤN</t>
  </si>
  <si>
    <t>SM-05</t>
  </si>
  <si>
    <t>HD-10</t>
  </si>
  <si>
    <t>SM-04</t>
  </si>
  <si>
    <t>HD-11</t>
  </si>
  <si>
    <t>HD-8A</t>
  </si>
  <si>
    <t>SM-02</t>
  </si>
  <si>
    <t>NGUYỄN ĐỨC GIÁP</t>
  </si>
  <si>
    <t>RL-04</t>
  </si>
  <si>
    <t>5.5X16</t>
  </si>
  <si>
    <t>HD-09</t>
  </si>
  <si>
    <t>HD-02</t>
  </si>
  <si>
    <t>HD-12</t>
  </si>
  <si>
    <t>SM-03</t>
  </si>
  <si>
    <t>HD-4A</t>
  </si>
  <si>
    <t>HD-06</t>
  </si>
  <si>
    <t>HD-07</t>
  </si>
  <si>
    <t>HD-7A</t>
  </si>
  <si>
    <t>HD-9B</t>
  </si>
  <si>
    <t>u</t>
  </si>
  <si>
    <t>HD-M4
(7EA)</t>
  </si>
  <si>
    <r>
      <t>PHI</t>
    </r>
    <r>
      <rPr>
        <b/>
        <sz val="20"/>
        <rFont val="맑은 고딕"/>
        <family val="2"/>
      </rPr>
      <t>Ế</t>
    </r>
    <r>
      <rPr>
        <b/>
        <sz val="20"/>
        <rFont val="Calibri"/>
        <family val="2"/>
      </rPr>
      <t xml:space="preserve">U ĐĂNG KÝ TĂNG CA 
</t>
    </r>
    <r>
      <rPr>
        <b/>
        <sz val="12"/>
        <rFont val="Calibri"/>
        <family val="2"/>
      </rPr>
      <t>OVERTIME REGISTRATION FORM</t>
    </r>
  </si>
  <si>
    <r>
      <t>B</t>
    </r>
    <r>
      <rPr>
        <sz val="12"/>
        <rFont val="맑은 고딕"/>
        <family val="2"/>
      </rPr>
      <t>ộ</t>
    </r>
    <r>
      <rPr>
        <sz val="12"/>
        <rFont val="Calibri"/>
        <family val="2"/>
      </rPr>
      <t xml:space="preserve"> ph</t>
    </r>
    <r>
      <rPr>
        <sz val="12"/>
        <rFont val="맑은 고딕"/>
        <family val="2"/>
      </rPr>
      <t>ậ</t>
    </r>
    <r>
      <rPr>
        <sz val="12"/>
        <rFont val="Calibri"/>
        <family val="2"/>
      </rPr>
      <t>n:  HD
Department:</t>
    </r>
  </si>
  <si>
    <r>
      <t>H</t>
    </r>
    <r>
      <rPr>
        <sz val="10"/>
        <rFont val="맑은 고딕"/>
        <family val="2"/>
      </rPr>
      <t>ọ</t>
    </r>
    <r>
      <rPr>
        <sz val="10"/>
        <rFont val="Calibri"/>
        <family val="2"/>
      </rPr>
      <t xml:space="preserve"> và tên
Full Name
</t>
    </r>
  </si>
  <si>
    <r>
      <t>Th</t>
    </r>
    <r>
      <rPr>
        <sz val="10"/>
        <rFont val="맑은 고딕"/>
        <family val="2"/>
      </rPr>
      <t>ờ</t>
    </r>
    <r>
      <rPr>
        <sz val="10"/>
        <rFont val="Calibri"/>
        <family val="2"/>
      </rPr>
      <t>i gian đăng ký tăng ca
Registration time overtime</t>
    </r>
  </si>
  <si>
    <r>
      <t>Th</t>
    </r>
    <r>
      <rPr>
        <sz val="10"/>
        <rFont val="맑은 고딕"/>
        <family val="2"/>
      </rPr>
      <t>ờ</t>
    </r>
    <r>
      <rPr>
        <sz val="10"/>
        <rFont val="Calibri"/>
        <family val="2"/>
      </rPr>
      <t>i gian tăng ca th</t>
    </r>
    <r>
      <rPr>
        <sz val="10"/>
        <rFont val="맑은 고딕"/>
        <family val="2"/>
      </rPr>
      <t>ự</t>
    </r>
    <r>
      <rPr>
        <sz val="10"/>
        <rFont val="Calibri"/>
        <family val="2"/>
      </rPr>
      <t>c t</t>
    </r>
    <r>
      <rPr>
        <sz val="10"/>
        <rFont val="맑은 고딕"/>
        <family val="2"/>
      </rPr>
      <t xml:space="preserve">ế
</t>
    </r>
    <r>
      <rPr>
        <sz val="10"/>
        <rFont val="Calibri"/>
        <family val="2"/>
      </rPr>
      <t>Actual overtime</t>
    </r>
  </si>
  <si>
    <r>
      <t>Thi</t>
    </r>
    <r>
      <rPr>
        <sz val="10"/>
        <rFont val="맑은 고딕"/>
        <family val="2"/>
      </rPr>
      <t>ế</t>
    </r>
    <r>
      <rPr>
        <sz val="10"/>
        <rFont val="Calibri"/>
        <family val="2"/>
      </rPr>
      <t>t b</t>
    </r>
    <r>
      <rPr>
        <sz val="10"/>
        <rFont val="맑은 고딕"/>
        <family val="2"/>
      </rPr>
      <t xml:space="preserve">ị
</t>
    </r>
    <r>
      <rPr>
        <sz val="10"/>
        <rFont val="Calibri"/>
        <family val="2"/>
      </rPr>
      <t>s</t>
    </r>
    <r>
      <rPr>
        <sz val="10"/>
        <rFont val="맑은 고딕"/>
        <family val="2"/>
      </rPr>
      <t>ả</t>
    </r>
    <r>
      <rPr>
        <sz val="10"/>
        <rFont val="Calibri"/>
        <family val="2"/>
      </rPr>
      <t>n xu</t>
    </r>
    <r>
      <rPr>
        <sz val="10"/>
        <rFont val="맑은 고딕"/>
        <family val="2"/>
      </rPr>
      <t>ấ</t>
    </r>
    <r>
      <rPr>
        <sz val="10"/>
        <rFont val="Calibri"/>
        <family val="2"/>
      </rPr>
      <t>t</t>
    </r>
  </si>
  <si>
    <r>
      <t>S</t>
    </r>
    <r>
      <rPr>
        <sz val="10"/>
        <rFont val="맑은 고딕"/>
        <family val="2"/>
      </rPr>
      <t>ố</t>
    </r>
    <r>
      <rPr>
        <sz val="10"/>
        <rFont val="Calibri"/>
        <family val="2"/>
      </rPr>
      <t xml:space="preserve"> lư</t>
    </r>
    <r>
      <rPr>
        <sz val="10"/>
        <rFont val="맑은 고딕"/>
        <family val="2"/>
      </rPr>
      <t>ợ</t>
    </r>
    <r>
      <rPr>
        <sz val="10"/>
        <rFont val="Calibri"/>
        <family val="2"/>
      </rPr>
      <t>ng
k</t>
    </r>
    <r>
      <rPr>
        <sz val="10"/>
        <rFont val="맑은 고딕"/>
        <family val="2"/>
      </rPr>
      <t>ế</t>
    </r>
    <r>
      <rPr>
        <sz val="10"/>
        <rFont val="Calibri"/>
        <family val="2"/>
      </rPr>
      <t xml:space="preserve"> ho</t>
    </r>
    <r>
      <rPr>
        <sz val="10"/>
        <rFont val="맑은 고딕"/>
        <family val="2"/>
      </rPr>
      <t>ạ</t>
    </r>
    <r>
      <rPr>
        <sz val="10"/>
        <rFont val="Calibri"/>
        <family val="2"/>
      </rPr>
      <t>ch</t>
    </r>
  </si>
  <si>
    <r>
      <t>S</t>
    </r>
    <r>
      <rPr>
        <sz val="10"/>
        <rFont val="맑은 고딕"/>
        <family val="2"/>
      </rPr>
      <t>ố</t>
    </r>
    <r>
      <rPr>
        <sz val="10"/>
        <rFont val="Calibri"/>
        <family val="2"/>
      </rPr>
      <t xml:space="preserve"> lư</t>
    </r>
    <r>
      <rPr>
        <sz val="10"/>
        <rFont val="맑은 고딕"/>
        <family val="2"/>
      </rPr>
      <t>ợ</t>
    </r>
    <r>
      <rPr>
        <sz val="10"/>
        <rFont val="Calibri"/>
        <family val="2"/>
      </rPr>
      <t>ng th</t>
    </r>
    <r>
      <rPr>
        <sz val="10"/>
        <rFont val="맑은 고딕"/>
        <family val="2"/>
      </rPr>
      <t>ự</t>
    </r>
    <r>
      <rPr>
        <sz val="10"/>
        <rFont val="Calibri"/>
        <family val="2"/>
      </rPr>
      <t>c t</t>
    </r>
    <r>
      <rPr>
        <sz val="10"/>
        <rFont val="맑은 고딕"/>
        <family val="2"/>
      </rPr>
      <t>ế</t>
    </r>
  </si>
  <si>
    <r>
      <t>T</t>
    </r>
    <r>
      <rPr>
        <sz val="10"/>
        <rFont val="맑은 고딕"/>
        <family val="2"/>
      </rPr>
      <t>ỉ</t>
    </r>
    <r>
      <rPr>
        <sz val="10"/>
        <rFont val="Calibri"/>
        <family val="2"/>
      </rPr>
      <t xml:space="preserve"> l</t>
    </r>
    <r>
      <rPr>
        <sz val="10"/>
        <rFont val="맑은 고딕"/>
        <family val="2"/>
      </rPr>
      <t>ệ</t>
    </r>
  </si>
  <si>
    <r>
      <t xml:space="preserve">
T</t>
    </r>
    <r>
      <rPr>
        <sz val="10"/>
        <rFont val="맑은 고딕"/>
        <family val="2"/>
      </rPr>
      <t>ừ</t>
    </r>
    <r>
      <rPr>
        <sz val="10"/>
        <rFont val="Calibri"/>
        <family val="2"/>
      </rPr>
      <t>------Đ</t>
    </r>
    <r>
      <rPr>
        <sz val="10"/>
        <rFont val="맑은 고딕"/>
        <family val="2"/>
      </rPr>
      <t>ế</t>
    </r>
    <r>
      <rPr>
        <sz val="10"/>
        <rFont val="Calibri"/>
        <family val="2"/>
      </rPr>
      <t xml:space="preserve">n-----
From….to
</t>
    </r>
  </si>
  <si>
    <r>
      <t>S</t>
    </r>
    <r>
      <rPr>
        <sz val="10"/>
        <rFont val="맑은 고딕"/>
        <family val="2"/>
      </rPr>
      <t>ố</t>
    </r>
    <r>
      <rPr>
        <sz val="10"/>
        <rFont val="Calibri"/>
        <family val="2"/>
      </rPr>
      <t xml:space="preserve"> gi</t>
    </r>
    <r>
      <rPr>
        <sz val="10"/>
        <rFont val="맑은 고딕"/>
        <family val="2"/>
      </rPr>
      <t xml:space="preserve">ờ
</t>
    </r>
    <r>
      <rPr>
        <sz val="10"/>
        <rFont val="Calibri"/>
        <family val="2"/>
      </rPr>
      <t>Total hour</t>
    </r>
  </si>
  <si>
    <r>
      <t>Gi</t>
    </r>
    <r>
      <rPr>
        <sz val="10"/>
        <rFont val="맑은 고딕"/>
        <family val="2"/>
      </rPr>
      <t>ờ</t>
    </r>
    <r>
      <rPr>
        <sz val="10"/>
        <rFont val="Calibri"/>
        <family val="2"/>
      </rPr>
      <t xml:space="preserve"> k</t>
    </r>
    <r>
      <rPr>
        <sz val="10"/>
        <rFont val="맑은 고딕"/>
        <family val="2"/>
      </rPr>
      <t>ế</t>
    </r>
    <r>
      <rPr>
        <sz val="10"/>
        <rFont val="Calibri"/>
        <family val="2"/>
      </rPr>
      <t>t thúc
Finish time</t>
    </r>
  </si>
  <si>
    <r>
      <t>* Lưu ý: Đ</t>
    </r>
    <r>
      <rPr>
        <i/>
        <sz val="9"/>
        <rFont val="맑은 고딕"/>
        <family val="1"/>
      </rPr>
      <t>ề</t>
    </r>
    <r>
      <rPr>
        <i/>
        <sz val="9"/>
        <rFont val="Calibri"/>
        <family val="2"/>
      </rPr>
      <t xml:space="preserve"> ngh</t>
    </r>
    <r>
      <rPr>
        <i/>
        <sz val="9"/>
        <rFont val="맑은 고딕"/>
        <family val="1"/>
      </rPr>
      <t>ị</t>
    </r>
    <r>
      <rPr>
        <i/>
        <sz val="9"/>
        <rFont val="Calibri"/>
        <family val="2"/>
      </rPr>
      <t xml:space="preserve"> vi</t>
    </r>
    <r>
      <rPr>
        <i/>
        <sz val="9"/>
        <rFont val="맑은 고딕"/>
        <family val="1"/>
      </rPr>
      <t>ế</t>
    </r>
    <r>
      <rPr>
        <i/>
        <sz val="9"/>
        <rFont val="Calibri"/>
        <family val="2"/>
      </rPr>
      <t>t phi</t>
    </r>
    <r>
      <rPr>
        <i/>
        <sz val="9"/>
        <rFont val="맑은 고딕"/>
        <family val="1"/>
      </rPr>
      <t>ế</t>
    </r>
    <r>
      <rPr>
        <i/>
        <sz val="9"/>
        <rFont val="Calibri"/>
        <family val="2"/>
      </rPr>
      <t>u tăng ca và n</t>
    </r>
    <r>
      <rPr>
        <i/>
        <sz val="9"/>
        <rFont val="맑은 고딕"/>
        <family val="1"/>
      </rPr>
      <t>ộ</t>
    </r>
    <r>
      <rPr>
        <i/>
        <sz val="9"/>
        <rFont val="Calibri"/>
        <family val="2"/>
      </rPr>
      <t>p cho phòng Nhân s</t>
    </r>
    <r>
      <rPr>
        <i/>
        <sz val="9"/>
        <rFont val="맑은 고딕"/>
        <family val="1"/>
      </rPr>
      <t>ự</t>
    </r>
    <r>
      <rPr>
        <i/>
        <sz val="9"/>
        <rFont val="Calibri"/>
        <family val="2"/>
      </rPr>
      <t xml:space="preserve"> trư</t>
    </r>
    <r>
      <rPr>
        <i/>
        <sz val="9"/>
        <rFont val="맑은 고딕"/>
        <family val="1"/>
      </rPr>
      <t>ớ</t>
    </r>
    <r>
      <rPr>
        <i/>
        <sz val="9"/>
        <rFont val="Calibri"/>
        <family val="2"/>
      </rPr>
      <t>c 14h30 trư</t>
    </r>
    <r>
      <rPr>
        <i/>
        <sz val="9"/>
        <rFont val="맑은 고딕"/>
        <family val="1"/>
      </rPr>
      <t>ớ</t>
    </r>
    <r>
      <rPr>
        <i/>
        <sz val="9"/>
        <rFont val="Calibri"/>
        <family val="2"/>
      </rPr>
      <t>c khi tăng ca. Trư</t>
    </r>
    <r>
      <rPr>
        <i/>
        <sz val="9"/>
        <rFont val="맑은 고딕"/>
        <family val="1"/>
      </rPr>
      <t>ờ</t>
    </r>
    <r>
      <rPr>
        <i/>
        <sz val="9"/>
        <rFont val="Calibri"/>
        <family val="2"/>
      </rPr>
      <t>ng h</t>
    </r>
    <r>
      <rPr>
        <i/>
        <sz val="9"/>
        <rFont val="맑은 고딕"/>
        <family val="1"/>
      </rPr>
      <t>ợ</t>
    </r>
    <r>
      <rPr>
        <i/>
        <sz val="9"/>
        <rFont val="Calibri"/>
        <family val="2"/>
      </rPr>
      <t>p tăng ca trư</t>
    </r>
    <r>
      <rPr>
        <i/>
        <sz val="9"/>
        <rFont val="맑은 고딕"/>
        <family val="1"/>
      </rPr>
      <t>ớ</t>
    </r>
    <r>
      <rPr>
        <i/>
        <sz val="9"/>
        <rFont val="Calibri"/>
        <family val="2"/>
      </rPr>
      <t>c và n</t>
    </r>
    <r>
      <rPr>
        <i/>
        <sz val="9"/>
        <rFont val="맑은 고딕"/>
        <family val="1"/>
      </rPr>
      <t>ộ</t>
    </r>
    <r>
      <rPr>
        <i/>
        <sz val="9"/>
        <rFont val="Calibri"/>
        <family val="2"/>
      </rPr>
      <t>p đơn sau thì s</t>
    </r>
    <r>
      <rPr>
        <i/>
        <sz val="9"/>
        <rFont val="맑은 고딕"/>
        <family val="1"/>
      </rPr>
      <t>ẽ</t>
    </r>
    <r>
      <rPr>
        <i/>
        <sz val="9"/>
        <rFont val="Calibri"/>
        <family val="2"/>
      </rPr>
      <t xml:space="preserve"> không đư</t>
    </r>
    <r>
      <rPr>
        <i/>
        <sz val="9"/>
        <rFont val="맑은 고딕"/>
        <family val="1"/>
      </rPr>
      <t>ợ</t>
    </r>
    <r>
      <rPr>
        <i/>
        <sz val="9"/>
        <rFont val="Calibri"/>
        <family val="2"/>
      </rPr>
      <t>c tính ti</t>
    </r>
    <r>
      <rPr>
        <i/>
        <sz val="9"/>
        <rFont val="맑은 고딕"/>
        <family val="1"/>
      </rPr>
      <t>ề</t>
    </r>
    <r>
      <rPr>
        <i/>
        <sz val="9"/>
        <rFont val="Calibri"/>
        <family val="2"/>
      </rPr>
      <t>n tăng ca c</t>
    </r>
    <r>
      <rPr>
        <i/>
        <sz val="9"/>
        <rFont val="맑은 고딕"/>
        <family val="1"/>
      </rPr>
      <t>ủ</t>
    </r>
    <r>
      <rPr>
        <i/>
        <sz val="9"/>
        <rFont val="Calibri"/>
        <family val="2"/>
      </rPr>
      <t>a ngày đó.</t>
    </r>
  </si>
  <si>
    <r>
      <t>B</t>
    </r>
    <r>
      <rPr>
        <sz val="12"/>
        <rFont val="맑은 고딕"/>
        <family val="2"/>
      </rPr>
      <t>ộ</t>
    </r>
    <r>
      <rPr>
        <sz val="12"/>
        <rFont val="Calibri"/>
        <family val="2"/>
      </rPr>
      <t xml:space="preserve"> ph</t>
    </r>
    <r>
      <rPr>
        <sz val="12"/>
        <rFont val="맑은 고딕"/>
        <family val="2"/>
      </rPr>
      <t>ậ</t>
    </r>
    <r>
      <rPr>
        <sz val="12"/>
        <rFont val="Calibri"/>
        <family val="2"/>
      </rPr>
      <t>n:  RL
Department:</t>
    </r>
  </si>
  <si>
    <t>TRẦN XUÂN ĐẠT</t>
  </si>
  <si>
    <t>NGUYỄN ANH TÚ</t>
  </si>
  <si>
    <t>ĐỖ HOÀNG SƠN</t>
  </si>
  <si>
    <t>HD-08</t>
  </si>
  <si>
    <t>RL-03</t>
  </si>
  <si>
    <r>
      <t>Ngư</t>
    </r>
    <r>
      <rPr>
        <sz val="12"/>
        <rFont val="맑은 고딕"/>
        <family val="2"/>
      </rPr>
      <t>ờ</t>
    </r>
    <r>
      <rPr>
        <sz val="12"/>
        <rFont val="Calibri"/>
        <family val="2"/>
      </rPr>
      <t>i yêu c</t>
    </r>
    <r>
      <rPr>
        <sz val="12"/>
        <rFont val="맑은 고딕"/>
        <family val="2"/>
      </rPr>
      <t>ầ</t>
    </r>
    <r>
      <rPr>
        <sz val="12"/>
        <rFont val="Calibri"/>
        <family val="2"/>
      </rPr>
      <t>u: HOÀNG CHÍNH HỮU
Requestor</t>
    </r>
  </si>
  <si>
    <r>
      <t>Ngư</t>
    </r>
    <r>
      <rPr>
        <sz val="12"/>
        <rFont val="맑은 고딕"/>
        <family val="2"/>
      </rPr>
      <t>ờ</t>
    </r>
    <r>
      <rPr>
        <sz val="12"/>
        <rFont val="Calibri"/>
        <family val="2"/>
      </rPr>
      <t>i yêu c</t>
    </r>
    <r>
      <rPr>
        <sz val="12"/>
        <rFont val="맑은 고딕"/>
        <family val="2"/>
      </rPr>
      <t>ầ</t>
    </r>
    <r>
      <rPr>
        <sz val="12"/>
        <rFont val="Calibri"/>
        <family val="2"/>
      </rPr>
      <t>u:  HOÀNG CHÍNH HỮU
Requestor</t>
    </r>
  </si>
  <si>
    <t>NGUYỄN QUỐC BẢO</t>
  </si>
  <si>
    <t>NGUYỄN CẢNH THIẾT</t>
  </si>
  <si>
    <t>16h30 - 19h30</t>
  </si>
  <si>
    <t>HỨA TẤN ANH</t>
  </si>
  <si>
    <t>LƯƠNG HOÀNG NHÂN</t>
  </si>
  <si>
    <t>HD-9A</t>
  </si>
  <si>
    <t>TĂNG CA TỐI</t>
  </si>
  <si>
    <t>5.9X4.8</t>
  </si>
  <si>
    <t>HD-13</t>
  </si>
  <si>
    <t>5X12.5</t>
  </si>
  <si>
    <t>5.9X5.9</t>
  </si>
  <si>
    <t>HD-14</t>
  </si>
  <si>
    <t>ĐINH MẠNH HOÀNG</t>
  </si>
  <si>
    <t>DANH SÁCH NHÂN VIÊN HD &amp; RL</t>
  </si>
  <si>
    <t>STT</t>
  </si>
  <si>
    <t>HỌ VÀ TÊN</t>
  </si>
  <si>
    <t>BỘ PHẬN</t>
  </si>
  <si>
    <t>RPM by Production Equipment</t>
  </si>
  <si>
    <t>Update: 2024.06.14</t>
  </si>
  <si>
    <t>No</t>
  </si>
  <si>
    <t>Machine</t>
  </si>
  <si>
    <t>Type</t>
  </si>
  <si>
    <t>Model / Maker</t>
  </si>
  <si>
    <t>Spec</t>
  </si>
  <si>
    <t>Max RPM</t>
  </si>
  <si>
    <t>Remark</t>
  </si>
  <si>
    <t>HD-01</t>
  </si>
  <si>
    <t>FORMER</t>
  </si>
  <si>
    <t>BP-440L
SAKAMURA (JAPAN)</t>
  </si>
  <si>
    <t>M12 / 4D4B</t>
  </si>
  <si>
    <t>HEADER</t>
  </si>
  <si>
    <t>PL-JENJAOP (KOREA)</t>
  </si>
  <si>
    <t>M10 / 2D3B</t>
  </si>
  <si>
    <t>HD-03</t>
  </si>
  <si>
    <t>KMF-410
KOREA MACHINERY (KOREA)</t>
  </si>
  <si>
    <t>M10 / 4D4B</t>
  </si>
  <si>
    <t>HD-04</t>
  </si>
  <si>
    <t>FR-330
SAKAMURA (JAPAN)</t>
  </si>
  <si>
    <t>M10 / 3D3B</t>
  </si>
  <si>
    <t>S-330
SAKAMURA (JAPAN)</t>
  </si>
  <si>
    <t>CH-10LL
CHUN ZU (KOREA)</t>
  </si>
  <si>
    <t>M10 / 1D2B</t>
  </si>
  <si>
    <t>2310HD5100
KOREA MACHINE (KOREA)</t>
  </si>
  <si>
    <t>JBF-13B2S
JERN YAO (TAIWAN)</t>
  </si>
  <si>
    <t>M8 / 2D-2B</t>
  </si>
  <si>
    <t>AOT-8B
A.O COMPANY (JAPAN)</t>
  </si>
  <si>
    <t>HS-8
HAN SHIN (KOREA)</t>
  </si>
  <si>
    <t>M8 / 2D-3B</t>
  </si>
  <si>
    <t>PF-860
NEW (JAPAN)</t>
  </si>
  <si>
    <t>PF-630
NEW (JAPAN)</t>
  </si>
  <si>
    <t>M6 / 2D-3B</t>
  </si>
  <si>
    <t>S-320
SAKAMURA (JAPAN)</t>
  </si>
  <si>
    <t>M6 / 3D-3B</t>
  </si>
  <si>
    <t>KD304
SHANGHAI YIMING MACHINERY</t>
  </si>
  <si>
    <t>M4 / 3D-3B</t>
  </si>
  <si>
    <t>(KOREA)</t>
  </si>
  <si>
    <t>M6 / 1D-2B</t>
  </si>
  <si>
    <t>CH-6L
CHUN ZU (TAIWAN)</t>
  </si>
  <si>
    <t>CH-6S
CHUN ZU (TAIWAN)</t>
  </si>
  <si>
    <t>HD-15~31
(17EA)</t>
  </si>
  <si>
    <t>CH-5S
CHUN ZU (TAIWAN)</t>
  </si>
  <si>
    <t>M4 / 1D-2B</t>
  </si>
  <si>
    <t>HD-50~52
(3EA)</t>
  </si>
  <si>
    <t>3L
(JAPAN)</t>
  </si>
  <si>
    <t>M3 / 1D-2B</t>
  </si>
  <si>
    <t>HD-53~55
(3EA)</t>
  </si>
  <si>
    <t>3S
(JAPAN)</t>
  </si>
  <si>
    <t>RL-02</t>
  </si>
  <si>
    <t>ROLLING</t>
  </si>
  <si>
    <t>FR 120406 
KOREA MACHINERY (KOREA)</t>
  </si>
  <si>
    <t>M12</t>
  </si>
  <si>
    <t>DPR-10S
CHUN ZU (KOREA)</t>
  </si>
  <si>
    <t>M10</t>
  </si>
  <si>
    <t>JSR-M8
JIN SAN (KOREA)</t>
  </si>
  <si>
    <t>M8</t>
  </si>
  <si>
    <t>RL-05~08
(4EA)</t>
  </si>
  <si>
    <t>JSR-M6
JIN SAN (KOREA)</t>
  </si>
  <si>
    <t>M6</t>
  </si>
  <si>
    <t>RL-09~14
(6EA)</t>
  </si>
  <si>
    <t>ROLLING
(T/S-1)</t>
  </si>
  <si>
    <t>JSR-M4
JIN SAN (KOREA)</t>
  </si>
  <si>
    <t>RL-15~23
(9EA)</t>
  </si>
  <si>
    <t>RL-40~42
(3EA)</t>
  </si>
  <si>
    <t>JSR-M3
JIN SAN (KOREA)</t>
  </si>
  <si>
    <t>SM-01</t>
  </si>
  <si>
    <t>SEM ROLLING</t>
  </si>
  <si>
    <t>THI-12R
SAN MEI (TAIWAN)</t>
  </si>
  <si>
    <t>SM-2A</t>
  </si>
  <si>
    <t>SM-06</t>
  </si>
  <si>
    <t>M3</t>
  </si>
  <si>
    <t>CT-01~06
(6EA)</t>
  </si>
  <si>
    <t>CUTTING</t>
  </si>
  <si>
    <t>TAE HUNG</t>
  </si>
  <si>
    <t>M3-M6</t>
  </si>
  <si>
    <t>Quy cách</t>
  </si>
  <si>
    <t>Số lượng sản xuất 1 tiếng</t>
  </si>
  <si>
    <t>VỆ SINH
MÁY LẠNH</t>
  </si>
  <si>
    <t>Dự kiến
4 ngày</t>
  </si>
  <si>
    <t>9/14 EA</t>
  </si>
  <si>
    <t>RL-24</t>
  </si>
  <si>
    <t>FUJIU MACHINERY FACTORY</t>
  </si>
  <si>
    <r>
      <t xml:space="preserve">Total: 33 MC </t>
    </r>
    <r>
      <rPr>
        <b/>
        <sz val="16"/>
        <color rgb="FF0070C0"/>
        <rFont val="Calibri"/>
        <family val="2"/>
        <scheme val="minor"/>
      </rPr>
      <t>( 26 RL &amp; 7 SM)</t>
    </r>
  </si>
  <si>
    <t>HD-1A</t>
  </si>
  <si>
    <t>M16 / 4D4B</t>
  </si>
  <si>
    <t>M16</t>
  </si>
  <si>
    <t>HWANSEUNG ENG.</t>
  </si>
  <si>
    <r>
      <t xml:space="preserve">Total: 43 MC </t>
    </r>
    <r>
      <rPr>
        <b/>
        <sz val="16"/>
        <color rgb="FF0070C0"/>
        <rFont val="Calibri"/>
        <family val="2"/>
        <scheme val="minor"/>
      </rPr>
      <t>( 8 Former &amp; 34 Header)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</si>
</sst>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1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\(yy/mm/dd\)"/>
    <numFmt numFmtId="167" formatCode="&quot;(&quot;0%&quot;)   &quot;;[Red]\-&quot;(&quot;0%&quot;)   &quot;;&quot;?    &quot;"/>
    <numFmt numFmtId="168" formatCode="&quot;(&quot;0.00%&quot;)   &quot;;[Red]\-&quot;(&quot;0.00%&quot;)   &quot;;&quot;?    &quot;"/>
    <numFmt numFmtId="169" formatCode="0.00%;[Red]\-0.00%;&quot;?&quot;"/>
    <numFmt numFmtId="170" formatCode="#,###,###,###,##0"/>
    <numFmt numFmtId="171" formatCode="0.0"/>
    <numFmt numFmtId="172" formatCode="_-&quot;$&quot;* #,##0.00_-;\-&quot;$&quot;* #,##0.00_-;_-&quot;$&quot;* &quot;-&quot;??_-;_-@_-"/>
    <numFmt numFmtId="173" formatCode="0.0%"/>
    <numFmt numFmtId="174" formatCode="\$#,##0\ ;\(\$#,##0\)"/>
    <numFmt numFmtId="175" formatCode="#,##0\ _A_T_S;[Red]\-#,##0\ _A_T_S"/>
    <numFmt numFmtId="176" formatCode="#,##0.00\ _A_T_S;[Red]\-#,##0.00\ _A_T_S"/>
    <numFmt numFmtId="177" formatCode="&quot;False&quot;;;&quot;True&quot;;&quot;Character&quot;"/>
    <numFmt numFmtId="178" formatCode="_([$€]* #,##0.00_);_([$€]* \(#,##0.00\);_([$€]* &quot;-&quot;??_);_(@_)"/>
    <numFmt numFmtId="179" formatCode="0.0000;\-0.0000;0;&quot;Character&quot;"/>
    <numFmt numFmtId="180" formatCode="#,##0.00;\-#,##0.00;0;&quot;Character&quot;"/>
    <numFmt numFmtId="181" formatCode="#,##0;\(#,##0\)"/>
    <numFmt numFmtId="182" formatCode="&quot;False&quot;;&quot;False&quot;;&quot;True&quot;;@"/>
    <numFmt numFmtId="183" formatCode="&quot;£&quot;#,##0;[Red]\-&quot;£&quot;#,##0"/>
    <numFmt numFmtId="184" formatCode="&quot;£&quot;#,##0.00;[Red]\-&quot;£&quot;#,##0.00"/>
    <numFmt numFmtId="185" formatCode="&quot;(&quot;0%&quot;)   &quot;;[Red]\-&quot;(&quot;0%&quot;)   &quot;;&quot;－    &quot;"/>
    <numFmt numFmtId="186" formatCode="&quot;(&quot;0.00%&quot;)   &quot;;[Red]\-&quot;(&quot;0.00%&quot;)   &quot;;&quot;－    &quot;"/>
    <numFmt numFmtId="187" formatCode="0.00%;[Red]\-0.00%;&quot;－&quot;"/>
    <numFmt numFmtId="188" formatCode="&quot;¥&quot;#,##0;[Red]&quot;¥&quot;&quot;¥&quot;\-#,##0"/>
    <numFmt numFmtId="189" formatCode="&quot;¥&quot;#,##0.00;[Red]&quot;¥&quot;&quot;¥&quot;&quot;¥&quot;&quot;¥&quot;&quot;¥&quot;&quot;¥&quot;\-#,##0.00"/>
    <numFmt numFmtId="190" formatCode="&quot;¥&quot;#,##0.00;[Red]&quot;¥&quot;\-#,##0.00"/>
    <numFmt numFmtId="191" formatCode="&quot;¥&quot;#,##0;[Red]&quot;¥&quot;\-#,##0"/>
    <numFmt numFmtId="192" formatCode="_-* #,##0\ _₫_-;\-* #,##0\ _₫_-;_-* &quot;-&quot;??\ _₫_-;_-@_-"/>
  </numFmts>
  <fonts count="130">
    <font>
      <sz val="10"/>
      <name val="Arial"/>
      <charset val="128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Arial"/>
      <family val="2"/>
    </font>
    <font>
      <sz val="10"/>
      <color indexed="8"/>
      <name val="MS Sans Serif"/>
      <family val="2"/>
    </font>
    <font>
      <b/>
      <sz val="12"/>
      <name val="Times New Roman"/>
      <family val="1"/>
    </font>
    <font>
      <b/>
      <sz val="14"/>
      <name val="?? ?????"/>
      <family val="3"/>
      <charset val="128"/>
    </font>
    <font>
      <sz val="11"/>
      <name val="?? ????"/>
      <family val="3"/>
      <charset val="128"/>
    </font>
    <font>
      <u/>
      <sz val="11"/>
      <color indexed="12"/>
      <name val="?? ?????"/>
      <family val="3"/>
      <charset val="128"/>
    </font>
    <font>
      <sz val="11"/>
      <name val="?? ??"/>
      <family val="1"/>
      <charset val="128"/>
    </font>
    <font>
      <sz val="11"/>
      <name val="?? ?????"/>
      <family val="3"/>
      <charset val="128"/>
    </font>
    <font>
      <sz val="10"/>
      <name val="Helv"/>
      <family val="2"/>
    </font>
    <font>
      <sz val="11"/>
      <color indexed="8"/>
      <name val="Calibri"/>
      <family val="2"/>
    </font>
    <font>
      <sz val="10"/>
      <color indexed="8"/>
      <name val="Arial"/>
      <family val="2"/>
    </font>
    <font>
      <sz val="11"/>
      <color indexed="8"/>
      <name val="ＭＳ Ｐゴシック"/>
      <family val="3"/>
      <charset val="128"/>
    </font>
    <font>
      <sz val="11"/>
      <color indexed="9"/>
      <name val="Calibri"/>
      <family val="2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11"/>
      <color indexed="17"/>
      <name val="Calibri"/>
      <family val="2"/>
    </font>
    <font>
      <sz val="10"/>
      <color indexed="17"/>
      <name val="Arial"/>
      <family val="2"/>
    </font>
    <font>
      <sz val="14"/>
      <name val="Arial"/>
      <family val="2"/>
    </font>
    <font>
      <b/>
      <sz val="14"/>
      <name val="Arial"/>
      <family val="2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sz val="10"/>
      <color indexed="52"/>
      <name val="Arial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9"/>
      <name val="Arial"/>
      <family val="2"/>
    </font>
    <font>
      <sz val="10"/>
      <name val="VNI-Aptima"/>
    </font>
    <font>
      <sz val="11"/>
      <name val="ＭＳ Ｐゴシック"/>
      <family val="3"/>
      <charset val="128"/>
    </font>
    <font>
      <b/>
      <sz val="16"/>
      <name val="Arial"/>
      <family val="2"/>
    </font>
    <font>
      <sz val="10"/>
      <name val="Tahoma"/>
      <family val="2"/>
    </font>
    <font>
      <sz val="10"/>
      <name val="MS Sans Serif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b/>
      <sz val="12"/>
      <color indexed="8"/>
      <name val="Times New Roman"/>
      <family val="1"/>
    </font>
    <font>
      <sz val="10"/>
      <color indexed="20"/>
      <name val="Arial"/>
      <family val="2"/>
    </font>
    <font>
      <sz val="11"/>
      <color indexed="20"/>
      <name val="Calibri"/>
      <family val="2"/>
    </font>
    <font>
      <b/>
      <sz val="12"/>
      <color indexed="58"/>
      <name val="Times New Roman"/>
      <family val="1"/>
    </font>
    <font>
      <sz val="11"/>
      <color indexed="60"/>
      <name val="Calibri"/>
      <family val="2"/>
    </font>
    <font>
      <b/>
      <sz val="12"/>
      <name val="VN-NTime"/>
      <family val="2"/>
    </font>
    <font>
      <sz val="14"/>
      <color indexed="8"/>
      <name val="Arial"/>
      <family val="2"/>
    </font>
    <font>
      <sz val="12"/>
      <color indexed="8"/>
      <name val="Times New Roman"/>
      <family val="1"/>
    </font>
    <font>
      <sz val="8"/>
      <name val="Times New Roman"/>
      <family val="1"/>
    </font>
    <font>
      <b/>
      <sz val="11"/>
      <color indexed="63"/>
      <name val="Calibri"/>
      <family val="2"/>
    </font>
    <font>
      <b/>
      <sz val="10"/>
      <color indexed="63"/>
      <name val="Arial"/>
      <family val="2"/>
    </font>
    <font>
      <b/>
      <sz val="8"/>
      <color indexed="8"/>
      <name val="Arial"/>
      <family val="2"/>
    </font>
    <font>
      <sz val="10"/>
      <color indexed="39"/>
      <name val="Arial"/>
      <family val="2"/>
    </font>
    <font>
      <b/>
      <sz val="9"/>
      <color indexed="8"/>
      <name val="Arial"/>
      <family val="2"/>
    </font>
    <font>
      <sz val="10"/>
      <name val="ＭＳ Ｐゴシック"/>
      <family val="3"/>
      <charset val="128"/>
    </font>
    <font>
      <b/>
      <sz val="10"/>
      <color indexed="8"/>
      <name val="ＭＳ Ｐゴシック"/>
      <family val="3"/>
      <charset val="128"/>
    </font>
    <font>
      <b/>
      <sz val="10"/>
      <color indexed="8"/>
      <name val="Arial"/>
      <family val="2"/>
    </font>
    <font>
      <sz val="10"/>
      <color indexed="8"/>
      <name val="ＭＳ Ｐゴシック"/>
      <family val="3"/>
      <charset val="128"/>
    </font>
    <font>
      <b/>
      <sz val="12"/>
      <color indexed="8"/>
      <name val="Arial"/>
      <family val="2"/>
    </font>
    <font>
      <sz val="8"/>
      <color indexed="8"/>
      <name val="Arial"/>
      <family val="2"/>
    </font>
    <font>
      <b/>
      <sz val="7"/>
      <name val="Arial"/>
      <family val="2"/>
    </font>
    <font>
      <b/>
      <sz val="8"/>
      <color indexed="9"/>
      <name val="Arial"/>
      <family val="2"/>
    </font>
    <font>
      <b/>
      <sz val="16"/>
      <color indexed="23"/>
      <name val="ＭＳ Ｐゴシック"/>
      <family val="3"/>
      <charset val="128"/>
    </font>
    <font>
      <b/>
      <sz val="16"/>
      <color indexed="23"/>
      <name val="Arial"/>
      <family val="2"/>
    </font>
    <font>
      <sz val="10"/>
      <color indexed="10"/>
      <name val="Arial"/>
      <family val="2"/>
    </font>
    <font>
      <sz val="9"/>
      <color indexed="20"/>
      <name val="Arial"/>
      <family val="2"/>
    </font>
    <font>
      <sz val="9"/>
      <color indexed="48"/>
      <name val="Arial"/>
      <family val="2"/>
    </font>
    <font>
      <b/>
      <sz val="12"/>
      <color indexed="20"/>
      <name val="Arial"/>
      <family val="2"/>
    </font>
    <font>
      <b/>
      <sz val="9"/>
      <color indexed="20"/>
      <name val="Arial"/>
      <family val="2"/>
    </font>
    <font>
      <sz val="10"/>
      <name val="Geneva"/>
      <family val="2"/>
    </font>
    <font>
      <sz val="11"/>
      <color indexed="10"/>
      <name val="Calibri"/>
      <family val="2"/>
    </font>
    <font>
      <i/>
      <sz val="10"/>
      <color indexed="23"/>
      <name val="Arial"/>
      <family val="2"/>
    </font>
    <font>
      <b/>
      <sz val="18"/>
      <color indexed="56"/>
      <name val="Cambria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Calibri"/>
      <family val="2"/>
    </font>
    <font>
      <b/>
      <sz val="14"/>
      <color indexed="8"/>
      <name val="Arial"/>
      <family val="2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name val="ＭＳ ゴシック"/>
      <family val="3"/>
      <charset val="128"/>
    </font>
    <font>
      <u/>
      <sz val="9.1"/>
      <color indexed="12"/>
      <name val="Arial"/>
      <family val="2"/>
    </font>
    <font>
      <sz val="11"/>
      <color indexed="52"/>
      <name val="ＭＳ Ｐゴシック"/>
      <family val="3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Courier"/>
      <family val="3"/>
    </font>
    <font>
      <sz val="11"/>
      <color indexed="62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sz val="11"/>
      <name val="ＭＳ Ｐゴシック"/>
      <family val="3"/>
    </font>
    <font>
      <sz val="11"/>
      <color indexed="20"/>
      <name val="ＭＳ Ｐゴシック"/>
      <family val="3"/>
      <charset val="128"/>
    </font>
    <font>
      <sz val="11"/>
      <name val="ＭＳ 明朝"/>
      <family val="1"/>
      <charset val="128"/>
    </font>
    <font>
      <sz val="1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4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sz val="10"/>
      <name val="Arial"/>
      <family val="2"/>
    </font>
    <font>
      <sz val="12"/>
      <name val="Calibri"/>
      <family val="2"/>
      <scheme val="minor"/>
    </font>
    <font>
      <sz val="10"/>
      <name val="Arial"/>
      <family val="2"/>
    </font>
    <font>
      <b/>
      <sz val="26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name val="Calibri"/>
      <family val="2"/>
    </font>
    <font>
      <sz val="10"/>
      <name val="Calibri"/>
      <family val="2"/>
    </font>
    <font>
      <b/>
      <sz val="20"/>
      <name val="Calibri"/>
      <family val="2"/>
    </font>
    <font>
      <b/>
      <sz val="20"/>
      <name val="맑은 고딕"/>
      <family val="2"/>
    </font>
    <font>
      <b/>
      <sz val="12"/>
      <name val="Calibri"/>
      <family val="2"/>
    </font>
    <font>
      <sz val="12"/>
      <name val="맑은 고딕"/>
      <family val="2"/>
    </font>
    <font>
      <sz val="10"/>
      <name val="맑은 고딕"/>
      <family val="2"/>
    </font>
    <font>
      <sz val="10"/>
      <color theme="1"/>
      <name val="Calibri"/>
      <family val="2"/>
    </font>
    <font>
      <i/>
      <sz val="9"/>
      <name val="Calibri"/>
      <family val="2"/>
    </font>
    <font>
      <i/>
      <sz val="9"/>
      <name val="맑은 고딕"/>
      <family val="1"/>
    </font>
    <font>
      <i/>
      <sz val="12"/>
      <name val="Calibri"/>
      <family val="2"/>
    </font>
    <font>
      <sz val="8"/>
      <name val="맑은 고딕"/>
      <family val="3"/>
      <charset val="129"/>
    </font>
    <font>
      <b/>
      <sz val="10"/>
      <color theme="1"/>
      <name val="Calibri"/>
      <family val="2"/>
    </font>
    <font>
      <sz val="11"/>
      <color rgb="FF081C36"/>
      <name val="Calibri"/>
      <family val="2"/>
    </font>
    <font>
      <sz val="11"/>
      <color rgb="FF081B3A"/>
      <name val="Segoe UI"/>
      <family val="2"/>
    </font>
    <font>
      <b/>
      <i/>
      <sz val="10"/>
      <name val="Calibri"/>
      <family val="2"/>
    </font>
    <font>
      <b/>
      <sz val="34"/>
      <color theme="1"/>
      <name val="Calibri"/>
      <family val="2"/>
      <scheme val="minor"/>
    </font>
    <font>
      <sz val="11"/>
      <color rgb="FFFF0000"/>
      <name val="Calibri"/>
      <family val="2"/>
      <charset val="129"/>
      <scheme val="minor"/>
    </font>
    <font>
      <b/>
      <sz val="13"/>
      <color theme="1"/>
      <name val="Calibri"/>
      <family val="3"/>
      <charset val="129"/>
      <scheme val="minor"/>
    </font>
    <font>
      <b/>
      <sz val="11"/>
      <color theme="1"/>
      <name val="Calibri"/>
      <family val="3"/>
      <charset val="129"/>
      <scheme val="minor"/>
    </font>
    <font>
      <sz val="12"/>
      <color theme="1"/>
      <name val="Calibri"/>
      <family val="2"/>
      <charset val="129"/>
      <scheme val="minor"/>
    </font>
    <font>
      <sz val="12"/>
      <color rgb="FF0070C0"/>
      <name val="Calibri"/>
      <family val="2"/>
      <scheme val="minor"/>
    </font>
    <font>
      <b/>
      <sz val="16"/>
      <color rgb="FF0070C0"/>
      <name val="Calibri"/>
      <family val="2"/>
      <scheme val="minor"/>
    </font>
  </fonts>
  <fills count="51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43"/>
        <bgColor indexed="64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13"/>
        <bgColor indexed="64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2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1"/>
        <bgColor indexed="64"/>
      </patternFill>
    </fill>
    <fill>
      <patternFill patternType="lightUp">
        <fgColor indexed="22"/>
        <bgColor indexed="35"/>
      </patternFill>
    </fill>
    <fill>
      <patternFill patternType="solid">
        <fgColor indexed="35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</patternFill>
    </fill>
    <fill>
      <patternFill patternType="solid">
        <fgColor indexed="12"/>
      </patternFill>
    </fill>
    <fill>
      <patternFill patternType="solid">
        <fgColor indexed="14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3"/>
      </left>
      <right style="thin">
        <color indexed="63"/>
      </right>
      <top style="thin">
        <color indexed="64"/>
      </top>
      <bottom style="thin">
        <color indexed="63"/>
      </bottom>
      <diagonal/>
    </border>
    <border>
      <left style="thin">
        <color indexed="51"/>
      </left>
      <right style="thin">
        <color indexed="51"/>
      </right>
      <top/>
      <bottom/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thin">
        <color indexed="8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279">
    <xf numFmtId="0" fontId="0" fillId="0" borderId="0"/>
    <xf numFmtId="0" fontId="4" fillId="0" borderId="0"/>
    <xf numFmtId="166" fontId="5" fillId="2" borderId="0" applyBorder="0">
      <alignment horizontal="center" vertical="top"/>
      <protection locked="0"/>
    </xf>
    <xf numFmtId="0" fontId="6" fillId="0" borderId="0" applyFill="0" applyBorder="0" applyProtection="0"/>
    <xf numFmtId="167" fontId="7" fillId="0" borderId="0" applyFont="0" applyFill="0" applyBorder="0" applyAlignment="0" applyProtection="0"/>
    <xf numFmtId="168" fontId="7" fillId="0" borderId="0" applyFont="0" applyFill="0" applyBorder="0" applyAlignment="0" applyProtection="0">
      <alignment vertical="top"/>
    </xf>
    <xf numFmtId="0" fontId="8" fillId="0" borderId="0" applyNumberFormat="0" applyFill="0" applyBorder="0" applyAlignment="0" applyProtection="0">
      <alignment vertical="top"/>
      <protection locked="0"/>
    </xf>
    <xf numFmtId="169" fontId="7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9" fillId="0" borderId="0" applyNumberFormat="0" applyFont="0" applyFill="0" applyBorder="0">
      <alignment horizontal="left" vertical="top" wrapText="1"/>
    </xf>
    <xf numFmtId="0" fontId="10" fillId="0" borderId="0"/>
    <xf numFmtId="0" fontId="2" fillId="0" borderId="0"/>
    <xf numFmtId="0" fontId="11" fillId="0" borderId="0"/>
    <xf numFmtId="0" fontId="11" fillId="0" borderId="0"/>
    <xf numFmtId="0" fontId="12" fillId="3" borderId="0" applyNumberFormat="0" applyBorder="0" applyAlignment="0" applyProtection="0"/>
    <xf numFmtId="0" fontId="12" fillId="4" borderId="0" applyNumberFormat="0" applyBorder="0" applyAlignment="0" applyProtection="0"/>
    <xf numFmtId="0" fontId="12" fillId="5" borderId="0" applyNumberFormat="0" applyBorder="0" applyAlignment="0" applyProtection="0"/>
    <xf numFmtId="0" fontId="12" fillId="6" borderId="0" applyNumberFormat="0" applyBorder="0" applyAlignment="0" applyProtection="0"/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13" fillId="3" borderId="0" applyNumberFormat="0" applyBorder="0" applyAlignment="0" applyProtection="0"/>
    <xf numFmtId="0" fontId="13" fillId="4" borderId="0" applyNumberFormat="0" applyBorder="0" applyAlignment="0" applyProtection="0"/>
    <xf numFmtId="0" fontId="13" fillId="5" borderId="0" applyNumberFormat="0" applyBorder="0" applyAlignment="0" applyProtection="0"/>
    <xf numFmtId="0" fontId="13" fillId="6" borderId="0" applyNumberFormat="0" applyBorder="0" applyAlignment="0" applyProtection="0"/>
    <xf numFmtId="0" fontId="13" fillId="7" borderId="0" applyNumberFormat="0" applyBorder="0" applyAlignment="0" applyProtection="0"/>
    <xf numFmtId="0" fontId="13" fillId="8" borderId="0" applyNumberFormat="0" applyBorder="0" applyAlignment="0" applyProtection="0"/>
    <xf numFmtId="0" fontId="14" fillId="3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2" fillId="0" borderId="0" applyBorder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2" fillId="6" borderId="0" applyNumberFormat="0" applyBorder="0" applyAlignment="0" applyProtection="0"/>
    <xf numFmtId="0" fontId="12" fillId="9" borderId="0" applyNumberFormat="0" applyBorder="0" applyAlignment="0" applyProtection="0"/>
    <xf numFmtId="0" fontId="12" fillId="12" borderId="0" applyNumberFormat="0" applyBorder="0" applyAlignment="0" applyProtection="0"/>
    <xf numFmtId="0" fontId="13" fillId="9" borderId="0" applyNumberFormat="0" applyBorder="0" applyAlignment="0" applyProtection="0"/>
    <xf numFmtId="0" fontId="13" fillId="10" borderId="0" applyNumberFormat="0" applyBorder="0" applyAlignment="0" applyProtection="0"/>
    <xf numFmtId="0" fontId="13" fillId="11" borderId="0" applyNumberFormat="0" applyBorder="0" applyAlignment="0" applyProtection="0"/>
    <xf numFmtId="0" fontId="13" fillId="6" borderId="0" applyNumberFormat="0" applyBorder="0" applyAlignment="0" applyProtection="0"/>
    <xf numFmtId="0" fontId="13" fillId="9" borderId="0" applyNumberFormat="0" applyBorder="0" applyAlignment="0" applyProtection="0"/>
    <xf numFmtId="0" fontId="13" fillId="12" borderId="0" applyNumberFormat="0" applyBorder="0" applyAlignment="0" applyProtection="0"/>
    <xf numFmtId="0" fontId="14" fillId="9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5" fillId="13" borderId="0" applyNumberFormat="0" applyBorder="0" applyAlignment="0" applyProtection="0"/>
    <xf numFmtId="0" fontId="15" fillId="10" borderId="0" applyNumberFormat="0" applyBorder="0" applyAlignment="0" applyProtection="0"/>
    <xf numFmtId="0" fontId="15" fillId="11" borderId="0" applyNumberFormat="0" applyBorder="0" applyAlignment="0" applyProtection="0"/>
    <xf numFmtId="0" fontId="15" fillId="14" borderId="0" applyNumberFormat="0" applyBorder="0" applyAlignment="0" applyProtection="0"/>
    <xf numFmtId="0" fontId="15" fillId="15" borderId="0" applyNumberFormat="0" applyBorder="0" applyAlignment="0" applyProtection="0"/>
    <xf numFmtId="0" fontId="15" fillId="16" borderId="0" applyNumberFormat="0" applyBorder="0" applyAlignment="0" applyProtection="0"/>
    <xf numFmtId="0" fontId="16" fillId="13" borderId="0" applyNumberFormat="0" applyBorder="0" applyAlignment="0" applyProtection="0"/>
    <xf numFmtId="0" fontId="16" fillId="10" borderId="0" applyNumberFormat="0" applyBorder="0" applyAlignment="0" applyProtection="0"/>
    <xf numFmtId="0" fontId="16" fillId="11" borderId="0" applyNumberFormat="0" applyBorder="0" applyAlignment="0" applyProtection="0"/>
    <xf numFmtId="0" fontId="16" fillId="14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7" fillId="13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8" fillId="5" borderId="0" applyNumberFormat="0" applyBorder="0" applyAlignment="0" applyProtection="0"/>
    <xf numFmtId="0" fontId="19" fillId="5" borderId="0" applyNumberFormat="0" applyBorder="0" applyAlignment="0" applyProtection="0"/>
    <xf numFmtId="170" fontId="20" fillId="17" borderId="5" applyBorder="0">
      <alignment horizontal="center"/>
    </xf>
    <xf numFmtId="171" fontId="21" fillId="17" borderId="6" applyBorder="0"/>
    <xf numFmtId="2" fontId="21" fillId="17" borderId="6" applyBorder="0"/>
    <xf numFmtId="0" fontId="22" fillId="18" borderId="7" applyNumberFormat="0" applyAlignment="0" applyProtection="0"/>
    <xf numFmtId="0" fontId="23" fillId="19" borderId="8" applyNumberFormat="0" applyAlignment="0" applyProtection="0"/>
    <xf numFmtId="0" fontId="24" fillId="0" borderId="9" applyNumberFormat="0" applyFill="0" applyAlignment="0" applyProtection="0"/>
    <xf numFmtId="0" fontId="25" fillId="19" borderId="8" applyNumberFormat="0" applyAlignment="0" applyProtection="0"/>
    <xf numFmtId="0" fontId="26" fillId="0" borderId="9" applyNumberFormat="0" applyFill="0" applyAlignment="0" applyProtection="0"/>
    <xf numFmtId="0" fontId="27" fillId="0" borderId="0" applyFill="0" applyBorder="0" applyProtection="0">
      <alignment horizontal="center"/>
      <protection locked="0"/>
    </xf>
    <xf numFmtId="49" fontId="2" fillId="2" borderId="10" applyBorder="0">
      <alignment horizontal="left"/>
      <protection locked="0"/>
    </xf>
    <xf numFmtId="1" fontId="28" fillId="0" borderId="11" applyBorder="0"/>
    <xf numFmtId="38" fontId="29" fillId="0" borderId="0" applyFont="0" applyFill="0" applyBorder="0" applyAlignment="0" applyProtection="0"/>
    <xf numFmtId="38" fontId="29" fillId="0" borderId="0" applyFont="0" applyFill="0" applyBorder="0" applyAlignment="0" applyProtection="0">
      <alignment vertical="center"/>
    </xf>
    <xf numFmtId="40" fontId="29" fillId="0" borderId="0" applyFont="0" applyFill="0" applyBorder="0" applyAlignment="0" applyProtection="0">
      <alignment vertical="center"/>
    </xf>
    <xf numFmtId="170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4" fillId="0" borderId="0" applyFont="0" applyFill="0" applyBorder="0" applyAlignment="0" applyProtection="0"/>
    <xf numFmtId="3" fontId="2" fillId="0" borderId="0" applyFont="0" applyFill="0" applyBorder="0" applyAlignment="0" applyProtection="0"/>
    <xf numFmtId="0" fontId="30" fillId="20" borderId="0" applyNumberFormat="0" applyBorder="0">
      <alignment horizontal="centerContinuous"/>
    </xf>
    <xf numFmtId="0" fontId="3" fillId="0" borderId="0" applyFill="0" applyBorder="0" applyAlignment="0" applyProtection="0">
      <protection locked="0"/>
    </xf>
    <xf numFmtId="172" fontId="12" fillId="0" borderId="0" applyFont="0" applyFill="0" applyBorder="0" applyAlignment="0" applyProtection="0"/>
    <xf numFmtId="173" fontId="2" fillId="0" borderId="0" applyFont="0" applyFill="0" applyBorder="0" applyAlignment="0" applyProtection="0"/>
    <xf numFmtId="173" fontId="31" fillId="0" borderId="0" applyFont="0" applyFill="0" applyBorder="0" applyAlignment="0" applyProtection="0"/>
    <xf numFmtId="44" fontId="31" fillId="0" borderId="0" applyFont="0" applyFill="0" applyBorder="0" applyAlignment="0" applyProtection="0"/>
    <xf numFmtId="44" fontId="31" fillId="0" borderId="0" applyFont="0" applyFill="0" applyBorder="0" applyAlignment="0" applyProtection="0"/>
    <xf numFmtId="174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2" borderId="12" applyBorder="0">
      <alignment horizontal="left"/>
      <protection locked="0"/>
    </xf>
    <xf numFmtId="175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0" fontId="33" fillId="0" borderId="0" applyNumberFormat="0" applyFill="0" applyBorder="0" applyAlignment="0" applyProtection="0"/>
    <xf numFmtId="0" fontId="15" fillId="21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14" borderId="0" applyNumberFormat="0" applyBorder="0" applyAlignment="0" applyProtection="0"/>
    <xf numFmtId="0" fontId="15" fillId="15" borderId="0" applyNumberFormat="0" applyBorder="0" applyAlignment="0" applyProtection="0"/>
    <xf numFmtId="0" fontId="15" fillId="24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3" borderId="0" applyNumberFormat="0" applyBorder="0" applyAlignment="0" applyProtection="0"/>
    <xf numFmtId="0" fontId="16" fillId="14" borderId="0" applyNumberFormat="0" applyBorder="0" applyAlignment="0" applyProtection="0"/>
    <xf numFmtId="0" fontId="16" fillId="15" borderId="0" applyNumberFormat="0" applyBorder="0" applyAlignment="0" applyProtection="0"/>
    <xf numFmtId="0" fontId="16" fillId="24" borderId="0" applyNumberFormat="0" applyBorder="0" applyAlignment="0" applyProtection="0"/>
    <xf numFmtId="0" fontId="34" fillId="8" borderId="7" applyNumberFormat="0" applyAlignment="0" applyProtection="0"/>
    <xf numFmtId="177" fontId="35" fillId="0" borderId="0" applyFill="0" applyBorder="0"/>
    <xf numFmtId="178" fontId="2" fillId="0" borderId="0" applyFont="0" applyFill="0" applyBorder="0" applyAlignment="0" applyProtection="0"/>
    <xf numFmtId="2" fontId="2" fillId="0" borderId="0" applyFont="0" applyFill="0" applyBorder="0" applyAlignment="0" applyProtection="0"/>
    <xf numFmtId="0" fontId="3" fillId="0" borderId="13" applyNumberFormat="0" applyAlignment="0" applyProtection="0">
      <alignment horizontal="left" vertical="center"/>
    </xf>
    <xf numFmtId="0" fontId="3" fillId="0" borderId="2">
      <alignment horizontal="left" vertical="center"/>
    </xf>
    <xf numFmtId="0" fontId="27" fillId="0" borderId="0" applyFill="0" applyAlignment="0" applyProtection="0">
      <protection locked="0"/>
    </xf>
    <xf numFmtId="0" fontId="27" fillId="0" borderId="14" applyFill="0" applyAlignment="0" applyProtection="0">
      <protection locked="0"/>
    </xf>
    <xf numFmtId="0" fontId="36" fillId="4" borderId="0" applyNumberFormat="0" applyBorder="0" applyAlignment="0" applyProtection="0"/>
    <xf numFmtId="0" fontId="37" fillId="4" borderId="0" applyNumberFormat="0" applyBorder="0" applyAlignment="0" applyProtection="0"/>
    <xf numFmtId="0" fontId="2" fillId="25" borderId="15" applyBorder="0" applyAlignment="0"/>
    <xf numFmtId="0" fontId="38" fillId="0" borderId="0"/>
    <xf numFmtId="44" fontId="2" fillId="0" borderId="0" applyFont="0" applyFill="0" applyBorder="0" applyAlignment="0" applyProtection="0"/>
    <xf numFmtId="0" fontId="39" fillId="26" borderId="0" applyNumberFormat="0" applyBorder="0" applyAlignment="0" applyProtection="0"/>
    <xf numFmtId="0" fontId="40" fillId="0" borderId="4" applyNumberFormat="0" applyFont="0" applyFill="0" applyBorder="0" applyAlignment="0">
      <alignment horizontal="center"/>
    </xf>
    <xf numFmtId="0" fontId="1" fillId="0" borderId="0"/>
    <xf numFmtId="0" fontId="29" fillId="0" borderId="0"/>
    <xf numFmtId="0" fontId="1" fillId="0" borderId="0"/>
    <xf numFmtId="0" fontId="29" fillId="0" borderId="0">
      <alignment vertical="center"/>
    </xf>
    <xf numFmtId="0" fontId="2" fillId="0" borderId="0"/>
    <xf numFmtId="0" fontId="1" fillId="0" borderId="0"/>
    <xf numFmtId="0" fontId="14" fillId="0" borderId="0"/>
    <xf numFmtId="0" fontId="2" fillId="27" borderId="16" applyNumberFormat="0" applyFont="0" applyAlignment="0" applyProtection="0"/>
    <xf numFmtId="0" fontId="13" fillId="27" borderId="16" applyNumberFormat="0" applyFont="0" applyAlignment="0" applyProtection="0"/>
    <xf numFmtId="38" fontId="41" fillId="28" borderId="17" applyBorder="0">
      <alignment horizontal="right"/>
    </xf>
    <xf numFmtId="38" fontId="41" fillId="2" borderId="15" applyBorder="0">
      <alignment horizontal="right"/>
      <protection locked="0"/>
    </xf>
    <xf numFmtId="179" fontId="42" fillId="2" borderId="18" applyBorder="0">
      <alignment horizontal="right"/>
      <protection locked="0"/>
    </xf>
    <xf numFmtId="180" fontId="41" fillId="2" borderId="15" applyBorder="0">
      <alignment horizontal="right"/>
      <protection locked="0"/>
    </xf>
    <xf numFmtId="181" fontId="43" fillId="0" borderId="0"/>
    <xf numFmtId="9" fontId="29" fillId="0" borderId="0" applyFont="0" applyFill="0" applyBorder="0" applyAlignment="0" applyProtection="0">
      <alignment vertical="center"/>
    </xf>
    <xf numFmtId="9" fontId="31" fillId="0" borderId="0" applyFont="0" applyFill="0" applyBorder="0" applyAlignment="0" applyProtection="0"/>
    <xf numFmtId="0" fontId="44" fillId="18" borderId="19" applyNumberFormat="0" applyAlignment="0" applyProtection="0"/>
    <xf numFmtId="0" fontId="45" fillId="18" borderId="19" applyNumberFormat="0" applyAlignment="0" applyProtection="0"/>
    <xf numFmtId="4" fontId="13" fillId="17" borderId="19" applyNumberFormat="0" applyProtection="0">
      <alignment vertical="center"/>
    </xf>
    <xf numFmtId="4" fontId="46" fillId="17" borderId="19" applyNumberFormat="0" applyProtection="0">
      <alignment vertical="center"/>
    </xf>
    <xf numFmtId="4" fontId="47" fillId="17" borderId="19" applyNumberFormat="0" applyProtection="0">
      <alignment vertical="center"/>
    </xf>
    <xf numFmtId="4" fontId="13" fillId="17" borderId="19" applyNumberFormat="0" applyProtection="0">
      <alignment horizontal="left" vertical="center" indent="1"/>
    </xf>
    <xf numFmtId="4" fontId="13" fillId="17" borderId="19" applyNumberFormat="0" applyProtection="0">
      <alignment horizontal="left" vertical="center" indent="1"/>
    </xf>
    <xf numFmtId="4" fontId="48" fillId="17" borderId="19" applyNumberFormat="0" applyProtection="0">
      <alignment horizontal="left" vertical="center" indent="1"/>
    </xf>
    <xf numFmtId="4" fontId="13" fillId="17" borderId="19" applyNumberFormat="0" applyProtection="0">
      <alignment horizontal="left" vertical="center" indent="1"/>
    </xf>
    <xf numFmtId="0" fontId="49" fillId="28" borderId="19" applyNumberFormat="0" applyProtection="0">
      <alignment horizontal="left" vertical="center" indent="1"/>
    </xf>
    <xf numFmtId="0" fontId="2" fillId="28" borderId="19" applyNumberFormat="0" applyProtection="0">
      <alignment horizontal="left" vertical="center" indent="1"/>
    </xf>
    <xf numFmtId="0" fontId="2" fillId="28" borderId="19" applyNumberFormat="0" applyProtection="0">
      <alignment horizontal="left" vertical="center" indent="1"/>
    </xf>
    <xf numFmtId="4" fontId="13" fillId="29" borderId="19" applyNumberFormat="0" applyProtection="0">
      <alignment horizontal="right" vertical="center"/>
    </xf>
    <xf numFmtId="4" fontId="13" fillId="30" borderId="19" applyNumberFormat="0" applyProtection="0">
      <alignment horizontal="right" vertical="center"/>
    </xf>
    <xf numFmtId="4" fontId="13" fillId="31" borderId="19" applyNumberFormat="0" applyProtection="0">
      <alignment horizontal="right" vertical="center"/>
    </xf>
    <xf numFmtId="4" fontId="13" fillId="32" borderId="19" applyNumberFormat="0" applyProtection="0">
      <alignment horizontal="right" vertical="center"/>
    </xf>
    <xf numFmtId="4" fontId="13" fillId="33" borderId="19" applyNumberFormat="0" applyProtection="0">
      <alignment horizontal="right" vertical="center"/>
    </xf>
    <xf numFmtId="4" fontId="13" fillId="34" borderId="19" applyNumberFormat="0" applyProtection="0">
      <alignment horizontal="right" vertical="center"/>
    </xf>
    <xf numFmtId="4" fontId="13" fillId="35" borderId="19" applyNumberFormat="0" applyProtection="0">
      <alignment horizontal="right" vertical="center"/>
    </xf>
    <xf numFmtId="4" fontId="13" fillId="36" borderId="19" applyNumberFormat="0" applyProtection="0">
      <alignment horizontal="right" vertical="center"/>
    </xf>
    <xf numFmtId="4" fontId="13" fillId="37" borderId="19" applyNumberFormat="0" applyProtection="0">
      <alignment horizontal="right" vertical="center"/>
    </xf>
    <xf numFmtId="4" fontId="50" fillId="38" borderId="19" applyNumberFormat="0" applyProtection="0">
      <alignment horizontal="left" vertical="center" indent="1"/>
    </xf>
    <xf numFmtId="4" fontId="51" fillId="38" borderId="19" applyNumberFormat="0" applyProtection="0">
      <alignment horizontal="left" vertical="center" indent="1"/>
    </xf>
    <xf numFmtId="4" fontId="51" fillId="38" borderId="19" applyNumberFormat="0" applyProtection="0">
      <alignment horizontal="left" vertical="center" indent="1"/>
    </xf>
    <xf numFmtId="4" fontId="52" fillId="39" borderId="20" applyNumberFormat="0" applyProtection="0">
      <alignment horizontal="left" vertical="center" indent="1"/>
    </xf>
    <xf numFmtId="4" fontId="13" fillId="39" borderId="20" applyNumberFormat="0" applyProtection="0">
      <alignment horizontal="left" vertical="center" indent="1"/>
    </xf>
    <xf numFmtId="4" fontId="13" fillId="39" borderId="20" applyNumberFormat="0" applyProtection="0">
      <alignment horizontal="left" vertical="center" indent="1"/>
    </xf>
    <xf numFmtId="4" fontId="53" fillId="40" borderId="0" applyNumberFormat="0" applyProtection="0">
      <alignment horizontal="left" vertical="center" indent="1"/>
    </xf>
    <xf numFmtId="0" fontId="2" fillId="28" borderId="19" applyNumberFormat="0" applyProtection="0">
      <alignment horizontal="left" vertical="center" indent="1"/>
    </xf>
    <xf numFmtId="0" fontId="2" fillId="28" borderId="19" applyNumberFormat="0" applyProtection="0">
      <alignment horizontal="left" vertical="center" indent="1"/>
    </xf>
    <xf numFmtId="0" fontId="2" fillId="28" borderId="19" applyNumberFormat="0" applyProtection="0">
      <alignment horizontal="left" vertical="center" indent="1"/>
    </xf>
    <xf numFmtId="4" fontId="52" fillId="39" borderId="19" applyNumberFormat="0" applyProtection="0">
      <alignment horizontal="left" vertical="center" indent="1"/>
    </xf>
    <xf numFmtId="4" fontId="13" fillId="39" borderId="19" applyNumberFormat="0" applyProtection="0">
      <alignment horizontal="left" vertical="center" indent="1"/>
    </xf>
    <xf numFmtId="4" fontId="13" fillId="39" borderId="19" applyNumberFormat="0" applyProtection="0">
      <alignment horizontal="left" vertical="center" indent="1"/>
    </xf>
    <xf numFmtId="4" fontId="52" fillId="41" borderId="19" applyNumberFormat="0" applyProtection="0">
      <alignment horizontal="left" vertical="center" indent="1"/>
    </xf>
    <xf numFmtId="4" fontId="13" fillId="41" borderId="19" applyNumberFormat="0" applyProtection="0">
      <alignment horizontal="left" vertical="center" indent="1"/>
    </xf>
    <xf numFmtId="4" fontId="13" fillId="41" borderId="19" applyNumberFormat="0" applyProtection="0">
      <alignment horizontal="left" vertical="center" indent="1"/>
    </xf>
    <xf numFmtId="0" fontId="2" fillId="41" borderId="19" applyNumberFormat="0" applyProtection="0">
      <alignment horizontal="left" vertical="center" indent="1"/>
    </xf>
    <xf numFmtId="0" fontId="2" fillId="41" borderId="19" applyNumberFormat="0" applyProtection="0">
      <alignment horizontal="left" vertical="center" indent="1"/>
    </xf>
    <xf numFmtId="0" fontId="2" fillId="42" borderId="19" applyNumberFormat="0" applyProtection="0">
      <alignment horizontal="left" vertical="center" indent="1"/>
    </xf>
    <xf numFmtId="0" fontId="2" fillId="42" borderId="19" applyNumberFormat="0" applyProtection="0">
      <alignment horizontal="left" vertical="center" indent="1"/>
    </xf>
    <xf numFmtId="0" fontId="2" fillId="43" borderId="19" applyNumberFormat="0" applyProtection="0">
      <alignment horizontal="left" vertical="center" indent="1"/>
    </xf>
    <xf numFmtId="0" fontId="2" fillId="43" borderId="19" applyNumberFormat="0" applyProtection="0">
      <alignment horizontal="left" vertical="center" indent="1"/>
    </xf>
    <xf numFmtId="0" fontId="2" fillId="28" borderId="19" applyNumberFormat="0" applyProtection="0">
      <alignment horizontal="left" vertical="center" indent="1"/>
    </xf>
    <xf numFmtId="0" fontId="2" fillId="28" borderId="19" applyNumberFormat="0" applyProtection="0">
      <alignment horizontal="left" vertical="center" indent="1"/>
    </xf>
    <xf numFmtId="4" fontId="13" fillId="2" borderId="19" applyNumberFormat="0" applyProtection="0">
      <alignment vertical="center"/>
    </xf>
    <xf numFmtId="4" fontId="47" fillId="2" borderId="19" applyNumberFormat="0" applyProtection="0">
      <alignment vertical="center"/>
    </xf>
    <xf numFmtId="4" fontId="13" fillId="2" borderId="19" applyNumberFormat="0" applyProtection="0">
      <alignment horizontal="left" vertical="center" indent="1"/>
    </xf>
    <xf numFmtId="4" fontId="13" fillId="2" borderId="19" applyNumberFormat="0" applyProtection="0">
      <alignment horizontal="left" vertical="center" indent="1"/>
    </xf>
    <xf numFmtId="4" fontId="13" fillId="39" borderId="19" applyNumberFormat="0" applyProtection="0">
      <alignment horizontal="right" vertical="center"/>
    </xf>
    <xf numFmtId="4" fontId="54" fillId="44" borderId="19" applyNumberFormat="0" applyProtection="0">
      <alignment horizontal="right" vertical="center"/>
    </xf>
    <xf numFmtId="4" fontId="47" fillId="39" borderId="19" applyNumberFormat="0" applyProtection="0">
      <alignment horizontal="right" vertical="center"/>
    </xf>
    <xf numFmtId="0" fontId="2" fillId="28" borderId="19" applyNumberFormat="0" applyProtection="0">
      <alignment horizontal="left" vertical="center" indent="1"/>
    </xf>
    <xf numFmtId="0" fontId="55" fillId="44" borderId="19" applyNumberFormat="0" applyProtection="0">
      <alignment horizontal="left" vertical="center" indent="1"/>
    </xf>
    <xf numFmtId="0" fontId="2" fillId="28" borderId="19" applyNumberFormat="0" applyProtection="0">
      <alignment horizontal="left" vertical="center" indent="1"/>
    </xf>
    <xf numFmtId="0" fontId="2" fillId="28" borderId="19" applyNumberFormat="0" applyProtection="0">
      <alignment horizontal="left" vertical="center" indent="1"/>
    </xf>
    <xf numFmtId="0" fontId="2" fillId="28" borderId="19" applyNumberFormat="0" applyProtection="0">
      <alignment horizontal="left" vertical="center" indent="1"/>
    </xf>
    <xf numFmtId="0" fontId="2" fillId="28" borderId="19" applyNumberFormat="0" applyProtection="0">
      <alignment horizontal="left" vertical="center" indent="1"/>
    </xf>
    <xf numFmtId="0" fontId="56" fillId="45" borderId="19" applyNumberFormat="0" applyProtection="0">
      <alignment horizontal="left" vertical="center" indent="1"/>
    </xf>
    <xf numFmtId="0" fontId="57" fillId="0" borderId="0" applyNumberFormat="0" applyProtection="0"/>
    <xf numFmtId="0" fontId="58" fillId="0" borderId="0"/>
    <xf numFmtId="0" fontId="58" fillId="0" borderId="0"/>
    <xf numFmtId="4" fontId="59" fillId="39" borderId="19" applyNumberFormat="0" applyProtection="0">
      <alignment horizontal="right" vertical="center"/>
    </xf>
    <xf numFmtId="0" fontId="60" fillId="46" borderId="0"/>
    <xf numFmtId="49" fontId="61" fillId="46" borderId="0"/>
    <xf numFmtId="49" fontId="62" fillId="46" borderId="21"/>
    <xf numFmtId="49" fontId="62" fillId="46" borderId="0"/>
    <xf numFmtId="0" fontId="60" fillId="47" borderId="21">
      <protection locked="0"/>
    </xf>
    <xf numFmtId="0" fontId="60" fillId="46" borderId="0"/>
    <xf numFmtId="0" fontId="63" fillId="20" borderId="0"/>
    <xf numFmtId="0" fontId="63" fillId="37" borderId="0"/>
    <xf numFmtId="0" fontId="63" fillId="32" borderId="0"/>
    <xf numFmtId="43" fontId="2" fillId="0" borderId="0" applyFont="0" applyFill="0" applyBorder="0" applyAlignment="0" applyProtection="0"/>
    <xf numFmtId="0" fontId="32" fillId="0" borderId="0"/>
    <xf numFmtId="0" fontId="64" fillId="0" borderId="0"/>
    <xf numFmtId="0" fontId="59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8" fillId="0" borderId="22" applyNumberFormat="0" applyFill="0" applyAlignment="0" applyProtection="0"/>
    <xf numFmtId="0" fontId="69" fillId="0" borderId="23" applyNumberFormat="0" applyFill="0" applyAlignment="0" applyProtection="0"/>
    <xf numFmtId="0" fontId="33" fillId="0" borderId="24" applyNumberFormat="0" applyFill="0" applyAlignment="0" applyProtection="0"/>
    <xf numFmtId="0" fontId="70" fillId="0" borderId="0" applyNumberFormat="0" applyFill="0" applyBorder="0" applyAlignment="0" applyProtection="0"/>
    <xf numFmtId="182" fontId="71" fillId="0" borderId="25"/>
    <xf numFmtId="183" fontId="32" fillId="0" borderId="0" applyFont="0" applyFill="0" applyBorder="0" applyAlignment="0" applyProtection="0"/>
    <xf numFmtId="184" fontId="32" fillId="0" borderId="0" applyFont="0" applyFill="0" applyBorder="0" applyAlignment="0" applyProtection="0"/>
    <xf numFmtId="0" fontId="17" fillId="21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3" fillId="19" borderId="8" applyNumberFormat="0" applyAlignment="0" applyProtection="0">
      <alignment vertical="center"/>
    </xf>
    <xf numFmtId="0" fontId="74" fillId="26" borderId="0" applyNumberFormat="0" applyBorder="0" applyAlignment="0" applyProtection="0">
      <alignment vertical="center"/>
    </xf>
    <xf numFmtId="185" fontId="75" fillId="0" borderId="0" applyFont="0" applyFill="0" applyBorder="0" applyAlignment="0" applyProtection="0"/>
    <xf numFmtId="186" fontId="75" fillId="0" borderId="0" applyFont="0" applyFill="0" applyBorder="0" applyAlignment="0" applyProtection="0">
      <alignment vertical="top"/>
    </xf>
    <xf numFmtId="187" fontId="75" fillId="0" borderId="0" applyFont="0" applyFill="0" applyBorder="0" applyAlignment="0" applyProtection="0"/>
    <xf numFmtId="0" fontId="76" fillId="0" borderId="0" applyNumberFormat="0" applyFill="0" applyBorder="0" applyAlignment="0" applyProtection="0">
      <alignment vertical="top"/>
      <protection locked="0"/>
    </xf>
    <xf numFmtId="0" fontId="2" fillId="27" borderId="16" applyNumberFormat="0" applyFont="0" applyAlignment="0" applyProtection="0">
      <alignment vertical="center"/>
    </xf>
    <xf numFmtId="0" fontId="77" fillId="0" borderId="9" applyNumberFormat="0" applyFill="0" applyAlignment="0" applyProtection="0">
      <alignment vertical="center"/>
    </xf>
    <xf numFmtId="40" fontId="78" fillId="0" borderId="0" applyFont="0" applyFill="0" applyBorder="0" applyAlignment="0" applyProtection="0"/>
    <xf numFmtId="38" fontId="78" fillId="0" borderId="0" applyFont="0" applyFill="0" applyBorder="0" applyAlignment="0" applyProtection="0"/>
    <xf numFmtId="0" fontId="78" fillId="0" borderId="0" applyFont="0" applyFill="0" applyBorder="0" applyAlignment="0" applyProtection="0"/>
    <xf numFmtId="0" fontId="78" fillId="0" borderId="0" applyFont="0" applyFill="0" applyBorder="0" applyAlignment="0" applyProtection="0"/>
    <xf numFmtId="10" fontId="2" fillId="0" borderId="0" applyFont="0" applyFill="0" applyBorder="0" applyAlignment="0" applyProtection="0"/>
    <xf numFmtId="0" fontId="79" fillId="0" borderId="0"/>
    <xf numFmtId="188" fontId="2" fillId="0" borderId="0" applyFont="0" applyFill="0" applyBorder="0" applyAlignment="0" applyProtection="0"/>
    <xf numFmtId="189" fontId="2" fillId="0" borderId="0" applyFont="0" applyFill="0" applyBorder="0" applyAlignment="0" applyProtection="0"/>
    <xf numFmtId="190" fontId="80" fillId="0" borderId="0" applyFont="0" applyFill="0" applyBorder="0" applyAlignment="0" applyProtection="0"/>
    <xf numFmtId="191" fontId="80" fillId="0" borderId="0" applyFont="0" applyFill="0" applyBorder="0" applyAlignment="0" applyProtection="0"/>
    <xf numFmtId="0" fontId="81" fillId="0" borderId="0"/>
    <xf numFmtId="0" fontId="82" fillId="0" borderId="0"/>
    <xf numFmtId="0" fontId="83" fillId="8" borderId="7" applyNumberFormat="0" applyAlignment="0" applyProtection="0">
      <alignment vertical="center"/>
    </xf>
    <xf numFmtId="0" fontId="84" fillId="18" borderId="19" applyNumberFormat="0" applyAlignment="0" applyProtection="0">
      <alignment vertical="center"/>
    </xf>
    <xf numFmtId="38" fontId="29" fillId="0" borderId="0" applyFont="0" applyFill="0" applyBorder="0" applyAlignment="0" applyProtection="0"/>
    <xf numFmtId="0" fontId="85" fillId="0" borderId="0"/>
    <xf numFmtId="0" fontId="86" fillId="4" borderId="0" applyNumberFormat="0" applyBorder="0" applyAlignment="0" applyProtection="0">
      <alignment vertical="center"/>
    </xf>
    <xf numFmtId="0" fontId="87" fillId="0" borderId="0" applyNumberFormat="0" applyFont="0" applyFill="0" applyBorder="0">
      <alignment horizontal="left" vertical="top" wrapText="1"/>
    </xf>
    <xf numFmtId="0" fontId="88" fillId="0" borderId="26"/>
    <xf numFmtId="0" fontId="20" fillId="0" borderId="0" applyBorder="0"/>
    <xf numFmtId="0" fontId="4" fillId="0" borderId="0"/>
    <xf numFmtId="0" fontId="89" fillId="5" borderId="0" applyNumberFormat="0" applyBorder="0" applyAlignment="0" applyProtection="0">
      <alignment vertical="center"/>
    </xf>
    <xf numFmtId="0" fontId="90" fillId="0" borderId="22" applyNumberFormat="0" applyFill="0" applyAlignment="0" applyProtection="0">
      <alignment vertical="center"/>
    </xf>
    <xf numFmtId="0" fontId="91" fillId="0" borderId="23" applyNumberFormat="0" applyFill="0" applyAlignment="0" applyProtection="0">
      <alignment vertical="center"/>
    </xf>
    <xf numFmtId="0" fontId="92" fillId="0" borderId="24" applyNumberFormat="0" applyFill="0" applyAlignment="0" applyProtection="0">
      <alignment vertical="center"/>
    </xf>
    <xf numFmtId="0" fontId="92" fillId="0" borderId="0" applyNumberFormat="0" applyFill="0" applyBorder="0" applyAlignment="0" applyProtection="0">
      <alignment vertical="center"/>
    </xf>
    <xf numFmtId="0" fontId="93" fillId="0" borderId="0" applyFill="0" applyBorder="0" applyProtection="0"/>
    <xf numFmtId="0" fontId="94" fillId="18" borderId="7" applyNumberFormat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6" fillId="0" borderId="0" applyNumberFormat="0" applyFill="0" applyBorder="0" applyAlignment="0" applyProtection="0">
      <alignment vertical="center"/>
    </xf>
    <xf numFmtId="0" fontId="97" fillId="0" borderId="27" applyNumberFormat="0" applyFill="0" applyAlignment="0" applyProtection="0">
      <alignment vertical="center"/>
    </xf>
    <xf numFmtId="43" fontId="98" fillId="0" borderId="0" applyFont="0" applyFill="0" applyBorder="0" applyAlignment="0" applyProtection="0"/>
    <xf numFmtId="164" fontId="100" fillId="0" borderId="0" applyFont="0" applyFill="0" applyBorder="0" applyAlignment="0" applyProtection="0"/>
  </cellStyleXfs>
  <cellXfs count="87">
    <xf numFmtId="0" fontId="0" fillId="0" borderId="0" xfId="0"/>
    <xf numFmtId="0" fontId="102" fillId="0" borderId="0" xfId="0" applyFont="1" applyAlignment="1">
      <alignment horizontal="center" vertical="center"/>
    </xf>
    <xf numFmtId="0" fontId="103" fillId="0" borderId="0" xfId="0" applyFont="1" applyAlignment="1">
      <alignment vertical="center"/>
    </xf>
    <xf numFmtId="0" fontId="103" fillId="0" borderId="0" xfId="0" applyFont="1" applyAlignment="1">
      <alignment horizontal="center" vertical="center"/>
    </xf>
    <xf numFmtId="0" fontId="104" fillId="48" borderId="4" xfId="0" applyFont="1" applyFill="1" applyBorder="1" applyAlignment="1">
      <alignment horizontal="center" vertical="center" wrapText="1"/>
    </xf>
    <xf numFmtId="0" fontId="103" fillId="0" borderId="0" xfId="0" applyFont="1" applyAlignment="1">
      <alignment horizontal="center" vertical="center" wrapText="1"/>
    </xf>
    <xf numFmtId="192" fontId="103" fillId="0" borderId="0" xfId="277" applyNumberFormat="1" applyFont="1" applyAlignment="1">
      <alignment vertical="center"/>
    </xf>
    <xf numFmtId="0" fontId="105" fillId="0" borderId="4" xfId="0" applyFont="1" applyBorder="1" applyAlignment="1">
      <alignment horizontal="center" vertical="center"/>
    </xf>
    <xf numFmtId="0" fontId="105" fillId="0" borderId="0" xfId="0" applyFont="1" applyAlignment="1">
      <alignment vertical="center"/>
    </xf>
    <xf numFmtId="0" fontId="99" fillId="0" borderId="4" xfId="0" applyFont="1" applyBorder="1" applyAlignment="1">
      <alignment vertical="center"/>
    </xf>
    <xf numFmtId="0" fontId="106" fillId="0" borderId="4" xfId="0" applyFont="1" applyBorder="1" applyAlignment="1">
      <alignment vertical="center"/>
    </xf>
    <xf numFmtId="0" fontId="107" fillId="0" borderId="0" xfId="0" applyFont="1"/>
    <xf numFmtId="0" fontId="108" fillId="0" borderId="0" xfId="0" applyFont="1"/>
    <xf numFmtId="0" fontId="107" fillId="0" borderId="0" xfId="0" applyFont="1" applyAlignment="1">
      <alignment horizontal="left" indent="5"/>
    </xf>
    <xf numFmtId="0" fontId="108" fillId="0" borderId="0" xfId="0" applyFont="1" applyAlignment="1">
      <alignment vertical="center"/>
    </xf>
    <xf numFmtId="0" fontId="108" fillId="0" borderId="4" xfId="0" applyFont="1" applyBorder="1" applyAlignment="1">
      <alignment horizontal="center" vertical="center" wrapText="1"/>
    </xf>
    <xf numFmtId="164" fontId="114" fillId="0" borderId="4" xfId="278" applyFont="1" applyBorder="1" applyAlignment="1">
      <alignment horizontal="center" vertical="center" wrapText="1"/>
    </xf>
    <xf numFmtId="0" fontId="108" fillId="0" borderId="4" xfId="0" applyFont="1" applyBorder="1" applyAlignment="1">
      <alignment horizontal="center" vertical="center"/>
    </xf>
    <xf numFmtId="49" fontId="108" fillId="0" borderId="4" xfId="0" quotePrefix="1" applyNumberFormat="1" applyFont="1" applyBorder="1" applyAlignment="1">
      <alignment horizontal="center" vertical="center"/>
    </xf>
    <xf numFmtId="0" fontId="107" fillId="0" borderId="11" xfId="0" applyFont="1" applyBorder="1" applyAlignment="1">
      <alignment horizontal="center" vertical="center"/>
    </xf>
    <xf numFmtId="0" fontId="108" fillId="0" borderId="4" xfId="0" applyFont="1" applyBorder="1"/>
    <xf numFmtId="0" fontId="114" fillId="0" borderId="4" xfId="0" applyFont="1" applyBorder="1" applyAlignment="1">
      <alignment horizontal="center" vertical="center" wrapText="1"/>
    </xf>
    <xf numFmtId="164" fontId="114" fillId="0" borderId="4" xfId="278" applyFont="1" applyFill="1" applyBorder="1" applyAlignment="1">
      <alignment horizontal="center" vertical="center" wrapText="1"/>
    </xf>
    <xf numFmtId="0" fontId="120" fillId="0" borderId="0" xfId="0" applyFont="1"/>
    <xf numFmtId="20" fontId="108" fillId="0" borderId="4" xfId="0" applyNumberFormat="1" applyFont="1" applyBorder="1" applyAlignment="1">
      <alignment horizontal="center" vertical="center"/>
    </xf>
    <xf numFmtId="0" fontId="114" fillId="0" borderId="4" xfId="0" applyFont="1" applyBorder="1" applyAlignment="1">
      <alignment horizontal="center" vertical="center"/>
    </xf>
    <xf numFmtId="0" fontId="121" fillId="0" borderId="0" xfId="0" applyFont="1"/>
    <xf numFmtId="0" fontId="108" fillId="0" borderId="4" xfId="0" applyFont="1" applyBorder="1" applyAlignment="1">
      <alignment vertical="center" wrapText="1"/>
    </xf>
    <xf numFmtId="0" fontId="114" fillId="0" borderId="28" xfId="0" applyFont="1" applyBorder="1" applyAlignment="1">
      <alignment horizontal="center" vertical="center"/>
    </xf>
    <xf numFmtId="0" fontId="114" fillId="0" borderId="28" xfId="0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24" fillId="0" borderId="0" xfId="0" applyFont="1" applyAlignment="1">
      <alignment horizontal="left" vertical="center"/>
    </xf>
    <xf numFmtId="0" fontId="125" fillId="0" borderId="32" xfId="0" applyFont="1" applyBorder="1" applyAlignment="1">
      <alignment horizontal="center" vertical="center"/>
    </xf>
    <xf numFmtId="0" fontId="125" fillId="0" borderId="33" xfId="0" applyFont="1" applyBorder="1" applyAlignment="1">
      <alignment horizontal="center" vertical="center"/>
    </xf>
    <xf numFmtId="0" fontId="125" fillId="0" borderId="33" xfId="0" applyFont="1" applyBorder="1" applyAlignment="1">
      <alignment horizontal="center" vertical="center" wrapText="1"/>
    </xf>
    <xf numFmtId="0" fontId="125" fillId="0" borderId="34" xfId="0" applyFont="1" applyBorder="1" applyAlignment="1">
      <alignment horizontal="center" vertical="center"/>
    </xf>
    <xf numFmtId="0" fontId="126" fillId="0" borderId="0" xfId="0" applyFont="1" applyAlignment="1">
      <alignment vertical="center"/>
    </xf>
    <xf numFmtId="0" fontId="127" fillId="0" borderId="35" xfId="0" applyFont="1" applyBorder="1" applyAlignment="1">
      <alignment horizontal="center" vertical="center"/>
    </xf>
    <xf numFmtId="0" fontId="127" fillId="0" borderId="4" xfId="0" applyFont="1" applyBorder="1" applyAlignment="1">
      <alignment horizontal="center" vertical="center"/>
    </xf>
    <xf numFmtId="0" fontId="128" fillId="0" borderId="4" xfId="0" applyFont="1" applyBorder="1" applyAlignment="1">
      <alignment horizontal="center" vertical="center"/>
    </xf>
    <xf numFmtId="0" fontId="127" fillId="0" borderId="4" xfId="0" applyFont="1" applyBorder="1" applyAlignment="1">
      <alignment horizontal="center" vertical="center" wrapText="1"/>
    </xf>
    <xf numFmtId="0" fontId="127" fillId="0" borderId="36" xfId="0" applyFont="1" applyBorder="1" applyAlignment="1">
      <alignment horizontal="center" vertical="center"/>
    </xf>
    <xf numFmtId="0" fontId="127" fillId="0" borderId="39" xfId="0" applyFont="1" applyBorder="1" applyAlignment="1">
      <alignment horizontal="center" vertical="center"/>
    </xf>
    <xf numFmtId="0" fontId="127" fillId="0" borderId="40" xfId="0" applyFont="1" applyBorder="1" applyAlignment="1">
      <alignment horizontal="center" vertical="center" wrapText="1"/>
    </xf>
    <xf numFmtId="0" fontId="127" fillId="0" borderId="40" xfId="0" applyFont="1" applyBorder="1" applyAlignment="1">
      <alignment horizontal="center" vertical="center"/>
    </xf>
    <xf numFmtId="0" fontId="127" fillId="0" borderId="41" xfId="0" applyFont="1" applyBorder="1" applyAlignment="1">
      <alignment horizontal="center" vertical="center"/>
    </xf>
    <xf numFmtId="0" fontId="125" fillId="0" borderId="42" xfId="0" applyFont="1" applyBorder="1" applyAlignment="1">
      <alignment horizontal="center" vertical="center"/>
    </xf>
    <xf numFmtId="0" fontId="127" fillId="0" borderId="1" xfId="0" applyFont="1" applyBorder="1" applyAlignment="1">
      <alignment horizontal="center" vertical="center"/>
    </xf>
    <xf numFmtId="0" fontId="127" fillId="0" borderId="43" xfId="0" applyFont="1" applyBorder="1" applyAlignment="1">
      <alignment horizontal="center" vertical="center"/>
    </xf>
    <xf numFmtId="0" fontId="99" fillId="50" borderId="4" xfId="0" applyFont="1" applyFill="1" applyBorder="1" applyAlignment="1">
      <alignment vertical="center"/>
    </xf>
    <xf numFmtId="0" fontId="106" fillId="50" borderId="4" xfId="0" applyFont="1" applyFill="1" applyBorder="1" applyAlignment="1">
      <alignment vertical="center"/>
    </xf>
    <xf numFmtId="0" fontId="123" fillId="0" borderId="6" xfId="0" applyFont="1" applyBorder="1" applyAlignment="1">
      <alignment horizontal="center" vertical="center"/>
    </xf>
    <xf numFmtId="0" fontId="123" fillId="0" borderId="13" xfId="0" applyFont="1" applyBorder="1" applyAlignment="1">
      <alignment horizontal="center" vertical="center"/>
    </xf>
    <xf numFmtId="0" fontId="123" fillId="0" borderId="30" xfId="0" applyFont="1" applyBorder="1" applyAlignment="1">
      <alignment horizontal="center" vertical="center"/>
    </xf>
    <xf numFmtId="0" fontId="124" fillId="0" borderId="31" xfId="0" applyFont="1" applyBorder="1" applyAlignment="1">
      <alignment horizontal="left" vertical="center"/>
    </xf>
    <xf numFmtId="0" fontId="104" fillId="49" borderId="37" xfId="0" applyFont="1" applyFill="1" applyBorder="1" applyAlignment="1">
      <alignment horizontal="center" vertical="center"/>
    </xf>
    <xf numFmtId="0" fontId="104" fillId="49" borderId="2" xfId="0" applyFont="1" applyFill="1" applyBorder="1" applyAlignment="1">
      <alignment horizontal="center" vertical="center"/>
    </xf>
    <xf numFmtId="0" fontId="104" fillId="49" borderId="38" xfId="0" applyFont="1" applyFill="1" applyBorder="1" applyAlignment="1">
      <alignment horizontal="center" vertical="center"/>
    </xf>
    <xf numFmtId="0" fontId="109" fillId="0" borderId="14" xfId="0" applyFont="1" applyBorder="1" applyAlignment="1">
      <alignment horizontal="center" vertical="center" wrapText="1"/>
    </xf>
    <xf numFmtId="0" fontId="108" fillId="0" borderId="4" xfId="0" applyFont="1" applyBorder="1" applyAlignment="1">
      <alignment horizontal="center" vertical="center" wrapText="1"/>
    </xf>
    <xf numFmtId="0" fontId="108" fillId="0" borderId="4" xfId="0" applyFont="1" applyBorder="1" applyAlignment="1">
      <alignment horizontal="center" vertical="center"/>
    </xf>
    <xf numFmtId="0" fontId="107" fillId="0" borderId="1" xfId="0" applyFont="1" applyBorder="1" applyAlignment="1">
      <alignment horizontal="left" vertical="center" wrapText="1"/>
    </xf>
    <xf numFmtId="0" fontId="107" fillId="0" borderId="2" xfId="0" applyFont="1" applyBorder="1" applyAlignment="1">
      <alignment horizontal="left" vertical="center" wrapText="1"/>
    </xf>
    <xf numFmtId="0" fontId="107" fillId="0" borderId="3" xfId="0" applyFont="1" applyBorder="1" applyAlignment="1">
      <alignment horizontal="left" vertical="center" wrapText="1"/>
    </xf>
    <xf numFmtId="0" fontId="108" fillId="0" borderId="28" xfId="0" applyFont="1" applyBorder="1" applyAlignment="1">
      <alignment horizontal="center" vertical="center"/>
    </xf>
    <xf numFmtId="0" fontId="108" fillId="0" borderId="29" xfId="0" applyFont="1" applyBorder="1" applyAlignment="1">
      <alignment horizontal="center" vertical="center"/>
    </xf>
    <xf numFmtId="0" fontId="108" fillId="0" borderId="11" xfId="0" applyFont="1" applyBorder="1" applyAlignment="1">
      <alignment horizontal="center" vertical="center"/>
    </xf>
    <xf numFmtId="0" fontId="117" fillId="0" borderId="0" xfId="0" applyFont="1" applyAlignment="1">
      <alignment horizontal="left" wrapText="1"/>
    </xf>
    <xf numFmtId="0" fontId="115" fillId="0" borderId="0" xfId="0" applyFont="1" applyAlignment="1">
      <alignment horizontal="left" wrapText="1"/>
    </xf>
    <xf numFmtId="0" fontId="108" fillId="0" borderId="28" xfId="0" applyFont="1" applyBorder="1" applyAlignment="1">
      <alignment horizontal="center" vertical="center" wrapText="1"/>
    </xf>
    <xf numFmtId="0" fontId="108" fillId="0" borderId="29" xfId="0" applyFont="1" applyBorder="1" applyAlignment="1">
      <alignment horizontal="center" vertical="center" wrapText="1"/>
    </xf>
    <xf numFmtId="0" fontId="108" fillId="0" borderId="11" xfId="0" applyFont="1" applyBorder="1" applyAlignment="1">
      <alignment horizontal="center" vertical="center" wrapText="1"/>
    </xf>
    <xf numFmtId="49" fontId="108" fillId="0" borderId="28" xfId="0" quotePrefix="1" applyNumberFormat="1" applyFont="1" applyBorder="1" applyAlignment="1">
      <alignment horizontal="center" vertical="center"/>
    </xf>
    <xf numFmtId="49" fontId="108" fillId="0" borderId="29" xfId="0" quotePrefix="1" applyNumberFormat="1" applyFont="1" applyBorder="1" applyAlignment="1">
      <alignment horizontal="center" vertical="center"/>
    </xf>
    <xf numFmtId="49" fontId="108" fillId="0" borderId="11" xfId="0" quotePrefix="1" applyNumberFormat="1" applyFont="1" applyBorder="1" applyAlignment="1">
      <alignment horizontal="center" vertical="center"/>
    </xf>
    <xf numFmtId="20" fontId="108" fillId="0" borderId="28" xfId="0" applyNumberFormat="1" applyFont="1" applyBorder="1" applyAlignment="1">
      <alignment horizontal="center" vertical="center"/>
    </xf>
    <xf numFmtId="20" fontId="108" fillId="0" borderId="29" xfId="0" applyNumberFormat="1" applyFont="1" applyBorder="1" applyAlignment="1">
      <alignment horizontal="center" vertical="center"/>
    </xf>
    <xf numFmtId="20" fontId="108" fillId="0" borderId="11" xfId="0" applyNumberFormat="1" applyFont="1" applyBorder="1" applyAlignment="1">
      <alignment horizontal="center" vertical="center"/>
    </xf>
    <xf numFmtId="0" fontId="122" fillId="0" borderId="1" xfId="0" applyFont="1" applyBorder="1" applyAlignment="1">
      <alignment horizontal="center" vertical="center"/>
    </xf>
    <xf numFmtId="0" fontId="122" fillId="0" borderId="2" xfId="0" applyFont="1" applyBorder="1" applyAlignment="1">
      <alignment horizontal="center" vertical="center"/>
    </xf>
    <xf numFmtId="0" fontId="122" fillId="0" borderId="3" xfId="0" applyFont="1" applyBorder="1" applyAlignment="1">
      <alignment horizontal="center" vertical="center"/>
    </xf>
    <xf numFmtId="0" fontId="114" fillId="0" borderId="28" xfId="0" applyFont="1" applyBorder="1" applyAlignment="1">
      <alignment horizontal="center" vertical="center" wrapText="1"/>
    </xf>
    <xf numFmtId="0" fontId="114" fillId="0" borderId="11" xfId="0" applyFont="1" applyBorder="1" applyAlignment="1">
      <alignment horizontal="center" vertical="center" wrapText="1"/>
    </xf>
    <xf numFmtId="0" fontId="119" fillId="0" borderId="28" xfId="0" applyFont="1" applyBorder="1" applyAlignment="1">
      <alignment horizontal="center" vertical="center" wrapText="1"/>
    </xf>
    <xf numFmtId="0" fontId="119" fillId="0" borderId="11" xfId="0" applyFont="1" applyBorder="1" applyAlignment="1">
      <alignment horizontal="center" vertical="center" wrapText="1"/>
    </xf>
    <xf numFmtId="0" fontId="101" fillId="0" borderId="0" xfId="0" applyFont="1" applyAlignment="1">
      <alignment horizontal="center" vertical="center"/>
    </xf>
  </cellXfs>
  <cellStyles count="279">
    <cellStyle name="_x000d__x000a_JournalTemplate=C:\COMFO\CTALK\JOURSTD.TPL_x000d__x000a_LbStateAddress=3 3 0 251 1 89 2 311_x000d__x000a_LbStateJou" xfId="1" xr:uid="{00000000-0005-0000-0000-000000000000}"/>
    <cellStyle name="(yy/mm/dd)" xfId="2" xr:uid="{00000000-0005-0000-0000-000001000000}"/>
    <cellStyle name="????" xfId="3" xr:uid="{00000000-0005-0000-0000-000002000000}"/>
    <cellStyle name="?????()" xfId="4" xr:uid="{00000000-0005-0000-0000-000003000000}"/>
    <cellStyle name="?????(0.00)" xfId="5" xr:uid="{00000000-0005-0000-0000-000004000000}"/>
    <cellStyle name="???????_MONTHLY-Americas" xfId="6" xr:uid="{00000000-0005-0000-0000-000005000000}"/>
    <cellStyle name="?????[0.00]" xfId="7" xr:uid="{00000000-0005-0000-0000-000006000000}"/>
    <cellStyle name="?????_MONTHLY-Americas" xfId="8" xr:uid="{00000000-0005-0000-0000-000007000000}"/>
    <cellStyle name="????_PL(Actual)" xfId="9" xr:uid="{00000000-0005-0000-0000-000008000000}"/>
    <cellStyle name="??_MONTHLY (A&amp;B Company)(Asian sales co.)" xfId="10" xr:uid="{00000000-0005-0000-0000-000009000000}"/>
    <cellStyle name="_【二次使用数量】数量まとめ(1次)20110207送付版" xfId="11" xr:uid="{00000000-0005-0000-0000-00000A000000}"/>
    <cellStyle name="_DB" xfId="12" xr:uid="{00000000-0005-0000-0000-00000B000000}"/>
    <cellStyle name="_代表機種" xfId="13" xr:uid="{00000000-0005-0000-0000-00000C000000}"/>
    <cellStyle name="20% - Ênfase1" xfId="14" xr:uid="{00000000-0005-0000-0000-00000D000000}"/>
    <cellStyle name="20% - Ênfase2" xfId="15" xr:uid="{00000000-0005-0000-0000-00000E000000}"/>
    <cellStyle name="20% - Ênfase3" xfId="16" xr:uid="{00000000-0005-0000-0000-00000F000000}"/>
    <cellStyle name="20% - Ênfase4" xfId="17" xr:uid="{00000000-0005-0000-0000-000010000000}"/>
    <cellStyle name="20% - Ênfase5" xfId="18" xr:uid="{00000000-0005-0000-0000-000011000000}"/>
    <cellStyle name="20% - Ênfase6" xfId="19" xr:uid="{00000000-0005-0000-0000-000012000000}"/>
    <cellStyle name="20% - Énfasis1" xfId="20" xr:uid="{00000000-0005-0000-0000-000013000000}"/>
    <cellStyle name="20% - Énfasis2" xfId="21" xr:uid="{00000000-0005-0000-0000-000014000000}"/>
    <cellStyle name="20% - Énfasis3" xfId="22" xr:uid="{00000000-0005-0000-0000-000015000000}"/>
    <cellStyle name="20% - Énfasis4" xfId="23" xr:uid="{00000000-0005-0000-0000-000016000000}"/>
    <cellStyle name="20% - Énfasis5" xfId="24" xr:uid="{00000000-0005-0000-0000-000017000000}"/>
    <cellStyle name="20% - Énfasis6" xfId="25" xr:uid="{00000000-0005-0000-0000-000018000000}"/>
    <cellStyle name="20% - アクセント 1" xfId="26" xr:uid="{00000000-0005-0000-0000-000019000000}"/>
    <cellStyle name="20% - アクセント 2" xfId="27" xr:uid="{00000000-0005-0000-0000-00001A000000}"/>
    <cellStyle name="20% - アクセント 3" xfId="28" xr:uid="{00000000-0005-0000-0000-00001B000000}"/>
    <cellStyle name="20% - アクセント 4" xfId="29" xr:uid="{00000000-0005-0000-0000-00001C000000}"/>
    <cellStyle name="20% - アクセント 5" xfId="30" xr:uid="{00000000-0005-0000-0000-00001D000000}"/>
    <cellStyle name="20% - アクセント 6" xfId="31" xr:uid="{00000000-0005-0000-0000-00001E000000}"/>
    <cellStyle name="3232" xfId="32" xr:uid="{00000000-0005-0000-0000-00001F000000}"/>
    <cellStyle name="40% - Ênfase1" xfId="33" xr:uid="{00000000-0005-0000-0000-000020000000}"/>
    <cellStyle name="40% - Ênfase2" xfId="34" xr:uid="{00000000-0005-0000-0000-000021000000}"/>
    <cellStyle name="40% - Ênfase3" xfId="35" xr:uid="{00000000-0005-0000-0000-000022000000}"/>
    <cellStyle name="40% - Ênfase4" xfId="36" xr:uid="{00000000-0005-0000-0000-000023000000}"/>
    <cellStyle name="40% - Ênfase5" xfId="37" xr:uid="{00000000-0005-0000-0000-000024000000}"/>
    <cellStyle name="40% - Ênfase6" xfId="38" xr:uid="{00000000-0005-0000-0000-000025000000}"/>
    <cellStyle name="40% - Énfasis1" xfId="39" xr:uid="{00000000-0005-0000-0000-000026000000}"/>
    <cellStyle name="40% - Énfasis2" xfId="40" xr:uid="{00000000-0005-0000-0000-000027000000}"/>
    <cellStyle name="40% - Énfasis3" xfId="41" xr:uid="{00000000-0005-0000-0000-000028000000}"/>
    <cellStyle name="40% - Énfasis4" xfId="42" xr:uid="{00000000-0005-0000-0000-000029000000}"/>
    <cellStyle name="40% - Énfasis5" xfId="43" xr:uid="{00000000-0005-0000-0000-00002A000000}"/>
    <cellStyle name="40% - Énfasis6" xfId="44" xr:uid="{00000000-0005-0000-0000-00002B000000}"/>
    <cellStyle name="40% - アクセント 1" xfId="45" xr:uid="{00000000-0005-0000-0000-00002C000000}"/>
    <cellStyle name="40% - アクセント 2" xfId="46" xr:uid="{00000000-0005-0000-0000-00002D000000}"/>
    <cellStyle name="40% - アクセント 3" xfId="47" xr:uid="{00000000-0005-0000-0000-00002E000000}"/>
    <cellStyle name="40% - アクセント 4" xfId="48" xr:uid="{00000000-0005-0000-0000-00002F000000}"/>
    <cellStyle name="40% - アクセント 5" xfId="49" xr:uid="{00000000-0005-0000-0000-000030000000}"/>
    <cellStyle name="40% - アクセント 6" xfId="50" xr:uid="{00000000-0005-0000-0000-000031000000}"/>
    <cellStyle name="60% - Ênfase1" xfId="51" xr:uid="{00000000-0005-0000-0000-000032000000}"/>
    <cellStyle name="60% - Ênfase2" xfId="52" xr:uid="{00000000-0005-0000-0000-000033000000}"/>
    <cellStyle name="60% - Ênfase3" xfId="53" xr:uid="{00000000-0005-0000-0000-000034000000}"/>
    <cellStyle name="60% - Ênfase4" xfId="54" xr:uid="{00000000-0005-0000-0000-000035000000}"/>
    <cellStyle name="60% - Ênfase5" xfId="55" xr:uid="{00000000-0005-0000-0000-000036000000}"/>
    <cellStyle name="60% - Ênfase6" xfId="56" xr:uid="{00000000-0005-0000-0000-000037000000}"/>
    <cellStyle name="60% - Énfasis1" xfId="57" xr:uid="{00000000-0005-0000-0000-000038000000}"/>
    <cellStyle name="60% - Énfasis2" xfId="58" xr:uid="{00000000-0005-0000-0000-000039000000}"/>
    <cellStyle name="60% - Énfasis3" xfId="59" xr:uid="{00000000-0005-0000-0000-00003A000000}"/>
    <cellStyle name="60% - Énfasis4" xfId="60" xr:uid="{00000000-0005-0000-0000-00003B000000}"/>
    <cellStyle name="60% - Énfasis5" xfId="61" xr:uid="{00000000-0005-0000-0000-00003C000000}"/>
    <cellStyle name="60% - Énfasis6" xfId="62" xr:uid="{00000000-0005-0000-0000-00003D000000}"/>
    <cellStyle name="60% - アクセント 1" xfId="63" xr:uid="{00000000-0005-0000-0000-00003E000000}"/>
    <cellStyle name="60% - アクセント 2" xfId="64" xr:uid="{00000000-0005-0000-0000-00003F000000}"/>
    <cellStyle name="60% - アクセント 3" xfId="65" xr:uid="{00000000-0005-0000-0000-000040000000}"/>
    <cellStyle name="60% - アクセント 4" xfId="66" xr:uid="{00000000-0005-0000-0000-000041000000}"/>
    <cellStyle name="60% - アクセント 5" xfId="67" xr:uid="{00000000-0005-0000-0000-000042000000}"/>
    <cellStyle name="60% - アクセント 6" xfId="68" xr:uid="{00000000-0005-0000-0000-000043000000}"/>
    <cellStyle name="Bom" xfId="69" xr:uid="{00000000-0005-0000-0000-000044000000}"/>
    <cellStyle name="Buena" xfId="70" xr:uid="{00000000-0005-0000-0000-000045000000}"/>
    <cellStyle name="Calculation-" xfId="71" xr:uid="{00000000-0005-0000-0000-000046000000}"/>
    <cellStyle name="Calculation2.1" xfId="72" xr:uid="{00000000-0005-0000-0000-000047000000}"/>
    <cellStyle name="Calculation2.2" xfId="73" xr:uid="{00000000-0005-0000-0000-000048000000}"/>
    <cellStyle name="Cálculo" xfId="74" xr:uid="{00000000-0005-0000-0000-000049000000}"/>
    <cellStyle name="Celda de comprobación" xfId="75" xr:uid="{00000000-0005-0000-0000-00004A000000}"/>
    <cellStyle name="Celda vinculada" xfId="76" xr:uid="{00000000-0005-0000-0000-00004B000000}"/>
    <cellStyle name="Célula de Verificação" xfId="77" xr:uid="{00000000-0005-0000-0000-00004C000000}"/>
    <cellStyle name="Célula Vinculada" xfId="78" xr:uid="{00000000-0005-0000-0000-00004D000000}"/>
    <cellStyle name="Centered Heading" xfId="79" xr:uid="{00000000-0005-0000-0000-00004E000000}"/>
    <cellStyle name="CharacterInput" xfId="80" xr:uid="{00000000-0005-0000-0000-00004F000000}"/>
    <cellStyle name="CHUONG" xfId="81" xr:uid="{00000000-0005-0000-0000-000050000000}"/>
    <cellStyle name="Comma" xfId="277" builtinId="3"/>
    <cellStyle name="Comma [0]" xfId="278" builtinId="6"/>
    <cellStyle name="Comma [0] 2" xfId="82" xr:uid="{00000000-0005-0000-0000-000053000000}"/>
    <cellStyle name="Comma [0] 3" xfId="83" xr:uid="{00000000-0005-0000-0000-000054000000}"/>
    <cellStyle name="Comma 2" xfId="84" xr:uid="{00000000-0005-0000-0000-000055000000}"/>
    <cellStyle name="Comma 3" xfId="85" xr:uid="{00000000-0005-0000-0000-000056000000}"/>
    <cellStyle name="Comma 4" xfId="86" xr:uid="{00000000-0005-0000-0000-000057000000}"/>
    <cellStyle name="Comma 8" xfId="87" xr:uid="{00000000-0005-0000-0000-000058000000}"/>
    <cellStyle name="Comma0" xfId="88" xr:uid="{00000000-0005-0000-0000-000059000000}"/>
    <cellStyle name="comment" xfId="89" xr:uid="{00000000-0005-0000-0000-00005A000000}"/>
    <cellStyle name="Company Name" xfId="90" xr:uid="{00000000-0005-0000-0000-00005B000000}"/>
    <cellStyle name="Currency 2" xfId="91" xr:uid="{00000000-0005-0000-0000-00005C000000}"/>
    <cellStyle name="Currency 3" xfId="92" xr:uid="{00000000-0005-0000-0000-00005D000000}"/>
    <cellStyle name="Currency 4" xfId="93" xr:uid="{00000000-0005-0000-0000-00005E000000}"/>
    <cellStyle name="Currency 4 2" xfId="94" xr:uid="{00000000-0005-0000-0000-00005F000000}"/>
    <cellStyle name="Currency 5" xfId="95" xr:uid="{00000000-0005-0000-0000-000060000000}"/>
    <cellStyle name="Currency0" xfId="96" xr:uid="{00000000-0005-0000-0000-000061000000}"/>
    <cellStyle name="Date" xfId="97" xr:uid="{00000000-0005-0000-0000-000062000000}"/>
    <cellStyle name="DateOfIssue" xfId="98" xr:uid="{00000000-0005-0000-0000-000063000000}"/>
    <cellStyle name="Dezimal [0]_COVER" xfId="99" xr:uid="{00000000-0005-0000-0000-000064000000}"/>
    <cellStyle name="Dezimal_COVER" xfId="100" xr:uid="{00000000-0005-0000-0000-000065000000}"/>
    <cellStyle name="Encabezado 4" xfId="101" xr:uid="{00000000-0005-0000-0000-000066000000}"/>
    <cellStyle name="Ênfase1" xfId="102" xr:uid="{00000000-0005-0000-0000-000067000000}"/>
    <cellStyle name="Ênfase2" xfId="103" xr:uid="{00000000-0005-0000-0000-000068000000}"/>
    <cellStyle name="Ênfase3" xfId="104" xr:uid="{00000000-0005-0000-0000-000069000000}"/>
    <cellStyle name="Ênfase4" xfId="105" xr:uid="{00000000-0005-0000-0000-00006A000000}"/>
    <cellStyle name="Ênfase5" xfId="106" xr:uid="{00000000-0005-0000-0000-00006B000000}"/>
    <cellStyle name="Ênfase6" xfId="107" xr:uid="{00000000-0005-0000-0000-00006C000000}"/>
    <cellStyle name="Énfasis1" xfId="108" xr:uid="{00000000-0005-0000-0000-00006D000000}"/>
    <cellStyle name="Énfasis2" xfId="109" xr:uid="{00000000-0005-0000-0000-00006E000000}"/>
    <cellStyle name="Énfasis3" xfId="110" xr:uid="{00000000-0005-0000-0000-00006F000000}"/>
    <cellStyle name="Énfasis4" xfId="111" xr:uid="{00000000-0005-0000-0000-000070000000}"/>
    <cellStyle name="Énfasis5" xfId="112" xr:uid="{00000000-0005-0000-0000-000071000000}"/>
    <cellStyle name="Énfasis6" xfId="113" xr:uid="{00000000-0005-0000-0000-000072000000}"/>
    <cellStyle name="Entrada" xfId="114" xr:uid="{00000000-0005-0000-0000-000073000000}"/>
    <cellStyle name="err" xfId="115" xr:uid="{00000000-0005-0000-0000-000074000000}"/>
    <cellStyle name="Euro" xfId="116" xr:uid="{00000000-0005-0000-0000-000075000000}"/>
    <cellStyle name="Fixed" xfId="117" xr:uid="{00000000-0005-0000-0000-000076000000}"/>
    <cellStyle name="Header1" xfId="118" xr:uid="{00000000-0005-0000-0000-000077000000}"/>
    <cellStyle name="Header2" xfId="119" xr:uid="{00000000-0005-0000-0000-000078000000}"/>
    <cellStyle name="Heading No Underline" xfId="120" xr:uid="{00000000-0005-0000-0000-000079000000}"/>
    <cellStyle name="Heading With Underline" xfId="121" xr:uid="{00000000-0005-0000-0000-00007A000000}"/>
    <cellStyle name="Incorrecto" xfId="122" xr:uid="{00000000-0005-0000-0000-00007B000000}"/>
    <cellStyle name="Incorreto" xfId="123" xr:uid="{00000000-0005-0000-0000-00007C000000}"/>
    <cellStyle name="LookupTitle" xfId="124" xr:uid="{00000000-0005-0000-0000-00007D000000}"/>
    <cellStyle name="MenuTitle" xfId="125" xr:uid="{00000000-0005-0000-0000-00007E000000}"/>
    <cellStyle name="Moneda_2009 product p&amp;l by engine" xfId="126" xr:uid="{00000000-0005-0000-0000-00007F000000}"/>
    <cellStyle name="Neutra" xfId="127" xr:uid="{00000000-0005-0000-0000-000080000000}"/>
    <cellStyle name="ÑONVÒ" xfId="128" xr:uid="{00000000-0005-0000-0000-000081000000}"/>
    <cellStyle name="Normal" xfId="0" builtinId="0"/>
    <cellStyle name="Normal 2" xfId="129" xr:uid="{00000000-0005-0000-0000-000083000000}"/>
    <cellStyle name="Normal 2 2" xfId="130" xr:uid="{00000000-0005-0000-0000-000084000000}"/>
    <cellStyle name="Normal 3" xfId="131" xr:uid="{00000000-0005-0000-0000-000085000000}"/>
    <cellStyle name="Normal 4" xfId="132" xr:uid="{00000000-0005-0000-0000-000086000000}"/>
    <cellStyle name="Normal 5" xfId="133" xr:uid="{00000000-0005-0000-0000-000087000000}"/>
    <cellStyle name="Normal 6" xfId="134" xr:uid="{00000000-0005-0000-0000-000088000000}"/>
    <cellStyle name="Normal 7" xfId="135" xr:uid="{00000000-0005-0000-0000-000089000000}"/>
    <cellStyle name="Nota" xfId="136" xr:uid="{00000000-0005-0000-0000-00008A000000}"/>
    <cellStyle name="Notas" xfId="137" xr:uid="{00000000-0005-0000-0000-00008B000000}"/>
    <cellStyle name="Number" xfId="138" xr:uid="{00000000-0005-0000-0000-00008C000000}"/>
    <cellStyle name="NumberInput" xfId="139" xr:uid="{00000000-0005-0000-0000-00008D000000}"/>
    <cellStyle name="NumberInput1.4" xfId="140" xr:uid="{00000000-0005-0000-0000-00008E000000}"/>
    <cellStyle name="NumberInput2.2" xfId="141" xr:uid="{00000000-0005-0000-0000-00008F000000}"/>
    <cellStyle name="parentesis" xfId="142" xr:uid="{00000000-0005-0000-0000-000090000000}"/>
    <cellStyle name="Percent 2" xfId="143" xr:uid="{00000000-0005-0000-0000-000092000000}"/>
    <cellStyle name="Percent 3" xfId="144" xr:uid="{00000000-0005-0000-0000-000093000000}"/>
    <cellStyle name="Saída" xfId="145" xr:uid="{00000000-0005-0000-0000-000094000000}"/>
    <cellStyle name="Salida" xfId="146" xr:uid="{00000000-0005-0000-0000-000095000000}"/>
    <cellStyle name="SAPBEXaggData" xfId="147" xr:uid="{00000000-0005-0000-0000-000096000000}"/>
    <cellStyle name="SAPBEXaggData 2" xfId="148" xr:uid="{00000000-0005-0000-0000-000097000000}"/>
    <cellStyle name="SAPBEXaggDataEmph" xfId="149" xr:uid="{00000000-0005-0000-0000-000098000000}"/>
    <cellStyle name="SAPBEXaggItem" xfId="150" xr:uid="{00000000-0005-0000-0000-000099000000}"/>
    <cellStyle name="SAPBEXaggItem 2" xfId="151" xr:uid="{00000000-0005-0000-0000-00009A000000}"/>
    <cellStyle name="SAPBEXaggItem_DB" xfId="152" xr:uid="{00000000-0005-0000-0000-00009B000000}"/>
    <cellStyle name="SAPBEXaggItemX" xfId="153" xr:uid="{00000000-0005-0000-0000-00009C000000}"/>
    <cellStyle name="SAPBEXchaText" xfId="154" xr:uid="{00000000-0005-0000-0000-00009D000000}"/>
    <cellStyle name="SAPBEXchaText 2" xfId="155" xr:uid="{00000000-0005-0000-0000-00009E000000}"/>
    <cellStyle name="SAPBEXchaText_【二次使用数量】数量まとめ(1次)20110207送付版" xfId="156" xr:uid="{00000000-0005-0000-0000-00009F000000}"/>
    <cellStyle name="SAPBEXexcBad7" xfId="157" xr:uid="{00000000-0005-0000-0000-0000A0000000}"/>
    <cellStyle name="SAPBEXexcBad8" xfId="158" xr:uid="{00000000-0005-0000-0000-0000A1000000}"/>
    <cellStyle name="SAPBEXexcBad9" xfId="159" xr:uid="{00000000-0005-0000-0000-0000A2000000}"/>
    <cellStyle name="SAPBEXexcCritical4" xfId="160" xr:uid="{00000000-0005-0000-0000-0000A3000000}"/>
    <cellStyle name="SAPBEXexcCritical5" xfId="161" xr:uid="{00000000-0005-0000-0000-0000A4000000}"/>
    <cellStyle name="SAPBEXexcCritical6" xfId="162" xr:uid="{00000000-0005-0000-0000-0000A5000000}"/>
    <cellStyle name="SAPBEXexcGood1" xfId="163" xr:uid="{00000000-0005-0000-0000-0000A6000000}"/>
    <cellStyle name="SAPBEXexcGood2" xfId="164" xr:uid="{00000000-0005-0000-0000-0000A7000000}"/>
    <cellStyle name="SAPBEXexcGood3" xfId="165" xr:uid="{00000000-0005-0000-0000-0000A8000000}"/>
    <cellStyle name="SAPBEXfilterDrill" xfId="166" xr:uid="{00000000-0005-0000-0000-0000A9000000}"/>
    <cellStyle name="SAPBEXfilterDrill 2" xfId="167" xr:uid="{00000000-0005-0000-0000-0000AA000000}"/>
    <cellStyle name="SAPBEXfilterDrill_【二次使用数量】数量まとめ(1次)20110207送付版" xfId="168" xr:uid="{00000000-0005-0000-0000-0000AB000000}"/>
    <cellStyle name="SAPBEXfilterItem" xfId="169" xr:uid="{00000000-0005-0000-0000-0000AC000000}"/>
    <cellStyle name="SAPBEXfilterItem 2" xfId="170" xr:uid="{00000000-0005-0000-0000-0000AD000000}"/>
    <cellStyle name="SAPBEXfilterItem_【二次使用数量】数量まとめ(1次)20110207送付版" xfId="171" xr:uid="{00000000-0005-0000-0000-0000AE000000}"/>
    <cellStyle name="SAPBEXfilterText" xfId="172" xr:uid="{00000000-0005-0000-0000-0000AF000000}"/>
    <cellStyle name="SAPBEXformats" xfId="173" xr:uid="{00000000-0005-0000-0000-0000B0000000}"/>
    <cellStyle name="SAPBEXformats 2" xfId="174" xr:uid="{00000000-0005-0000-0000-0000B1000000}"/>
    <cellStyle name="SAPBEXformats_YEAR-END" xfId="175" xr:uid="{00000000-0005-0000-0000-0000B2000000}"/>
    <cellStyle name="SAPBEXheaderItem" xfId="176" xr:uid="{00000000-0005-0000-0000-0000B3000000}"/>
    <cellStyle name="SAPBEXheaderItem 2" xfId="177" xr:uid="{00000000-0005-0000-0000-0000B4000000}"/>
    <cellStyle name="SAPBEXheaderItem_【二次使用数量】数量まとめ(1次)20110207送付版" xfId="178" xr:uid="{00000000-0005-0000-0000-0000B5000000}"/>
    <cellStyle name="SAPBEXheaderText" xfId="179" xr:uid="{00000000-0005-0000-0000-0000B6000000}"/>
    <cellStyle name="SAPBEXheaderText 2" xfId="180" xr:uid="{00000000-0005-0000-0000-0000B7000000}"/>
    <cellStyle name="SAPBEXheaderText_【二次使用数量】数量まとめ(1次)20110207送付版" xfId="181" xr:uid="{00000000-0005-0000-0000-0000B8000000}"/>
    <cellStyle name="SAPBEXHLevel0" xfId="182" xr:uid="{00000000-0005-0000-0000-0000B9000000}"/>
    <cellStyle name="SAPBEXHLevel0X" xfId="183" xr:uid="{00000000-0005-0000-0000-0000BA000000}"/>
    <cellStyle name="SAPBEXHLevel1" xfId="184" xr:uid="{00000000-0005-0000-0000-0000BB000000}"/>
    <cellStyle name="SAPBEXHLevel1X" xfId="185" xr:uid="{00000000-0005-0000-0000-0000BC000000}"/>
    <cellStyle name="SAPBEXHLevel2" xfId="186" xr:uid="{00000000-0005-0000-0000-0000BD000000}"/>
    <cellStyle name="SAPBEXHLevel2X" xfId="187" xr:uid="{00000000-0005-0000-0000-0000BE000000}"/>
    <cellStyle name="SAPBEXHLevel3" xfId="188" xr:uid="{00000000-0005-0000-0000-0000BF000000}"/>
    <cellStyle name="SAPBEXHLevel3X" xfId="189" xr:uid="{00000000-0005-0000-0000-0000C0000000}"/>
    <cellStyle name="SAPBEXresData" xfId="190" xr:uid="{00000000-0005-0000-0000-0000C1000000}"/>
    <cellStyle name="SAPBEXresDataEmph" xfId="191" xr:uid="{00000000-0005-0000-0000-0000C2000000}"/>
    <cellStyle name="SAPBEXresItem" xfId="192" xr:uid="{00000000-0005-0000-0000-0000C3000000}"/>
    <cellStyle name="SAPBEXresItemX" xfId="193" xr:uid="{00000000-0005-0000-0000-0000C4000000}"/>
    <cellStyle name="SAPBEXstdData" xfId="194" xr:uid="{00000000-0005-0000-0000-0000C5000000}"/>
    <cellStyle name="SAPBEXstdData 2" xfId="195" xr:uid="{00000000-0005-0000-0000-0000C6000000}"/>
    <cellStyle name="SAPBEXstdDataEmph" xfId="196" xr:uid="{00000000-0005-0000-0000-0000C7000000}"/>
    <cellStyle name="SAPBEXstdItem" xfId="197" xr:uid="{00000000-0005-0000-0000-0000C8000000}"/>
    <cellStyle name="SAPBEXstdItem 2" xfId="198" xr:uid="{00000000-0005-0000-0000-0000C9000000}"/>
    <cellStyle name="SAPBEXstdItem 3" xfId="199" xr:uid="{00000000-0005-0000-0000-0000CA000000}"/>
    <cellStyle name="SAPBEXstdItem_Sales Track 2008 (SOP208 Preliminary-1)_1.07" xfId="200" xr:uid="{00000000-0005-0000-0000-0000CB000000}"/>
    <cellStyle name="SAPBEXstdItemX" xfId="201" xr:uid="{00000000-0005-0000-0000-0000CC000000}"/>
    <cellStyle name="SAPBEXstdItemX 2" xfId="202" xr:uid="{00000000-0005-0000-0000-0000CD000000}"/>
    <cellStyle name="SAPBEXstdItemX_DB" xfId="203" xr:uid="{00000000-0005-0000-0000-0000CE000000}"/>
    <cellStyle name="SAPBEXtitle" xfId="204" xr:uid="{00000000-0005-0000-0000-0000CF000000}"/>
    <cellStyle name="SAPBEXtitle 2" xfId="205" xr:uid="{00000000-0005-0000-0000-0000D0000000}"/>
    <cellStyle name="SAPBEXtitle_【二次使用数量】数量まとめ(1次)20110207送付版" xfId="206" xr:uid="{00000000-0005-0000-0000-0000D1000000}"/>
    <cellStyle name="SAPBEXundefined" xfId="207" xr:uid="{00000000-0005-0000-0000-0000D2000000}"/>
    <cellStyle name="SEM-BPS-data" xfId="208" xr:uid="{00000000-0005-0000-0000-0000D3000000}"/>
    <cellStyle name="SEM-BPS-head" xfId="209" xr:uid="{00000000-0005-0000-0000-0000D4000000}"/>
    <cellStyle name="SEM-BPS-headdata" xfId="210" xr:uid="{00000000-0005-0000-0000-0000D5000000}"/>
    <cellStyle name="SEM-BPS-headkey" xfId="211" xr:uid="{00000000-0005-0000-0000-0000D6000000}"/>
    <cellStyle name="SEM-BPS-input-on" xfId="212" xr:uid="{00000000-0005-0000-0000-0000D7000000}"/>
    <cellStyle name="SEM-BPS-key" xfId="213" xr:uid="{00000000-0005-0000-0000-0000D8000000}"/>
    <cellStyle name="SEM-BPS-sub1" xfId="214" xr:uid="{00000000-0005-0000-0000-0000D9000000}"/>
    <cellStyle name="SEM-BPS-sub2" xfId="215" xr:uid="{00000000-0005-0000-0000-0000DA000000}"/>
    <cellStyle name="SEM-BPS-total" xfId="216" xr:uid="{00000000-0005-0000-0000-0000DB000000}"/>
    <cellStyle name="Separador de milhares 2" xfId="217" xr:uid="{00000000-0005-0000-0000-0000DC000000}"/>
    <cellStyle name="Standard_COVER" xfId="218" xr:uid="{00000000-0005-0000-0000-0000DD000000}"/>
    <cellStyle name="Style 1" xfId="219" xr:uid="{00000000-0005-0000-0000-0000DE000000}"/>
    <cellStyle name="Texto de advertencia" xfId="220" xr:uid="{00000000-0005-0000-0000-0000DF000000}"/>
    <cellStyle name="Texto de Aviso" xfId="221" xr:uid="{00000000-0005-0000-0000-0000E0000000}"/>
    <cellStyle name="Texto explicativo" xfId="222" xr:uid="{00000000-0005-0000-0000-0000E1000000}"/>
    <cellStyle name="Título" xfId="223" xr:uid="{00000000-0005-0000-0000-0000E2000000}"/>
    <cellStyle name="Título 1" xfId="224" xr:uid="{00000000-0005-0000-0000-0000E3000000}"/>
    <cellStyle name="Título 2" xfId="225" xr:uid="{00000000-0005-0000-0000-0000E4000000}"/>
    <cellStyle name="Título 3" xfId="226" xr:uid="{00000000-0005-0000-0000-0000E5000000}"/>
    <cellStyle name="Título 4" xfId="227" xr:uid="{00000000-0005-0000-0000-0000E6000000}"/>
    <cellStyle name="True0False1" xfId="228" xr:uid="{00000000-0005-0000-0000-0000E7000000}"/>
    <cellStyle name="Währung [0]_COVER" xfId="229" xr:uid="{00000000-0005-0000-0000-0000E8000000}"/>
    <cellStyle name="Währung_COVER" xfId="230" xr:uid="{00000000-0005-0000-0000-0000E9000000}"/>
    <cellStyle name="アクセント 1" xfId="231" xr:uid="{00000000-0005-0000-0000-0000EA000000}"/>
    <cellStyle name="アクセント 2" xfId="232" xr:uid="{00000000-0005-0000-0000-0000EB000000}"/>
    <cellStyle name="アクセント 3" xfId="233" xr:uid="{00000000-0005-0000-0000-0000EC000000}"/>
    <cellStyle name="アクセント 4" xfId="234" xr:uid="{00000000-0005-0000-0000-0000ED000000}"/>
    <cellStyle name="アクセント 5" xfId="235" xr:uid="{00000000-0005-0000-0000-0000EE000000}"/>
    <cellStyle name="アクセント 6" xfId="236" xr:uid="{00000000-0005-0000-0000-0000EF000000}"/>
    <cellStyle name="タイトル" xfId="237" xr:uid="{00000000-0005-0000-0000-0000F0000000}"/>
    <cellStyle name="チェック セル" xfId="238" xr:uid="{00000000-0005-0000-0000-0000F1000000}"/>
    <cellStyle name="どちらでもない" xfId="239" xr:uid="{00000000-0005-0000-0000-0000F2000000}"/>
    <cellStyle name="パーセント()" xfId="240" xr:uid="{00000000-0005-0000-0000-0000F3000000}"/>
    <cellStyle name="パーセント(0.00)" xfId="241" xr:uid="{00000000-0005-0000-0000-0000F4000000}"/>
    <cellStyle name="パーセント[0.00]" xfId="242" xr:uid="{00000000-0005-0000-0000-0000F5000000}"/>
    <cellStyle name="ハイパーリンク_BUDGET(J)-M" xfId="243" xr:uid="{00000000-0005-0000-0000-0000F6000000}"/>
    <cellStyle name="メモ" xfId="244" xr:uid="{00000000-0005-0000-0000-0000F7000000}"/>
    <cellStyle name="リンク セル" xfId="245" xr:uid="{00000000-0005-0000-0000-0000F8000000}"/>
    <cellStyle name="똿뗦먛귟 [0.00]_PRODUCT DETAIL Q1" xfId="246" xr:uid="{00000000-0005-0000-0000-0000F9000000}"/>
    <cellStyle name="똿뗦먛귟_PRODUCT DETAIL Q1" xfId="247" xr:uid="{00000000-0005-0000-0000-0000FA000000}"/>
    <cellStyle name="믅됞 [0.00]_PRODUCT DETAIL Q1" xfId="248" xr:uid="{00000000-0005-0000-0000-0000FB000000}"/>
    <cellStyle name="믅됞_PRODUCT DETAIL Q1" xfId="249" xr:uid="{00000000-0005-0000-0000-0000FC000000}"/>
    <cellStyle name="백분율_HOBONG" xfId="250" xr:uid="{00000000-0005-0000-0000-0000FD000000}"/>
    <cellStyle name="뷭?_BOOKSHIP" xfId="251" xr:uid="{00000000-0005-0000-0000-0000FE000000}"/>
    <cellStyle name="콤마 [0]_1202" xfId="252" xr:uid="{00000000-0005-0000-0000-0000FF000000}"/>
    <cellStyle name="콤마_1202" xfId="253" xr:uid="{00000000-0005-0000-0000-000000010000}"/>
    <cellStyle name="통화 [0]_1202" xfId="254" xr:uid="{00000000-0005-0000-0000-000001010000}"/>
    <cellStyle name="통화_1202" xfId="255" xr:uid="{00000000-0005-0000-0000-000002010000}"/>
    <cellStyle name="표준_(정보부문)월별인원계획" xfId="256" xr:uid="{00000000-0005-0000-0000-000003010000}"/>
    <cellStyle name="一般_Sheet1" xfId="257" xr:uid="{00000000-0005-0000-0000-000004010000}"/>
    <cellStyle name="入力" xfId="258" xr:uid="{00000000-0005-0000-0000-000005010000}"/>
    <cellStyle name="出力" xfId="259" xr:uid="{00000000-0005-0000-0000-000006010000}"/>
    <cellStyle name="千位分隔[0]_业务系2005年计1" xfId="260" xr:uid="{00000000-0005-0000-0000-000007010000}"/>
    <cellStyle name="常规_Sheet1" xfId="261" xr:uid="{00000000-0005-0000-0000-000008010000}"/>
    <cellStyle name="悪い" xfId="262" xr:uid="{00000000-0005-0000-0000-000009010000}"/>
    <cellStyle name="折り返し" xfId="263" xr:uid="{00000000-0005-0000-0000-00000A010000}"/>
    <cellStyle name="未定義" xfId="264" xr:uid="{00000000-0005-0000-0000-00000B010000}"/>
    <cellStyle name="標準 2" xfId="265" xr:uid="{00000000-0005-0000-0000-00000C010000}"/>
    <cellStyle name="標準_【新シート】2011年度年計人件費経費" xfId="266" xr:uid="{00000000-0005-0000-0000-00000D010000}"/>
    <cellStyle name="良い" xfId="267" xr:uid="{00000000-0005-0000-0000-00000E010000}"/>
    <cellStyle name="見出し 1" xfId="268" xr:uid="{00000000-0005-0000-0000-00000F010000}"/>
    <cellStyle name="見出し 2" xfId="269" xr:uid="{00000000-0005-0000-0000-000010010000}"/>
    <cellStyle name="見出し 3" xfId="270" xr:uid="{00000000-0005-0000-0000-000011010000}"/>
    <cellStyle name="見出し 4" xfId="271" xr:uid="{00000000-0005-0000-0000-000012010000}"/>
    <cellStyle name="見出し１" xfId="272" xr:uid="{00000000-0005-0000-0000-000013010000}"/>
    <cellStyle name="計算" xfId="273" xr:uid="{00000000-0005-0000-0000-000014010000}"/>
    <cellStyle name="説明文" xfId="274" xr:uid="{00000000-0005-0000-0000-000015010000}"/>
    <cellStyle name="警告文" xfId="275" xr:uid="{00000000-0005-0000-0000-000016010000}"/>
    <cellStyle name="集計" xfId="276" xr:uid="{00000000-0005-0000-0000-000017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24912</xdr:colOff>
      <xdr:row>15</xdr:row>
      <xdr:rowOff>87922</xdr:rowOff>
    </xdr:from>
    <xdr:to>
      <xdr:col>13</xdr:col>
      <xdr:colOff>734</xdr:colOff>
      <xdr:row>16</xdr:row>
      <xdr:rowOff>487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>
          <a:grpSpLocks/>
        </xdr:cNvGrpSpPr>
      </xdr:nvGrpSpPr>
      <xdr:grpSpPr bwMode="auto">
        <a:xfrm>
          <a:off x="5466862" y="5726722"/>
          <a:ext cx="3169872" cy="814265"/>
          <a:chOff x="6391275" y="9576970"/>
          <a:chExt cx="1472223" cy="1310105"/>
        </a:xfrm>
      </xdr:grpSpPr>
      <xdr:sp macro="" textlink="">
        <xdr:nvSpPr>
          <xdr:cNvPr id="3" name="Text Box 8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6391275" y="9576970"/>
            <a:ext cx="1472223" cy="38100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65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22860" rIns="27432" bIns="0" anchor="t" upright="1"/>
          <a:lstStyle/>
          <a:p>
            <a:pPr algn="ctr" rtl="0">
              <a:defRPr sz="1000"/>
            </a:pPr>
            <a:r>
              <a:rPr lang="en-US" sz="1100" b="1" i="0" u="none" strike="noStrike" baseline="0">
                <a:solidFill>
                  <a:srgbClr val="000000"/>
                </a:solidFill>
                <a:latin typeface="+mn-lt"/>
                <a:cs typeface="Times New Roman" pitchFamily="18" charset="0"/>
              </a:rPr>
              <a:t>Nhân sự</a:t>
            </a:r>
          </a:p>
          <a:p>
            <a:pPr algn="ctr" rtl="0">
              <a:defRPr sz="1000"/>
            </a:pPr>
            <a:r>
              <a:rPr lang="en-US" sz="11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HR Dep.</a:t>
            </a:r>
            <a:endParaRPr lang="en-US"/>
          </a:p>
        </xdr:txBody>
      </xdr:sp>
      <xdr:sp macro="" textlink="">
        <xdr:nvSpPr>
          <xdr:cNvPr id="4" name="Text Box 9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6391275" y="9972675"/>
            <a:ext cx="1472223" cy="91440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65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18288" tIns="0" rIns="0" bIns="0" anchor="t" upright="1"/>
          <a:lstStyle/>
          <a:p>
            <a:pPr algn="ctr" rtl="0">
              <a:defRPr sz="1000"/>
            </a:pPr>
            <a:endParaRPr lang="en-US"/>
          </a:p>
        </xdr:txBody>
      </xdr:sp>
    </xdr:grpSp>
    <xdr:clientData/>
  </xdr:twoCellAnchor>
  <xdr:twoCellAnchor>
    <xdr:from>
      <xdr:col>1</xdr:col>
      <xdr:colOff>5128</xdr:colOff>
      <xdr:row>15</xdr:row>
      <xdr:rowOff>95250</xdr:rowOff>
    </xdr:from>
    <xdr:to>
      <xdr:col>7</xdr:col>
      <xdr:colOff>6350</xdr:colOff>
      <xdr:row>16</xdr:row>
      <xdr:rowOff>488</xdr:rowOff>
    </xdr:to>
    <xdr:grpSp>
      <xdr:nvGrpSpPr>
        <xdr:cNvPr id="5" name="Group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pSpPr>
          <a:grpSpLocks/>
        </xdr:cNvGrpSpPr>
      </xdr:nvGrpSpPr>
      <xdr:grpSpPr bwMode="auto">
        <a:xfrm>
          <a:off x="87678" y="5734050"/>
          <a:ext cx="4649422" cy="806938"/>
          <a:chOff x="85725" y="9553575"/>
          <a:chExt cx="4222768" cy="1333500"/>
        </a:xfrm>
      </xdr:grpSpPr>
      <xdr:grpSp>
        <xdr:nvGrpSpPr>
          <xdr:cNvPr id="6" name="Group 14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GrpSpPr>
            <a:grpSpLocks/>
          </xdr:cNvGrpSpPr>
        </xdr:nvGrpSpPr>
        <xdr:grpSpPr bwMode="auto">
          <a:xfrm>
            <a:off x="2919024" y="9563831"/>
            <a:ext cx="1389469" cy="1312984"/>
            <a:chOff x="289" y="862"/>
            <a:chExt cx="137" cy="128"/>
          </a:xfrm>
        </xdr:grpSpPr>
        <xdr:sp macro="" textlink="">
          <xdr:nvSpPr>
            <xdr:cNvPr id="12" name="Text Box 7">
              <a:extLst>
                <a:ext uri="{FF2B5EF4-FFF2-40B4-BE49-F238E27FC236}">
                  <a16:creationId xmlns:a16="http://schemas.microsoft.com/office/drawing/2014/main" id="{00000000-0008-0000-0000-00000C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289" y="862"/>
              <a:ext cx="137" cy="38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65"/>
            </a:solidFill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</xdr:spPr>
          <xdr:txBody>
            <a:bodyPr vertOverflow="clip" wrap="square" lIns="27432" tIns="22860" rIns="27432" bIns="0" anchor="t" upright="1"/>
            <a:lstStyle/>
            <a:p>
              <a:pPr algn="ctr" rtl="0">
                <a:defRPr sz="1000"/>
              </a:pPr>
              <a:r>
                <a:rPr lang="en-US" sz="1100" b="1" i="0" u="none" strike="noStrike" baseline="0">
                  <a:solidFill>
                    <a:srgbClr val="000000"/>
                  </a:solidFill>
                  <a:latin typeface="+mn-lt"/>
                  <a:cs typeface="Times New Roman" pitchFamily="18" charset="0"/>
                </a:rPr>
                <a:t> Giám sát</a:t>
              </a:r>
            </a:p>
            <a:p>
              <a:pPr algn="ctr" rtl="0">
                <a:defRPr sz="1000"/>
              </a:pPr>
              <a:r>
                <a:rPr lang="en-US" sz="11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Director</a:t>
              </a:r>
            </a:p>
            <a:p>
              <a:pPr algn="ctr" rtl="0">
                <a:defRPr sz="1000"/>
              </a:pPr>
              <a:endParaRPr lang="en-US"/>
            </a:p>
          </xdr:txBody>
        </xdr:sp>
        <xdr:sp macro="" textlink="">
          <xdr:nvSpPr>
            <xdr:cNvPr id="13" name="Text Box 10">
              <a:extLst>
                <a:ext uri="{FF2B5EF4-FFF2-40B4-BE49-F238E27FC236}">
                  <a16:creationId xmlns:a16="http://schemas.microsoft.com/office/drawing/2014/main" id="{00000000-0008-0000-0000-00000D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289" y="901"/>
              <a:ext cx="137" cy="89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65"/>
            </a:solidFill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</xdr:spPr>
          <xdr:txBody>
            <a:bodyPr vertOverflow="clip" wrap="square" lIns="18288" tIns="0" rIns="0" bIns="0" anchor="t" upright="1"/>
            <a:lstStyle/>
            <a:p>
              <a:pPr algn="ctr" rtl="0">
                <a:defRPr sz="1000"/>
              </a:pPr>
              <a:endParaRPr lang="en-US"/>
            </a:p>
          </xdr:txBody>
        </xdr:sp>
      </xdr:grpSp>
      <xdr:grpSp>
        <xdr:nvGrpSpPr>
          <xdr:cNvPr id="7" name="Group 15">
            <a:extLst>
              <a:ext uri="{FF2B5EF4-FFF2-40B4-BE49-F238E27FC236}">
                <a16:creationId xmlns:a16="http://schemas.microsoft.com/office/drawing/2014/main" id="{00000000-0008-0000-0000-000007000000}"/>
              </a:ext>
            </a:extLst>
          </xdr:cNvPr>
          <xdr:cNvGrpSpPr>
            <a:grpSpLocks/>
          </xdr:cNvGrpSpPr>
        </xdr:nvGrpSpPr>
        <xdr:grpSpPr bwMode="auto">
          <a:xfrm>
            <a:off x="1439524" y="9563831"/>
            <a:ext cx="1379319" cy="1323242"/>
            <a:chOff x="127" y="864"/>
            <a:chExt cx="136" cy="129"/>
          </a:xfrm>
        </xdr:grpSpPr>
        <xdr:sp macro="" textlink="">
          <xdr:nvSpPr>
            <xdr:cNvPr id="10" name="Text Box 6">
              <a:extLst>
                <a:ext uri="{FF2B5EF4-FFF2-40B4-BE49-F238E27FC236}">
                  <a16:creationId xmlns:a16="http://schemas.microsoft.com/office/drawing/2014/main" id="{00000000-0008-0000-0000-00000A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127" y="864"/>
              <a:ext cx="136" cy="38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65"/>
            </a:solidFill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</xdr:spPr>
          <xdr:txBody>
            <a:bodyPr vertOverflow="clip" wrap="square" lIns="27432" tIns="22860" rIns="27432" bIns="0" anchor="t" upright="1"/>
            <a:lstStyle/>
            <a:p>
              <a:pPr algn="ctr" rtl="0"/>
              <a:r>
                <a:rPr lang="en-US" b="1">
                  <a:effectLst/>
                  <a:latin typeface="+mn-lt"/>
                  <a:cs typeface="Times New Roman" pitchFamily="18" charset="0"/>
                </a:rPr>
                <a:t>Kiểm</a:t>
              </a:r>
              <a:r>
                <a:rPr lang="en-US" b="1" baseline="0">
                  <a:effectLst/>
                  <a:latin typeface="+mn-lt"/>
                  <a:cs typeface="Times New Roman" pitchFamily="18" charset="0"/>
                </a:rPr>
                <a:t> Tra</a:t>
              </a:r>
            </a:p>
            <a:p>
              <a:pPr algn="ctr" rtl="0"/>
              <a:r>
                <a:rPr lang="en-US" baseline="0">
                  <a:effectLst/>
                </a:rPr>
                <a:t>Supervisor</a:t>
              </a:r>
            </a:p>
            <a:p>
              <a:pPr algn="ctr" rtl="0"/>
              <a:endParaRPr lang="en-US">
                <a:effectLst/>
              </a:endParaRPr>
            </a:p>
          </xdr:txBody>
        </xdr:sp>
        <xdr:sp macro="" textlink="">
          <xdr:nvSpPr>
            <xdr:cNvPr id="11" name="Text Box 11">
              <a:extLst>
                <a:ext uri="{FF2B5EF4-FFF2-40B4-BE49-F238E27FC236}">
                  <a16:creationId xmlns:a16="http://schemas.microsoft.com/office/drawing/2014/main" id="{00000000-0008-0000-0000-00000B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127" y="903"/>
              <a:ext cx="136" cy="90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65"/>
            </a:solidFill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</xdr:spPr>
          <xdr:txBody>
            <a:bodyPr vertOverflow="clip" wrap="square" lIns="18288" tIns="0" rIns="0" bIns="0" anchor="t" upright="1"/>
            <a:lstStyle/>
            <a:p>
              <a:pPr algn="ctr" rtl="0">
                <a:defRPr sz="1000"/>
              </a:pPr>
              <a:endParaRPr lang="en-US"/>
            </a:p>
          </xdr:txBody>
        </xdr:sp>
      </xdr:grpSp>
      <xdr:sp macro="" textlink="">
        <xdr:nvSpPr>
          <xdr:cNvPr id="8" name="Text Box 22">
            <a:extLst>
              <a:ext uri="{FF2B5EF4-FFF2-40B4-BE49-F238E27FC236}">
                <a16:creationId xmlns:a16="http://schemas.microsoft.com/office/drawing/2014/main" id="{00000000-0008-0000-0000-000008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85725" y="9553575"/>
            <a:ext cx="1266721" cy="39052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65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22860" rIns="27432" bIns="0" anchor="t" upright="1"/>
          <a:lstStyle/>
          <a:p>
            <a:pPr algn="ctr" rtl="0">
              <a:defRPr sz="1000"/>
            </a:pPr>
            <a:r>
              <a:rPr lang="vi-VN" sz="1100" b="1" i="0" u="none" strike="noStrike" baseline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rPr>
              <a:t>Người </a:t>
            </a:r>
            <a:r>
              <a:rPr lang="en-US" sz="1100" b="1" i="0" u="none" strike="noStrike" baseline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rPr>
              <a:t>ghi</a:t>
            </a:r>
          </a:p>
          <a:p>
            <a:pPr algn="ctr" rtl="0">
              <a:defRPr sz="1000"/>
            </a:pPr>
            <a:r>
              <a:rPr lang="en-US"/>
              <a:t>Requestor</a:t>
            </a:r>
          </a:p>
        </xdr:txBody>
      </xdr:sp>
      <xdr:sp macro="" textlink="">
        <xdr:nvSpPr>
          <xdr:cNvPr id="9" name="Text Box 23">
            <a:extLst>
              <a:ext uri="{FF2B5EF4-FFF2-40B4-BE49-F238E27FC236}">
                <a16:creationId xmlns:a16="http://schemas.microsoft.com/office/drawing/2014/main" id="{00000000-0008-0000-0000-000009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85725" y="9963150"/>
            <a:ext cx="1266721" cy="92392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65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18288" tIns="0" rIns="0" bIns="0" anchor="t" upright="1"/>
          <a:lstStyle/>
          <a:p>
            <a:pPr algn="ctr" rtl="0">
              <a:defRPr sz="1000"/>
            </a:pPr>
            <a:endParaRPr lang="en-US"/>
          </a:p>
        </xdr:txBody>
      </xdr:sp>
    </xdr:grpSp>
    <xdr:clientData/>
  </xdr:twoCellAnchor>
  <xdr:twoCellAnchor>
    <xdr:from>
      <xdr:col>7</xdr:col>
      <xdr:colOff>590550</xdr:colOff>
      <xdr:row>0</xdr:row>
      <xdr:rowOff>28575</xdr:rowOff>
    </xdr:from>
    <xdr:to>
      <xdr:col>12</xdr:col>
      <xdr:colOff>885824</xdr:colOff>
      <xdr:row>1</xdr:row>
      <xdr:rowOff>104775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6527800" y="28575"/>
          <a:ext cx="1501774" cy="266700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 rtl="0">
            <a:defRPr sz="1000"/>
          </a:pPr>
          <a:endParaRPr lang="en-US" sz="1050"/>
        </a:p>
      </xdr:txBody>
    </xdr:sp>
    <xdr:clientData/>
  </xdr:twoCellAnchor>
  <xdr:twoCellAnchor>
    <xdr:from>
      <xdr:col>1</xdr:col>
      <xdr:colOff>47625</xdr:colOff>
      <xdr:row>2</xdr:row>
      <xdr:rowOff>9525</xdr:rowOff>
    </xdr:from>
    <xdr:to>
      <xdr:col>2</xdr:col>
      <xdr:colOff>97449</xdr:colOff>
      <xdr:row>3</xdr:row>
      <xdr:rowOff>31507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 txBox="1"/>
      </xdr:nvSpPr>
      <xdr:spPr>
        <a:xfrm>
          <a:off x="130175" y="390525"/>
          <a:ext cx="386374" cy="212482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Số:         / </a:t>
          </a:r>
          <a:endParaRPr lang="en-US"/>
        </a:p>
      </xdr:txBody>
    </xdr:sp>
    <xdr:clientData/>
  </xdr:twoCellAnchor>
  <xdr:twoCellAnchor>
    <xdr:from>
      <xdr:col>2</xdr:col>
      <xdr:colOff>0</xdr:colOff>
      <xdr:row>3</xdr:row>
      <xdr:rowOff>0</xdr:rowOff>
    </xdr:from>
    <xdr:to>
      <xdr:col>2</xdr:col>
      <xdr:colOff>66675</xdr:colOff>
      <xdr:row>3</xdr:row>
      <xdr:rowOff>0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CxnSpPr/>
      </xdr:nvCxnSpPr>
      <xdr:spPr>
        <a:xfrm>
          <a:off x="419100" y="571500"/>
          <a:ext cx="6667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132862</xdr:colOff>
      <xdr:row>1</xdr:row>
      <xdr:rowOff>38869</xdr:rowOff>
    </xdr:from>
    <xdr:to>
      <xdr:col>12</xdr:col>
      <xdr:colOff>869950</xdr:colOff>
      <xdr:row>2</xdr:row>
      <xdr:rowOff>171450</xdr:rowOff>
    </xdr:to>
    <xdr:sp macro="" textlink="">
      <xdr:nvSpPr>
        <xdr:cNvPr id="17" name="Text Box 1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>
          <a:spLocks noChangeArrowheads="1"/>
        </xdr:cNvSpPr>
      </xdr:nvSpPr>
      <xdr:spPr bwMode="auto">
        <a:xfrm>
          <a:off x="6635262" y="229369"/>
          <a:ext cx="1676888" cy="323081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lnSpc>
              <a:spcPts val="1000"/>
            </a:lnSpc>
            <a:defRPr sz="1000"/>
          </a:pPr>
          <a:r>
            <a:rPr lang="en-US" sz="900" b="1" i="0" u="none" strike="noStrike" baseline="0">
              <a:solidFill>
                <a:srgbClr val="000000"/>
              </a:solidFill>
              <a:latin typeface="+mn-lt"/>
              <a:cs typeface="Times New Roman" panose="02020603050405020304" pitchFamily="18" charset="0"/>
            </a:rPr>
            <a:t>Ngày  24  tháng  03   Năm 2026</a:t>
          </a:r>
          <a:endParaRPr lang="en-US" sz="1000" b="1" i="1" u="none" strike="noStrike" baseline="0">
            <a:solidFill>
              <a:srgbClr val="000000"/>
            </a:solidFill>
            <a:latin typeface="+mn-lt"/>
            <a:cs typeface="Times New Roman" panose="02020603050405020304" pitchFamily="18" charset="0"/>
          </a:endParaRPr>
        </a:p>
      </xdr:txBody>
    </xdr:sp>
    <xdr:clientData/>
  </xdr:twoCellAnchor>
  <xdr:twoCellAnchor editAs="oneCell">
    <xdr:from>
      <xdr:col>1</xdr:col>
      <xdr:colOff>1</xdr:colOff>
      <xdr:row>0</xdr:row>
      <xdr:rowOff>983</xdr:rowOff>
    </xdr:from>
    <xdr:to>
      <xdr:col>4</xdr:col>
      <xdr:colOff>378865</xdr:colOff>
      <xdr:row>1</xdr:row>
      <xdr:rowOff>156300</xdr:rowOff>
    </xdr:to>
    <xdr:pic>
      <xdr:nvPicPr>
        <xdr:cNvPr id="18" name="Picture 1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1" y="983"/>
          <a:ext cx="3026814" cy="32041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24912</xdr:colOff>
      <xdr:row>11</xdr:row>
      <xdr:rowOff>87922</xdr:rowOff>
    </xdr:from>
    <xdr:to>
      <xdr:col>13</xdr:col>
      <xdr:colOff>734</xdr:colOff>
      <xdr:row>12</xdr:row>
      <xdr:rowOff>487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pSpPr>
          <a:grpSpLocks/>
        </xdr:cNvGrpSpPr>
      </xdr:nvGrpSpPr>
      <xdr:grpSpPr bwMode="auto">
        <a:xfrm>
          <a:off x="5689112" y="4177322"/>
          <a:ext cx="3169872" cy="814265"/>
          <a:chOff x="6391275" y="9576970"/>
          <a:chExt cx="1472223" cy="1310105"/>
        </a:xfrm>
      </xdr:grpSpPr>
      <xdr:sp macro="" textlink="">
        <xdr:nvSpPr>
          <xdr:cNvPr id="3" name="Text Box 8">
            <a:extLst>
              <a:ext uri="{FF2B5EF4-FFF2-40B4-BE49-F238E27FC236}">
                <a16:creationId xmlns:a16="http://schemas.microsoft.com/office/drawing/2014/main" id="{00000000-0008-0000-0200-000003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6391275" y="9576970"/>
            <a:ext cx="1472223" cy="38100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65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22860" rIns="27432" bIns="0" anchor="t" upright="1"/>
          <a:lstStyle/>
          <a:p>
            <a:pPr algn="ctr" rtl="0">
              <a:defRPr sz="1000"/>
            </a:pPr>
            <a:r>
              <a:rPr lang="en-US" sz="1100" b="1" i="0" u="none" strike="noStrike" baseline="0">
                <a:solidFill>
                  <a:srgbClr val="000000"/>
                </a:solidFill>
                <a:latin typeface="+mn-lt"/>
                <a:cs typeface="Times New Roman" pitchFamily="18" charset="0"/>
              </a:rPr>
              <a:t>Nhân sự</a:t>
            </a:r>
          </a:p>
          <a:p>
            <a:pPr algn="ctr" rtl="0">
              <a:defRPr sz="1000"/>
            </a:pPr>
            <a:r>
              <a:rPr lang="en-US" sz="11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HR Dep.</a:t>
            </a:r>
            <a:endParaRPr lang="en-US"/>
          </a:p>
        </xdr:txBody>
      </xdr:sp>
      <xdr:sp macro="" textlink="">
        <xdr:nvSpPr>
          <xdr:cNvPr id="4" name="Text Box 9">
            <a:extLst>
              <a:ext uri="{FF2B5EF4-FFF2-40B4-BE49-F238E27FC236}">
                <a16:creationId xmlns:a16="http://schemas.microsoft.com/office/drawing/2014/main" id="{00000000-0008-0000-0200-000004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6391275" y="9972675"/>
            <a:ext cx="1472223" cy="91440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65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18288" tIns="0" rIns="0" bIns="0" anchor="t" upright="1"/>
          <a:lstStyle/>
          <a:p>
            <a:pPr algn="ctr" rtl="0">
              <a:defRPr sz="1000"/>
            </a:pPr>
            <a:endParaRPr lang="en-US"/>
          </a:p>
        </xdr:txBody>
      </xdr:sp>
    </xdr:grpSp>
    <xdr:clientData/>
  </xdr:twoCellAnchor>
  <xdr:twoCellAnchor>
    <xdr:from>
      <xdr:col>1</xdr:col>
      <xdr:colOff>5128</xdr:colOff>
      <xdr:row>11</xdr:row>
      <xdr:rowOff>95250</xdr:rowOff>
    </xdr:from>
    <xdr:to>
      <xdr:col>7</xdr:col>
      <xdr:colOff>6350</xdr:colOff>
      <xdr:row>12</xdr:row>
      <xdr:rowOff>488</xdr:rowOff>
    </xdr:to>
    <xdr:grpSp>
      <xdr:nvGrpSpPr>
        <xdr:cNvPr id="5" name="Group 2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pSpPr>
          <a:grpSpLocks/>
        </xdr:cNvGrpSpPr>
      </xdr:nvGrpSpPr>
      <xdr:grpSpPr bwMode="auto">
        <a:xfrm>
          <a:off x="87678" y="4184650"/>
          <a:ext cx="4871672" cy="806938"/>
          <a:chOff x="85725" y="9553575"/>
          <a:chExt cx="4222768" cy="1333500"/>
        </a:xfrm>
      </xdr:grpSpPr>
      <xdr:grpSp>
        <xdr:nvGrpSpPr>
          <xdr:cNvPr id="6" name="Group 14">
            <a:extLst>
              <a:ext uri="{FF2B5EF4-FFF2-40B4-BE49-F238E27FC236}">
                <a16:creationId xmlns:a16="http://schemas.microsoft.com/office/drawing/2014/main" id="{00000000-0008-0000-0200-000006000000}"/>
              </a:ext>
            </a:extLst>
          </xdr:cNvPr>
          <xdr:cNvGrpSpPr>
            <a:grpSpLocks/>
          </xdr:cNvGrpSpPr>
        </xdr:nvGrpSpPr>
        <xdr:grpSpPr bwMode="auto">
          <a:xfrm>
            <a:off x="2919024" y="9563831"/>
            <a:ext cx="1389469" cy="1312984"/>
            <a:chOff x="289" y="862"/>
            <a:chExt cx="137" cy="128"/>
          </a:xfrm>
        </xdr:grpSpPr>
        <xdr:sp macro="" textlink="">
          <xdr:nvSpPr>
            <xdr:cNvPr id="12" name="Text Box 7">
              <a:extLst>
                <a:ext uri="{FF2B5EF4-FFF2-40B4-BE49-F238E27FC236}">
                  <a16:creationId xmlns:a16="http://schemas.microsoft.com/office/drawing/2014/main" id="{00000000-0008-0000-0200-00000C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289" y="862"/>
              <a:ext cx="137" cy="38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65"/>
            </a:solidFill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</xdr:spPr>
          <xdr:txBody>
            <a:bodyPr vertOverflow="clip" wrap="square" lIns="27432" tIns="22860" rIns="27432" bIns="0" anchor="t" upright="1"/>
            <a:lstStyle/>
            <a:p>
              <a:pPr algn="ctr" rtl="0">
                <a:defRPr sz="1000"/>
              </a:pPr>
              <a:r>
                <a:rPr lang="en-US" sz="1100" b="1" i="0" u="none" strike="noStrike" baseline="0">
                  <a:solidFill>
                    <a:srgbClr val="000000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rPr>
                <a:t> Giám sát</a:t>
              </a:r>
            </a:p>
            <a:p>
              <a:pPr algn="ctr" rtl="0">
                <a:defRPr sz="1000"/>
              </a:pPr>
              <a:r>
                <a:rPr lang="en-US" sz="11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Director</a:t>
              </a:r>
            </a:p>
            <a:p>
              <a:pPr algn="ctr" rtl="0">
                <a:defRPr sz="1000"/>
              </a:pPr>
              <a:endParaRPr lang="en-US"/>
            </a:p>
          </xdr:txBody>
        </xdr:sp>
        <xdr:sp macro="" textlink="">
          <xdr:nvSpPr>
            <xdr:cNvPr id="13" name="Text Box 10">
              <a:extLst>
                <a:ext uri="{FF2B5EF4-FFF2-40B4-BE49-F238E27FC236}">
                  <a16:creationId xmlns:a16="http://schemas.microsoft.com/office/drawing/2014/main" id="{00000000-0008-0000-0200-00000D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289" y="901"/>
              <a:ext cx="137" cy="89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65"/>
            </a:solidFill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</xdr:spPr>
          <xdr:txBody>
            <a:bodyPr vertOverflow="clip" wrap="square" lIns="18288" tIns="0" rIns="0" bIns="0" anchor="t" upright="1"/>
            <a:lstStyle/>
            <a:p>
              <a:pPr algn="ctr" rtl="0">
                <a:defRPr sz="1000"/>
              </a:pPr>
              <a:endParaRPr lang="en-US"/>
            </a:p>
          </xdr:txBody>
        </xdr:sp>
      </xdr:grpSp>
      <xdr:grpSp>
        <xdr:nvGrpSpPr>
          <xdr:cNvPr id="7" name="Group 15">
            <a:extLst>
              <a:ext uri="{FF2B5EF4-FFF2-40B4-BE49-F238E27FC236}">
                <a16:creationId xmlns:a16="http://schemas.microsoft.com/office/drawing/2014/main" id="{00000000-0008-0000-0200-000007000000}"/>
              </a:ext>
            </a:extLst>
          </xdr:cNvPr>
          <xdr:cNvGrpSpPr>
            <a:grpSpLocks/>
          </xdr:cNvGrpSpPr>
        </xdr:nvGrpSpPr>
        <xdr:grpSpPr bwMode="auto">
          <a:xfrm>
            <a:off x="1439524" y="9563831"/>
            <a:ext cx="1379319" cy="1323242"/>
            <a:chOff x="127" y="864"/>
            <a:chExt cx="136" cy="129"/>
          </a:xfrm>
        </xdr:grpSpPr>
        <xdr:sp macro="" textlink="">
          <xdr:nvSpPr>
            <xdr:cNvPr id="10" name="Text Box 6">
              <a:extLst>
                <a:ext uri="{FF2B5EF4-FFF2-40B4-BE49-F238E27FC236}">
                  <a16:creationId xmlns:a16="http://schemas.microsoft.com/office/drawing/2014/main" id="{00000000-0008-0000-0200-00000A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127" y="864"/>
              <a:ext cx="136" cy="38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65"/>
            </a:solidFill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</xdr:spPr>
          <xdr:txBody>
            <a:bodyPr vertOverflow="clip" wrap="square" lIns="27432" tIns="22860" rIns="27432" bIns="0" anchor="t" upright="1"/>
            <a:lstStyle/>
            <a:p>
              <a:pPr algn="ctr" rtl="0"/>
              <a:r>
                <a:rPr lang="en-US" b="1">
                  <a:effectLst/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rPr>
                <a:t>Kiểm</a:t>
              </a:r>
              <a:r>
                <a:rPr lang="en-US" b="1" baseline="0">
                  <a:effectLst/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rPr>
                <a:t> Tra</a:t>
              </a:r>
            </a:p>
            <a:p>
              <a:pPr algn="ctr" rtl="0"/>
              <a:r>
                <a:rPr lang="en-US" baseline="0">
                  <a:effectLst/>
                </a:rPr>
                <a:t>Supervisor</a:t>
              </a:r>
            </a:p>
            <a:p>
              <a:pPr algn="ctr" rtl="0"/>
              <a:endParaRPr lang="en-US">
                <a:effectLst/>
              </a:endParaRPr>
            </a:p>
          </xdr:txBody>
        </xdr:sp>
        <xdr:sp macro="" textlink="">
          <xdr:nvSpPr>
            <xdr:cNvPr id="11" name="Text Box 11">
              <a:extLst>
                <a:ext uri="{FF2B5EF4-FFF2-40B4-BE49-F238E27FC236}">
                  <a16:creationId xmlns:a16="http://schemas.microsoft.com/office/drawing/2014/main" id="{00000000-0008-0000-0200-00000B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127" y="903"/>
              <a:ext cx="136" cy="90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65"/>
            </a:solidFill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</xdr:spPr>
          <xdr:txBody>
            <a:bodyPr vertOverflow="clip" wrap="square" lIns="18288" tIns="0" rIns="0" bIns="0" anchor="t" upright="1"/>
            <a:lstStyle/>
            <a:p>
              <a:pPr algn="ctr" rtl="0">
                <a:defRPr sz="1000"/>
              </a:pPr>
              <a:endParaRPr lang="en-US"/>
            </a:p>
          </xdr:txBody>
        </xdr:sp>
      </xdr:grpSp>
      <xdr:sp macro="" textlink="">
        <xdr:nvSpPr>
          <xdr:cNvPr id="8" name="Text Box 22">
            <a:extLst>
              <a:ext uri="{FF2B5EF4-FFF2-40B4-BE49-F238E27FC236}">
                <a16:creationId xmlns:a16="http://schemas.microsoft.com/office/drawing/2014/main" id="{00000000-0008-0000-0200-000008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85725" y="9553575"/>
            <a:ext cx="1266721" cy="39052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65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22860" rIns="27432" bIns="0" anchor="t" upright="1"/>
          <a:lstStyle/>
          <a:p>
            <a:pPr algn="ctr" rtl="0">
              <a:defRPr sz="1000"/>
            </a:pPr>
            <a:r>
              <a:rPr lang="vi-VN" sz="1100" b="1" i="0" u="none" strike="noStrike" baseline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rPr>
              <a:t>Người </a:t>
            </a:r>
            <a:r>
              <a:rPr lang="en-US" sz="1100" b="1" i="0" u="none" strike="noStrike" baseline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rPr>
              <a:t>ghi</a:t>
            </a:r>
          </a:p>
          <a:p>
            <a:pPr algn="ctr" rtl="0">
              <a:defRPr sz="1000"/>
            </a:pPr>
            <a:r>
              <a:rPr lang="en-US"/>
              <a:t>Requestor</a:t>
            </a:r>
          </a:p>
        </xdr:txBody>
      </xdr:sp>
      <xdr:sp macro="" textlink="">
        <xdr:nvSpPr>
          <xdr:cNvPr id="9" name="Text Box 23">
            <a:extLst>
              <a:ext uri="{FF2B5EF4-FFF2-40B4-BE49-F238E27FC236}">
                <a16:creationId xmlns:a16="http://schemas.microsoft.com/office/drawing/2014/main" id="{00000000-0008-0000-0200-000009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85725" y="9963150"/>
            <a:ext cx="1266721" cy="92392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65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18288" tIns="0" rIns="0" bIns="0" anchor="t" upright="1"/>
          <a:lstStyle/>
          <a:p>
            <a:pPr algn="ctr" rtl="0">
              <a:defRPr sz="1000"/>
            </a:pPr>
            <a:endParaRPr lang="en-US"/>
          </a:p>
        </xdr:txBody>
      </xdr:sp>
    </xdr:grpSp>
    <xdr:clientData/>
  </xdr:twoCellAnchor>
  <xdr:twoCellAnchor>
    <xdr:from>
      <xdr:col>7</xdr:col>
      <xdr:colOff>590550</xdr:colOff>
      <xdr:row>0</xdr:row>
      <xdr:rowOff>28575</xdr:rowOff>
    </xdr:from>
    <xdr:to>
      <xdr:col>12</xdr:col>
      <xdr:colOff>885824</xdr:colOff>
      <xdr:row>1</xdr:row>
      <xdr:rowOff>104775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SpPr txBox="1"/>
      </xdr:nvSpPr>
      <xdr:spPr>
        <a:xfrm>
          <a:off x="5003800" y="28575"/>
          <a:ext cx="3324224" cy="266700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 rtl="0">
            <a:defRPr sz="1000"/>
          </a:pPr>
          <a:endParaRPr lang="en-US" sz="1050"/>
        </a:p>
      </xdr:txBody>
    </xdr:sp>
    <xdr:clientData/>
  </xdr:twoCellAnchor>
  <xdr:twoCellAnchor>
    <xdr:from>
      <xdr:col>1</xdr:col>
      <xdr:colOff>47625</xdr:colOff>
      <xdr:row>2</xdr:row>
      <xdr:rowOff>9525</xdr:rowOff>
    </xdr:from>
    <xdr:to>
      <xdr:col>2</xdr:col>
      <xdr:colOff>97449</xdr:colOff>
      <xdr:row>3</xdr:row>
      <xdr:rowOff>31507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 txBox="1"/>
      </xdr:nvSpPr>
      <xdr:spPr>
        <a:xfrm>
          <a:off x="130175" y="390525"/>
          <a:ext cx="386374" cy="212482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Số:         / </a:t>
          </a:r>
          <a:endParaRPr lang="en-US"/>
        </a:p>
      </xdr:txBody>
    </xdr:sp>
    <xdr:clientData/>
  </xdr:twoCellAnchor>
  <xdr:twoCellAnchor>
    <xdr:from>
      <xdr:col>2</xdr:col>
      <xdr:colOff>0</xdr:colOff>
      <xdr:row>3</xdr:row>
      <xdr:rowOff>0</xdr:rowOff>
    </xdr:from>
    <xdr:to>
      <xdr:col>2</xdr:col>
      <xdr:colOff>66675</xdr:colOff>
      <xdr:row>3</xdr:row>
      <xdr:rowOff>0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CxnSpPr/>
      </xdr:nvCxnSpPr>
      <xdr:spPr>
        <a:xfrm>
          <a:off x="419100" y="571500"/>
          <a:ext cx="6667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132862</xdr:colOff>
      <xdr:row>1</xdr:row>
      <xdr:rowOff>38869</xdr:rowOff>
    </xdr:from>
    <xdr:to>
      <xdr:col>12</xdr:col>
      <xdr:colOff>869950</xdr:colOff>
      <xdr:row>2</xdr:row>
      <xdr:rowOff>171450</xdr:rowOff>
    </xdr:to>
    <xdr:sp macro="" textlink="">
      <xdr:nvSpPr>
        <xdr:cNvPr id="17" name="Text Box 1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 txBox="1">
          <a:spLocks noChangeArrowheads="1"/>
        </xdr:cNvSpPr>
      </xdr:nvSpPr>
      <xdr:spPr bwMode="auto">
        <a:xfrm>
          <a:off x="6635262" y="229369"/>
          <a:ext cx="1676888" cy="323081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lnSpc>
              <a:spcPts val="1000"/>
            </a:lnSpc>
            <a:defRPr sz="1000"/>
          </a:pPr>
          <a:r>
            <a:rPr lang="en-US" sz="900" b="1" i="0" u="none" strike="noStrike" baseline="0">
              <a:solidFill>
                <a:srgbClr val="000000"/>
              </a:solidFill>
              <a:latin typeface="+mn-lt"/>
              <a:cs typeface="Times New Roman" panose="02020603050405020304" pitchFamily="18" charset="0"/>
            </a:rPr>
            <a:t>Ngày  18  tháng  04  Năm 2026</a:t>
          </a:r>
          <a:endParaRPr lang="en-US" sz="1000" b="1" i="1" u="none" strike="noStrike" baseline="0">
            <a:solidFill>
              <a:srgbClr val="000000"/>
            </a:solidFill>
            <a:latin typeface="+mn-lt"/>
            <a:cs typeface="Times New Roman" panose="02020603050405020304" pitchFamily="18" charset="0"/>
          </a:endParaRPr>
        </a:p>
      </xdr:txBody>
    </xdr:sp>
    <xdr:clientData/>
  </xdr:twoCellAnchor>
  <xdr:twoCellAnchor editAs="oneCell">
    <xdr:from>
      <xdr:col>1</xdr:col>
      <xdr:colOff>1</xdr:colOff>
      <xdr:row>0</xdr:row>
      <xdr:rowOff>983</xdr:rowOff>
    </xdr:from>
    <xdr:to>
      <xdr:col>4</xdr:col>
      <xdr:colOff>378865</xdr:colOff>
      <xdr:row>1</xdr:row>
      <xdr:rowOff>156300</xdr:rowOff>
    </xdr:to>
    <xdr:pic>
      <xdr:nvPicPr>
        <xdr:cNvPr id="18" name="Picture 1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1" y="983"/>
          <a:ext cx="3026814" cy="32041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8561CBB-3A50-4BC5-A3D8-C09CFD396CA2}">
  <we:reference id="wa200009404" version="1.0.0.8" store="en-US" storeType="OMEX"/>
  <we:alternateReferences>
    <we:reference id="WA200009404" version="1.0.0.8" store="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  <pageSetUpPr fitToPage="1"/>
  </sheetPr>
  <dimension ref="B1:T22"/>
  <sheetViews>
    <sheetView tabSelected="1" zoomScaleNormal="100" zoomScaleSheetLayoutView="100" workbookViewId="0">
      <selection activeCell="R10" sqref="R10"/>
    </sheetView>
  </sheetViews>
  <sheetFormatPr defaultColWidth="9.1796875" defaultRowHeight="13"/>
  <cols>
    <col min="1" max="1" width="1.1796875" style="12" customWidth="1"/>
    <col min="2" max="2" width="4.81640625" style="12" customWidth="1"/>
    <col min="3" max="3" width="20.453125" style="12" customWidth="1"/>
    <col min="4" max="4" width="12.7265625" style="12" customWidth="1"/>
    <col min="5" max="5" width="7.1796875" style="12" customWidth="1"/>
    <col min="6" max="6" width="11.1796875" style="12" customWidth="1"/>
    <col min="7" max="8" width="10.1796875" style="12" customWidth="1"/>
    <col min="9" max="9" width="11.54296875" style="12" customWidth="1"/>
    <col min="10" max="11" width="8.1796875" style="12" customWidth="1"/>
    <col min="12" max="12" width="5.26953125" style="12" customWidth="1"/>
    <col min="13" max="13" width="12.54296875" style="12" customWidth="1"/>
    <col min="14" max="16384" width="9.1796875" style="12"/>
  </cols>
  <sheetData>
    <row r="1" spans="2:20" ht="15.5">
      <c r="B1" s="11"/>
    </row>
    <row r="2" spans="2:20" ht="15.5">
      <c r="B2" s="11"/>
    </row>
    <row r="3" spans="2:20" ht="15.5">
      <c r="B3" s="13"/>
    </row>
    <row r="4" spans="2:20" s="14" customFormat="1" ht="52.5" customHeight="1">
      <c r="B4" s="59" t="s">
        <v>47</v>
      </c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O4" s="26"/>
    </row>
    <row r="5" spans="2:20" s="14" customFormat="1" ht="31" customHeight="1">
      <c r="B5" s="62" t="s">
        <v>66</v>
      </c>
      <c r="C5" s="63"/>
      <c r="D5" s="63"/>
      <c r="E5" s="63"/>
      <c r="F5" s="63"/>
      <c r="G5" s="64"/>
      <c r="H5" s="62" t="s">
        <v>48</v>
      </c>
      <c r="I5" s="63"/>
      <c r="J5" s="63"/>
      <c r="K5" s="63"/>
      <c r="L5" s="63"/>
      <c r="M5" s="64"/>
    </row>
    <row r="6" spans="2:20" ht="9" customHeight="1"/>
    <row r="7" spans="2:20" ht="38.5" customHeight="1">
      <c r="B7" s="60" t="s">
        <v>0</v>
      </c>
      <c r="C7" s="60" t="s">
        <v>49</v>
      </c>
      <c r="D7" s="60" t="s">
        <v>50</v>
      </c>
      <c r="E7" s="60"/>
      <c r="F7" s="60" t="s">
        <v>51</v>
      </c>
      <c r="G7" s="60"/>
      <c r="H7" s="60" t="s">
        <v>52</v>
      </c>
      <c r="I7" s="60" t="s">
        <v>4</v>
      </c>
      <c r="J7" s="60" t="s">
        <v>53</v>
      </c>
      <c r="K7" s="60" t="s">
        <v>54</v>
      </c>
      <c r="L7" s="60" t="s">
        <v>55</v>
      </c>
      <c r="M7" s="60" t="s">
        <v>5</v>
      </c>
    </row>
    <row r="8" spans="2:20" ht="42.65" customHeight="1">
      <c r="B8" s="61"/>
      <c r="C8" s="61"/>
      <c r="D8" s="15" t="s">
        <v>56</v>
      </c>
      <c r="E8" s="15" t="s">
        <v>57</v>
      </c>
      <c r="F8" s="15" t="s">
        <v>58</v>
      </c>
      <c r="G8" s="15" t="s">
        <v>57</v>
      </c>
      <c r="H8" s="60"/>
      <c r="I8" s="60"/>
      <c r="J8" s="60"/>
      <c r="K8" s="60"/>
      <c r="L8" s="61"/>
      <c r="M8" s="61"/>
    </row>
    <row r="9" spans="2:20" ht="32.15" customHeight="1">
      <c r="B9" s="65">
        <v>1</v>
      </c>
      <c r="C9" s="65" t="s">
        <v>33</v>
      </c>
      <c r="D9" s="76" t="s">
        <v>2</v>
      </c>
      <c r="E9" s="73" t="s">
        <v>1</v>
      </c>
      <c r="F9" s="70"/>
      <c r="G9" s="70"/>
      <c r="H9" s="15" t="s">
        <v>36</v>
      </c>
      <c r="I9" s="15" t="s">
        <v>35</v>
      </c>
      <c r="J9" s="16">
        <f>70*60*2.5</f>
        <v>10500</v>
      </c>
      <c r="K9" s="15"/>
      <c r="L9" s="17"/>
      <c r="M9" s="27"/>
    </row>
    <row r="10" spans="2:20" ht="32.15" customHeight="1">
      <c r="B10" s="66"/>
      <c r="C10" s="66"/>
      <c r="D10" s="77"/>
      <c r="E10" s="74"/>
      <c r="F10" s="71"/>
      <c r="G10" s="71"/>
      <c r="H10" s="15" t="s">
        <v>73</v>
      </c>
      <c r="I10" s="15" t="s">
        <v>77</v>
      </c>
      <c r="J10" s="16">
        <f t="shared" ref="J10" si="0">130*60*2.5</f>
        <v>19500</v>
      </c>
      <c r="K10" s="15"/>
      <c r="L10" s="17"/>
      <c r="M10" s="27"/>
    </row>
    <row r="11" spans="2:20" ht="32.15" customHeight="1">
      <c r="B11" s="66"/>
      <c r="C11" s="66"/>
      <c r="D11" s="77"/>
      <c r="E11" s="74"/>
      <c r="F11" s="71"/>
      <c r="G11" s="71"/>
      <c r="H11" s="15" t="s">
        <v>28</v>
      </c>
      <c r="I11" s="15" t="s">
        <v>25</v>
      </c>
      <c r="J11" s="16">
        <f>80*60*2.5</f>
        <v>12000</v>
      </c>
      <c r="K11" s="15"/>
      <c r="L11" s="17"/>
      <c r="M11" s="27"/>
    </row>
    <row r="12" spans="2:20" ht="32.15" customHeight="1">
      <c r="B12" s="66"/>
      <c r="C12" s="66"/>
      <c r="D12" s="77"/>
      <c r="E12" s="74"/>
      <c r="F12" s="71"/>
      <c r="G12" s="71"/>
      <c r="H12" s="15" t="s">
        <v>76</v>
      </c>
      <c r="I12" s="15" t="s">
        <v>78</v>
      </c>
      <c r="J12" s="16">
        <f>80*60*2.5</f>
        <v>12000</v>
      </c>
      <c r="K12" s="15"/>
      <c r="L12" s="17"/>
      <c r="M12" s="27"/>
    </row>
    <row r="13" spans="2:20" ht="32.15" customHeight="1">
      <c r="B13" s="67"/>
      <c r="C13" s="67"/>
      <c r="D13" s="78"/>
      <c r="E13" s="75"/>
      <c r="F13" s="72"/>
      <c r="G13" s="72"/>
      <c r="H13" s="15" t="s">
        <v>79</v>
      </c>
      <c r="I13" s="15" t="s">
        <v>75</v>
      </c>
      <c r="J13" s="16">
        <f>80*60*2.5</f>
        <v>12000</v>
      </c>
      <c r="K13" s="15"/>
      <c r="L13" s="17"/>
      <c r="M13" s="27"/>
    </row>
    <row r="14" spans="2:20" ht="32.15" customHeight="1">
      <c r="B14" s="17">
        <v>2</v>
      </c>
      <c r="C14" s="17" t="s">
        <v>12</v>
      </c>
      <c r="D14" s="24" t="s">
        <v>2</v>
      </c>
      <c r="E14" s="18" t="s">
        <v>1</v>
      </c>
      <c r="F14" s="15"/>
      <c r="G14" s="15"/>
      <c r="H14" s="15" t="s">
        <v>46</v>
      </c>
      <c r="I14" s="15" t="s">
        <v>6</v>
      </c>
      <c r="J14" s="16">
        <f>180*60*2.5*7</f>
        <v>189000</v>
      </c>
      <c r="K14" s="15"/>
      <c r="L14" s="17"/>
      <c r="M14" s="27"/>
    </row>
    <row r="15" spans="2:20" ht="32.15" customHeight="1">
      <c r="B15" s="17">
        <v>3</v>
      </c>
      <c r="C15" s="17" t="s">
        <v>10</v>
      </c>
      <c r="D15" s="24" t="s">
        <v>2</v>
      </c>
      <c r="E15" s="18" t="s">
        <v>1</v>
      </c>
      <c r="F15" s="15"/>
      <c r="G15" s="15"/>
      <c r="H15" s="15" t="s">
        <v>46</v>
      </c>
      <c r="I15" s="15" t="s">
        <v>6</v>
      </c>
      <c r="J15" s="16">
        <f>180*60*2.5*7</f>
        <v>189000</v>
      </c>
      <c r="K15" s="15"/>
      <c r="L15" s="17"/>
      <c r="M15" s="27"/>
    </row>
    <row r="16" spans="2:20" ht="71.25" customHeight="1">
      <c r="B16" s="19"/>
      <c r="T16" s="12" t="s">
        <v>3</v>
      </c>
    </row>
    <row r="17" spans="2:13" s="11" customFormat="1" ht="16.5" customHeight="1">
      <c r="B17" s="69" t="s">
        <v>59</v>
      </c>
      <c r="C17" s="69"/>
      <c r="D17" s="69"/>
      <c r="E17" s="69"/>
      <c r="F17" s="69"/>
      <c r="G17" s="69"/>
      <c r="H17" s="69"/>
      <c r="I17" s="69"/>
      <c r="J17" s="69"/>
      <c r="K17" s="69"/>
      <c r="L17" s="69"/>
      <c r="M17" s="69"/>
    </row>
    <row r="18" spans="2:13" s="11" customFormat="1" ht="23.25" customHeight="1">
      <c r="B18" s="69"/>
      <c r="C18" s="69"/>
      <c r="D18" s="69"/>
      <c r="E18" s="69"/>
      <c r="F18" s="69"/>
      <c r="G18" s="69"/>
      <c r="H18" s="69"/>
      <c r="I18" s="69"/>
      <c r="J18" s="69"/>
      <c r="K18" s="69"/>
      <c r="L18" s="69"/>
      <c r="M18" s="69"/>
    </row>
    <row r="19" spans="2:13" s="11" customFormat="1" ht="3.75" customHeight="1">
      <c r="B19" s="68"/>
      <c r="C19" s="68"/>
      <c r="D19" s="68"/>
      <c r="E19" s="68"/>
      <c r="F19" s="68"/>
      <c r="G19" s="68"/>
      <c r="H19" s="68"/>
      <c r="I19" s="68"/>
      <c r="J19" s="68"/>
      <c r="K19" s="68"/>
      <c r="L19" s="68"/>
      <c r="M19" s="68"/>
    </row>
    <row r="20" spans="2:13" s="11" customFormat="1" ht="33" customHeight="1">
      <c r="B20" s="68"/>
      <c r="C20" s="68"/>
      <c r="D20" s="68"/>
      <c r="E20" s="68"/>
      <c r="F20" s="68"/>
      <c r="G20" s="68"/>
      <c r="H20" s="68"/>
      <c r="I20" s="68"/>
      <c r="J20" s="68"/>
      <c r="K20" s="68"/>
      <c r="L20" s="68"/>
      <c r="M20" s="68"/>
    </row>
    <row r="21" spans="2:13" ht="17.25" customHeight="1"/>
    <row r="22" spans="2:13" ht="5.25" customHeight="1"/>
  </sheetData>
  <mergeCells count="21">
    <mergeCell ref="B9:B13"/>
    <mergeCell ref="B19:M20"/>
    <mergeCell ref="B17:M18"/>
    <mergeCell ref="G9:G13"/>
    <mergeCell ref="F9:F13"/>
    <mergeCell ref="E9:E13"/>
    <mergeCell ref="D9:D13"/>
    <mergeCell ref="C9:C13"/>
    <mergeCell ref="B4:M4"/>
    <mergeCell ref="B7:B8"/>
    <mergeCell ref="C7:C8"/>
    <mergeCell ref="D7:E7"/>
    <mergeCell ref="M7:M8"/>
    <mergeCell ref="H5:M5"/>
    <mergeCell ref="B5:G5"/>
    <mergeCell ref="H7:H8"/>
    <mergeCell ref="I7:I8"/>
    <mergeCell ref="J7:J8"/>
    <mergeCell ref="K7:K8"/>
    <mergeCell ref="L7:L8"/>
    <mergeCell ref="F7:G7"/>
  </mergeCells>
  <phoneticPr fontId="118" type="noConversion"/>
  <printOptions horizontalCentered="1"/>
  <pageMargins left="0.39370078740157483" right="0.39370078740157483" top="0" bottom="0" header="0" footer="0"/>
  <pageSetup paperSize="9" scale="79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  <pageSetUpPr fitToPage="1"/>
  </sheetPr>
  <dimension ref="A1:V18"/>
  <sheetViews>
    <sheetView zoomScaleNormal="100" zoomScaleSheetLayoutView="100" workbookViewId="0">
      <selection activeCell="C12" sqref="C12"/>
    </sheetView>
  </sheetViews>
  <sheetFormatPr defaultColWidth="9.1796875" defaultRowHeight="13"/>
  <cols>
    <col min="1" max="1" width="1.1796875" style="12" customWidth="1"/>
    <col min="2" max="2" width="4.81640625" style="12" customWidth="1"/>
    <col min="3" max="3" width="20.453125" style="12" customWidth="1"/>
    <col min="4" max="4" width="12.7265625" style="12" customWidth="1"/>
    <col min="5" max="5" width="8.7265625" style="12" customWidth="1"/>
    <col min="6" max="6" width="11.453125" style="12" customWidth="1"/>
    <col min="7" max="7" width="11.54296875" style="12" customWidth="1"/>
    <col min="8" max="8" width="10.1796875" style="12" customWidth="1"/>
    <col min="9" max="9" width="11.54296875" style="12" customWidth="1"/>
    <col min="10" max="11" width="8.1796875" style="12" customWidth="1"/>
    <col min="12" max="12" width="5.26953125" style="12" customWidth="1"/>
    <col min="13" max="13" width="12.54296875" style="12" customWidth="1"/>
    <col min="14" max="16384" width="9.1796875" style="12"/>
  </cols>
  <sheetData>
    <row r="1" spans="1:22" ht="15.5">
      <c r="B1" s="11"/>
    </row>
    <row r="2" spans="1:22" ht="15.5">
      <c r="B2" s="11"/>
    </row>
    <row r="3" spans="1:22" ht="15.5">
      <c r="B3" s="13"/>
    </row>
    <row r="4" spans="1:22" s="14" customFormat="1" ht="65.5" customHeight="1">
      <c r="B4" s="59" t="s">
        <v>47</v>
      </c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</row>
    <row r="5" spans="1:22" s="14" customFormat="1" ht="38.25" customHeight="1">
      <c r="B5" s="62" t="s">
        <v>67</v>
      </c>
      <c r="C5" s="63"/>
      <c r="D5" s="63"/>
      <c r="E5" s="63"/>
      <c r="F5" s="63"/>
      <c r="G5" s="64"/>
      <c r="H5" s="62" t="s">
        <v>60</v>
      </c>
      <c r="I5" s="63"/>
      <c r="J5" s="63"/>
      <c r="K5" s="63"/>
      <c r="L5" s="63"/>
      <c r="M5" s="64"/>
      <c r="P5" s="26"/>
    </row>
    <row r="6" spans="1:22" ht="9" customHeight="1"/>
    <row r="7" spans="1:22" ht="38.5" customHeight="1">
      <c r="B7" s="60" t="s">
        <v>0</v>
      </c>
      <c r="C7" s="60" t="s">
        <v>49</v>
      </c>
      <c r="D7" s="60" t="s">
        <v>50</v>
      </c>
      <c r="E7" s="60"/>
      <c r="F7" s="60" t="s">
        <v>51</v>
      </c>
      <c r="G7" s="60"/>
      <c r="H7" s="60" t="s">
        <v>52</v>
      </c>
      <c r="I7" s="60" t="s">
        <v>4</v>
      </c>
      <c r="J7" s="60" t="s">
        <v>53</v>
      </c>
      <c r="K7" s="60" t="s">
        <v>54</v>
      </c>
      <c r="L7" s="60" t="s">
        <v>55</v>
      </c>
      <c r="M7" s="60" t="s">
        <v>5</v>
      </c>
      <c r="P7" s="26"/>
    </row>
    <row r="8" spans="1:22" ht="42.65" customHeight="1">
      <c r="B8" s="61"/>
      <c r="C8" s="61"/>
      <c r="D8" s="15" t="s">
        <v>56</v>
      </c>
      <c r="E8" s="15" t="s">
        <v>57</v>
      </c>
      <c r="F8" s="15" t="s">
        <v>58</v>
      </c>
      <c r="G8" s="15" t="s">
        <v>57</v>
      </c>
      <c r="H8" s="60"/>
      <c r="I8" s="60"/>
      <c r="J8" s="60"/>
      <c r="K8" s="60"/>
      <c r="L8" s="61"/>
      <c r="M8" s="61"/>
      <c r="O8" s="26"/>
    </row>
    <row r="9" spans="1:22" ht="25" customHeight="1">
      <c r="B9" s="79" t="s">
        <v>74</v>
      </c>
      <c r="C9" s="80"/>
      <c r="D9" s="80"/>
      <c r="E9" s="80"/>
      <c r="F9" s="80"/>
      <c r="G9" s="80"/>
      <c r="H9" s="80"/>
      <c r="I9" s="80"/>
      <c r="J9" s="80"/>
      <c r="K9" s="80"/>
      <c r="L9" s="80"/>
      <c r="M9" s="81"/>
    </row>
    <row r="10" spans="1:22" ht="28.5" customHeight="1">
      <c r="A10" s="20"/>
      <c r="B10" s="28">
        <v>1</v>
      </c>
      <c r="C10" s="28" t="s">
        <v>26</v>
      </c>
      <c r="D10" s="29" t="s">
        <v>70</v>
      </c>
      <c r="E10" s="29">
        <v>3</v>
      </c>
      <c r="F10" s="29"/>
      <c r="G10" s="29"/>
      <c r="H10" s="82" t="s">
        <v>164</v>
      </c>
      <c r="I10" s="84" t="s">
        <v>166</v>
      </c>
      <c r="J10" s="22"/>
      <c r="K10" s="21"/>
      <c r="L10" s="25"/>
      <c r="M10" s="84" t="s">
        <v>165</v>
      </c>
      <c r="P10" s="23"/>
    </row>
    <row r="11" spans="1:22" ht="28.5" customHeight="1">
      <c r="A11" s="20"/>
      <c r="B11" s="25">
        <v>2</v>
      </c>
      <c r="C11" s="25" t="s">
        <v>62</v>
      </c>
      <c r="D11" s="21" t="s">
        <v>70</v>
      </c>
      <c r="E11" s="21">
        <v>3</v>
      </c>
      <c r="F11" s="21"/>
      <c r="G11" s="21"/>
      <c r="H11" s="83"/>
      <c r="I11" s="85"/>
      <c r="J11" s="22"/>
      <c r="K11" s="21"/>
      <c r="L11" s="25"/>
      <c r="M11" s="85"/>
      <c r="P11" s="23"/>
    </row>
    <row r="12" spans="1:22" ht="71.25" customHeight="1">
      <c r="B12" s="19" t="s">
        <v>45</v>
      </c>
      <c r="V12" s="12" t="s">
        <v>3</v>
      </c>
    </row>
    <row r="13" spans="1:22" s="11" customFormat="1" ht="16.5" customHeight="1">
      <c r="B13" s="69" t="s">
        <v>59</v>
      </c>
      <c r="C13" s="69"/>
      <c r="D13" s="69"/>
      <c r="E13" s="69"/>
      <c r="F13" s="69"/>
      <c r="G13" s="69"/>
      <c r="H13" s="69"/>
      <c r="I13" s="69"/>
      <c r="J13" s="69"/>
      <c r="K13" s="69"/>
      <c r="L13" s="69"/>
      <c r="M13" s="69"/>
    </row>
    <row r="14" spans="1:22" s="11" customFormat="1" ht="23.25" customHeight="1">
      <c r="B14" s="69"/>
      <c r="C14" s="69"/>
      <c r="D14" s="69"/>
      <c r="E14" s="69"/>
      <c r="F14" s="69"/>
      <c r="G14" s="69"/>
      <c r="H14" s="69"/>
      <c r="I14" s="69"/>
      <c r="J14" s="69"/>
      <c r="K14" s="69"/>
      <c r="L14" s="69"/>
      <c r="M14" s="69"/>
    </row>
    <row r="15" spans="1:22" s="11" customFormat="1" ht="3.75" customHeight="1">
      <c r="B15" s="68"/>
      <c r="C15" s="68"/>
      <c r="D15" s="68"/>
      <c r="E15" s="68"/>
      <c r="F15" s="68"/>
      <c r="G15" s="68"/>
      <c r="H15" s="68"/>
      <c r="I15" s="68"/>
      <c r="J15" s="68"/>
      <c r="K15" s="68"/>
      <c r="L15" s="68"/>
      <c r="M15" s="68"/>
    </row>
    <row r="16" spans="1:22" s="11" customFormat="1" ht="33" customHeight="1">
      <c r="B16" s="68"/>
      <c r="C16" s="68"/>
      <c r="D16" s="68"/>
      <c r="E16" s="68"/>
      <c r="F16" s="68"/>
      <c r="G16" s="68"/>
      <c r="H16" s="68"/>
      <c r="I16" s="68"/>
      <c r="J16" s="68"/>
      <c r="K16" s="68"/>
      <c r="L16" s="68"/>
      <c r="M16" s="68"/>
    </row>
    <row r="17" ht="17.25" customHeight="1"/>
    <row r="18" ht="5.25" customHeight="1"/>
  </sheetData>
  <mergeCells count="19">
    <mergeCell ref="B9:M9"/>
    <mergeCell ref="B15:M16"/>
    <mergeCell ref="B13:M14"/>
    <mergeCell ref="H10:H11"/>
    <mergeCell ref="M10:M11"/>
    <mergeCell ref="I10:I11"/>
    <mergeCell ref="B4:M4"/>
    <mergeCell ref="B5:G5"/>
    <mergeCell ref="H5:M5"/>
    <mergeCell ref="B7:B8"/>
    <mergeCell ref="C7:C8"/>
    <mergeCell ref="D7:E7"/>
    <mergeCell ref="F7:G7"/>
    <mergeCell ref="H7:H8"/>
    <mergeCell ref="I7:I8"/>
    <mergeCell ref="J7:J8"/>
    <mergeCell ref="K7:K8"/>
    <mergeCell ref="L7:L8"/>
    <mergeCell ref="M7:M8"/>
  </mergeCells>
  <phoneticPr fontId="118" type="noConversion"/>
  <printOptions horizontalCentered="1"/>
  <pageMargins left="0.39370078740157483" right="0.39370078740157483" top="0" bottom="0" header="0" footer="0"/>
  <pageSetup paperSize="9" scale="77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58"/>
  <sheetViews>
    <sheetView workbookViewId="0">
      <selection activeCell="G12" sqref="G12"/>
    </sheetView>
  </sheetViews>
  <sheetFormatPr defaultColWidth="9.1796875" defaultRowHeight="21"/>
  <cols>
    <col min="1" max="1" width="9.81640625" style="3" bestFit="1" customWidth="1"/>
    <col min="2" max="2" width="38.54296875" style="2" customWidth="1"/>
    <col min="3" max="3" width="61.26953125" style="3" customWidth="1"/>
    <col min="4" max="4" width="14.1796875" style="2" bestFit="1" customWidth="1"/>
    <col min="5" max="16384" width="9.1796875" style="2"/>
  </cols>
  <sheetData>
    <row r="1" spans="1:3" s="1" customFormat="1" ht="46">
      <c r="A1" s="86" t="s">
        <v>81</v>
      </c>
      <c r="B1" s="86"/>
      <c r="C1" s="86"/>
    </row>
    <row r="2" spans="1:3" s="5" customFormat="1">
      <c r="A2" s="4" t="s">
        <v>82</v>
      </c>
      <c r="B2" s="4" t="s">
        <v>83</v>
      </c>
      <c r="C2" s="4" t="s">
        <v>84</v>
      </c>
    </row>
    <row r="3" spans="1:3" s="8" customFormat="1" ht="15.5">
      <c r="A3" s="7">
        <v>1</v>
      </c>
      <c r="B3" s="9" t="s">
        <v>13</v>
      </c>
      <c r="C3" s="7" t="s">
        <v>19</v>
      </c>
    </row>
    <row r="4" spans="1:3" s="8" customFormat="1" ht="15.5">
      <c r="A4" s="7">
        <v>2</v>
      </c>
      <c r="B4" s="50" t="s">
        <v>9</v>
      </c>
      <c r="C4" s="7" t="s">
        <v>19</v>
      </c>
    </row>
    <row r="5" spans="1:3" s="8" customFormat="1" ht="15.5">
      <c r="A5" s="7">
        <v>3</v>
      </c>
      <c r="B5" s="50" t="s">
        <v>7</v>
      </c>
      <c r="C5" s="7" t="s">
        <v>19</v>
      </c>
    </row>
    <row r="6" spans="1:3" s="8" customFormat="1" ht="15.5">
      <c r="A6" s="7">
        <v>4</v>
      </c>
      <c r="B6" s="50" t="s">
        <v>10</v>
      </c>
      <c r="C6" s="7" t="s">
        <v>19</v>
      </c>
    </row>
    <row r="7" spans="1:3" s="8" customFormat="1" ht="15.5">
      <c r="A7" s="7">
        <v>5</v>
      </c>
      <c r="B7" s="50" t="s">
        <v>11</v>
      </c>
      <c r="C7" s="7" t="s">
        <v>19</v>
      </c>
    </row>
    <row r="8" spans="1:3" s="8" customFormat="1" ht="15.5">
      <c r="A8" s="7">
        <v>6</v>
      </c>
      <c r="B8" s="50" t="s">
        <v>22</v>
      </c>
      <c r="C8" s="7" t="s">
        <v>19</v>
      </c>
    </row>
    <row r="9" spans="1:3" s="8" customFormat="1" ht="15.5">
      <c r="A9" s="7">
        <v>7</v>
      </c>
      <c r="B9" s="50" t="s">
        <v>12</v>
      </c>
      <c r="C9" s="7" t="s">
        <v>19</v>
      </c>
    </row>
    <row r="10" spans="1:3" s="8" customFormat="1" ht="15.5">
      <c r="A10" s="7">
        <v>8</v>
      </c>
      <c r="B10" s="50" t="s">
        <v>23</v>
      </c>
      <c r="C10" s="7" t="s">
        <v>19</v>
      </c>
    </row>
    <row r="11" spans="1:3" s="8" customFormat="1" ht="15.5">
      <c r="A11" s="7">
        <v>9</v>
      </c>
      <c r="B11" s="50" t="s">
        <v>33</v>
      </c>
      <c r="C11" s="7" t="s">
        <v>19</v>
      </c>
    </row>
    <row r="12" spans="1:3" s="8" customFormat="1" ht="15.5">
      <c r="A12" s="7">
        <v>10</v>
      </c>
      <c r="B12" s="50" t="s">
        <v>69</v>
      </c>
      <c r="C12" s="7" t="s">
        <v>19</v>
      </c>
    </row>
    <row r="13" spans="1:3" s="8" customFormat="1" ht="15.5">
      <c r="A13" s="7">
        <v>11</v>
      </c>
      <c r="B13" s="50" t="s">
        <v>68</v>
      </c>
      <c r="C13" s="7" t="s">
        <v>19</v>
      </c>
    </row>
    <row r="14" spans="1:3" s="8" customFormat="1" ht="15.5">
      <c r="A14" s="7">
        <v>12</v>
      </c>
      <c r="B14" s="50" t="s">
        <v>61</v>
      </c>
      <c r="C14" s="7" t="s">
        <v>19</v>
      </c>
    </row>
    <row r="15" spans="1:3" s="8" customFormat="1" ht="15.5">
      <c r="A15" s="7">
        <v>13</v>
      </c>
      <c r="B15" s="51" t="s">
        <v>71</v>
      </c>
      <c r="C15" s="7" t="s">
        <v>19</v>
      </c>
    </row>
    <row r="16" spans="1:3" s="8" customFormat="1" ht="15.5">
      <c r="A16" s="7">
        <v>14</v>
      </c>
      <c r="B16" s="10" t="s">
        <v>80</v>
      </c>
      <c r="C16" s="7" t="s">
        <v>16</v>
      </c>
    </row>
    <row r="17" spans="1:3" s="5" customFormat="1">
      <c r="A17" s="4"/>
      <c r="B17" s="4"/>
      <c r="C17" s="4"/>
    </row>
    <row r="18" spans="1:3" s="8" customFormat="1" ht="15.5">
      <c r="A18" s="7">
        <v>1</v>
      </c>
      <c r="B18" s="9" t="s">
        <v>18</v>
      </c>
      <c r="C18" s="7" t="s">
        <v>16</v>
      </c>
    </row>
    <row r="19" spans="1:3" s="8" customFormat="1" ht="15.5">
      <c r="A19" s="7">
        <v>2</v>
      </c>
      <c r="B19" s="9" t="s">
        <v>17</v>
      </c>
      <c r="C19" s="7" t="s">
        <v>16</v>
      </c>
    </row>
    <row r="20" spans="1:3" s="8" customFormat="1" ht="15.5">
      <c r="A20" s="7">
        <v>3</v>
      </c>
      <c r="B20" s="9" t="s">
        <v>21</v>
      </c>
      <c r="C20" s="7" t="s">
        <v>16</v>
      </c>
    </row>
    <row r="21" spans="1:3" s="8" customFormat="1" ht="15.5">
      <c r="A21" s="7">
        <v>4</v>
      </c>
      <c r="B21" s="9" t="s">
        <v>14</v>
      </c>
      <c r="C21" s="7" t="s">
        <v>16</v>
      </c>
    </row>
    <row r="22" spans="1:3" s="8" customFormat="1" ht="15.5">
      <c r="A22" s="7">
        <v>5</v>
      </c>
      <c r="B22" s="9" t="s">
        <v>20</v>
      </c>
      <c r="C22" s="7" t="s">
        <v>16</v>
      </c>
    </row>
    <row r="23" spans="1:3" s="8" customFormat="1" ht="15.5">
      <c r="A23" s="7">
        <v>6</v>
      </c>
      <c r="B23" s="9" t="s">
        <v>8</v>
      </c>
      <c r="C23" s="7" t="s">
        <v>16</v>
      </c>
    </row>
    <row r="24" spans="1:3" s="8" customFormat="1" ht="15.5">
      <c r="A24" s="7">
        <v>7</v>
      </c>
      <c r="B24" s="9" t="s">
        <v>15</v>
      </c>
      <c r="C24" s="7" t="s">
        <v>16</v>
      </c>
    </row>
    <row r="25" spans="1:3" s="8" customFormat="1" ht="15.5">
      <c r="A25" s="7">
        <v>8</v>
      </c>
      <c r="B25" s="9" t="s">
        <v>26</v>
      </c>
      <c r="C25" s="7" t="s">
        <v>16</v>
      </c>
    </row>
    <row r="26" spans="1:3" s="8" customFormat="1" ht="15.5">
      <c r="A26" s="7">
        <v>9</v>
      </c>
      <c r="B26" s="9" t="s">
        <v>62</v>
      </c>
      <c r="C26" s="7" t="s">
        <v>16</v>
      </c>
    </row>
    <row r="27" spans="1:3" s="8" customFormat="1" ht="15.5">
      <c r="A27" s="7">
        <v>10</v>
      </c>
      <c r="B27" s="9" t="s">
        <v>63</v>
      </c>
      <c r="C27" s="7" t="s">
        <v>16</v>
      </c>
    </row>
    <row r="28" spans="1:3" s="8" customFormat="1" ht="15.5">
      <c r="A28" s="7">
        <v>11</v>
      </c>
      <c r="B28" s="10" t="s">
        <v>72</v>
      </c>
      <c r="C28" s="7" t="s">
        <v>16</v>
      </c>
    </row>
    <row r="50" spans="1:3" s="6" customFormat="1">
      <c r="A50" s="3"/>
      <c r="B50" s="2"/>
      <c r="C50" s="3"/>
    </row>
    <row r="51" spans="1:3" s="6" customFormat="1">
      <c r="A51" s="3"/>
      <c r="B51" s="2"/>
      <c r="C51" s="3"/>
    </row>
    <row r="56" spans="1:3" s="6" customFormat="1">
      <c r="A56" s="3"/>
      <c r="B56" s="2"/>
      <c r="C56" s="3"/>
    </row>
    <row r="57" spans="1:3" s="6" customFormat="1">
      <c r="A57" s="3"/>
      <c r="B57" s="2"/>
      <c r="C57" s="3"/>
    </row>
    <row r="58" spans="1:3" s="6" customFormat="1">
      <c r="A58" s="3"/>
      <c r="B58" s="2"/>
      <c r="C58" s="3"/>
    </row>
  </sheetData>
  <autoFilter ref="A2:C2" xr:uid="{00000000-0009-0000-0000-00000A000000}"/>
  <mergeCells count="1">
    <mergeCell ref="A1:C1"/>
  </mergeCells>
  <phoneticPr fontId="118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EB8C6C-2C8B-4474-AB53-38C0EB5023E6}">
  <dimension ref="A1:I45"/>
  <sheetViews>
    <sheetView topLeftCell="A24" workbookViewId="0">
      <selection activeCell="T36" sqref="T36"/>
    </sheetView>
  </sheetViews>
  <sheetFormatPr defaultColWidth="8.7265625" defaultRowHeight="12.5"/>
  <cols>
    <col min="1" max="1" width="7.54296875" style="30" customWidth="1"/>
    <col min="2" max="3" width="12.54296875" style="30" customWidth="1"/>
    <col min="4" max="4" width="13.1796875" style="30" bestFit="1" customWidth="1"/>
    <col min="5" max="5" width="29.81640625" style="30" bestFit="1" customWidth="1"/>
    <col min="6" max="6" width="15.54296875" style="30" customWidth="1"/>
    <col min="7" max="7" width="12" style="31" customWidth="1"/>
    <col min="8" max="8" width="28.54296875" style="31" customWidth="1"/>
    <col min="9" max="9" width="15.81640625" style="30" customWidth="1"/>
    <col min="10" max="16384" width="8.7265625" style="30"/>
  </cols>
  <sheetData>
    <row r="1" spans="1:9" ht="13" thickBot="1"/>
    <row r="2" spans="1:9" ht="44" thickBot="1">
      <c r="A2" s="52" t="s">
        <v>85</v>
      </c>
      <c r="B2" s="53"/>
      <c r="C2" s="53"/>
      <c r="D2" s="53"/>
      <c r="E2" s="53"/>
      <c r="F2" s="53"/>
      <c r="G2" s="53"/>
      <c r="H2" s="53"/>
      <c r="I2" s="54"/>
    </row>
    <row r="3" spans="1:9" ht="15" thickBot="1">
      <c r="A3" s="55" t="s">
        <v>86</v>
      </c>
      <c r="B3" s="55"/>
      <c r="C3" s="32"/>
      <c r="D3" s="32"/>
    </row>
    <row r="4" spans="1:9" s="37" customFormat="1" ht="17">
      <c r="A4" s="33" t="s">
        <v>87</v>
      </c>
      <c r="B4" s="34" t="s">
        <v>88</v>
      </c>
      <c r="C4" s="34" t="s">
        <v>162</v>
      </c>
      <c r="D4" s="34" t="s">
        <v>89</v>
      </c>
      <c r="E4" s="35" t="s">
        <v>90</v>
      </c>
      <c r="F4" s="35" t="s">
        <v>91</v>
      </c>
      <c r="G4" s="34" t="s">
        <v>92</v>
      </c>
      <c r="H4" s="47" t="s">
        <v>163</v>
      </c>
      <c r="I4" s="36" t="s">
        <v>93</v>
      </c>
    </row>
    <row r="5" spans="1:9" ht="36" customHeight="1">
      <c r="A5" s="38">
        <v>1</v>
      </c>
      <c r="B5" s="39" t="s">
        <v>94</v>
      </c>
      <c r="C5" s="39" t="s">
        <v>138</v>
      </c>
      <c r="D5" s="40" t="s">
        <v>95</v>
      </c>
      <c r="E5" s="41" t="s">
        <v>96</v>
      </c>
      <c r="F5" s="39" t="s">
        <v>97</v>
      </c>
      <c r="G5" s="39">
        <v>55</v>
      </c>
      <c r="H5" s="48">
        <f>G5*60</f>
        <v>3300</v>
      </c>
      <c r="I5" s="42"/>
    </row>
    <row r="6" spans="1:9" ht="36" customHeight="1">
      <c r="A6" s="38">
        <v>2</v>
      </c>
      <c r="B6" s="39" t="s">
        <v>170</v>
      </c>
      <c r="C6" s="39" t="s">
        <v>172</v>
      </c>
      <c r="D6" s="40" t="s">
        <v>95</v>
      </c>
      <c r="E6" s="41" t="s">
        <v>173</v>
      </c>
      <c r="F6" s="39" t="s">
        <v>171</v>
      </c>
      <c r="G6" s="39">
        <v>50</v>
      </c>
      <c r="H6" s="48">
        <f>G6*60</f>
        <v>3000</v>
      </c>
      <c r="I6" s="42"/>
    </row>
    <row r="7" spans="1:9" ht="36" customHeight="1">
      <c r="A7" s="38">
        <v>3</v>
      </c>
      <c r="B7" s="39" t="s">
        <v>37</v>
      </c>
      <c r="C7" s="39" t="s">
        <v>140</v>
      </c>
      <c r="D7" s="39" t="s">
        <v>98</v>
      </c>
      <c r="E7" s="39" t="s">
        <v>99</v>
      </c>
      <c r="F7" s="39" t="s">
        <v>100</v>
      </c>
      <c r="G7" s="39">
        <v>45</v>
      </c>
      <c r="H7" s="48">
        <f t="shared" ref="H7:H45" si="0">G7*60</f>
        <v>2700</v>
      </c>
      <c r="I7" s="42"/>
    </row>
    <row r="8" spans="1:9" ht="36" customHeight="1">
      <c r="A8" s="38">
        <v>4</v>
      </c>
      <c r="B8" s="39" t="s">
        <v>101</v>
      </c>
      <c r="C8" s="39" t="s">
        <v>140</v>
      </c>
      <c r="D8" s="40" t="s">
        <v>95</v>
      </c>
      <c r="E8" s="41" t="s">
        <v>102</v>
      </c>
      <c r="F8" s="39" t="s">
        <v>103</v>
      </c>
      <c r="G8" s="39">
        <v>90</v>
      </c>
      <c r="H8" s="48">
        <f t="shared" si="0"/>
        <v>5400</v>
      </c>
      <c r="I8" s="42"/>
    </row>
    <row r="9" spans="1:9" ht="36" customHeight="1">
      <c r="A9" s="38">
        <v>5</v>
      </c>
      <c r="B9" s="39" t="s">
        <v>104</v>
      </c>
      <c r="C9" s="39" t="s">
        <v>140</v>
      </c>
      <c r="D9" s="40" t="s">
        <v>95</v>
      </c>
      <c r="E9" s="41" t="s">
        <v>105</v>
      </c>
      <c r="F9" s="39" t="s">
        <v>106</v>
      </c>
      <c r="G9" s="39">
        <v>90</v>
      </c>
      <c r="H9" s="48">
        <f t="shared" si="0"/>
        <v>5400</v>
      </c>
      <c r="I9" s="42"/>
    </row>
    <row r="10" spans="1:9" ht="36" customHeight="1">
      <c r="A10" s="38">
        <v>6</v>
      </c>
      <c r="B10" s="39" t="s">
        <v>40</v>
      </c>
      <c r="C10" s="39" t="s">
        <v>140</v>
      </c>
      <c r="D10" s="40" t="s">
        <v>95</v>
      </c>
      <c r="E10" s="41" t="s">
        <v>107</v>
      </c>
      <c r="F10" s="39" t="s">
        <v>106</v>
      </c>
      <c r="G10" s="39">
        <v>90</v>
      </c>
      <c r="H10" s="48">
        <f t="shared" si="0"/>
        <v>5400</v>
      </c>
      <c r="I10" s="42"/>
    </row>
    <row r="11" spans="1:9" ht="36" customHeight="1">
      <c r="A11" s="38">
        <v>7</v>
      </c>
      <c r="B11" s="39" t="s">
        <v>24</v>
      </c>
      <c r="C11" s="39" t="s">
        <v>140</v>
      </c>
      <c r="D11" s="39" t="s">
        <v>98</v>
      </c>
      <c r="E11" s="41" t="s">
        <v>108</v>
      </c>
      <c r="F11" s="39" t="s">
        <v>109</v>
      </c>
      <c r="G11" s="39">
        <v>55</v>
      </c>
      <c r="H11" s="48">
        <f t="shared" si="0"/>
        <v>3300</v>
      </c>
      <c r="I11" s="42"/>
    </row>
    <row r="12" spans="1:9" ht="36" customHeight="1">
      <c r="A12" s="38">
        <v>8</v>
      </c>
      <c r="B12" s="39" t="s">
        <v>41</v>
      </c>
      <c r="C12" s="39" t="s">
        <v>140</v>
      </c>
      <c r="D12" s="39" t="s">
        <v>98</v>
      </c>
      <c r="E12" s="41" t="s">
        <v>110</v>
      </c>
      <c r="F12" s="39" t="s">
        <v>100</v>
      </c>
      <c r="G12" s="39">
        <v>45</v>
      </c>
      <c r="H12" s="48">
        <f t="shared" si="0"/>
        <v>2700</v>
      </c>
      <c r="I12" s="42"/>
    </row>
    <row r="13" spans="1:9" ht="36" customHeight="1">
      <c r="A13" s="38">
        <v>9</v>
      </c>
      <c r="B13" s="39" t="s">
        <v>42</v>
      </c>
      <c r="C13" s="39" t="s">
        <v>142</v>
      </c>
      <c r="D13" s="40" t="s">
        <v>95</v>
      </c>
      <c r="E13" s="41" t="s">
        <v>111</v>
      </c>
      <c r="F13" s="39" t="s">
        <v>112</v>
      </c>
      <c r="G13" s="39">
        <v>140</v>
      </c>
      <c r="H13" s="48">
        <f t="shared" si="0"/>
        <v>8400</v>
      </c>
      <c r="I13" s="42"/>
    </row>
    <row r="14" spans="1:9" ht="36" customHeight="1">
      <c r="A14" s="38">
        <v>10</v>
      </c>
      <c r="B14" s="39" t="s">
        <v>43</v>
      </c>
      <c r="C14" s="39" t="s">
        <v>142</v>
      </c>
      <c r="D14" s="40" t="s">
        <v>95</v>
      </c>
      <c r="E14" s="41" t="s">
        <v>113</v>
      </c>
      <c r="F14" s="39" t="s">
        <v>112</v>
      </c>
      <c r="G14" s="39">
        <v>140</v>
      </c>
      <c r="H14" s="48">
        <f t="shared" si="0"/>
        <v>8400</v>
      </c>
      <c r="I14" s="42"/>
    </row>
    <row r="15" spans="1:9" ht="36" customHeight="1">
      <c r="A15" s="38">
        <v>11</v>
      </c>
      <c r="B15" s="39" t="s">
        <v>64</v>
      </c>
      <c r="C15" s="39" t="s">
        <v>142</v>
      </c>
      <c r="D15" s="39" t="s">
        <v>98</v>
      </c>
      <c r="E15" s="41" t="s">
        <v>114</v>
      </c>
      <c r="F15" s="39" t="s">
        <v>115</v>
      </c>
      <c r="G15" s="39">
        <v>55</v>
      </c>
      <c r="H15" s="48">
        <f t="shared" si="0"/>
        <v>3300</v>
      </c>
      <c r="I15" s="42"/>
    </row>
    <row r="16" spans="1:9" ht="36" customHeight="1">
      <c r="A16" s="38">
        <v>12</v>
      </c>
      <c r="B16" s="39" t="s">
        <v>31</v>
      </c>
      <c r="C16" s="39" t="s">
        <v>142</v>
      </c>
      <c r="D16" s="39" t="s">
        <v>98</v>
      </c>
      <c r="E16" s="41" t="s">
        <v>116</v>
      </c>
      <c r="F16" s="39" t="s">
        <v>115</v>
      </c>
      <c r="G16" s="39">
        <v>55</v>
      </c>
      <c r="H16" s="48">
        <f t="shared" si="0"/>
        <v>3300</v>
      </c>
      <c r="I16" s="42"/>
    </row>
    <row r="17" spans="1:9" ht="36" customHeight="1">
      <c r="A17" s="38">
        <v>13</v>
      </c>
      <c r="B17" s="39" t="s">
        <v>36</v>
      </c>
      <c r="C17" s="39" t="s">
        <v>145</v>
      </c>
      <c r="D17" s="39" t="s">
        <v>98</v>
      </c>
      <c r="E17" s="41" t="s">
        <v>117</v>
      </c>
      <c r="F17" s="39" t="s">
        <v>118</v>
      </c>
      <c r="G17" s="39">
        <v>70</v>
      </c>
      <c r="H17" s="48">
        <f t="shared" si="0"/>
        <v>4200</v>
      </c>
      <c r="I17" s="42"/>
    </row>
    <row r="18" spans="1:9" ht="36" customHeight="1">
      <c r="A18" s="38">
        <v>14</v>
      </c>
      <c r="B18" s="39" t="s">
        <v>73</v>
      </c>
      <c r="C18" s="39" t="s">
        <v>142</v>
      </c>
      <c r="D18" s="40" t="s">
        <v>95</v>
      </c>
      <c r="E18" s="41" t="s">
        <v>119</v>
      </c>
      <c r="F18" s="39" t="s">
        <v>120</v>
      </c>
      <c r="G18" s="39">
        <v>115</v>
      </c>
      <c r="H18" s="48">
        <f t="shared" si="0"/>
        <v>6900</v>
      </c>
      <c r="I18" s="42"/>
    </row>
    <row r="19" spans="1:9" ht="36" customHeight="1">
      <c r="A19" s="38">
        <v>15</v>
      </c>
      <c r="B19" s="39" t="s">
        <v>44</v>
      </c>
      <c r="C19" s="39" t="s">
        <v>145</v>
      </c>
      <c r="D19" s="40" t="s">
        <v>95</v>
      </c>
      <c r="E19" s="41" t="s">
        <v>121</v>
      </c>
      <c r="F19" s="39" t="s">
        <v>122</v>
      </c>
      <c r="G19" s="39">
        <v>280</v>
      </c>
      <c r="H19" s="48">
        <f t="shared" si="0"/>
        <v>16800</v>
      </c>
      <c r="I19" s="42"/>
    </row>
    <row r="20" spans="1:9" ht="36" customHeight="1">
      <c r="A20" s="38">
        <v>16</v>
      </c>
      <c r="B20" s="39" t="s">
        <v>28</v>
      </c>
      <c r="C20" s="39" t="s">
        <v>145</v>
      </c>
      <c r="D20" s="41" t="s">
        <v>98</v>
      </c>
      <c r="E20" s="39" t="s">
        <v>123</v>
      </c>
      <c r="F20" s="39" t="s">
        <v>124</v>
      </c>
      <c r="G20" s="39">
        <v>100</v>
      </c>
      <c r="H20" s="48">
        <f t="shared" si="0"/>
        <v>6000</v>
      </c>
      <c r="I20" s="42"/>
    </row>
    <row r="21" spans="1:9" ht="36" customHeight="1">
      <c r="A21" s="38">
        <v>17</v>
      </c>
      <c r="B21" s="39" t="s">
        <v>30</v>
      </c>
      <c r="C21" s="39" t="s">
        <v>145</v>
      </c>
      <c r="D21" s="41" t="s">
        <v>98</v>
      </c>
      <c r="E21" s="41" t="s">
        <v>125</v>
      </c>
      <c r="F21" s="39" t="s">
        <v>124</v>
      </c>
      <c r="G21" s="39">
        <v>110</v>
      </c>
      <c r="H21" s="48">
        <f t="shared" si="0"/>
        <v>6600</v>
      </c>
      <c r="I21" s="42"/>
    </row>
    <row r="22" spans="1:9" ht="36" customHeight="1">
      <c r="A22" s="38">
        <v>18</v>
      </c>
      <c r="B22" s="39" t="s">
        <v>38</v>
      </c>
      <c r="C22" s="39" t="s">
        <v>145</v>
      </c>
      <c r="D22" s="41" t="s">
        <v>98</v>
      </c>
      <c r="E22" s="41" t="s">
        <v>126</v>
      </c>
      <c r="F22" s="39" t="s">
        <v>124</v>
      </c>
      <c r="G22" s="39">
        <v>110</v>
      </c>
      <c r="H22" s="48">
        <f t="shared" si="0"/>
        <v>6600</v>
      </c>
      <c r="I22" s="42"/>
    </row>
    <row r="23" spans="1:9" ht="36" customHeight="1">
      <c r="A23" s="38">
        <v>19</v>
      </c>
      <c r="B23" s="39" t="s">
        <v>76</v>
      </c>
      <c r="C23" s="39" t="s">
        <v>145</v>
      </c>
      <c r="D23" s="41" t="s">
        <v>98</v>
      </c>
      <c r="E23" s="41" t="s">
        <v>126</v>
      </c>
      <c r="F23" s="39" t="s">
        <v>124</v>
      </c>
      <c r="G23" s="39">
        <v>110</v>
      </c>
      <c r="H23" s="48">
        <f t="shared" si="0"/>
        <v>6600</v>
      </c>
      <c r="I23" s="42"/>
    </row>
    <row r="24" spans="1:9" ht="36" customHeight="1">
      <c r="A24" s="38">
        <v>20</v>
      </c>
      <c r="B24" s="39" t="s">
        <v>79</v>
      </c>
      <c r="C24" s="39" t="s">
        <v>145</v>
      </c>
      <c r="D24" s="41" t="s">
        <v>98</v>
      </c>
      <c r="E24" s="41" t="s">
        <v>126</v>
      </c>
      <c r="F24" s="39" t="s">
        <v>124</v>
      </c>
      <c r="G24" s="39">
        <v>110</v>
      </c>
      <c r="H24" s="48">
        <f t="shared" si="0"/>
        <v>6600</v>
      </c>
      <c r="I24" s="42"/>
    </row>
    <row r="25" spans="1:9" ht="36" customHeight="1">
      <c r="A25" s="38">
        <v>21</v>
      </c>
      <c r="B25" s="41" t="s">
        <v>127</v>
      </c>
      <c r="C25" s="41" t="s">
        <v>6</v>
      </c>
      <c r="D25" s="41" t="s">
        <v>98</v>
      </c>
      <c r="E25" s="41" t="s">
        <v>128</v>
      </c>
      <c r="F25" s="39" t="s">
        <v>129</v>
      </c>
      <c r="G25" s="39">
        <v>180</v>
      </c>
      <c r="H25" s="48">
        <f t="shared" si="0"/>
        <v>10800</v>
      </c>
      <c r="I25" s="42"/>
    </row>
    <row r="26" spans="1:9" ht="36" customHeight="1">
      <c r="A26" s="38">
        <v>22</v>
      </c>
      <c r="B26" s="41" t="s">
        <v>130</v>
      </c>
      <c r="C26" s="41" t="s">
        <v>157</v>
      </c>
      <c r="D26" s="41" t="s">
        <v>98</v>
      </c>
      <c r="E26" s="41" t="s">
        <v>131</v>
      </c>
      <c r="F26" s="39" t="s">
        <v>132</v>
      </c>
      <c r="G26" s="39">
        <v>180</v>
      </c>
      <c r="H26" s="48">
        <f t="shared" si="0"/>
        <v>10800</v>
      </c>
      <c r="I26" s="42"/>
    </row>
    <row r="27" spans="1:9" ht="36" customHeight="1">
      <c r="A27" s="38">
        <v>23</v>
      </c>
      <c r="B27" s="41" t="s">
        <v>133</v>
      </c>
      <c r="C27" s="41" t="s">
        <v>157</v>
      </c>
      <c r="D27" s="41" t="s">
        <v>98</v>
      </c>
      <c r="E27" s="41" t="s">
        <v>134</v>
      </c>
      <c r="F27" s="39" t="s">
        <v>132</v>
      </c>
      <c r="G27" s="39">
        <v>180</v>
      </c>
      <c r="H27" s="48">
        <f t="shared" si="0"/>
        <v>10800</v>
      </c>
      <c r="I27" s="42"/>
    </row>
    <row r="28" spans="1:9" ht="24" customHeight="1">
      <c r="A28" s="56" t="s">
        <v>174</v>
      </c>
      <c r="B28" s="57"/>
      <c r="C28" s="57"/>
      <c r="D28" s="57"/>
      <c r="E28" s="57"/>
      <c r="F28" s="57"/>
      <c r="G28" s="57"/>
      <c r="H28" s="57"/>
      <c r="I28" s="58"/>
    </row>
    <row r="29" spans="1:9" ht="31">
      <c r="A29" s="38">
        <v>1</v>
      </c>
      <c r="B29" s="39" t="s">
        <v>135</v>
      </c>
      <c r="C29" s="39" t="s">
        <v>138</v>
      </c>
      <c r="D29" s="39" t="s">
        <v>136</v>
      </c>
      <c r="E29" s="41" t="s">
        <v>137</v>
      </c>
      <c r="F29" s="39" t="s">
        <v>138</v>
      </c>
      <c r="G29" s="39">
        <v>80</v>
      </c>
      <c r="H29" s="48">
        <f t="shared" si="0"/>
        <v>4800</v>
      </c>
      <c r="I29" s="42"/>
    </row>
    <row r="30" spans="1:9" ht="31">
      <c r="A30" s="38">
        <v>2</v>
      </c>
      <c r="B30" s="39" t="s">
        <v>65</v>
      </c>
      <c r="C30" s="39" t="s">
        <v>140</v>
      </c>
      <c r="D30" s="39" t="s">
        <v>136</v>
      </c>
      <c r="E30" s="41" t="s">
        <v>139</v>
      </c>
      <c r="F30" s="39" t="s">
        <v>140</v>
      </c>
      <c r="G30" s="39">
        <v>102</v>
      </c>
      <c r="H30" s="48">
        <f t="shared" si="0"/>
        <v>6120</v>
      </c>
      <c r="I30" s="42"/>
    </row>
    <row r="31" spans="1:9" ht="31">
      <c r="A31" s="38">
        <v>3</v>
      </c>
      <c r="B31" s="39" t="s">
        <v>34</v>
      </c>
      <c r="C31" s="39" t="s">
        <v>142</v>
      </c>
      <c r="D31" s="39" t="s">
        <v>136</v>
      </c>
      <c r="E31" s="41" t="s">
        <v>141</v>
      </c>
      <c r="F31" s="39" t="s">
        <v>142</v>
      </c>
      <c r="G31" s="39">
        <v>140</v>
      </c>
      <c r="H31" s="48">
        <f t="shared" si="0"/>
        <v>8400</v>
      </c>
      <c r="I31" s="42"/>
    </row>
    <row r="32" spans="1:9" ht="31">
      <c r="A32" s="38">
        <v>4</v>
      </c>
      <c r="B32" s="41" t="s">
        <v>143</v>
      </c>
      <c r="C32" s="41" t="s">
        <v>145</v>
      </c>
      <c r="D32" s="39" t="s">
        <v>136</v>
      </c>
      <c r="E32" s="41" t="s">
        <v>144</v>
      </c>
      <c r="F32" s="39" t="s">
        <v>145</v>
      </c>
      <c r="G32" s="39">
        <v>140</v>
      </c>
      <c r="H32" s="48">
        <f t="shared" si="0"/>
        <v>8400</v>
      </c>
      <c r="I32" s="42"/>
    </row>
    <row r="33" spans="1:9" ht="31">
      <c r="A33" s="38">
        <v>5</v>
      </c>
      <c r="B33" s="41" t="s">
        <v>146</v>
      </c>
      <c r="C33" s="41" t="s">
        <v>6</v>
      </c>
      <c r="D33" s="41" t="s">
        <v>147</v>
      </c>
      <c r="E33" s="41" t="s">
        <v>148</v>
      </c>
      <c r="F33" s="39" t="s">
        <v>6</v>
      </c>
      <c r="G33" s="39">
        <v>215</v>
      </c>
      <c r="H33" s="48">
        <f t="shared" si="0"/>
        <v>12900</v>
      </c>
      <c r="I33" s="42"/>
    </row>
    <row r="34" spans="1:9" ht="31">
      <c r="A34" s="38">
        <v>6</v>
      </c>
      <c r="B34" s="41" t="s">
        <v>149</v>
      </c>
      <c r="C34" s="41" t="s">
        <v>6</v>
      </c>
      <c r="D34" s="39" t="s">
        <v>136</v>
      </c>
      <c r="E34" s="41" t="s">
        <v>148</v>
      </c>
      <c r="F34" s="39" t="s">
        <v>6</v>
      </c>
      <c r="G34" s="39">
        <v>215</v>
      </c>
      <c r="H34" s="48">
        <f t="shared" si="0"/>
        <v>12900</v>
      </c>
      <c r="I34" s="42"/>
    </row>
    <row r="35" spans="1:9" ht="36" customHeight="1">
      <c r="A35" s="38">
        <v>7</v>
      </c>
      <c r="B35" s="41" t="s">
        <v>167</v>
      </c>
      <c r="C35" s="41" t="s">
        <v>6</v>
      </c>
      <c r="D35" s="39" t="s">
        <v>136</v>
      </c>
      <c r="E35" s="41" t="s">
        <v>168</v>
      </c>
      <c r="F35" s="39" t="s">
        <v>6</v>
      </c>
      <c r="G35" s="39">
        <v>60</v>
      </c>
      <c r="H35" s="48">
        <f t="shared" si="0"/>
        <v>3600</v>
      </c>
      <c r="I35" s="42"/>
    </row>
    <row r="36" spans="1:9" ht="31">
      <c r="A36" s="38">
        <v>8</v>
      </c>
      <c r="B36" s="41" t="s">
        <v>150</v>
      </c>
      <c r="C36" s="41" t="s">
        <v>157</v>
      </c>
      <c r="D36" s="39" t="s">
        <v>136</v>
      </c>
      <c r="E36" s="41" t="s">
        <v>151</v>
      </c>
      <c r="F36" s="39" t="s">
        <v>6</v>
      </c>
      <c r="G36" s="39">
        <v>350</v>
      </c>
      <c r="H36" s="48">
        <f t="shared" si="0"/>
        <v>21000</v>
      </c>
      <c r="I36" s="42"/>
    </row>
    <row r="37" spans="1:9" ht="31">
      <c r="A37" s="38">
        <v>9</v>
      </c>
      <c r="B37" s="39" t="s">
        <v>152</v>
      </c>
      <c r="C37" s="39" t="s">
        <v>138</v>
      </c>
      <c r="D37" s="39" t="s">
        <v>153</v>
      </c>
      <c r="E37" s="41" t="s">
        <v>154</v>
      </c>
      <c r="F37" s="39" t="s">
        <v>138</v>
      </c>
      <c r="G37" s="39">
        <v>100</v>
      </c>
      <c r="H37" s="48">
        <f t="shared" si="0"/>
        <v>6000</v>
      </c>
      <c r="I37" s="42"/>
    </row>
    <row r="38" spans="1:9" ht="31">
      <c r="A38" s="38">
        <v>10</v>
      </c>
      <c r="B38" s="39" t="s">
        <v>32</v>
      </c>
      <c r="C38" s="39" t="s">
        <v>142</v>
      </c>
      <c r="D38" s="39" t="s">
        <v>153</v>
      </c>
      <c r="E38" s="41" t="s">
        <v>141</v>
      </c>
      <c r="F38" s="39" t="s">
        <v>142</v>
      </c>
      <c r="G38" s="39">
        <v>110</v>
      </c>
      <c r="H38" s="48">
        <f t="shared" si="0"/>
        <v>6600</v>
      </c>
      <c r="I38" s="42"/>
    </row>
    <row r="39" spans="1:9" ht="31">
      <c r="A39" s="38">
        <v>11</v>
      </c>
      <c r="B39" s="39" t="s">
        <v>155</v>
      </c>
      <c r="C39" s="39" t="s">
        <v>142</v>
      </c>
      <c r="D39" s="39" t="s">
        <v>153</v>
      </c>
      <c r="E39" s="41" t="s">
        <v>141</v>
      </c>
      <c r="F39" s="39" t="s">
        <v>142</v>
      </c>
      <c r="G39" s="39">
        <v>110</v>
      </c>
      <c r="H39" s="48">
        <f t="shared" si="0"/>
        <v>6600</v>
      </c>
      <c r="I39" s="42"/>
    </row>
    <row r="40" spans="1:9" ht="31">
      <c r="A40" s="38">
        <v>12</v>
      </c>
      <c r="B40" s="39" t="s">
        <v>39</v>
      </c>
      <c r="C40" s="39" t="s">
        <v>145</v>
      </c>
      <c r="D40" s="39" t="s">
        <v>153</v>
      </c>
      <c r="E40" s="41" t="s">
        <v>144</v>
      </c>
      <c r="F40" s="39" t="s">
        <v>145</v>
      </c>
      <c r="G40" s="39">
        <v>140</v>
      </c>
      <c r="H40" s="48">
        <f t="shared" si="0"/>
        <v>8400</v>
      </c>
      <c r="I40" s="42"/>
    </row>
    <row r="41" spans="1:9" ht="31">
      <c r="A41" s="38">
        <v>13</v>
      </c>
      <c r="B41" s="39" t="s">
        <v>29</v>
      </c>
      <c r="C41" s="39" t="s">
        <v>6</v>
      </c>
      <c r="D41" s="39" t="s">
        <v>153</v>
      </c>
      <c r="E41" s="41" t="s">
        <v>148</v>
      </c>
      <c r="F41" s="39" t="s">
        <v>6</v>
      </c>
      <c r="G41" s="39">
        <v>210</v>
      </c>
      <c r="H41" s="48">
        <f t="shared" si="0"/>
        <v>12600</v>
      </c>
      <c r="I41" s="42"/>
    </row>
    <row r="42" spans="1:9" ht="31">
      <c r="A42" s="38">
        <v>14</v>
      </c>
      <c r="B42" s="39" t="s">
        <v>27</v>
      </c>
      <c r="C42" s="39" t="s">
        <v>6</v>
      </c>
      <c r="D42" s="39" t="s">
        <v>153</v>
      </c>
      <c r="E42" s="41" t="s">
        <v>148</v>
      </c>
      <c r="F42" s="39" t="s">
        <v>6</v>
      </c>
      <c r="G42" s="39">
        <v>210</v>
      </c>
      <c r="H42" s="48">
        <f t="shared" si="0"/>
        <v>12600</v>
      </c>
      <c r="I42" s="42"/>
    </row>
    <row r="43" spans="1:9" ht="31">
      <c r="A43" s="38">
        <v>15</v>
      </c>
      <c r="B43" s="39" t="s">
        <v>156</v>
      </c>
      <c r="C43" s="39" t="s">
        <v>157</v>
      </c>
      <c r="D43" s="39" t="s">
        <v>153</v>
      </c>
      <c r="E43" s="41" t="s">
        <v>151</v>
      </c>
      <c r="F43" s="39" t="s">
        <v>157</v>
      </c>
      <c r="G43" s="39">
        <v>210</v>
      </c>
      <c r="H43" s="48">
        <f t="shared" si="0"/>
        <v>12600</v>
      </c>
      <c r="I43" s="42"/>
    </row>
    <row r="44" spans="1:9" ht="21">
      <c r="A44" s="56" t="s">
        <v>169</v>
      </c>
      <c r="B44" s="57"/>
      <c r="C44" s="57"/>
      <c r="D44" s="57"/>
      <c r="E44" s="57"/>
      <c r="F44" s="57"/>
      <c r="G44" s="57"/>
      <c r="H44" s="57"/>
      <c r="I44" s="58"/>
    </row>
    <row r="45" spans="1:9" ht="38.15" customHeight="1" thickBot="1">
      <c r="A45" s="43">
        <v>1</v>
      </c>
      <c r="B45" s="44" t="s">
        <v>158</v>
      </c>
      <c r="C45" s="44"/>
      <c r="D45" s="45" t="s">
        <v>159</v>
      </c>
      <c r="E45" s="44" t="s">
        <v>160</v>
      </c>
      <c r="F45" s="45" t="s">
        <v>161</v>
      </c>
      <c r="G45" s="45">
        <v>215</v>
      </c>
      <c r="H45" s="49">
        <f t="shared" si="0"/>
        <v>12900</v>
      </c>
      <c r="I45" s="46"/>
    </row>
  </sheetData>
  <mergeCells count="4">
    <mergeCell ref="A2:I2"/>
    <mergeCell ref="A3:B3"/>
    <mergeCell ref="A28:I28"/>
    <mergeCell ref="A44:I4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HD</vt:lpstr>
      <vt:lpstr>RL</vt:lpstr>
      <vt:lpstr>Danh sách Nhân Viên</vt:lpstr>
      <vt:lpstr>Thiết bị</vt:lpstr>
      <vt:lpstr>HD!Print_Area</vt:lpstr>
      <vt:lpstr>RL!Print_Area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Nguyen, Mai 2 (BISG)</dc:creator>
  <cp:lastModifiedBy>Sigur Ros</cp:lastModifiedBy>
  <cp:lastPrinted>2026-04-18T07:58:58Z</cp:lastPrinted>
  <dcterms:created xsi:type="dcterms:W3CDTF">2016-02-27T02:04:07Z</dcterms:created>
  <dcterms:modified xsi:type="dcterms:W3CDTF">2026-04-21T06:49:49Z</dcterms:modified>
</cp:coreProperties>
</file>