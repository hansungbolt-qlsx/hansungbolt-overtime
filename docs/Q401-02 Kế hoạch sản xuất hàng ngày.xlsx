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xl/drawings/drawing2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0493bafd38e3c2/0. Production/9. KHSX/00. Claude app/"/>
    </mc:Choice>
  </mc:AlternateContent>
  <xr:revisionPtr revIDLastSave="1816" documentId="11_B260BDB47FCBA5F0FA166519F1A2F64F6BFB59B5" xr6:coauthVersionLast="47" xr6:coauthVersionMax="47" xr10:uidLastSave="{BC9EAC61-BFC9-49C8-86AD-00A99095C0E2}"/>
  <bookViews>
    <workbookView xWindow="-120" yWindow="-120" windowWidth="29040" windowHeight="15720" xr2:uid="{00000000-000D-0000-FFFF-FFFF00000000}"/>
  </bookViews>
  <sheets>
    <sheet name="Main (2)" sheetId="1052" r:id="rId1"/>
    <sheet name="ERP" sheetId="140" r:id="rId2"/>
    <sheet name="FG Stock" sheetId="215" r:id="rId3"/>
    <sheet name="NVL Stock" sheetId="216" r:id="rId4"/>
    <sheet name="FILE MẪU (3)" sheetId="8" state="hidden" r:id="rId5"/>
    <sheet name="03.11" sheetId="29" state="hidden" r:id="rId6"/>
    <sheet name="19.10     " sheetId="28" state="hidden" r:id="rId7"/>
    <sheet name="17.10     " sheetId="27" state="hidden" r:id="rId8"/>
    <sheet name="16.10    " sheetId="25" state="hidden" r:id="rId9"/>
    <sheet name="15.10   " sheetId="23" state="hidden" r:id="rId10"/>
    <sheet name="14.10  " sheetId="22" state="hidden" r:id="rId11"/>
    <sheet name="13.10  " sheetId="21" state="hidden" r:id="rId12"/>
    <sheet name="12.10 " sheetId="20" state="hidden" r:id="rId13"/>
    <sheet name="10.10" sheetId="19" state="hidden" r:id="rId14"/>
    <sheet name="15.9" sheetId="18" state="hidden" r:id="rId15"/>
    <sheet name="14" sheetId="15" state="hidden" r:id="rId16"/>
    <sheet name="13" sheetId="16" state="hidden" r:id="rId17"/>
    <sheet name="21" sheetId="14" state="hidden" r:id="rId18"/>
    <sheet name="20" sheetId="13" state="hidden" r:id="rId19"/>
    <sheet name="19" sheetId="12" state="hidden" r:id="rId20"/>
    <sheet name="18" sheetId="11" state="hidden" r:id="rId21"/>
    <sheet name="17" sheetId="10" state="hidden" r:id="rId22"/>
    <sheet name="15" sheetId="9" state="hidden" r:id="rId23"/>
    <sheet name="15.08  " sheetId="7" state="hidden" r:id="rId24"/>
    <sheet name="14.08 " sheetId="6" state="hidden" r:id="rId25"/>
    <sheet name="13 (2)" sheetId="17" state="hidden" r:id="rId26"/>
    <sheet name="13.08" sheetId="4" state="hidden" r:id="rId27"/>
    <sheet name="ISO IATF" sheetId="2" state="hidden" r:id="rId28"/>
    <sheet name="Sheet2" sheetId="5" state="hidden" r:id="rId29"/>
    <sheet name="Sheet1" sheetId="30" state="hidden" r:id="rId30"/>
  </sheets>
  <externalReferences>
    <externalReference r:id="rId31"/>
  </externalReferences>
  <definedNames>
    <definedName name="_xlnm._FilterDatabase" localSheetId="3" hidden="1">'NVL Stock'!$N$1:$O$444</definedName>
    <definedName name="_xlnm.Print_Area" localSheetId="5">'03.11'!$A$1:$L$38</definedName>
    <definedName name="_xlnm.Print_Area" localSheetId="13">'10.10'!$A$1:$L$52</definedName>
    <definedName name="_xlnm.Print_Area" localSheetId="12">'12.10 '!$A$1:$L$53</definedName>
    <definedName name="_xlnm.Print_Area" localSheetId="16">'13'!$A$1:$L$29</definedName>
    <definedName name="_xlnm.Print_Area" localSheetId="25">'13 (2)'!$A$1:$L$29</definedName>
    <definedName name="_xlnm.Print_Area" localSheetId="11">'13.10  '!$A$1:$L$47</definedName>
    <definedName name="_xlnm.Print_Area" localSheetId="15">'14'!$A$1:$L$52</definedName>
    <definedName name="_xlnm.Print_Area" localSheetId="10">'14.10  '!$A$1:$L$53</definedName>
    <definedName name="_xlnm.Print_Area" localSheetId="22">'15'!$A$1:$L$52</definedName>
    <definedName name="_xlnm.Print_Area" localSheetId="9">'15.10   '!$A$1:$L$50</definedName>
    <definedName name="_xlnm.Print_Area" localSheetId="14">'15.9'!$A$1:$L$52</definedName>
    <definedName name="_xlnm.Print_Area" localSheetId="8">'16.10    '!$A$1:$L$48</definedName>
    <definedName name="_xlnm.Print_Area" localSheetId="21">'17'!$A$1:$L$57</definedName>
    <definedName name="_xlnm.Print_Area" localSheetId="7">'17.10     '!$A$1:$L$49</definedName>
    <definedName name="_xlnm.Print_Area" localSheetId="20">'18'!$A$1:$L$47</definedName>
    <definedName name="_xlnm.Print_Area" localSheetId="19">'19'!$A$1:$L$48</definedName>
    <definedName name="_xlnm.Print_Area" localSheetId="6">'19.10     '!$A$1:$L$49</definedName>
    <definedName name="_xlnm.Print_Area" localSheetId="18">'20'!$A$1:$L$54</definedName>
    <definedName name="_xlnm.Print_Area" localSheetId="17">'21'!$A$1:$L$56</definedName>
    <definedName name="_xlnm.Print_Area" localSheetId="0">'Main (2)'!$A$1:$N$51</definedName>
    <definedName name="_xlnm.Print_Titles" localSheetId="5">'03.11'!$5:$6</definedName>
    <definedName name="_xlnm.Print_Titles" localSheetId="13">'10.10'!$5:$6</definedName>
    <definedName name="_xlnm.Print_Titles" localSheetId="12">'12.10 '!$5:$6</definedName>
    <definedName name="_xlnm.Print_Titles" localSheetId="16">'13'!$5:$6</definedName>
    <definedName name="_xlnm.Print_Titles" localSheetId="25">'13 (2)'!$5:$6</definedName>
    <definedName name="_xlnm.Print_Titles" localSheetId="26">'13.08'!$5:$6</definedName>
    <definedName name="_xlnm.Print_Titles" localSheetId="11">'13.10  '!$5:$6</definedName>
    <definedName name="_xlnm.Print_Titles" localSheetId="15">'14'!$5:$6</definedName>
    <definedName name="_xlnm.Print_Titles" localSheetId="24">'14.08 '!$5:$6</definedName>
    <definedName name="_xlnm.Print_Titles" localSheetId="10">'14.10  '!$5:$6</definedName>
    <definedName name="_xlnm.Print_Titles" localSheetId="22">'15'!$5:$6</definedName>
    <definedName name="_xlnm.Print_Titles" localSheetId="23">'15.08  '!$5:$6</definedName>
    <definedName name="_xlnm.Print_Titles" localSheetId="9">'15.10   '!$5:$6</definedName>
    <definedName name="_xlnm.Print_Titles" localSheetId="14">'15.9'!$5:$6</definedName>
    <definedName name="_xlnm.Print_Titles" localSheetId="8">'16.10    '!$5:$6</definedName>
    <definedName name="_xlnm.Print_Titles" localSheetId="21">'17'!$5:$6</definedName>
    <definedName name="_xlnm.Print_Titles" localSheetId="7">'17.10     '!$5:$6</definedName>
    <definedName name="_xlnm.Print_Titles" localSheetId="20">'18'!$5:$6</definedName>
    <definedName name="_xlnm.Print_Titles" localSheetId="19">'19'!$5:$6</definedName>
    <definedName name="_xlnm.Print_Titles" localSheetId="6">'19.10     '!$5:$6</definedName>
    <definedName name="_xlnm.Print_Titles" localSheetId="18">'20'!$5:$6</definedName>
    <definedName name="_xlnm.Print_Titles" localSheetId="17">'21'!$5:$6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1052" l="1"/>
  <c r="P51" i="1052" s="1"/>
  <c r="R50" i="1052"/>
  <c r="N50" i="1052"/>
  <c r="M50" i="1052"/>
  <c r="I50" i="1052"/>
  <c r="E50" i="1052"/>
  <c r="D50" i="1052"/>
  <c r="R49" i="1052"/>
  <c r="N49" i="1052"/>
  <c r="M49" i="1052"/>
  <c r="K49" i="1052"/>
  <c r="I49" i="1052"/>
  <c r="E49" i="1052"/>
  <c r="D49" i="1052"/>
  <c r="R48" i="1052"/>
  <c r="N48" i="1052"/>
  <c r="M48" i="1052"/>
  <c r="K48" i="1052"/>
  <c r="I48" i="1052"/>
  <c r="E48" i="1052"/>
  <c r="D48" i="1052"/>
  <c r="R47" i="1052"/>
  <c r="O47" i="1052"/>
  <c r="P47" i="1052" s="1"/>
  <c r="Q47" i="1052" s="1"/>
  <c r="N47" i="1052"/>
  <c r="M47" i="1052"/>
  <c r="R46" i="1052"/>
  <c r="N46" i="1052"/>
  <c r="M46" i="1052"/>
  <c r="K46" i="1052"/>
  <c r="I46" i="1052"/>
  <c r="E46" i="1052"/>
  <c r="D46" i="1052"/>
  <c r="R45" i="1052"/>
  <c r="N45" i="1052"/>
  <c r="M45" i="1052"/>
  <c r="I45" i="1052"/>
  <c r="E45" i="1052"/>
  <c r="D45" i="1052"/>
  <c r="R44" i="1052"/>
  <c r="N44" i="1052"/>
  <c r="M44" i="1052"/>
  <c r="K44" i="1052"/>
  <c r="I44" i="1052"/>
  <c r="E44" i="1052"/>
  <c r="D44" i="1052"/>
  <c r="R43" i="1052"/>
  <c r="N43" i="1052"/>
  <c r="M43" i="1052"/>
  <c r="K43" i="1052"/>
  <c r="I43" i="1052"/>
  <c r="E43" i="1052"/>
  <c r="D43" i="1052"/>
  <c r="R42" i="1052"/>
  <c r="N42" i="1052"/>
  <c r="M42" i="1052"/>
  <c r="K42" i="1052"/>
  <c r="I42" i="1052"/>
  <c r="E42" i="1052"/>
  <c r="D42" i="1052"/>
  <c r="R41" i="1052"/>
  <c r="N41" i="1052"/>
  <c r="M41" i="1052"/>
  <c r="K41" i="1052"/>
  <c r="I41" i="1052"/>
  <c r="E41" i="1052"/>
  <c r="D41" i="1052"/>
  <c r="R40" i="1052"/>
  <c r="N40" i="1052"/>
  <c r="M40" i="1052"/>
  <c r="K40" i="1052"/>
  <c r="I40" i="1052"/>
  <c r="E40" i="1052"/>
  <c r="D40" i="1052"/>
  <c r="R39" i="1052"/>
  <c r="N39" i="1052"/>
  <c r="M39" i="1052"/>
  <c r="K39" i="1052"/>
  <c r="I39" i="1052"/>
  <c r="E39" i="1052"/>
  <c r="D39" i="1052"/>
  <c r="R38" i="1052"/>
  <c r="N38" i="1052"/>
  <c r="M38" i="1052"/>
  <c r="K38" i="1052"/>
  <c r="I38" i="1052"/>
  <c r="E38" i="1052"/>
  <c r="D38" i="1052"/>
  <c r="R37" i="1052"/>
  <c r="N37" i="1052"/>
  <c r="M37" i="1052"/>
  <c r="K37" i="1052"/>
  <c r="I37" i="1052"/>
  <c r="E37" i="1052"/>
  <c r="D37" i="1052"/>
  <c r="R36" i="1052"/>
  <c r="N36" i="1052"/>
  <c r="M36" i="1052"/>
  <c r="K36" i="1052"/>
  <c r="I36" i="1052"/>
  <c r="E36" i="1052"/>
  <c r="D36" i="1052"/>
  <c r="R35" i="1052"/>
  <c r="N35" i="1052"/>
  <c r="M35" i="1052"/>
  <c r="I35" i="1052"/>
  <c r="E35" i="1052"/>
  <c r="D35" i="1052"/>
  <c r="R34" i="1052"/>
  <c r="N34" i="1052"/>
  <c r="M34" i="1052"/>
  <c r="I34" i="1052"/>
  <c r="E34" i="1052"/>
  <c r="D34" i="1052"/>
  <c r="R33" i="1052"/>
  <c r="N33" i="1052"/>
  <c r="M33" i="1052"/>
  <c r="I33" i="1052"/>
  <c r="E33" i="1052"/>
  <c r="D33" i="1052"/>
  <c r="R32" i="1052"/>
  <c r="N32" i="1052"/>
  <c r="M32" i="1052"/>
  <c r="K32" i="1052"/>
  <c r="I32" i="1052"/>
  <c r="E32" i="1052"/>
  <c r="D32" i="1052"/>
  <c r="R31" i="1052"/>
  <c r="N31" i="1052"/>
  <c r="M31" i="1052"/>
  <c r="K31" i="1052"/>
  <c r="I31" i="1052"/>
  <c r="E31" i="1052"/>
  <c r="D31" i="1052"/>
  <c r="R30" i="1052"/>
  <c r="N30" i="1052"/>
  <c r="M30" i="1052"/>
  <c r="I30" i="1052"/>
  <c r="E30" i="1052"/>
  <c r="D30" i="1052"/>
  <c r="R29" i="1052"/>
  <c r="N29" i="1052"/>
  <c r="M29" i="1052"/>
  <c r="K29" i="1052"/>
  <c r="I29" i="1052"/>
  <c r="E29" i="1052"/>
  <c r="D29" i="1052"/>
  <c r="R28" i="1052"/>
  <c r="O28" i="1052"/>
  <c r="P28" i="1052" s="1"/>
  <c r="Q28" i="1052" s="1"/>
  <c r="N28" i="1052"/>
  <c r="M28" i="1052"/>
  <c r="R27" i="1052"/>
  <c r="N27" i="1052"/>
  <c r="M27" i="1052"/>
  <c r="I27" i="1052"/>
  <c r="E27" i="1052"/>
  <c r="D27" i="1052"/>
  <c r="R26" i="1052"/>
  <c r="N26" i="1052"/>
  <c r="M26" i="1052"/>
  <c r="I26" i="1052"/>
  <c r="E26" i="1052"/>
  <c r="D26" i="1052"/>
  <c r="R25" i="1052"/>
  <c r="N25" i="1052"/>
  <c r="M25" i="1052"/>
  <c r="K25" i="1052"/>
  <c r="I25" i="1052"/>
  <c r="E25" i="1052"/>
  <c r="D25" i="1052"/>
  <c r="N24" i="1052"/>
  <c r="M24" i="1052"/>
  <c r="I24" i="1052"/>
  <c r="R23" i="1052"/>
  <c r="N23" i="1052"/>
  <c r="M23" i="1052"/>
  <c r="I23" i="1052"/>
  <c r="E23" i="1052"/>
  <c r="D23" i="1052"/>
  <c r="R22" i="1052"/>
  <c r="N22" i="1052"/>
  <c r="M22" i="1052"/>
  <c r="K22" i="1052"/>
  <c r="I22" i="1052"/>
  <c r="E22" i="1052"/>
  <c r="D22" i="1052"/>
  <c r="R21" i="1052"/>
  <c r="N21" i="1052"/>
  <c r="M21" i="1052"/>
  <c r="I21" i="1052"/>
  <c r="E21" i="1052"/>
  <c r="D21" i="1052"/>
  <c r="R20" i="1052"/>
  <c r="N20" i="1052"/>
  <c r="M20" i="1052"/>
  <c r="I20" i="1052"/>
  <c r="E20" i="1052"/>
  <c r="D20" i="1052"/>
  <c r="R19" i="1052"/>
  <c r="N19" i="1052"/>
  <c r="M19" i="1052"/>
  <c r="K19" i="1052"/>
  <c r="I19" i="1052"/>
  <c r="E19" i="1052"/>
  <c r="D19" i="1052"/>
  <c r="R18" i="1052"/>
  <c r="N18" i="1052"/>
  <c r="M18" i="1052"/>
  <c r="E18" i="1052"/>
  <c r="D18" i="1052"/>
  <c r="P17" i="1052"/>
  <c r="N17" i="1052"/>
  <c r="M17" i="1052"/>
  <c r="R16" i="1052"/>
  <c r="N16" i="1052"/>
  <c r="M16" i="1052"/>
  <c r="I16" i="1052"/>
  <c r="E16" i="1052"/>
  <c r="D16" i="1052"/>
  <c r="R15" i="1052"/>
  <c r="N15" i="1052"/>
  <c r="M15" i="1052"/>
  <c r="K15" i="1052"/>
  <c r="I15" i="1052"/>
  <c r="E15" i="1052"/>
  <c r="D15" i="1052"/>
  <c r="R14" i="1052"/>
  <c r="N14" i="1052"/>
  <c r="M14" i="1052"/>
  <c r="K14" i="1052"/>
  <c r="I14" i="1052"/>
  <c r="E14" i="1052"/>
  <c r="D14" i="1052"/>
  <c r="R13" i="1052"/>
  <c r="N13" i="1052"/>
  <c r="M13" i="1052"/>
  <c r="I13" i="1052"/>
  <c r="E13" i="1052"/>
  <c r="D13" i="1052"/>
  <c r="R12" i="1052"/>
  <c r="N12" i="1052"/>
  <c r="M12" i="1052"/>
  <c r="K12" i="1052"/>
  <c r="I12" i="1052"/>
  <c r="E12" i="1052"/>
  <c r="D12" i="1052"/>
  <c r="R10" i="1052"/>
  <c r="N10" i="1052"/>
  <c r="M10" i="1052"/>
  <c r="I10" i="1052"/>
  <c r="E10" i="1052"/>
  <c r="D10" i="1052"/>
  <c r="R9" i="1052"/>
  <c r="N9" i="1052"/>
  <c r="M9" i="1052"/>
  <c r="I9" i="1052"/>
  <c r="E9" i="1052"/>
  <c r="D9" i="1052"/>
  <c r="R8" i="1052"/>
  <c r="N8" i="1052"/>
  <c r="M8" i="1052"/>
  <c r="I8" i="1052"/>
  <c r="E8" i="1052"/>
  <c r="D8" i="1052"/>
  <c r="M5" i="1052"/>
  <c r="O12" i="1052" l="1"/>
  <c r="P12" i="1052" s="1"/>
  <c r="Q12" i="1052" s="1"/>
  <c r="O19" i="1052"/>
  <c r="P19" i="1052" s="1"/>
  <c r="Q19" i="1052" s="1"/>
  <c r="O35" i="1052"/>
  <c r="P35" i="1052" s="1"/>
  <c r="Q35" i="1052" s="1"/>
  <c r="O45" i="1052"/>
  <c r="P45" i="1052" s="1"/>
  <c r="Q45" i="1052" s="1"/>
  <c r="O10" i="1052"/>
  <c r="P10" i="1052" s="1"/>
  <c r="Q10" i="1052" s="1"/>
  <c r="O48" i="1052"/>
  <c r="P48" i="1052" s="1"/>
  <c r="Q48" i="1052" s="1"/>
  <c r="O34" i="1052"/>
  <c r="P34" i="1052" s="1"/>
  <c r="Q34" i="1052" s="1"/>
  <c r="O21" i="1052"/>
  <c r="P21" i="1052" s="1"/>
  <c r="Q21" i="1052" s="1"/>
  <c r="O27" i="1052"/>
  <c r="P27" i="1052" s="1"/>
  <c r="Q27" i="1052" s="1"/>
  <c r="O32" i="1052"/>
  <c r="P32" i="1052" s="1"/>
  <c r="Q32" i="1052" s="1"/>
  <c r="O37" i="1052"/>
  <c r="P37" i="1052" s="1"/>
  <c r="Q37" i="1052" s="1"/>
  <c r="O22" i="1052"/>
  <c r="P22" i="1052" s="1"/>
  <c r="Q22" i="1052" s="1"/>
  <c r="O38" i="1052"/>
  <c r="P38" i="1052" s="1"/>
  <c r="Q38" i="1052" s="1"/>
  <c r="O44" i="1052"/>
  <c r="P44" i="1052" s="1"/>
  <c r="Q44" i="1052" s="1"/>
  <c r="O49" i="1052"/>
  <c r="P49" i="1052" s="1"/>
  <c r="Q49" i="1052" s="1"/>
  <c r="O50" i="1052"/>
  <c r="P50" i="1052" s="1"/>
  <c r="Q50" i="1052" s="1"/>
  <c r="O18" i="1052"/>
  <c r="P18" i="1052" s="1"/>
  <c r="Q18" i="1052" s="1"/>
  <c r="O25" i="1052"/>
  <c r="P25" i="1052" s="1"/>
  <c r="Q25" i="1052" s="1"/>
  <c r="O23" i="1052"/>
  <c r="P23" i="1052" s="1"/>
  <c r="Q23" i="1052" s="1"/>
  <c r="O46" i="1052"/>
  <c r="P46" i="1052" s="1"/>
  <c r="Q46" i="1052" s="1"/>
  <c r="O8" i="1052"/>
  <c r="P8" i="1052" s="1"/>
  <c r="Q8" i="1052" s="1"/>
  <c r="O15" i="1052"/>
  <c r="P15" i="1052" s="1"/>
  <c r="Q15" i="1052" s="1"/>
  <c r="O26" i="1052"/>
  <c r="P26" i="1052" s="1"/>
  <c r="Q26" i="1052" s="1"/>
  <c r="O29" i="1052"/>
  <c r="P29" i="1052" s="1"/>
  <c r="Q29" i="1052" s="1"/>
  <c r="O31" i="1052"/>
  <c r="P31" i="1052" s="1"/>
  <c r="Q31" i="1052" s="1"/>
  <c r="O40" i="1052"/>
  <c r="P40" i="1052" s="1"/>
  <c r="Q40" i="1052" s="1"/>
  <c r="O42" i="1052"/>
  <c r="P42" i="1052" s="1"/>
  <c r="Q42" i="1052" s="1"/>
  <c r="O9" i="1052"/>
  <c r="P9" i="1052" s="1"/>
  <c r="Q9" i="1052" s="1"/>
  <c r="O13" i="1052"/>
  <c r="P13" i="1052" s="1"/>
  <c r="Q13" i="1052" s="1"/>
  <c r="O16" i="1052"/>
  <c r="P16" i="1052" s="1"/>
  <c r="Q16" i="1052" s="1"/>
  <c r="O36" i="1052"/>
  <c r="P36" i="1052" s="1"/>
  <c r="Q36" i="1052" s="1"/>
  <c r="O14" i="1052"/>
  <c r="P14" i="1052" s="1"/>
  <c r="Q14" i="1052" s="1"/>
  <c r="O30" i="1052"/>
  <c r="P30" i="1052" s="1"/>
  <c r="Q30" i="1052" s="1"/>
  <c r="O33" i="1052"/>
  <c r="P33" i="1052" s="1"/>
  <c r="Q33" i="1052" s="1"/>
  <c r="O39" i="1052"/>
  <c r="P39" i="1052" s="1"/>
  <c r="Q39" i="1052" s="1"/>
  <c r="O41" i="1052"/>
  <c r="P41" i="1052" s="1"/>
  <c r="Q41" i="1052" s="1"/>
  <c r="O43" i="1052"/>
  <c r="P43" i="1052" s="1"/>
  <c r="Q43" i="1052" s="1"/>
  <c r="I51" i="1052"/>
  <c r="O20" i="1052"/>
  <c r="P20" i="1052" s="1"/>
  <c r="Q20" i="1052" s="1"/>
  <c r="BM1751" i="140" l="1"/>
  <c r="BL1751" i="140"/>
  <c r="BK1751" i="140"/>
  <c r="BJ1751" i="140"/>
  <c r="BI1751" i="140"/>
  <c r="BH1751" i="140"/>
  <c r="BG1751" i="140"/>
  <c r="BM1750" i="140"/>
  <c r="BL1750" i="140"/>
  <c r="BK1750" i="140"/>
  <c r="BJ1750" i="140"/>
  <c r="BI1750" i="140"/>
  <c r="BH1750" i="140"/>
  <c r="BG1750" i="140"/>
  <c r="BM1749" i="140"/>
  <c r="BL1749" i="140"/>
  <c r="BK1749" i="140"/>
  <c r="BJ1749" i="140"/>
  <c r="BI1749" i="140"/>
  <c r="BH1749" i="140"/>
  <c r="BG1749" i="140"/>
  <c r="BM1748" i="140"/>
  <c r="BL1748" i="140"/>
  <c r="BK1748" i="140"/>
  <c r="BJ1748" i="140"/>
  <c r="BI1748" i="140"/>
  <c r="BH1748" i="140"/>
  <c r="BG1748" i="140"/>
  <c r="BM1747" i="140"/>
  <c r="BL1747" i="140"/>
  <c r="BK1747" i="140"/>
  <c r="BJ1747" i="140"/>
  <c r="BI1747" i="140"/>
  <c r="BH1747" i="140"/>
  <c r="BG1747" i="140"/>
  <c r="BM1746" i="140"/>
  <c r="BL1746" i="140"/>
  <c r="BK1746" i="140"/>
  <c r="BJ1746" i="140"/>
  <c r="BI1746" i="140"/>
  <c r="BH1746" i="140"/>
  <c r="BG1746" i="140"/>
  <c r="BM1745" i="140"/>
  <c r="BL1745" i="140"/>
  <c r="BK1745" i="140"/>
  <c r="BJ1745" i="140"/>
  <c r="BI1745" i="140"/>
  <c r="BH1745" i="140"/>
  <c r="BG1745" i="140"/>
  <c r="BM1744" i="140"/>
  <c r="BL1744" i="140"/>
  <c r="BK1744" i="140"/>
  <c r="BJ1744" i="140"/>
  <c r="BI1744" i="140"/>
  <c r="BH1744" i="140"/>
  <c r="BG1744" i="140"/>
  <c r="BM1743" i="140"/>
  <c r="BL1743" i="140"/>
  <c r="BK1743" i="140"/>
  <c r="BJ1743" i="140"/>
  <c r="BI1743" i="140"/>
  <c r="BH1743" i="140"/>
  <c r="BG1743" i="140"/>
  <c r="BM1742" i="140"/>
  <c r="BL1742" i="140"/>
  <c r="BK1742" i="140"/>
  <c r="BJ1742" i="140"/>
  <c r="BI1742" i="140"/>
  <c r="BH1742" i="140"/>
  <c r="BG1742" i="140"/>
  <c r="BM1741" i="140"/>
  <c r="BL1741" i="140"/>
  <c r="BK1741" i="140"/>
  <c r="BJ1741" i="140"/>
  <c r="BI1741" i="140"/>
  <c r="BH1741" i="140"/>
  <c r="BG1741" i="140"/>
  <c r="BM1740" i="140"/>
  <c r="BL1740" i="140"/>
  <c r="BK1740" i="140"/>
  <c r="BJ1740" i="140"/>
  <c r="BI1740" i="140"/>
  <c r="BH1740" i="140"/>
  <c r="BG1740" i="140"/>
  <c r="BM1739" i="140"/>
  <c r="BL1739" i="140"/>
  <c r="BK1739" i="140"/>
  <c r="BJ1739" i="140"/>
  <c r="BI1739" i="140"/>
  <c r="BH1739" i="140"/>
  <c r="BG1739" i="140"/>
  <c r="BM1738" i="140"/>
  <c r="BL1738" i="140"/>
  <c r="BK1738" i="140"/>
  <c r="BJ1738" i="140"/>
  <c r="BI1738" i="140"/>
  <c r="BH1738" i="140"/>
  <c r="BG1738" i="140"/>
  <c r="BM1737" i="140"/>
  <c r="BL1737" i="140"/>
  <c r="BK1737" i="140"/>
  <c r="BJ1737" i="140"/>
  <c r="BI1737" i="140"/>
  <c r="BH1737" i="140"/>
  <c r="BG1737" i="140"/>
  <c r="BM1736" i="140"/>
  <c r="BL1736" i="140"/>
  <c r="BK1736" i="140"/>
  <c r="BJ1736" i="140"/>
  <c r="BI1736" i="140"/>
  <c r="BH1736" i="140"/>
  <c r="BG1736" i="140"/>
  <c r="BM1735" i="140"/>
  <c r="BL1735" i="140"/>
  <c r="BK1735" i="140"/>
  <c r="BJ1735" i="140"/>
  <c r="BI1735" i="140"/>
  <c r="BH1735" i="140"/>
  <c r="BG1735" i="140"/>
  <c r="BM1734" i="140"/>
  <c r="BL1734" i="140"/>
  <c r="BK1734" i="140"/>
  <c r="BJ1734" i="140"/>
  <c r="BI1734" i="140"/>
  <c r="BH1734" i="140"/>
  <c r="BG1734" i="140"/>
  <c r="BM1733" i="140"/>
  <c r="BL1733" i="140"/>
  <c r="BK1733" i="140"/>
  <c r="BJ1733" i="140"/>
  <c r="BI1733" i="140"/>
  <c r="BH1733" i="140"/>
  <c r="BG1733" i="140"/>
  <c r="BM1732" i="140"/>
  <c r="BL1732" i="140"/>
  <c r="BK1732" i="140"/>
  <c r="BJ1732" i="140"/>
  <c r="BI1732" i="140"/>
  <c r="BH1732" i="140"/>
  <c r="BG1732" i="140"/>
  <c r="BM1731" i="140"/>
  <c r="BL1731" i="140"/>
  <c r="BK1731" i="140"/>
  <c r="BJ1731" i="140"/>
  <c r="BI1731" i="140"/>
  <c r="BH1731" i="140"/>
  <c r="BG1731" i="140"/>
  <c r="BM1730" i="140"/>
  <c r="BL1730" i="140"/>
  <c r="BK1730" i="140"/>
  <c r="BJ1730" i="140"/>
  <c r="BI1730" i="140"/>
  <c r="BH1730" i="140"/>
  <c r="BG1730" i="140"/>
  <c r="BM1729" i="140"/>
  <c r="BL1729" i="140"/>
  <c r="BK1729" i="140"/>
  <c r="BJ1729" i="140"/>
  <c r="BI1729" i="140"/>
  <c r="BH1729" i="140"/>
  <c r="BG1729" i="140"/>
  <c r="BM1728" i="140"/>
  <c r="BL1728" i="140"/>
  <c r="BK1728" i="140"/>
  <c r="BJ1728" i="140"/>
  <c r="BI1728" i="140"/>
  <c r="BH1728" i="140"/>
  <c r="BG1728" i="140"/>
  <c r="BM1727" i="140"/>
  <c r="BL1727" i="140"/>
  <c r="BK1727" i="140"/>
  <c r="BJ1727" i="140"/>
  <c r="BI1727" i="140"/>
  <c r="BH1727" i="140"/>
  <c r="BG1727" i="140"/>
  <c r="BM1726" i="140"/>
  <c r="BL1726" i="140"/>
  <c r="BK1726" i="140"/>
  <c r="BJ1726" i="140"/>
  <c r="BI1726" i="140"/>
  <c r="BH1726" i="140"/>
  <c r="BG1726" i="140"/>
  <c r="BM1725" i="140"/>
  <c r="BL1725" i="140"/>
  <c r="BK1725" i="140"/>
  <c r="BJ1725" i="140"/>
  <c r="BI1725" i="140"/>
  <c r="BH1725" i="140"/>
  <c r="BG1725" i="140"/>
  <c r="BM1724" i="140"/>
  <c r="BL1724" i="140"/>
  <c r="BK1724" i="140"/>
  <c r="BJ1724" i="140"/>
  <c r="BI1724" i="140"/>
  <c r="BH1724" i="140"/>
  <c r="BG1724" i="140"/>
  <c r="BM1723" i="140"/>
  <c r="BL1723" i="140"/>
  <c r="BK1723" i="140"/>
  <c r="BJ1723" i="140"/>
  <c r="BI1723" i="140"/>
  <c r="BH1723" i="140"/>
  <c r="BG1723" i="140"/>
  <c r="BM1722" i="140"/>
  <c r="BL1722" i="140"/>
  <c r="BK1722" i="140"/>
  <c r="BJ1722" i="140"/>
  <c r="BI1722" i="140"/>
  <c r="BH1722" i="140"/>
  <c r="BG1722" i="140"/>
  <c r="BM1721" i="140"/>
  <c r="BL1721" i="140"/>
  <c r="BK1721" i="140"/>
  <c r="BJ1721" i="140"/>
  <c r="BI1721" i="140"/>
  <c r="BH1721" i="140"/>
  <c r="BG1721" i="140"/>
  <c r="BM1720" i="140"/>
  <c r="BL1720" i="140"/>
  <c r="BK1720" i="140"/>
  <c r="BJ1720" i="140"/>
  <c r="BI1720" i="140"/>
  <c r="BH1720" i="140"/>
  <c r="BG1720" i="140"/>
  <c r="BM1719" i="140"/>
  <c r="BL1719" i="140"/>
  <c r="BK1719" i="140"/>
  <c r="BJ1719" i="140"/>
  <c r="BI1719" i="140"/>
  <c r="BH1719" i="140"/>
  <c r="BG1719" i="140"/>
  <c r="BM1718" i="140"/>
  <c r="BL1718" i="140"/>
  <c r="BK1718" i="140"/>
  <c r="BJ1718" i="140"/>
  <c r="BI1718" i="140"/>
  <c r="BH1718" i="140"/>
  <c r="BG1718" i="140"/>
  <c r="BM1717" i="140"/>
  <c r="BL1717" i="140"/>
  <c r="BK1717" i="140"/>
  <c r="BJ1717" i="140"/>
  <c r="BI1717" i="140"/>
  <c r="BH1717" i="140"/>
  <c r="BG1717" i="140"/>
  <c r="BM1716" i="140"/>
  <c r="BL1716" i="140"/>
  <c r="BK1716" i="140"/>
  <c r="BJ1716" i="140"/>
  <c r="BI1716" i="140"/>
  <c r="BH1716" i="140"/>
  <c r="BG1716" i="140"/>
  <c r="BM1715" i="140"/>
  <c r="BL1715" i="140"/>
  <c r="BK1715" i="140"/>
  <c r="BJ1715" i="140"/>
  <c r="BI1715" i="140"/>
  <c r="BH1715" i="140"/>
  <c r="BG1715" i="140"/>
  <c r="BM1714" i="140"/>
  <c r="BL1714" i="140"/>
  <c r="BK1714" i="140"/>
  <c r="BJ1714" i="140"/>
  <c r="BI1714" i="140"/>
  <c r="BH1714" i="140"/>
  <c r="BG1714" i="140"/>
  <c r="BM1713" i="140"/>
  <c r="BL1713" i="140"/>
  <c r="BK1713" i="140"/>
  <c r="BJ1713" i="140"/>
  <c r="BI1713" i="140"/>
  <c r="BH1713" i="140"/>
  <c r="BG1713" i="140"/>
  <c r="BM1712" i="140"/>
  <c r="BL1712" i="140"/>
  <c r="BK1712" i="140"/>
  <c r="BJ1712" i="140"/>
  <c r="BI1712" i="140"/>
  <c r="BH1712" i="140"/>
  <c r="BG1712" i="140"/>
  <c r="BM1711" i="140"/>
  <c r="BL1711" i="140"/>
  <c r="BK1711" i="140"/>
  <c r="BJ1711" i="140"/>
  <c r="BI1711" i="140"/>
  <c r="BH1711" i="140"/>
  <c r="BG1711" i="140"/>
  <c r="BM1710" i="140"/>
  <c r="BL1710" i="140"/>
  <c r="BK1710" i="140"/>
  <c r="BJ1710" i="140"/>
  <c r="BI1710" i="140"/>
  <c r="BH1710" i="140"/>
  <c r="BG1710" i="140"/>
  <c r="BM1709" i="140"/>
  <c r="BL1709" i="140"/>
  <c r="BK1709" i="140"/>
  <c r="BJ1709" i="140"/>
  <c r="BI1709" i="140"/>
  <c r="BH1709" i="140"/>
  <c r="BG1709" i="140"/>
  <c r="BM1708" i="140"/>
  <c r="BL1708" i="140"/>
  <c r="BK1708" i="140"/>
  <c r="BJ1708" i="140"/>
  <c r="BI1708" i="140"/>
  <c r="BH1708" i="140"/>
  <c r="BG1708" i="140"/>
  <c r="BM1707" i="140"/>
  <c r="BL1707" i="140"/>
  <c r="BK1707" i="140"/>
  <c r="BJ1707" i="140"/>
  <c r="BI1707" i="140"/>
  <c r="BH1707" i="140"/>
  <c r="BG1707" i="140"/>
  <c r="BM1706" i="140"/>
  <c r="BL1706" i="140"/>
  <c r="BK1706" i="140"/>
  <c r="BJ1706" i="140"/>
  <c r="BI1706" i="140"/>
  <c r="BH1706" i="140"/>
  <c r="BG1706" i="140"/>
  <c r="BM1705" i="140"/>
  <c r="BL1705" i="140"/>
  <c r="BK1705" i="140"/>
  <c r="BJ1705" i="140"/>
  <c r="BI1705" i="140"/>
  <c r="BH1705" i="140"/>
  <c r="BG1705" i="140"/>
  <c r="BM1704" i="140"/>
  <c r="BL1704" i="140"/>
  <c r="BK1704" i="140"/>
  <c r="BJ1704" i="140"/>
  <c r="BI1704" i="140"/>
  <c r="BH1704" i="140"/>
  <c r="BG1704" i="140"/>
  <c r="BM1703" i="140"/>
  <c r="BL1703" i="140"/>
  <c r="BK1703" i="140"/>
  <c r="BJ1703" i="140"/>
  <c r="BI1703" i="140"/>
  <c r="BH1703" i="140"/>
  <c r="BG1703" i="140"/>
  <c r="BM1702" i="140"/>
  <c r="BL1702" i="140"/>
  <c r="BK1702" i="140"/>
  <c r="BJ1702" i="140"/>
  <c r="BI1702" i="140"/>
  <c r="BH1702" i="140"/>
  <c r="BG1702" i="140"/>
  <c r="BM1701" i="140"/>
  <c r="BL1701" i="140"/>
  <c r="BK1701" i="140"/>
  <c r="BJ1701" i="140"/>
  <c r="BI1701" i="140"/>
  <c r="BH1701" i="140"/>
  <c r="BG1701" i="140"/>
  <c r="BM1700" i="140"/>
  <c r="BL1700" i="140"/>
  <c r="BK1700" i="140"/>
  <c r="BJ1700" i="140"/>
  <c r="BI1700" i="140"/>
  <c r="BH1700" i="140"/>
  <c r="BG1700" i="140"/>
  <c r="BM1699" i="140"/>
  <c r="BL1699" i="140"/>
  <c r="BK1699" i="140"/>
  <c r="BJ1699" i="140"/>
  <c r="BI1699" i="140"/>
  <c r="BH1699" i="140"/>
  <c r="BG1699" i="140"/>
  <c r="BM1698" i="140"/>
  <c r="BL1698" i="140"/>
  <c r="BK1698" i="140"/>
  <c r="BJ1698" i="140"/>
  <c r="BI1698" i="140"/>
  <c r="BH1698" i="140"/>
  <c r="BG1698" i="140"/>
  <c r="BM1697" i="140"/>
  <c r="BL1697" i="140"/>
  <c r="BK1697" i="140"/>
  <c r="BJ1697" i="140"/>
  <c r="BI1697" i="140"/>
  <c r="BH1697" i="140"/>
  <c r="BG1697" i="140"/>
  <c r="BM1696" i="140"/>
  <c r="BL1696" i="140"/>
  <c r="BK1696" i="140"/>
  <c r="BJ1696" i="140"/>
  <c r="BI1696" i="140"/>
  <c r="BH1696" i="140"/>
  <c r="BG1696" i="140"/>
  <c r="BM1695" i="140"/>
  <c r="BL1695" i="140"/>
  <c r="BK1695" i="140"/>
  <c r="BJ1695" i="140"/>
  <c r="BI1695" i="140"/>
  <c r="BH1695" i="140"/>
  <c r="BG1695" i="140"/>
  <c r="BM1694" i="140"/>
  <c r="BL1694" i="140"/>
  <c r="BK1694" i="140"/>
  <c r="BJ1694" i="140"/>
  <c r="BI1694" i="140"/>
  <c r="BH1694" i="140"/>
  <c r="BG1694" i="140"/>
  <c r="BM1693" i="140"/>
  <c r="BL1693" i="140"/>
  <c r="BK1693" i="140"/>
  <c r="BJ1693" i="140"/>
  <c r="BI1693" i="140"/>
  <c r="BH1693" i="140"/>
  <c r="BG1693" i="140"/>
  <c r="BM1692" i="140"/>
  <c r="BL1692" i="140"/>
  <c r="BK1692" i="140"/>
  <c r="BJ1692" i="140"/>
  <c r="BI1692" i="140"/>
  <c r="BH1692" i="140"/>
  <c r="BG1692" i="140"/>
  <c r="BM1691" i="140"/>
  <c r="BL1691" i="140"/>
  <c r="BK1691" i="140"/>
  <c r="BJ1691" i="140"/>
  <c r="BI1691" i="140"/>
  <c r="BH1691" i="140"/>
  <c r="BG1691" i="140"/>
  <c r="BM1690" i="140"/>
  <c r="BL1690" i="140"/>
  <c r="BK1690" i="140"/>
  <c r="BJ1690" i="140"/>
  <c r="BI1690" i="140"/>
  <c r="BH1690" i="140"/>
  <c r="BG1690" i="140"/>
  <c r="BM1689" i="140"/>
  <c r="BL1689" i="140"/>
  <c r="BK1689" i="140"/>
  <c r="BJ1689" i="140"/>
  <c r="BI1689" i="140"/>
  <c r="BH1689" i="140"/>
  <c r="BG1689" i="140"/>
  <c r="BM1688" i="140"/>
  <c r="BL1688" i="140"/>
  <c r="BK1688" i="140"/>
  <c r="BJ1688" i="140"/>
  <c r="BI1688" i="140"/>
  <c r="BH1688" i="140"/>
  <c r="BG1688" i="140"/>
  <c r="BM1687" i="140"/>
  <c r="BL1687" i="140"/>
  <c r="BK1687" i="140"/>
  <c r="BJ1687" i="140"/>
  <c r="BI1687" i="140"/>
  <c r="BH1687" i="140"/>
  <c r="BG1687" i="140"/>
  <c r="BM1686" i="140"/>
  <c r="BL1686" i="140"/>
  <c r="BK1686" i="140"/>
  <c r="BJ1686" i="140"/>
  <c r="BI1686" i="140"/>
  <c r="BH1686" i="140"/>
  <c r="BG1686" i="140"/>
  <c r="BM1685" i="140"/>
  <c r="BL1685" i="140"/>
  <c r="BK1685" i="140"/>
  <c r="BJ1685" i="140"/>
  <c r="BI1685" i="140"/>
  <c r="BH1685" i="140"/>
  <c r="BG1685" i="140"/>
  <c r="BM1684" i="140"/>
  <c r="BL1684" i="140"/>
  <c r="BK1684" i="140"/>
  <c r="BJ1684" i="140"/>
  <c r="BI1684" i="140"/>
  <c r="BH1684" i="140"/>
  <c r="BG1684" i="140"/>
  <c r="BM1683" i="140"/>
  <c r="BL1683" i="140"/>
  <c r="BK1683" i="140"/>
  <c r="BJ1683" i="140"/>
  <c r="BI1683" i="140"/>
  <c r="BH1683" i="140"/>
  <c r="BG1683" i="140"/>
  <c r="BM1682" i="140"/>
  <c r="BL1682" i="140"/>
  <c r="BK1682" i="140"/>
  <c r="BJ1682" i="140"/>
  <c r="BI1682" i="140"/>
  <c r="BH1682" i="140"/>
  <c r="BG1682" i="140"/>
  <c r="BM1681" i="140"/>
  <c r="BL1681" i="140"/>
  <c r="BK1681" i="140"/>
  <c r="BJ1681" i="140"/>
  <c r="BI1681" i="140"/>
  <c r="BH1681" i="140"/>
  <c r="BG1681" i="140"/>
  <c r="BM1680" i="140"/>
  <c r="BL1680" i="140"/>
  <c r="BK1680" i="140"/>
  <c r="BJ1680" i="140"/>
  <c r="BI1680" i="140"/>
  <c r="BH1680" i="140"/>
  <c r="BG1680" i="140"/>
  <c r="BM1679" i="140"/>
  <c r="BL1679" i="140"/>
  <c r="BK1679" i="140"/>
  <c r="BJ1679" i="140"/>
  <c r="BI1679" i="140"/>
  <c r="BH1679" i="140"/>
  <c r="BG1679" i="140"/>
  <c r="BM1678" i="140"/>
  <c r="BL1678" i="140"/>
  <c r="BK1678" i="140"/>
  <c r="BJ1678" i="140"/>
  <c r="BI1678" i="140"/>
  <c r="BH1678" i="140"/>
  <c r="BG1678" i="140"/>
  <c r="BM1677" i="140"/>
  <c r="BL1677" i="140"/>
  <c r="BK1677" i="140"/>
  <c r="BJ1677" i="140"/>
  <c r="BI1677" i="140"/>
  <c r="BH1677" i="140"/>
  <c r="BG1677" i="140"/>
  <c r="BM1676" i="140"/>
  <c r="BL1676" i="140"/>
  <c r="BK1676" i="140"/>
  <c r="BJ1676" i="140"/>
  <c r="BI1676" i="140"/>
  <c r="BH1676" i="140"/>
  <c r="BG1676" i="140"/>
  <c r="BM1675" i="140"/>
  <c r="BL1675" i="140"/>
  <c r="BK1675" i="140"/>
  <c r="BJ1675" i="140"/>
  <c r="BI1675" i="140"/>
  <c r="BH1675" i="140"/>
  <c r="BG1675" i="140"/>
  <c r="BM1674" i="140"/>
  <c r="BL1674" i="140"/>
  <c r="BK1674" i="140"/>
  <c r="BJ1674" i="140"/>
  <c r="BI1674" i="140"/>
  <c r="BH1674" i="140"/>
  <c r="BG1674" i="140"/>
  <c r="BM1673" i="140"/>
  <c r="BL1673" i="140"/>
  <c r="BK1673" i="140"/>
  <c r="BJ1673" i="140"/>
  <c r="BI1673" i="140"/>
  <c r="BH1673" i="140"/>
  <c r="BG1673" i="140"/>
  <c r="BM1672" i="140"/>
  <c r="BL1672" i="140"/>
  <c r="BK1672" i="140"/>
  <c r="BJ1672" i="140"/>
  <c r="BI1672" i="140"/>
  <c r="BH1672" i="140"/>
  <c r="BG1672" i="140"/>
  <c r="BM1671" i="140"/>
  <c r="BL1671" i="140"/>
  <c r="BK1671" i="140"/>
  <c r="BJ1671" i="140"/>
  <c r="BI1671" i="140"/>
  <c r="BH1671" i="140"/>
  <c r="BG1671" i="140"/>
  <c r="BM1670" i="140"/>
  <c r="BL1670" i="140"/>
  <c r="BK1670" i="140"/>
  <c r="BJ1670" i="140"/>
  <c r="BI1670" i="140"/>
  <c r="BH1670" i="140"/>
  <c r="BG1670" i="140"/>
  <c r="BM1669" i="140"/>
  <c r="BL1669" i="140"/>
  <c r="BK1669" i="140"/>
  <c r="BJ1669" i="140"/>
  <c r="BI1669" i="140"/>
  <c r="BH1669" i="140"/>
  <c r="BG1669" i="140"/>
  <c r="BM1668" i="140"/>
  <c r="BL1668" i="140"/>
  <c r="BK1668" i="140"/>
  <c r="BJ1668" i="140"/>
  <c r="BI1668" i="140"/>
  <c r="BH1668" i="140"/>
  <c r="BG1668" i="140"/>
  <c r="BM1667" i="140"/>
  <c r="BL1667" i="140"/>
  <c r="BK1667" i="140"/>
  <c r="BJ1667" i="140"/>
  <c r="BI1667" i="140"/>
  <c r="BH1667" i="140"/>
  <c r="BG1667" i="140"/>
  <c r="BM1666" i="140"/>
  <c r="BL1666" i="140"/>
  <c r="BK1666" i="140"/>
  <c r="BJ1666" i="140"/>
  <c r="BI1666" i="140"/>
  <c r="BH1666" i="140"/>
  <c r="BG1666" i="140"/>
  <c r="BM1665" i="140"/>
  <c r="BL1665" i="140"/>
  <c r="BK1665" i="140"/>
  <c r="BJ1665" i="140"/>
  <c r="BI1665" i="140"/>
  <c r="BH1665" i="140"/>
  <c r="BG1665" i="140"/>
  <c r="BM1664" i="140"/>
  <c r="BL1664" i="140"/>
  <c r="BK1664" i="140"/>
  <c r="BJ1664" i="140"/>
  <c r="BI1664" i="140"/>
  <c r="BH1664" i="140"/>
  <c r="BG1664" i="140"/>
  <c r="BM1663" i="140"/>
  <c r="BL1663" i="140"/>
  <c r="BK1663" i="140"/>
  <c r="BJ1663" i="140"/>
  <c r="BI1663" i="140"/>
  <c r="BH1663" i="140"/>
  <c r="BG1663" i="140"/>
  <c r="BM1662" i="140"/>
  <c r="BL1662" i="140"/>
  <c r="BK1662" i="140"/>
  <c r="BJ1662" i="140"/>
  <c r="BI1662" i="140"/>
  <c r="BH1662" i="140"/>
  <c r="BG1662" i="140"/>
  <c r="BM1661" i="140"/>
  <c r="BL1661" i="140"/>
  <c r="BK1661" i="140"/>
  <c r="BJ1661" i="140"/>
  <c r="BI1661" i="140"/>
  <c r="BH1661" i="140"/>
  <c r="BG1661" i="140"/>
  <c r="BM1660" i="140"/>
  <c r="BL1660" i="140"/>
  <c r="BK1660" i="140"/>
  <c r="BJ1660" i="140"/>
  <c r="BI1660" i="140"/>
  <c r="BH1660" i="140"/>
  <c r="BG1660" i="140"/>
  <c r="BM1659" i="140"/>
  <c r="BL1659" i="140"/>
  <c r="BK1659" i="140"/>
  <c r="BJ1659" i="140"/>
  <c r="BI1659" i="140"/>
  <c r="BH1659" i="140"/>
  <c r="BG1659" i="140"/>
  <c r="BM1658" i="140"/>
  <c r="BL1658" i="140"/>
  <c r="BK1658" i="140"/>
  <c r="BJ1658" i="140"/>
  <c r="BI1658" i="140"/>
  <c r="BH1658" i="140"/>
  <c r="BG1658" i="140"/>
  <c r="BM1657" i="140"/>
  <c r="BL1657" i="140"/>
  <c r="BK1657" i="140"/>
  <c r="BJ1657" i="140"/>
  <c r="BI1657" i="140"/>
  <c r="BH1657" i="140"/>
  <c r="BG1657" i="140"/>
  <c r="BM1656" i="140"/>
  <c r="BL1656" i="140"/>
  <c r="BK1656" i="140"/>
  <c r="BJ1656" i="140"/>
  <c r="BI1656" i="140"/>
  <c r="BH1656" i="140"/>
  <c r="BG1656" i="140"/>
  <c r="BM1655" i="140"/>
  <c r="BL1655" i="140"/>
  <c r="BK1655" i="140"/>
  <c r="BJ1655" i="140"/>
  <c r="BI1655" i="140"/>
  <c r="BH1655" i="140"/>
  <c r="BG1655" i="140"/>
  <c r="BM1654" i="140"/>
  <c r="BL1654" i="140"/>
  <c r="BK1654" i="140"/>
  <c r="BJ1654" i="140"/>
  <c r="BI1654" i="140"/>
  <c r="BH1654" i="140"/>
  <c r="BG1654" i="140"/>
  <c r="BM1653" i="140"/>
  <c r="BL1653" i="140"/>
  <c r="BK1653" i="140"/>
  <c r="BJ1653" i="140"/>
  <c r="BI1653" i="140"/>
  <c r="BH1653" i="140"/>
  <c r="BG1653" i="140"/>
  <c r="BM1652" i="140"/>
  <c r="BL1652" i="140"/>
  <c r="BK1652" i="140"/>
  <c r="BJ1652" i="140"/>
  <c r="BI1652" i="140"/>
  <c r="BH1652" i="140"/>
  <c r="BG1652" i="140"/>
  <c r="BM1651" i="140"/>
  <c r="BL1651" i="140"/>
  <c r="BK1651" i="140"/>
  <c r="BJ1651" i="140"/>
  <c r="BI1651" i="140"/>
  <c r="BH1651" i="140"/>
  <c r="BG1651" i="140"/>
  <c r="BM1650" i="140"/>
  <c r="BL1650" i="140"/>
  <c r="BK1650" i="140"/>
  <c r="BJ1650" i="140"/>
  <c r="BI1650" i="140"/>
  <c r="BH1650" i="140"/>
  <c r="BG1650" i="140"/>
  <c r="BM1649" i="140"/>
  <c r="BL1649" i="140"/>
  <c r="BK1649" i="140"/>
  <c r="BJ1649" i="140"/>
  <c r="BI1649" i="140"/>
  <c r="BH1649" i="140"/>
  <c r="BG1649" i="140"/>
  <c r="BM1648" i="140"/>
  <c r="BL1648" i="140"/>
  <c r="BK1648" i="140"/>
  <c r="BJ1648" i="140"/>
  <c r="BI1648" i="140"/>
  <c r="BH1648" i="140"/>
  <c r="BG1648" i="140"/>
  <c r="BM1647" i="140"/>
  <c r="BL1647" i="140"/>
  <c r="BK1647" i="140"/>
  <c r="BJ1647" i="140"/>
  <c r="BI1647" i="140"/>
  <c r="BH1647" i="140"/>
  <c r="BG1647" i="140"/>
  <c r="BM1646" i="140"/>
  <c r="BL1646" i="140"/>
  <c r="BK1646" i="140"/>
  <c r="BJ1646" i="140"/>
  <c r="BI1646" i="140"/>
  <c r="BH1646" i="140"/>
  <c r="BG1646" i="140"/>
  <c r="BM1645" i="140"/>
  <c r="BL1645" i="140"/>
  <c r="BK1645" i="140"/>
  <c r="BJ1645" i="140"/>
  <c r="BI1645" i="140"/>
  <c r="BH1645" i="140"/>
  <c r="BG1645" i="140"/>
  <c r="BM1644" i="140"/>
  <c r="BL1644" i="140"/>
  <c r="BK1644" i="140"/>
  <c r="BJ1644" i="140"/>
  <c r="BI1644" i="140"/>
  <c r="BH1644" i="140"/>
  <c r="BG1644" i="140"/>
  <c r="BM1643" i="140"/>
  <c r="BL1643" i="140"/>
  <c r="BK1643" i="140"/>
  <c r="BJ1643" i="140"/>
  <c r="BI1643" i="140"/>
  <c r="BH1643" i="140"/>
  <c r="BG1643" i="140"/>
  <c r="BM1642" i="140"/>
  <c r="BL1642" i="140"/>
  <c r="BK1642" i="140"/>
  <c r="BJ1642" i="140"/>
  <c r="BI1642" i="140"/>
  <c r="BH1642" i="140"/>
  <c r="BG1642" i="140"/>
  <c r="BM1641" i="140"/>
  <c r="BL1641" i="140"/>
  <c r="BK1641" i="140"/>
  <c r="BJ1641" i="140"/>
  <c r="BI1641" i="140"/>
  <c r="BH1641" i="140"/>
  <c r="BG1641" i="140"/>
  <c r="BM1640" i="140"/>
  <c r="BL1640" i="140"/>
  <c r="BK1640" i="140"/>
  <c r="BJ1640" i="140"/>
  <c r="BI1640" i="140"/>
  <c r="BH1640" i="140"/>
  <c r="BG1640" i="140"/>
  <c r="BM1639" i="140"/>
  <c r="BL1639" i="140"/>
  <c r="BK1639" i="140"/>
  <c r="BJ1639" i="140"/>
  <c r="BI1639" i="140"/>
  <c r="BH1639" i="140"/>
  <c r="BG1639" i="140"/>
  <c r="BM1638" i="140"/>
  <c r="BL1638" i="140"/>
  <c r="BK1638" i="140"/>
  <c r="BJ1638" i="140"/>
  <c r="BI1638" i="140"/>
  <c r="BH1638" i="140"/>
  <c r="BG1638" i="140"/>
  <c r="BM1637" i="140"/>
  <c r="BL1637" i="140"/>
  <c r="BK1637" i="140"/>
  <c r="BJ1637" i="140"/>
  <c r="BI1637" i="140"/>
  <c r="BH1637" i="140"/>
  <c r="BG1637" i="140"/>
  <c r="BM1636" i="140"/>
  <c r="BL1636" i="140"/>
  <c r="BK1636" i="140"/>
  <c r="BJ1636" i="140"/>
  <c r="BI1636" i="140"/>
  <c r="BH1636" i="140"/>
  <c r="BG1636" i="140"/>
  <c r="BM1635" i="140"/>
  <c r="BL1635" i="140"/>
  <c r="BK1635" i="140"/>
  <c r="BJ1635" i="140"/>
  <c r="BI1635" i="140"/>
  <c r="BH1635" i="140"/>
  <c r="BG1635" i="140"/>
  <c r="BM1634" i="140"/>
  <c r="BL1634" i="140"/>
  <c r="BK1634" i="140"/>
  <c r="BJ1634" i="140"/>
  <c r="BI1634" i="140"/>
  <c r="BH1634" i="140"/>
  <c r="BG1634" i="140"/>
  <c r="BM1633" i="140"/>
  <c r="BL1633" i="140"/>
  <c r="BK1633" i="140"/>
  <c r="BJ1633" i="140"/>
  <c r="BI1633" i="140"/>
  <c r="BH1633" i="140"/>
  <c r="BG1633" i="140"/>
  <c r="BM1632" i="140"/>
  <c r="BL1632" i="140"/>
  <c r="BK1632" i="140"/>
  <c r="BJ1632" i="140"/>
  <c r="BI1632" i="140"/>
  <c r="BH1632" i="140"/>
  <c r="BG1632" i="140"/>
  <c r="BM1631" i="140"/>
  <c r="BL1631" i="140"/>
  <c r="BK1631" i="140"/>
  <c r="BJ1631" i="140"/>
  <c r="BI1631" i="140"/>
  <c r="BH1631" i="140"/>
  <c r="BG1631" i="140"/>
  <c r="BM1630" i="140"/>
  <c r="BL1630" i="140"/>
  <c r="BK1630" i="140"/>
  <c r="BJ1630" i="140"/>
  <c r="BI1630" i="140"/>
  <c r="BH1630" i="140"/>
  <c r="BG1630" i="140"/>
  <c r="BM1629" i="140"/>
  <c r="BL1629" i="140"/>
  <c r="BK1629" i="140"/>
  <c r="BJ1629" i="140"/>
  <c r="BI1629" i="140"/>
  <c r="BH1629" i="140"/>
  <c r="BG1629" i="140"/>
  <c r="BM1628" i="140"/>
  <c r="BL1628" i="140"/>
  <c r="BK1628" i="140"/>
  <c r="BJ1628" i="140"/>
  <c r="BI1628" i="140"/>
  <c r="BH1628" i="140"/>
  <c r="BG1628" i="140"/>
  <c r="BM1627" i="140"/>
  <c r="BL1627" i="140"/>
  <c r="BK1627" i="140"/>
  <c r="BJ1627" i="140"/>
  <c r="BI1627" i="140"/>
  <c r="BH1627" i="140"/>
  <c r="BG1627" i="140"/>
  <c r="BM1626" i="140"/>
  <c r="BL1626" i="140"/>
  <c r="BK1626" i="140"/>
  <c r="BJ1626" i="140"/>
  <c r="BI1626" i="140"/>
  <c r="BH1626" i="140"/>
  <c r="BG1626" i="140"/>
  <c r="BM1625" i="140"/>
  <c r="BL1625" i="140"/>
  <c r="BK1625" i="140"/>
  <c r="BJ1625" i="140"/>
  <c r="BI1625" i="140"/>
  <c r="BH1625" i="140"/>
  <c r="BG1625" i="140"/>
  <c r="BM1624" i="140"/>
  <c r="BL1624" i="140"/>
  <c r="BK1624" i="140"/>
  <c r="BJ1624" i="140"/>
  <c r="BI1624" i="140"/>
  <c r="BH1624" i="140"/>
  <c r="BG1624" i="140"/>
  <c r="BM1623" i="140"/>
  <c r="BL1623" i="140"/>
  <c r="BK1623" i="140"/>
  <c r="BJ1623" i="140"/>
  <c r="BI1623" i="140"/>
  <c r="BH1623" i="140"/>
  <c r="BG1623" i="140"/>
  <c r="BM1622" i="140"/>
  <c r="BL1622" i="140"/>
  <c r="BK1622" i="140"/>
  <c r="BJ1622" i="140"/>
  <c r="BI1622" i="140"/>
  <c r="BH1622" i="140"/>
  <c r="BG1622" i="140"/>
  <c r="BM1621" i="140"/>
  <c r="BL1621" i="140"/>
  <c r="BK1621" i="140"/>
  <c r="BJ1621" i="140"/>
  <c r="BI1621" i="140"/>
  <c r="BH1621" i="140"/>
  <c r="BG1621" i="140"/>
  <c r="BM1620" i="140"/>
  <c r="BL1620" i="140"/>
  <c r="BK1620" i="140"/>
  <c r="BJ1620" i="140"/>
  <c r="BI1620" i="140"/>
  <c r="BH1620" i="140"/>
  <c r="BG1620" i="140"/>
  <c r="BM1619" i="140"/>
  <c r="BL1619" i="140"/>
  <c r="BK1619" i="140"/>
  <c r="BJ1619" i="140"/>
  <c r="BI1619" i="140"/>
  <c r="BH1619" i="140"/>
  <c r="BG1619" i="140"/>
  <c r="BM1618" i="140"/>
  <c r="BL1618" i="140"/>
  <c r="BK1618" i="140"/>
  <c r="BJ1618" i="140"/>
  <c r="BI1618" i="140"/>
  <c r="BH1618" i="140"/>
  <c r="BG1618" i="140"/>
  <c r="BM1617" i="140"/>
  <c r="BL1617" i="140"/>
  <c r="BK1617" i="140"/>
  <c r="BJ1617" i="140"/>
  <c r="BI1617" i="140"/>
  <c r="BH1617" i="140"/>
  <c r="BG1617" i="140"/>
  <c r="BM1616" i="140"/>
  <c r="BL1616" i="140"/>
  <c r="BK1616" i="140"/>
  <c r="BJ1616" i="140"/>
  <c r="BI1616" i="140"/>
  <c r="BH1616" i="140"/>
  <c r="BG1616" i="140"/>
  <c r="BM1615" i="140"/>
  <c r="BL1615" i="140"/>
  <c r="BK1615" i="140"/>
  <c r="BJ1615" i="140"/>
  <c r="BI1615" i="140"/>
  <c r="BH1615" i="140"/>
  <c r="BG1615" i="140"/>
  <c r="BM1614" i="140"/>
  <c r="BL1614" i="140"/>
  <c r="BK1614" i="140"/>
  <c r="BJ1614" i="140"/>
  <c r="BI1614" i="140"/>
  <c r="BH1614" i="140"/>
  <c r="BG1614" i="140"/>
  <c r="BM1613" i="140"/>
  <c r="BL1613" i="140"/>
  <c r="BK1613" i="140"/>
  <c r="BJ1613" i="140"/>
  <c r="BI1613" i="140"/>
  <c r="BH1613" i="140"/>
  <c r="BG1613" i="140"/>
  <c r="BM1612" i="140"/>
  <c r="BL1612" i="140"/>
  <c r="BK1612" i="140"/>
  <c r="BJ1612" i="140"/>
  <c r="BI1612" i="140"/>
  <c r="BH1612" i="140"/>
  <c r="BG1612" i="140"/>
  <c r="BM1611" i="140"/>
  <c r="BL1611" i="140"/>
  <c r="BK1611" i="140"/>
  <c r="BJ1611" i="140"/>
  <c r="BI1611" i="140"/>
  <c r="BH1611" i="140"/>
  <c r="BG1611" i="140"/>
  <c r="BM1610" i="140"/>
  <c r="BL1610" i="140"/>
  <c r="BK1610" i="140"/>
  <c r="BJ1610" i="140"/>
  <c r="BI1610" i="140"/>
  <c r="BH1610" i="140"/>
  <c r="BG1610" i="140"/>
  <c r="BM1609" i="140"/>
  <c r="BL1609" i="140"/>
  <c r="BK1609" i="140"/>
  <c r="BJ1609" i="140"/>
  <c r="BI1609" i="140"/>
  <c r="BH1609" i="140"/>
  <c r="BG1609" i="140"/>
  <c r="BM1608" i="140"/>
  <c r="BL1608" i="140"/>
  <c r="BK1608" i="140"/>
  <c r="BJ1608" i="140"/>
  <c r="BI1608" i="140"/>
  <c r="BH1608" i="140"/>
  <c r="BG1608" i="140"/>
  <c r="BM1607" i="140"/>
  <c r="BL1607" i="140"/>
  <c r="BK1607" i="140"/>
  <c r="BJ1607" i="140"/>
  <c r="BI1607" i="140"/>
  <c r="BH1607" i="140"/>
  <c r="BG1607" i="140"/>
  <c r="BM1606" i="140"/>
  <c r="BL1606" i="140"/>
  <c r="BK1606" i="140"/>
  <c r="BJ1606" i="140"/>
  <c r="BI1606" i="140"/>
  <c r="BH1606" i="140"/>
  <c r="BG1606" i="140"/>
  <c r="BM1605" i="140"/>
  <c r="BL1605" i="140"/>
  <c r="BK1605" i="140"/>
  <c r="BJ1605" i="140"/>
  <c r="BI1605" i="140"/>
  <c r="BH1605" i="140"/>
  <c r="BG1605" i="140"/>
  <c r="BM1604" i="140"/>
  <c r="BL1604" i="140"/>
  <c r="BK1604" i="140"/>
  <c r="BJ1604" i="140"/>
  <c r="BI1604" i="140"/>
  <c r="BH1604" i="140"/>
  <c r="BG1604" i="140"/>
  <c r="BM1603" i="140"/>
  <c r="BL1603" i="140"/>
  <c r="BK1603" i="140"/>
  <c r="BJ1603" i="140"/>
  <c r="BI1603" i="140"/>
  <c r="BH1603" i="140"/>
  <c r="BG1603" i="140"/>
  <c r="BM1602" i="140"/>
  <c r="BL1602" i="140"/>
  <c r="BK1602" i="140"/>
  <c r="BJ1602" i="140"/>
  <c r="BI1602" i="140"/>
  <c r="BH1602" i="140"/>
  <c r="BG1602" i="140"/>
  <c r="BM1601" i="140"/>
  <c r="BL1601" i="140"/>
  <c r="BK1601" i="140"/>
  <c r="BJ1601" i="140"/>
  <c r="BI1601" i="140"/>
  <c r="BH1601" i="140"/>
  <c r="BG1601" i="140"/>
  <c r="BM1600" i="140"/>
  <c r="BL1600" i="140"/>
  <c r="BK1600" i="140"/>
  <c r="BJ1600" i="140"/>
  <c r="BI1600" i="140"/>
  <c r="BH1600" i="140"/>
  <c r="BG1600" i="140"/>
  <c r="BM1599" i="140"/>
  <c r="BL1599" i="140"/>
  <c r="BK1599" i="140"/>
  <c r="BJ1599" i="140"/>
  <c r="BI1599" i="140"/>
  <c r="BH1599" i="140"/>
  <c r="BG1599" i="140"/>
  <c r="BM1598" i="140"/>
  <c r="BL1598" i="140"/>
  <c r="BK1598" i="140"/>
  <c r="BJ1598" i="140"/>
  <c r="BI1598" i="140"/>
  <c r="BH1598" i="140"/>
  <c r="BG1598" i="140"/>
  <c r="BM1597" i="140"/>
  <c r="BL1597" i="140"/>
  <c r="BK1597" i="140"/>
  <c r="BJ1597" i="140"/>
  <c r="BI1597" i="140"/>
  <c r="BH1597" i="140"/>
  <c r="BG1597" i="140"/>
  <c r="BM1596" i="140"/>
  <c r="BL1596" i="140"/>
  <c r="BK1596" i="140"/>
  <c r="BJ1596" i="140"/>
  <c r="BI1596" i="140"/>
  <c r="BH1596" i="140"/>
  <c r="BG1596" i="140"/>
  <c r="BM1595" i="140"/>
  <c r="BL1595" i="140"/>
  <c r="BK1595" i="140"/>
  <c r="BJ1595" i="140"/>
  <c r="BI1595" i="140"/>
  <c r="BH1595" i="140"/>
  <c r="BG1595" i="140"/>
  <c r="BM1594" i="140"/>
  <c r="BL1594" i="140"/>
  <c r="BK1594" i="140"/>
  <c r="BJ1594" i="140"/>
  <c r="BI1594" i="140"/>
  <c r="BH1594" i="140"/>
  <c r="BG1594" i="140"/>
  <c r="BM1593" i="140"/>
  <c r="BL1593" i="140"/>
  <c r="BK1593" i="140"/>
  <c r="BJ1593" i="140"/>
  <c r="BI1593" i="140"/>
  <c r="BH1593" i="140"/>
  <c r="BG1593" i="140"/>
  <c r="BM1592" i="140"/>
  <c r="BL1592" i="140"/>
  <c r="BK1592" i="140"/>
  <c r="BJ1592" i="140"/>
  <c r="BI1592" i="140"/>
  <c r="BH1592" i="140"/>
  <c r="BG1592" i="140"/>
  <c r="BM1591" i="140"/>
  <c r="BL1591" i="140"/>
  <c r="BK1591" i="140"/>
  <c r="BJ1591" i="140"/>
  <c r="BI1591" i="140"/>
  <c r="BH1591" i="140"/>
  <c r="BG1591" i="140"/>
  <c r="BM1590" i="140"/>
  <c r="BL1590" i="140"/>
  <c r="BK1590" i="140"/>
  <c r="BJ1590" i="140"/>
  <c r="BI1590" i="140"/>
  <c r="BH1590" i="140"/>
  <c r="BG1590" i="140"/>
  <c r="BM1589" i="140"/>
  <c r="BL1589" i="140"/>
  <c r="BK1589" i="140"/>
  <c r="BJ1589" i="140"/>
  <c r="BI1589" i="140"/>
  <c r="BH1589" i="140"/>
  <c r="BG1589" i="140"/>
  <c r="BM1588" i="140"/>
  <c r="BL1588" i="140"/>
  <c r="BK1588" i="140"/>
  <c r="BJ1588" i="140"/>
  <c r="BI1588" i="140"/>
  <c r="BH1588" i="140"/>
  <c r="BG1588" i="140"/>
  <c r="BM1587" i="140"/>
  <c r="BL1587" i="140"/>
  <c r="BK1587" i="140"/>
  <c r="BJ1587" i="140"/>
  <c r="BI1587" i="140"/>
  <c r="BH1587" i="140"/>
  <c r="BG1587" i="140"/>
  <c r="BM1586" i="140"/>
  <c r="BL1586" i="140"/>
  <c r="BK1586" i="140"/>
  <c r="BJ1586" i="140"/>
  <c r="BI1586" i="140"/>
  <c r="BH1586" i="140"/>
  <c r="BG1586" i="140"/>
  <c r="BM1585" i="140"/>
  <c r="BL1585" i="140"/>
  <c r="BK1585" i="140"/>
  <c r="BJ1585" i="140"/>
  <c r="BI1585" i="140"/>
  <c r="BH1585" i="140"/>
  <c r="BG1585" i="140"/>
  <c r="BM1584" i="140"/>
  <c r="BL1584" i="140"/>
  <c r="BK1584" i="140"/>
  <c r="BJ1584" i="140"/>
  <c r="BI1584" i="140"/>
  <c r="BH1584" i="140"/>
  <c r="BG1584" i="140"/>
  <c r="BM1583" i="140"/>
  <c r="BL1583" i="140"/>
  <c r="BK1583" i="140"/>
  <c r="BJ1583" i="140"/>
  <c r="BI1583" i="140"/>
  <c r="BH1583" i="140"/>
  <c r="BG1583" i="140"/>
  <c r="BM1582" i="140"/>
  <c r="BL1582" i="140"/>
  <c r="BK1582" i="140"/>
  <c r="BJ1582" i="140"/>
  <c r="BI1582" i="140"/>
  <c r="BH1582" i="140"/>
  <c r="BG1582" i="140"/>
  <c r="BM1581" i="140"/>
  <c r="BL1581" i="140"/>
  <c r="BK1581" i="140"/>
  <c r="BJ1581" i="140"/>
  <c r="BI1581" i="140"/>
  <c r="BH1581" i="140"/>
  <c r="BG1581" i="140"/>
  <c r="BM1580" i="140"/>
  <c r="BL1580" i="140"/>
  <c r="BK1580" i="140"/>
  <c r="BJ1580" i="140"/>
  <c r="BI1580" i="140"/>
  <c r="BH1580" i="140"/>
  <c r="BG1580" i="140"/>
  <c r="BM1579" i="140"/>
  <c r="BL1579" i="140"/>
  <c r="BK1579" i="140"/>
  <c r="BJ1579" i="140"/>
  <c r="BI1579" i="140"/>
  <c r="BH1579" i="140"/>
  <c r="BG1579" i="140"/>
  <c r="BM1578" i="140"/>
  <c r="BL1578" i="140"/>
  <c r="BK1578" i="140"/>
  <c r="BJ1578" i="140"/>
  <c r="BI1578" i="140"/>
  <c r="BH1578" i="140"/>
  <c r="BG1578" i="140"/>
  <c r="BM1577" i="140"/>
  <c r="BL1577" i="140"/>
  <c r="BK1577" i="140"/>
  <c r="BJ1577" i="140"/>
  <c r="BI1577" i="140"/>
  <c r="BH1577" i="140"/>
  <c r="BG1577" i="140"/>
  <c r="BM1576" i="140"/>
  <c r="BL1576" i="140"/>
  <c r="BK1576" i="140"/>
  <c r="BJ1576" i="140"/>
  <c r="BI1576" i="140"/>
  <c r="BH1576" i="140"/>
  <c r="BG1576" i="140"/>
  <c r="BM1575" i="140"/>
  <c r="BL1575" i="140"/>
  <c r="BK1575" i="140"/>
  <c r="BJ1575" i="140"/>
  <c r="BI1575" i="140"/>
  <c r="BH1575" i="140"/>
  <c r="BG1575" i="140"/>
  <c r="BM1574" i="140"/>
  <c r="BL1574" i="140"/>
  <c r="BK1574" i="140"/>
  <c r="BJ1574" i="140"/>
  <c r="BI1574" i="140"/>
  <c r="BH1574" i="140"/>
  <c r="BG1574" i="140"/>
  <c r="BM1573" i="140"/>
  <c r="BL1573" i="140"/>
  <c r="BK1573" i="140"/>
  <c r="BJ1573" i="140"/>
  <c r="BI1573" i="140"/>
  <c r="BH1573" i="140"/>
  <c r="BG1573" i="140"/>
  <c r="BM1572" i="140"/>
  <c r="BL1572" i="140"/>
  <c r="BK1572" i="140"/>
  <c r="BJ1572" i="140"/>
  <c r="BI1572" i="140"/>
  <c r="BH1572" i="140"/>
  <c r="BG1572" i="140"/>
  <c r="BM1571" i="140"/>
  <c r="BL1571" i="140"/>
  <c r="BK1571" i="140"/>
  <c r="BJ1571" i="140"/>
  <c r="BI1571" i="140"/>
  <c r="BH1571" i="140"/>
  <c r="BG1571" i="140"/>
  <c r="BM1570" i="140"/>
  <c r="BL1570" i="140"/>
  <c r="BK1570" i="140"/>
  <c r="BJ1570" i="140"/>
  <c r="BI1570" i="140"/>
  <c r="BH1570" i="140"/>
  <c r="BG1570" i="140"/>
  <c r="BM1569" i="140"/>
  <c r="BL1569" i="140"/>
  <c r="BK1569" i="140"/>
  <c r="BJ1569" i="140"/>
  <c r="BI1569" i="140"/>
  <c r="BH1569" i="140"/>
  <c r="BG1569" i="140"/>
  <c r="BM1568" i="140"/>
  <c r="BL1568" i="140"/>
  <c r="BK1568" i="140"/>
  <c r="BJ1568" i="140"/>
  <c r="BI1568" i="140"/>
  <c r="BH1568" i="140"/>
  <c r="BG1568" i="140"/>
  <c r="BM1567" i="140"/>
  <c r="BL1567" i="140"/>
  <c r="BK1567" i="140"/>
  <c r="BJ1567" i="140"/>
  <c r="BI1567" i="140"/>
  <c r="BH1567" i="140"/>
  <c r="BG1567" i="140"/>
  <c r="BM1566" i="140"/>
  <c r="BL1566" i="140"/>
  <c r="BK1566" i="140"/>
  <c r="BJ1566" i="140"/>
  <c r="BI1566" i="140"/>
  <c r="BH1566" i="140"/>
  <c r="BG1566" i="140"/>
  <c r="BM1565" i="140"/>
  <c r="BL1565" i="140"/>
  <c r="BK1565" i="140"/>
  <c r="BJ1565" i="140"/>
  <c r="BI1565" i="140"/>
  <c r="BH1565" i="140"/>
  <c r="BG1565" i="140"/>
  <c r="BM1564" i="140"/>
  <c r="BL1564" i="140"/>
  <c r="BK1564" i="140"/>
  <c r="BJ1564" i="140"/>
  <c r="BI1564" i="140"/>
  <c r="BH1564" i="140"/>
  <c r="BG1564" i="140"/>
  <c r="BM1563" i="140"/>
  <c r="BL1563" i="140"/>
  <c r="BK1563" i="140"/>
  <c r="BJ1563" i="140"/>
  <c r="BI1563" i="140"/>
  <c r="BH1563" i="140"/>
  <c r="BG1563" i="140"/>
  <c r="BM1562" i="140"/>
  <c r="BL1562" i="140"/>
  <c r="BK1562" i="140"/>
  <c r="BJ1562" i="140"/>
  <c r="BI1562" i="140"/>
  <c r="BH1562" i="140"/>
  <c r="BG1562" i="140"/>
  <c r="BM1561" i="140"/>
  <c r="BL1561" i="140"/>
  <c r="BK1561" i="140"/>
  <c r="BJ1561" i="140"/>
  <c r="BI1561" i="140"/>
  <c r="BH1561" i="140"/>
  <c r="BG1561" i="140"/>
  <c r="BM1560" i="140"/>
  <c r="BL1560" i="140"/>
  <c r="BK1560" i="140"/>
  <c r="BJ1560" i="140"/>
  <c r="BI1560" i="140"/>
  <c r="BH1560" i="140"/>
  <c r="BG1560" i="140"/>
  <c r="BM1559" i="140"/>
  <c r="BL1559" i="140"/>
  <c r="BK1559" i="140"/>
  <c r="BJ1559" i="140"/>
  <c r="BI1559" i="140"/>
  <c r="BH1559" i="140"/>
  <c r="BG1559" i="140"/>
  <c r="BM1558" i="140"/>
  <c r="BL1558" i="140"/>
  <c r="BK1558" i="140"/>
  <c r="BJ1558" i="140"/>
  <c r="BI1558" i="140"/>
  <c r="BH1558" i="140"/>
  <c r="BG1558" i="140"/>
  <c r="BM1557" i="140"/>
  <c r="BL1557" i="140"/>
  <c r="BK1557" i="140"/>
  <c r="BJ1557" i="140"/>
  <c r="BI1557" i="140"/>
  <c r="BH1557" i="140"/>
  <c r="BG1557" i="140"/>
  <c r="BM1556" i="140"/>
  <c r="BL1556" i="140"/>
  <c r="BK1556" i="140"/>
  <c r="BJ1556" i="140"/>
  <c r="BI1556" i="140"/>
  <c r="BH1556" i="140"/>
  <c r="BG1556" i="140"/>
  <c r="BM1555" i="140"/>
  <c r="BL1555" i="140"/>
  <c r="BK1555" i="140"/>
  <c r="BJ1555" i="140"/>
  <c r="BI1555" i="140"/>
  <c r="BH1555" i="140"/>
  <c r="BG1555" i="140"/>
  <c r="BM1554" i="140"/>
  <c r="BL1554" i="140"/>
  <c r="BK1554" i="140"/>
  <c r="BJ1554" i="140"/>
  <c r="BI1554" i="140"/>
  <c r="BH1554" i="140"/>
  <c r="BG1554" i="140"/>
  <c r="BM1553" i="140"/>
  <c r="BL1553" i="140"/>
  <c r="BK1553" i="140"/>
  <c r="BJ1553" i="140"/>
  <c r="BI1553" i="140"/>
  <c r="BH1553" i="140"/>
  <c r="BG1553" i="140"/>
  <c r="BM1552" i="140"/>
  <c r="BL1552" i="140"/>
  <c r="BK1552" i="140"/>
  <c r="BJ1552" i="140"/>
  <c r="BI1552" i="140"/>
  <c r="BH1552" i="140"/>
  <c r="BG1552" i="140"/>
  <c r="BM1551" i="140"/>
  <c r="BL1551" i="140"/>
  <c r="BK1551" i="140"/>
  <c r="BJ1551" i="140"/>
  <c r="BI1551" i="140"/>
  <c r="BH1551" i="140"/>
  <c r="BG1551" i="140"/>
  <c r="BM1550" i="140"/>
  <c r="BL1550" i="140"/>
  <c r="BK1550" i="140"/>
  <c r="BJ1550" i="140"/>
  <c r="BI1550" i="140"/>
  <c r="BH1550" i="140"/>
  <c r="BG1550" i="140"/>
  <c r="BM1549" i="140"/>
  <c r="BL1549" i="140"/>
  <c r="BK1549" i="140"/>
  <c r="BJ1549" i="140"/>
  <c r="BI1549" i="140"/>
  <c r="BH1549" i="140"/>
  <c r="BG1549" i="140"/>
  <c r="BM1548" i="140"/>
  <c r="BL1548" i="140"/>
  <c r="BK1548" i="140"/>
  <c r="BJ1548" i="140"/>
  <c r="BI1548" i="140"/>
  <c r="BH1548" i="140"/>
  <c r="BG1548" i="140"/>
  <c r="BM1547" i="140"/>
  <c r="BL1547" i="140"/>
  <c r="BK1547" i="140"/>
  <c r="BJ1547" i="140"/>
  <c r="BI1547" i="140"/>
  <c r="BH1547" i="140"/>
  <c r="BG1547" i="140"/>
  <c r="BM1546" i="140"/>
  <c r="BL1546" i="140"/>
  <c r="BK1546" i="140"/>
  <c r="BJ1546" i="140"/>
  <c r="BI1546" i="140"/>
  <c r="BH1546" i="140"/>
  <c r="BG1546" i="140"/>
  <c r="BM1545" i="140"/>
  <c r="BL1545" i="140"/>
  <c r="BK1545" i="140"/>
  <c r="BJ1545" i="140"/>
  <c r="BI1545" i="140"/>
  <c r="BH1545" i="140"/>
  <c r="BG1545" i="140"/>
  <c r="BM1544" i="140"/>
  <c r="BL1544" i="140"/>
  <c r="BK1544" i="140"/>
  <c r="BJ1544" i="140"/>
  <c r="BI1544" i="140"/>
  <c r="BH1544" i="140"/>
  <c r="BG1544" i="140"/>
  <c r="BM1543" i="140"/>
  <c r="BL1543" i="140"/>
  <c r="BK1543" i="140"/>
  <c r="BJ1543" i="140"/>
  <c r="BI1543" i="140"/>
  <c r="BH1543" i="140"/>
  <c r="BG1543" i="140"/>
  <c r="BM1542" i="140"/>
  <c r="BL1542" i="140"/>
  <c r="BK1542" i="140"/>
  <c r="BJ1542" i="140"/>
  <c r="BI1542" i="140"/>
  <c r="BH1542" i="140"/>
  <c r="BG1542" i="140"/>
  <c r="BM1541" i="140"/>
  <c r="BL1541" i="140"/>
  <c r="BK1541" i="140"/>
  <c r="BJ1541" i="140"/>
  <c r="BI1541" i="140"/>
  <c r="BH1541" i="140"/>
  <c r="BG1541" i="140"/>
  <c r="BM1540" i="140"/>
  <c r="BL1540" i="140"/>
  <c r="BK1540" i="140"/>
  <c r="BJ1540" i="140"/>
  <c r="BI1540" i="140"/>
  <c r="BH1540" i="140"/>
  <c r="BG1540" i="140"/>
  <c r="BM1539" i="140"/>
  <c r="BL1539" i="140"/>
  <c r="BK1539" i="140"/>
  <c r="BJ1539" i="140"/>
  <c r="BI1539" i="140"/>
  <c r="BH1539" i="140"/>
  <c r="BG1539" i="140"/>
  <c r="BM1538" i="140"/>
  <c r="BL1538" i="140"/>
  <c r="BK1538" i="140"/>
  <c r="BJ1538" i="140"/>
  <c r="BI1538" i="140"/>
  <c r="BH1538" i="140"/>
  <c r="BG1538" i="140"/>
  <c r="BM1537" i="140"/>
  <c r="BL1537" i="140"/>
  <c r="BK1537" i="140"/>
  <c r="BJ1537" i="140"/>
  <c r="BI1537" i="140"/>
  <c r="BH1537" i="140"/>
  <c r="BG1537" i="140"/>
  <c r="BM1536" i="140"/>
  <c r="BL1536" i="140"/>
  <c r="BK1536" i="140"/>
  <c r="BJ1536" i="140"/>
  <c r="BI1536" i="140"/>
  <c r="BH1536" i="140"/>
  <c r="BG1536" i="140"/>
  <c r="BM1535" i="140"/>
  <c r="BL1535" i="140"/>
  <c r="BK1535" i="140"/>
  <c r="BJ1535" i="140"/>
  <c r="BI1535" i="140"/>
  <c r="BH1535" i="140"/>
  <c r="BG1535" i="140"/>
  <c r="BM1534" i="140"/>
  <c r="BL1534" i="140"/>
  <c r="BK1534" i="140"/>
  <c r="BJ1534" i="140"/>
  <c r="BI1534" i="140"/>
  <c r="BH1534" i="140"/>
  <c r="BG1534" i="140"/>
  <c r="BM1533" i="140"/>
  <c r="BL1533" i="140"/>
  <c r="BK1533" i="140"/>
  <c r="BJ1533" i="140"/>
  <c r="BI1533" i="140"/>
  <c r="BH1533" i="140"/>
  <c r="BG1533" i="140"/>
  <c r="BM1532" i="140"/>
  <c r="BL1532" i="140"/>
  <c r="BK1532" i="140"/>
  <c r="BJ1532" i="140"/>
  <c r="BI1532" i="140"/>
  <c r="BH1532" i="140"/>
  <c r="BG1532" i="140"/>
  <c r="BM1531" i="140"/>
  <c r="BL1531" i="140"/>
  <c r="BK1531" i="140"/>
  <c r="BJ1531" i="140"/>
  <c r="BI1531" i="140"/>
  <c r="BH1531" i="140"/>
  <c r="BG1531" i="140"/>
  <c r="BM1530" i="140"/>
  <c r="BL1530" i="140"/>
  <c r="BK1530" i="140"/>
  <c r="BJ1530" i="140"/>
  <c r="BI1530" i="140"/>
  <c r="BH1530" i="140"/>
  <c r="BG1530" i="140"/>
  <c r="BM1529" i="140"/>
  <c r="BL1529" i="140"/>
  <c r="BK1529" i="140"/>
  <c r="BJ1529" i="140"/>
  <c r="BI1529" i="140"/>
  <c r="BH1529" i="140"/>
  <c r="BG1529" i="140"/>
  <c r="BM1528" i="140"/>
  <c r="BL1528" i="140"/>
  <c r="BK1528" i="140"/>
  <c r="BJ1528" i="140"/>
  <c r="BI1528" i="140"/>
  <c r="BH1528" i="140"/>
  <c r="BG1528" i="140"/>
  <c r="BM1527" i="140"/>
  <c r="BL1527" i="140"/>
  <c r="BK1527" i="140"/>
  <c r="BJ1527" i="140"/>
  <c r="BI1527" i="140"/>
  <c r="BH1527" i="140"/>
  <c r="BG1527" i="140"/>
  <c r="BM1526" i="140"/>
  <c r="BL1526" i="140"/>
  <c r="BK1526" i="140"/>
  <c r="BJ1526" i="140"/>
  <c r="BI1526" i="140"/>
  <c r="BH1526" i="140"/>
  <c r="BG1526" i="140"/>
  <c r="BM1525" i="140"/>
  <c r="BL1525" i="140"/>
  <c r="BK1525" i="140"/>
  <c r="BJ1525" i="140"/>
  <c r="BI1525" i="140"/>
  <c r="BH1525" i="140"/>
  <c r="BG1525" i="140"/>
  <c r="BM1524" i="140"/>
  <c r="BL1524" i="140"/>
  <c r="BK1524" i="140"/>
  <c r="BJ1524" i="140"/>
  <c r="BI1524" i="140"/>
  <c r="BH1524" i="140"/>
  <c r="BG1524" i="140"/>
  <c r="BM1523" i="140"/>
  <c r="BL1523" i="140"/>
  <c r="BK1523" i="140"/>
  <c r="BJ1523" i="140"/>
  <c r="BI1523" i="140"/>
  <c r="BH1523" i="140"/>
  <c r="BG1523" i="140"/>
  <c r="BM1522" i="140"/>
  <c r="BL1522" i="140"/>
  <c r="BK1522" i="140"/>
  <c r="BJ1522" i="140"/>
  <c r="BI1522" i="140"/>
  <c r="BH1522" i="140"/>
  <c r="BG1522" i="140"/>
  <c r="BM1521" i="140"/>
  <c r="BL1521" i="140"/>
  <c r="BK1521" i="140"/>
  <c r="BJ1521" i="140"/>
  <c r="BI1521" i="140"/>
  <c r="BH1521" i="140"/>
  <c r="BG1521" i="140"/>
  <c r="BM1520" i="140"/>
  <c r="BL1520" i="140"/>
  <c r="BK1520" i="140"/>
  <c r="BJ1520" i="140"/>
  <c r="BI1520" i="140"/>
  <c r="BH1520" i="140"/>
  <c r="BG1520" i="140"/>
  <c r="BM1519" i="140"/>
  <c r="BL1519" i="140"/>
  <c r="BK1519" i="140"/>
  <c r="BJ1519" i="140"/>
  <c r="BI1519" i="140"/>
  <c r="BH1519" i="140"/>
  <c r="BG1519" i="140"/>
  <c r="BM1518" i="140"/>
  <c r="BL1518" i="140"/>
  <c r="BK1518" i="140"/>
  <c r="BJ1518" i="140"/>
  <c r="BI1518" i="140"/>
  <c r="BH1518" i="140"/>
  <c r="BG1518" i="140"/>
  <c r="BM1517" i="140"/>
  <c r="BL1517" i="140"/>
  <c r="BK1517" i="140"/>
  <c r="BJ1517" i="140"/>
  <c r="BI1517" i="140"/>
  <c r="BH1517" i="140"/>
  <c r="BG1517" i="140"/>
  <c r="BM1516" i="140"/>
  <c r="BL1516" i="140"/>
  <c r="BK1516" i="140"/>
  <c r="BJ1516" i="140"/>
  <c r="BI1516" i="140"/>
  <c r="BH1516" i="140"/>
  <c r="BG1516" i="140"/>
  <c r="BM1515" i="140"/>
  <c r="BL1515" i="140"/>
  <c r="BK1515" i="140"/>
  <c r="BJ1515" i="140"/>
  <c r="BI1515" i="140"/>
  <c r="BH1515" i="140"/>
  <c r="BG1515" i="140"/>
  <c r="BM1514" i="140"/>
  <c r="BL1514" i="140"/>
  <c r="BK1514" i="140"/>
  <c r="BJ1514" i="140"/>
  <c r="BI1514" i="140"/>
  <c r="BH1514" i="140"/>
  <c r="BG1514" i="140"/>
  <c r="BM1513" i="140"/>
  <c r="BL1513" i="140"/>
  <c r="BK1513" i="140"/>
  <c r="BJ1513" i="140"/>
  <c r="BI1513" i="140"/>
  <c r="BH1513" i="140"/>
  <c r="BG1513" i="140"/>
  <c r="BM1512" i="140"/>
  <c r="BL1512" i="140"/>
  <c r="BK1512" i="140"/>
  <c r="BJ1512" i="140"/>
  <c r="BI1512" i="140"/>
  <c r="BH1512" i="140"/>
  <c r="BG1512" i="140"/>
  <c r="BM1511" i="140"/>
  <c r="BL1511" i="140"/>
  <c r="BK1511" i="140"/>
  <c r="BJ1511" i="140"/>
  <c r="BI1511" i="140"/>
  <c r="BH1511" i="140"/>
  <c r="BG1511" i="140"/>
  <c r="BM1510" i="140"/>
  <c r="BL1510" i="140"/>
  <c r="BK1510" i="140"/>
  <c r="BJ1510" i="140"/>
  <c r="BI1510" i="140"/>
  <c r="BH1510" i="140"/>
  <c r="BG1510" i="140"/>
  <c r="BM1509" i="140"/>
  <c r="BL1509" i="140"/>
  <c r="BK1509" i="140"/>
  <c r="BJ1509" i="140"/>
  <c r="BI1509" i="140"/>
  <c r="BH1509" i="140"/>
  <c r="BG1509" i="140"/>
  <c r="BM1508" i="140"/>
  <c r="BL1508" i="140"/>
  <c r="BK1508" i="140"/>
  <c r="BJ1508" i="140"/>
  <c r="BI1508" i="140"/>
  <c r="BH1508" i="140"/>
  <c r="BG1508" i="140"/>
  <c r="BM1507" i="140"/>
  <c r="BL1507" i="140"/>
  <c r="BK1507" i="140"/>
  <c r="BJ1507" i="140"/>
  <c r="BI1507" i="140"/>
  <c r="BH1507" i="140"/>
  <c r="BG1507" i="140"/>
  <c r="BM1506" i="140"/>
  <c r="BL1506" i="140"/>
  <c r="BK1506" i="140"/>
  <c r="BJ1506" i="140"/>
  <c r="BI1506" i="140"/>
  <c r="BH1506" i="140"/>
  <c r="BG1506" i="140"/>
  <c r="BM1505" i="140"/>
  <c r="BL1505" i="140"/>
  <c r="BK1505" i="140"/>
  <c r="BJ1505" i="140"/>
  <c r="BI1505" i="140"/>
  <c r="BH1505" i="140"/>
  <c r="BG1505" i="140"/>
  <c r="BM1504" i="140"/>
  <c r="BL1504" i="140"/>
  <c r="BK1504" i="140"/>
  <c r="BJ1504" i="140"/>
  <c r="BI1504" i="140"/>
  <c r="BH1504" i="140"/>
  <c r="BG1504" i="140"/>
  <c r="BM1503" i="140"/>
  <c r="BL1503" i="140"/>
  <c r="BK1503" i="140"/>
  <c r="BJ1503" i="140"/>
  <c r="BI1503" i="140"/>
  <c r="BH1503" i="140"/>
  <c r="BG1503" i="140"/>
  <c r="BM1502" i="140"/>
  <c r="BL1502" i="140"/>
  <c r="BK1502" i="140"/>
  <c r="BJ1502" i="140"/>
  <c r="BI1502" i="140"/>
  <c r="BH1502" i="140"/>
  <c r="BG1502" i="140"/>
  <c r="BM1501" i="140"/>
  <c r="BL1501" i="140"/>
  <c r="BK1501" i="140"/>
  <c r="BJ1501" i="140"/>
  <c r="BI1501" i="140"/>
  <c r="BH1501" i="140"/>
  <c r="BG1501" i="140"/>
  <c r="BM1500" i="140"/>
  <c r="BL1500" i="140"/>
  <c r="BK1500" i="140"/>
  <c r="BJ1500" i="140"/>
  <c r="BI1500" i="140"/>
  <c r="BH1500" i="140"/>
  <c r="BG1500" i="140"/>
  <c r="BM1499" i="140"/>
  <c r="BL1499" i="140"/>
  <c r="BK1499" i="140"/>
  <c r="BJ1499" i="140"/>
  <c r="BI1499" i="140"/>
  <c r="BH1499" i="140"/>
  <c r="BG1499" i="140"/>
  <c r="BM1498" i="140"/>
  <c r="BL1498" i="140"/>
  <c r="BK1498" i="140"/>
  <c r="BJ1498" i="140"/>
  <c r="BI1498" i="140"/>
  <c r="BH1498" i="140"/>
  <c r="BG1498" i="140"/>
  <c r="BM1497" i="140"/>
  <c r="BL1497" i="140"/>
  <c r="BK1497" i="140"/>
  <c r="BJ1497" i="140"/>
  <c r="BI1497" i="140"/>
  <c r="BH1497" i="140"/>
  <c r="BG1497" i="140"/>
  <c r="BM1496" i="140"/>
  <c r="BL1496" i="140"/>
  <c r="BK1496" i="140"/>
  <c r="BJ1496" i="140"/>
  <c r="BI1496" i="140"/>
  <c r="BH1496" i="140"/>
  <c r="BG1496" i="140"/>
  <c r="BM1495" i="140"/>
  <c r="BL1495" i="140"/>
  <c r="BK1495" i="140"/>
  <c r="BJ1495" i="140"/>
  <c r="BI1495" i="140"/>
  <c r="BH1495" i="140"/>
  <c r="BG1495" i="140"/>
  <c r="BM1494" i="140"/>
  <c r="BL1494" i="140"/>
  <c r="BK1494" i="140"/>
  <c r="BJ1494" i="140"/>
  <c r="BI1494" i="140"/>
  <c r="BH1494" i="140"/>
  <c r="BG1494" i="140"/>
  <c r="BM1493" i="140"/>
  <c r="BL1493" i="140"/>
  <c r="BK1493" i="140"/>
  <c r="BJ1493" i="140"/>
  <c r="BI1493" i="140"/>
  <c r="BH1493" i="140"/>
  <c r="BG1493" i="140"/>
  <c r="BM1492" i="140"/>
  <c r="BL1492" i="140"/>
  <c r="BK1492" i="140"/>
  <c r="BJ1492" i="140"/>
  <c r="BI1492" i="140"/>
  <c r="BH1492" i="140"/>
  <c r="BG1492" i="140"/>
  <c r="BM1491" i="140"/>
  <c r="BL1491" i="140"/>
  <c r="BK1491" i="140"/>
  <c r="BJ1491" i="140"/>
  <c r="BI1491" i="140"/>
  <c r="BH1491" i="140"/>
  <c r="BG1491" i="140"/>
  <c r="BM1490" i="140"/>
  <c r="BL1490" i="140"/>
  <c r="BK1490" i="140"/>
  <c r="BJ1490" i="140"/>
  <c r="BI1490" i="140"/>
  <c r="BH1490" i="140"/>
  <c r="BG1490" i="140"/>
  <c r="BM1489" i="140"/>
  <c r="BL1489" i="140"/>
  <c r="BK1489" i="140"/>
  <c r="BJ1489" i="140"/>
  <c r="BI1489" i="140"/>
  <c r="BH1489" i="140"/>
  <c r="BG1489" i="140"/>
  <c r="BM1488" i="140"/>
  <c r="BL1488" i="140"/>
  <c r="BK1488" i="140"/>
  <c r="BJ1488" i="140"/>
  <c r="BI1488" i="140"/>
  <c r="BH1488" i="140"/>
  <c r="BG1488" i="140"/>
  <c r="BM1487" i="140"/>
  <c r="BL1487" i="140"/>
  <c r="BK1487" i="140"/>
  <c r="BJ1487" i="140"/>
  <c r="BI1487" i="140"/>
  <c r="BH1487" i="140"/>
  <c r="BG1487" i="140"/>
  <c r="BM1486" i="140"/>
  <c r="BL1486" i="140"/>
  <c r="BK1486" i="140"/>
  <c r="BJ1486" i="140"/>
  <c r="BI1486" i="140"/>
  <c r="BH1486" i="140"/>
  <c r="BG1486" i="140"/>
  <c r="BM1485" i="140"/>
  <c r="BL1485" i="140"/>
  <c r="BK1485" i="140"/>
  <c r="BJ1485" i="140"/>
  <c r="BI1485" i="140"/>
  <c r="BH1485" i="140"/>
  <c r="BG1485" i="140"/>
  <c r="BM1484" i="140"/>
  <c r="BL1484" i="140"/>
  <c r="BK1484" i="140"/>
  <c r="BJ1484" i="140"/>
  <c r="BI1484" i="140"/>
  <c r="BH1484" i="140"/>
  <c r="BG1484" i="140"/>
  <c r="BM1483" i="140"/>
  <c r="BL1483" i="140"/>
  <c r="BK1483" i="140"/>
  <c r="BJ1483" i="140"/>
  <c r="BI1483" i="140"/>
  <c r="BH1483" i="140"/>
  <c r="BG1483" i="140"/>
  <c r="BM1482" i="140"/>
  <c r="BL1482" i="140"/>
  <c r="BK1482" i="140"/>
  <c r="BJ1482" i="140"/>
  <c r="BI1482" i="140"/>
  <c r="BH1482" i="140"/>
  <c r="BG1482" i="140"/>
  <c r="BM1481" i="140"/>
  <c r="BL1481" i="140"/>
  <c r="BK1481" i="140"/>
  <c r="BJ1481" i="140"/>
  <c r="BI1481" i="140"/>
  <c r="BH1481" i="140"/>
  <c r="BG1481" i="140"/>
  <c r="BM1480" i="140"/>
  <c r="BL1480" i="140"/>
  <c r="BK1480" i="140"/>
  <c r="BJ1480" i="140"/>
  <c r="BI1480" i="140"/>
  <c r="BH1480" i="140"/>
  <c r="BG1480" i="140"/>
  <c r="BM1479" i="140"/>
  <c r="BL1479" i="140"/>
  <c r="BK1479" i="140"/>
  <c r="BJ1479" i="140"/>
  <c r="BI1479" i="140"/>
  <c r="BH1479" i="140"/>
  <c r="BG1479" i="140"/>
  <c r="BM1478" i="140"/>
  <c r="BL1478" i="140"/>
  <c r="BK1478" i="140"/>
  <c r="BJ1478" i="140"/>
  <c r="BI1478" i="140"/>
  <c r="BH1478" i="140"/>
  <c r="BG1478" i="140"/>
  <c r="BM1477" i="140"/>
  <c r="BL1477" i="140"/>
  <c r="BK1477" i="140"/>
  <c r="BJ1477" i="140"/>
  <c r="BI1477" i="140"/>
  <c r="BH1477" i="140"/>
  <c r="BG1477" i="140"/>
  <c r="BM1476" i="140"/>
  <c r="BL1476" i="140"/>
  <c r="BK1476" i="140"/>
  <c r="BJ1476" i="140"/>
  <c r="BI1476" i="140"/>
  <c r="BH1476" i="140"/>
  <c r="BG1476" i="140"/>
  <c r="BM1475" i="140"/>
  <c r="BL1475" i="140"/>
  <c r="BK1475" i="140"/>
  <c r="BJ1475" i="140"/>
  <c r="BI1475" i="140"/>
  <c r="BH1475" i="140"/>
  <c r="BG1475" i="140"/>
  <c r="BM1474" i="140"/>
  <c r="BL1474" i="140"/>
  <c r="BK1474" i="140"/>
  <c r="BJ1474" i="140"/>
  <c r="BI1474" i="140"/>
  <c r="BH1474" i="140"/>
  <c r="BG1474" i="140"/>
  <c r="BM1473" i="140"/>
  <c r="BL1473" i="140"/>
  <c r="BK1473" i="140"/>
  <c r="BJ1473" i="140"/>
  <c r="BI1473" i="140"/>
  <c r="BH1473" i="140"/>
  <c r="BG1473" i="140"/>
  <c r="BM1472" i="140"/>
  <c r="BL1472" i="140"/>
  <c r="BK1472" i="140"/>
  <c r="BJ1472" i="140"/>
  <c r="BI1472" i="140"/>
  <c r="BH1472" i="140"/>
  <c r="BG1472" i="140"/>
  <c r="BM1471" i="140"/>
  <c r="BL1471" i="140"/>
  <c r="BK1471" i="140"/>
  <c r="BJ1471" i="140"/>
  <c r="BI1471" i="140"/>
  <c r="BH1471" i="140"/>
  <c r="BG1471" i="140"/>
  <c r="BM1470" i="140"/>
  <c r="BL1470" i="140"/>
  <c r="BK1470" i="140"/>
  <c r="BJ1470" i="140"/>
  <c r="BI1470" i="140"/>
  <c r="BH1470" i="140"/>
  <c r="BG1470" i="140"/>
  <c r="BM1469" i="140"/>
  <c r="BL1469" i="140"/>
  <c r="BK1469" i="140"/>
  <c r="BJ1469" i="140"/>
  <c r="BI1469" i="140"/>
  <c r="BH1469" i="140"/>
  <c r="BG1469" i="140"/>
  <c r="BM1468" i="140"/>
  <c r="BL1468" i="140"/>
  <c r="BK1468" i="140"/>
  <c r="BJ1468" i="140"/>
  <c r="BI1468" i="140"/>
  <c r="BH1468" i="140"/>
  <c r="BG1468" i="140"/>
  <c r="BM1467" i="140"/>
  <c r="BL1467" i="140"/>
  <c r="BK1467" i="140"/>
  <c r="BJ1467" i="140"/>
  <c r="BI1467" i="140"/>
  <c r="BH1467" i="140"/>
  <c r="BG1467" i="140"/>
  <c r="BM1466" i="140"/>
  <c r="BL1466" i="140"/>
  <c r="BK1466" i="140"/>
  <c r="BJ1466" i="140"/>
  <c r="BI1466" i="140"/>
  <c r="BH1466" i="140"/>
  <c r="BG1466" i="140"/>
  <c r="BM1465" i="140"/>
  <c r="BL1465" i="140"/>
  <c r="BK1465" i="140"/>
  <c r="BJ1465" i="140"/>
  <c r="BI1465" i="140"/>
  <c r="BH1465" i="140"/>
  <c r="BG1465" i="140"/>
  <c r="BM1464" i="140"/>
  <c r="BL1464" i="140"/>
  <c r="BK1464" i="140"/>
  <c r="BJ1464" i="140"/>
  <c r="BI1464" i="140"/>
  <c r="BH1464" i="140"/>
  <c r="BG1464" i="140"/>
  <c r="BM1463" i="140"/>
  <c r="BL1463" i="140"/>
  <c r="BK1463" i="140"/>
  <c r="BJ1463" i="140"/>
  <c r="BI1463" i="140"/>
  <c r="BH1463" i="140"/>
  <c r="BG1463" i="140"/>
  <c r="BM1462" i="140"/>
  <c r="BL1462" i="140"/>
  <c r="BK1462" i="140"/>
  <c r="BJ1462" i="140"/>
  <c r="BI1462" i="140"/>
  <c r="BH1462" i="140"/>
  <c r="BG1462" i="140"/>
  <c r="BM1461" i="140"/>
  <c r="BL1461" i="140"/>
  <c r="BK1461" i="140"/>
  <c r="BJ1461" i="140"/>
  <c r="BI1461" i="140"/>
  <c r="BH1461" i="140"/>
  <c r="BG1461" i="140"/>
  <c r="BM1460" i="140"/>
  <c r="BL1460" i="140"/>
  <c r="BK1460" i="140"/>
  <c r="BJ1460" i="140"/>
  <c r="BI1460" i="140"/>
  <c r="BH1460" i="140"/>
  <c r="BG1460" i="140"/>
  <c r="BM1459" i="140"/>
  <c r="BL1459" i="140"/>
  <c r="BK1459" i="140"/>
  <c r="BJ1459" i="140"/>
  <c r="BI1459" i="140"/>
  <c r="BH1459" i="140"/>
  <c r="BG1459" i="140"/>
  <c r="BM1458" i="140"/>
  <c r="BL1458" i="140"/>
  <c r="BK1458" i="140"/>
  <c r="BJ1458" i="140"/>
  <c r="BI1458" i="140"/>
  <c r="BH1458" i="140"/>
  <c r="BG1458" i="140"/>
  <c r="BM1457" i="140"/>
  <c r="BL1457" i="140"/>
  <c r="BK1457" i="140"/>
  <c r="BJ1457" i="140"/>
  <c r="BI1457" i="140"/>
  <c r="BH1457" i="140"/>
  <c r="BG1457" i="140"/>
  <c r="BM1456" i="140"/>
  <c r="BL1456" i="140"/>
  <c r="BK1456" i="140"/>
  <c r="BJ1456" i="140"/>
  <c r="BI1456" i="140"/>
  <c r="BH1456" i="140"/>
  <c r="BG1456" i="140"/>
  <c r="BM1455" i="140"/>
  <c r="BL1455" i="140"/>
  <c r="BK1455" i="140"/>
  <c r="BJ1455" i="140"/>
  <c r="BI1455" i="140"/>
  <c r="BH1455" i="140"/>
  <c r="BG1455" i="140"/>
  <c r="BM1454" i="140"/>
  <c r="BL1454" i="140"/>
  <c r="BK1454" i="140"/>
  <c r="BJ1454" i="140"/>
  <c r="BI1454" i="140"/>
  <c r="BH1454" i="140"/>
  <c r="BG1454" i="140"/>
  <c r="BM1453" i="140"/>
  <c r="BL1453" i="140"/>
  <c r="BK1453" i="140"/>
  <c r="BJ1453" i="140"/>
  <c r="BI1453" i="140"/>
  <c r="BH1453" i="140"/>
  <c r="BG1453" i="140"/>
  <c r="BM1452" i="140"/>
  <c r="BL1452" i="140"/>
  <c r="BK1452" i="140"/>
  <c r="BJ1452" i="140"/>
  <c r="BI1452" i="140"/>
  <c r="BH1452" i="140"/>
  <c r="BG1452" i="140"/>
  <c r="BM1451" i="140"/>
  <c r="BL1451" i="140"/>
  <c r="BK1451" i="140"/>
  <c r="BJ1451" i="140"/>
  <c r="BI1451" i="140"/>
  <c r="BH1451" i="140"/>
  <c r="BG1451" i="140"/>
  <c r="BM1450" i="140"/>
  <c r="BL1450" i="140"/>
  <c r="BK1450" i="140"/>
  <c r="BJ1450" i="140"/>
  <c r="BI1450" i="140"/>
  <c r="BH1450" i="140"/>
  <c r="BG1450" i="140"/>
  <c r="BM1449" i="140"/>
  <c r="BL1449" i="140"/>
  <c r="BK1449" i="140"/>
  <c r="BJ1449" i="140"/>
  <c r="BI1449" i="140"/>
  <c r="BH1449" i="140"/>
  <c r="BG1449" i="140"/>
  <c r="BM1448" i="140"/>
  <c r="BL1448" i="140"/>
  <c r="BK1448" i="140"/>
  <c r="BJ1448" i="140"/>
  <c r="BI1448" i="140"/>
  <c r="BH1448" i="140"/>
  <c r="BG1448" i="140"/>
  <c r="BM1447" i="140"/>
  <c r="BL1447" i="140"/>
  <c r="BK1447" i="140"/>
  <c r="BJ1447" i="140"/>
  <c r="BI1447" i="140"/>
  <c r="BH1447" i="140"/>
  <c r="BG1447" i="140"/>
  <c r="BM1446" i="140"/>
  <c r="BL1446" i="140"/>
  <c r="BK1446" i="140"/>
  <c r="BJ1446" i="140"/>
  <c r="BI1446" i="140"/>
  <c r="BH1446" i="140"/>
  <c r="BG1446" i="140"/>
  <c r="BM1445" i="140"/>
  <c r="BL1445" i="140"/>
  <c r="BK1445" i="140"/>
  <c r="BJ1445" i="140"/>
  <c r="BI1445" i="140"/>
  <c r="BH1445" i="140"/>
  <c r="BG1445" i="140"/>
  <c r="BM1444" i="140"/>
  <c r="BL1444" i="140"/>
  <c r="BK1444" i="140"/>
  <c r="BJ1444" i="140"/>
  <c r="BI1444" i="140"/>
  <c r="BH1444" i="140"/>
  <c r="BG1444" i="140"/>
  <c r="BM1443" i="140"/>
  <c r="BL1443" i="140"/>
  <c r="BK1443" i="140"/>
  <c r="BJ1443" i="140"/>
  <c r="BI1443" i="140"/>
  <c r="BH1443" i="140"/>
  <c r="BG1443" i="140"/>
  <c r="BM1442" i="140"/>
  <c r="BL1442" i="140"/>
  <c r="BK1442" i="140"/>
  <c r="BJ1442" i="140"/>
  <c r="BI1442" i="140"/>
  <c r="BH1442" i="140"/>
  <c r="BG1442" i="140"/>
  <c r="BM1441" i="140"/>
  <c r="BL1441" i="140"/>
  <c r="BK1441" i="140"/>
  <c r="BJ1441" i="140"/>
  <c r="BI1441" i="140"/>
  <c r="BH1441" i="140"/>
  <c r="BG1441" i="140"/>
  <c r="BM1440" i="140"/>
  <c r="BL1440" i="140"/>
  <c r="BK1440" i="140"/>
  <c r="BJ1440" i="140"/>
  <c r="BI1440" i="140"/>
  <c r="BH1440" i="140"/>
  <c r="BG1440" i="140"/>
  <c r="BM1439" i="140"/>
  <c r="BL1439" i="140"/>
  <c r="BK1439" i="140"/>
  <c r="BJ1439" i="140"/>
  <c r="BI1439" i="140"/>
  <c r="BH1439" i="140"/>
  <c r="BG1439" i="140"/>
  <c r="BM1438" i="140"/>
  <c r="BL1438" i="140"/>
  <c r="BK1438" i="140"/>
  <c r="BJ1438" i="140"/>
  <c r="BI1438" i="140"/>
  <c r="BH1438" i="140"/>
  <c r="BG1438" i="140"/>
  <c r="BM1437" i="140"/>
  <c r="BL1437" i="140"/>
  <c r="BK1437" i="140"/>
  <c r="BJ1437" i="140"/>
  <c r="BI1437" i="140"/>
  <c r="BH1437" i="140"/>
  <c r="BG1437" i="140"/>
  <c r="BM1436" i="140"/>
  <c r="BL1436" i="140"/>
  <c r="BK1436" i="140"/>
  <c r="BJ1436" i="140"/>
  <c r="BI1436" i="140"/>
  <c r="BH1436" i="140"/>
  <c r="BG1436" i="140"/>
  <c r="BM1435" i="140"/>
  <c r="BL1435" i="140"/>
  <c r="BK1435" i="140"/>
  <c r="BJ1435" i="140"/>
  <c r="BI1435" i="140"/>
  <c r="BH1435" i="140"/>
  <c r="BG1435" i="140"/>
  <c r="BM1434" i="140"/>
  <c r="BL1434" i="140"/>
  <c r="BK1434" i="140"/>
  <c r="BJ1434" i="140"/>
  <c r="BI1434" i="140"/>
  <c r="BH1434" i="140"/>
  <c r="BG1434" i="140"/>
  <c r="BM1433" i="140"/>
  <c r="BL1433" i="140"/>
  <c r="BK1433" i="140"/>
  <c r="BJ1433" i="140"/>
  <c r="BI1433" i="140"/>
  <c r="BH1433" i="140"/>
  <c r="BG1433" i="140"/>
  <c r="BM1432" i="140"/>
  <c r="BL1432" i="140"/>
  <c r="BK1432" i="140"/>
  <c r="BJ1432" i="140"/>
  <c r="BI1432" i="140"/>
  <c r="BH1432" i="140"/>
  <c r="BG1432" i="140"/>
  <c r="BM1431" i="140"/>
  <c r="BL1431" i="140"/>
  <c r="BK1431" i="140"/>
  <c r="BJ1431" i="140"/>
  <c r="BI1431" i="140"/>
  <c r="BH1431" i="140"/>
  <c r="BG1431" i="140"/>
  <c r="BM1430" i="140"/>
  <c r="BL1430" i="140"/>
  <c r="BK1430" i="140"/>
  <c r="BJ1430" i="140"/>
  <c r="BI1430" i="140"/>
  <c r="BH1430" i="140"/>
  <c r="BG1430" i="140"/>
  <c r="BM1429" i="140"/>
  <c r="BL1429" i="140"/>
  <c r="BK1429" i="140"/>
  <c r="BJ1429" i="140"/>
  <c r="BI1429" i="140"/>
  <c r="BH1429" i="140"/>
  <c r="BG1429" i="140"/>
  <c r="BM1428" i="140"/>
  <c r="BL1428" i="140"/>
  <c r="BK1428" i="140"/>
  <c r="BJ1428" i="140"/>
  <c r="BI1428" i="140"/>
  <c r="BH1428" i="140"/>
  <c r="BG1428" i="140"/>
  <c r="BM1427" i="140"/>
  <c r="BL1427" i="140"/>
  <c r="BK1427" i="140"/>
  <c r="BJ1427" i="140"/>
  <c r="BI1427" i="140"/>
  <c r="BH1427" i="140"/>
  <c r="BG1427" i="140"/>
  <c r="BM1426" i="140"/>
  <c r="BL1426" i="140"/>
  <c r="BK1426" i="140"/>
  <c r="BJ1426" i="140"/>
  <c r="BI1426" i="140"/>
  <c r="BH1426" i="140"/>
  <c r="BG1426" i="140"/>
  <c r="BM1425" i="140"/>
  <c r="BL1425" i="140"/>
  <c r="BK1425" i="140"/>
  <c r="BJ1425" i="140"/>
  <c r="BI1425" i="140"/>
  <c r="BH1425" i="140"/>
  <c r="BG1425" i="140"/>
  <c r="BM1424" i="140"/>
  <c r="BL1424" i="140"/>
  <c r="BK1424" i="140"/>
  <c r="BJ1424" i="140"/>
  <c r="BI1424" i="140"/>
  <c r="BH1424" i="140"/>
  <c r="BG1424" i="140"/>
  <c r="BM1423" i="140"/>
  <c r="BL1423" i="140"/>
  <c r="BK1423" i="140"/>
  <c r="BJ1423" i="140"/>
  <c r="BI1423" i="140"/>
  <c r="BH1423" i="140"/>
  <c r="BG1423" i="140"/>
  <c r="BM1422" i="140"/>
  <c r="BL1422" i="140"/>
  <c r="BK1422" i="140"/>
  <c r="BJ1422" i="140"/>
  <c r="BI1422" i="140"/>
  <c r="BH1422" i="140"/>
  <c r="BG1422" i="140"/>
  <c r="BM1421" i="140"/>
  <c r="BL1421" i="140"/>
  <c r="BK1421" i="140"/>
  <c r="BJ1421" i="140"/>
  <c r="BI1421" i="140"/>
  <c r="BH1421" i="140"/>
  <c r="BG1421" i="140"/>
  <c r="BM1420" i="140"/>
  <c r="BL1420" i="140"/>
  <c r="BK1420" i="140"/>
  <c r="BJ1420" i="140"/>
  <c r="BI1420" i="140"/>
  <c r="BH1420" i="140"/>
  <c r="BG1420" i="140"/>
  <c r="BM1419" i="140"/>
  <c r="BL1419" i="140"/>
  <c r="BK1419" i="140"/>
  <c r="BJ1419" i="140"/>
  <c r="BI1419" i="140"/>
  <c r="BH1419" i="140"/>
  <c r="BG1419" i="140"/>
  <c r="BM1418" i="140"/>
  <c r="BL1418" i="140"/>
  <c r="BK1418" i="140"/>
  <c r="BJ1418" i="140"/>
  <c r="BI1418" i="140"/>
  <c r="BH1418" i="140"/>
  <c r="BG1418" i="140"/>
  <c r="BM1417" i="140"/>
  <c r="BL1417" i="140"/>
  <c r="BK1417" i="140"/>
  <c r="BJ1417" i="140"/>
  <c r="BI1417" i="140"/>
  <c r="BH1417" i="140"/>
  <c r="BG1417" i="140"/>
  <c r="BM1416" i="140"/>
  <c r="BL1416" i="140"/>
  <c r="BK1416" i="140"/>
  <c r="BJ1416" i="140"/>
  <c r="BI1416" i="140"/>
  <c r="BH1416" i="140"/>
  <c r="BG1416" i="140"/>
  <c r="BM1415" i="140"/>
  <c r="BL1415" i="140"/>
  <c r="BK1415" i="140"/>
  <c r="BJ1415" i="140"/>
  <c r="BI1415" i="140"/>
  <c r="BH1415" i="140"/>
  <c r="BG1415" i="140"/>
  <c r="BM1414" i="140"/>
  <c r="BL1414" i="140"/>
  <c r="BK1414" i="140"/>
  <c r="BJ1414" i="140"/>
  <c r="BI1414" i="140"/>
  <c r="BH1414" i="140"/>
  <c r="BG1414" i="140"/>
  <c r="BM1413" i="140"/>
  <c r="BL1413" i="140"/>
  <c r="BK1413" i="140"/>
  <c r="BJ1413" i="140"/>
  <c r="BI1413" i="140"/>
  <c r="BH1413" i="140"/>
  <c r="BG1413" i="140"/>
  <c r="BM1412" i="140"/>
  <c r="BL1412" i="140"/>
  <c r="BK1412" i="140"/>
  <c r="BJ1412" i="140"/>
  <c r="BI1412" i="140"/>
  <c r="BH1412" i="140"/>
  <c r="BG1412" i="140"/>
  <c r="BM1411" i="140"/>
  <c r="BL1411" i="140"/>
  <c r="BK1411" i="140"/>
  <c r="BJ1411" i="140"/>
  <c r="BI1411" i="140"/>
  <c r="BH1411" i="140"/>
  <c r="BG1411" i="140"/>
  <c r="BM1410" i="140"/>
  <c r="BL1410" i="140"/>
  <c r="BK1410" i="140"/>
  <c r="BJ1410" i="140"/>
  <c r="BI1410" i="140"/>
  <c r="BH1410" i="140"/>
  <c r="BG1410" i="140"/>
  <c r="BM1409" i="140"/>
  <c r="BL1409" i="140"/>
  <c r="BK1409" i="140"/>
  <c r="BJ1409" i="140"/>
  <c r="BI1409" i="140"/>
  <c r="BH1409" i="140"/>
  <c r="BG1409" i="140"/>
  <c r="BM1408" i="140"/>
  <c r="BL1408" i="140"/>
  <c r="BK1408" i="140"/>
  <c r="BJ1408" i="140"/>
  <c r="BI1408" i="140"/>
  <c r="BH1408" i="140"/>
  <c r="BG1408" i="140"/>
  <c r="BM1407" i="140"/>
  <c r="BL1407" i="140"/>
  <c r="BK1407" i="140"/>
  <c r="BJ1407" i="140"/>
  <c r="BI1407" i="140"/>
  <c r="BH1407" i="140"/>
  <c r="BG1407" i="140"/>
  <c r="BM1406" i="140"/>
  <c r="BL1406" i="140"/>
  <c r="BK1406" i="140"/>
  <c r="BJ1406" i="140"/>
  <c r="BI1406" i="140"/>
  <c r="BH1406" i="140"/>
  <c r="BG1406" i="140"/>
  <c r="BM1405" i="140"/>
  <c r="BL1405" i="140"/>
  <c r="BK1405" i="140"/>
  <c r="BJ1405" i="140"/>
  <c r="BI1405" i="140"/>
  <c r="BH1405" i="140"/>
  <c r="BG1405" i="140"/>
  <c r="BM1404" i="140"/>
  <c r="BL1404" i="140"/>
  <c r="BK1404" i="140"/>
  <c r="BJ1404" i="140"/>
  <c r="BI1404" i="140"/>
  <c r="BH1404" i="140"/>
  <c r="BG1404" i="140"/>
  <c r="BM1403" i="140"/>
  <c r="BL1403" i="140"/>
  <c r="BK1403" i="140"/>
  <c r="BJ1403" i="140"/>
  <c r="BI1403" i="140"/>
  <c r="BH1403" i="140"/>
  <c r="BG1403" i="140"/>
  <c r="BM1402" i="140"/>
  <c r="BL1402" i="140"/>
  <c r="BK1402" i="140"/>
  <c r="BJ1402" i="140"/>
  <c r="BI1402" i="140"/>
  <c r="BH1402" i="140"/>
  <c r="BG1402" i="140"/>
  <c r="BM1401" i="140"/>
  <c r="BL1401" i="140"/>
  <c r="BK1401" i="140"/>
  <c r="BJ1401" i="140"/>
  <c r="BI1401" i="140"/>
  <c r="BH1401" i="140"/>
  <c r="BG1401" i="140"/>
  <c r="BM1400" i="140"/>
  <c r="BL1400" i="140"/>
  <c r="BK1400" i="140"/>
  <c r="BJ1400" i="140"/>
  <c r="BI1400" i="140"/>
  <c r="BH1400" i="140"/>
  <c r="BG1400" i="140"/>
  <c r="BM1399" i="140"/>
  <c r="BL1399" i="140"/>
  <c r="BK1399" i="140"/>
  <c r="BJ1399" i="140"/>
  <c r="BI1399" i="140"/>
  <c r="BH1399" i="140"/>
  <c r="BG1399" i="140"/>
  <c r="BM1398" i="140"/>
  <c r="BL1398" i="140"/>
  <c r="BK1398" i="140"/>
  <c r="BJ1398" i="140"/>
  <c r="BI1398" i="140"/>
  <c r="BH1398" i="140"/>
  <c r="BG1398" i="140"/>
  <c r="BM1397" i="140"/>
  <c r="BL1397" i="140"/>
  <c r="BK1397" i="140"/>
  <c r="BJ1397" i="140"/>
  <c r="BI1397" i="140"/>
  <c r="BH1397" i="140"/>
  <c r="BG1397" i="140"/>
  <c r="BM1396" i="140"/>
  <c r="BL1396" i="140"/>
  <c r="BK1396" i="140"/>
  <c r="BJ1396" i="140"/>
  <c r="BI1396" i="140"/>
  <c r="BH1396" i="140"/>
  <c r="BG1396" i="140"/>
  <c r="BM1395" i="140"/>
  <c r="BL1395" i="140"/>
  <c r="BK1395" i="140"/>
  <c r="BJ1395" i="140"/>
  <c r="BI1395" i="140"/>
  <c r="BH1395" i="140"/>
  <c r="BG1395" i="140"/>
  <c r="BM1394" i="140"/>
  <c r="BL1394" i="140"/>
  <c r="BK1394" i="140"/>
  <c r="BJ1394" i="140"/>
  <c r="BI1394" i="140"/>
  <c r="BH1394" i="140"/>
  <c r="BG1394" i="140"/>
  <c r="BM1393" i="140"/>
  <c r="BL1393" i="140"/>
  <c r="BK1393" i="140"/>
  <c r="BJ1393" i="140"/>
  <c r="BI1393" i="140"/>
  <c r="BH1393" i="140"/>
  <c r="BG1393" i="140"/>
  <c r="BM1392" i="140"/>
  <c r="BL1392" i="140"/>
  <c r="BK1392" i="140"/>
  <c r="BJ1392" i="140"/>
  <c r="BI1392" i="140"/>
  <c r="BH1392" i="140"/>
  <c r="BG1392" i="140"/>
  <c r="BM1391" i="140"/>
  <c r="BL1391" i="140"/>
  <c r="BK1391" i="140"/>
  <c r="BJ1391" i="140"/>
  <c r="BI1391" i="140"/>
  <c r="BH1391" i="140"/>
  <c r="BG1391" i="140"/>
  <c r="BM1390" i="140"/>
  <c r="BL1390" i="140"/>
  <c r="BK1390" i="140"/>
  <c r="BJ1390" i="140"/>
  <c r="BI1390" i="140"/>
  <c r="BH1390" i="140"/>
  <c r="BG1390" i="140"/>
  <c r="BM1389" i="140"/>
  <c r="BL1389" i="140"/>
  <c r="BK1389" i="140"/>
  <c r="BJ1389" i="140"/>
  <c r="BI1389" i="140"/>
  <c r="BH1389" i="140"/>
  <c r="BG1389" i="140"/>
  <c r="BM1388" i="140"/>
  <c r="BL1388" i="140"/>
  <c r="BK1388" i="140"/>
  <c r="BJ1388" i="140"/>
  <c r="BI1388" i="140"/>
  <c r="BH1388" i="140"/>
  <c r="BG1388" i="140"/>
  <c r="BM1387" i="140"/>
  <c r="BL1387" i="140"/>
  <c r="BK1387" i="140"/>
  <c r="BJ1387" i="140"/>
  <c r="BI1387" i="140"/>
  <c r="BH1387" i="140"/>
  <c r="BG1387" i="140"/>
  <c r="BM1386" i="140"/>
  <c r="BL1386" i="140"/>
  <c r="BK1386" i="140"/>
  <c r="BJ1386" i="140"/>
  <c r="BI1386" i="140"/>
  <c r="BH1386" i="140"/>
  <c r="BG1386" i="140"/>
  <c r="BM1385" i="140"/>
  <c r="BL1385" i="140"/>
  <c r="BK1385" i="140"/>
  <c r="BJ1385" i="140"/>
  <c r="BI1385" i="140"/>
  <c r="BH1385" i="140"/>
  <c r="BG1385" i="140"/>
  <c r="BM1384" i="140"/>
  <c r="BL1384" i="140"/>
  <c r="BK1384" i="140"/>
  <c r="BJ1384" i="140"/>
  <c r="BI1384" i="140"/>
  <c r="BH1384" i="140"/>
  <c r="BG1384" i="140"/>
  <c r="BM1383" i="140"/>
  <c r="BL1383" i="140"/>
  <c r="BK1383" i="140"/>
  <c r="BJ1383" i="140"/>
  <c r="BI1383" i="140"/>
  <c r="BH1383" i="140"/>
  <c r="BG1383" i="140"/>
  <c r="BM1382" i="140"/>
  <c r="BL1382" i="140"/>
  <c r="BK1382" i="140"/>
  <c r="BJ1382" i="140"/>
  <c r="BI1382" i="140"/>
  <c r="BH1382" i="140"/>
  <c r="BG1382" i="140"/>
  <c r="BM1381" i="140"/>
  <c r="BL1381" i="140"/>
  <c r="BK1381" i="140"/>
  <c r="BJ1381" i="140"/>
  <c r="BI1381" i="140"/>
  <c r="BH1381" i="140"/>
  <c r="BG1381" i="140"/>
  <c r="BM1380" i="140"/>
  <c r="BL1380" i="140"/>
  <c r="BK1380" i="140"/>
  <c r="BJ1380" i="140"/>
  <c r="BI1380" i="140"/>
  <c r="BH1380" i="140"/>
  <c r="BG1380" i="140"/>
  <c r="BM1379" i="140"/>
  <c r="BL1379" i="140"/>
  <c r="BK1379" i="140"/>
  <c r="BJ1379" i="140"/>
  <c r="BI1379" i="140"/>
  <c r="BH1379" i="140"/>
  <c r="BG1379" i="140"/>
  <c r="BM1378" i="140"/>
  <c r="BL1378" i="140"/>
  <c r="BK1378" i="140"/>
  <c r="BJ1378" i="140"/>
  <c r="BI1378" i="140"/>
  <c r="BH1378" i="140"/>
  <c r="BG1378" i="140"/>
  <c r="BM1377" i="140"/>
  <c r="BL1377" i="140"/>
  <c r="BK1377" i="140"/>
  <c r="BJ1377" i="140"/>
  <c r="BI1377" i="140"/>
  <c r="BH1377" i="140"/>
  <c r="BG1377" i="140"/>
  <c r="BM1376" i="140"/>
  <c r="BL1376" i="140"/>
  <c r="BK1376" i="140"/>
  <c r="BJ1376" i="140"/>
  <c r="BI1376" i="140"/>
  <c r="BH1376" i="140"/>
  <c r="BG1376" i="140"/>
  <c r="BM1375" i="140"/>
  <c r="BL1375" i="140"/>
  <c r="BK1375" i="140"/>
  <c r="BJ1375" i="140"/>
  <c r="BI1375" i="140"/>
  <c r="BH1375" i="140"/>
  <c r="BG1375" i="140"/>
  <c r="BM1374" i="140"/>
  <c r="BL1374" i="140"/>
  <c r="BK1374" i="140"/>
  <c r="BJ1374" i="140"/>
  <c r="BI1374" i="140"/>
  <c r="BH1374" i="140"/>
  <c r="BG1374" i="140"/>
  <c r="BM1373" i="140"/>
  <c r="BL1373" i="140"/>
  <c r="BK1373" i="140"/>
  <c r="BJ1373" i="140"/>
  <c r="BI1373" i="140"/>
  <c r="BH1373" i="140"/>
  <c r="BG1373" i="140"/>
  <c r="BM1372" i="140"/>
  <c r="BL1372" i="140"/>
  <c r="BK1372" i="140"/>
  <c r="BJ1372" i="140"/>
  <c r="BI1372" i="140"/>
  <c r="BH1372" i="140"/>
  <c r="BG1372" i="140"/>
  <c r="BM1371" i="140"/>
  <c r="BL1371" i="140"/>
  <c r="BK1371" i="140"/>
  <c r="BJ1371" i="140"/>
  <c r="BI1371" i="140"/>
  <c r="BH1371" i="140"/>
  <c r="BG1371" i="140"/>
  <c r="BM1370" i="140"/>
  <c r="BL1370" i="140"/>
  <c r="BK1370" i="140"/>
  <c r="BJ1370" i="140"/>
  <c r="BI1370" i="140"/>
  <c r="BH1370" i="140"/>
  <c r="BG1370" i="140"/>
  <c r="BM1369" i="140"/>
  <c r="BL1369" i="140"/>
  <c r="BK1369" i="140"/>
  <c r="BJ1369" i="140"/>
  <c r="BI1369" i="140"/>
  <c r="BH1369" i="140"/>
  <c r="BG1369" i="140"/>
  <c r="BM1368" i="140"/>
  <c r="BL1368" i="140"/>
  <c r="BK1368" i="140"/>
  <c r="BJ1368" i="140"/>
  <c r="BI1368" i="140"/>
  <c r="BH1368" i="140"/>
  <c r="BG1368" i="140"/>
  <c r="BM1367" i="140"/>
  <c r="BL1367" i="140"/>
  <c r="BK1367" i="140"/>
  <c r="BJ1367" i="140"/>
  <c r="BI1367" i="140"/>
  <c r="BH1367" i="140"/>
  <c r="BG1367" i="140"/>
  <c r="BM1366" i="140"/>
  <c r="BL1366" i="140"/>
  <c r="BK1366" i="140"/>
  <c r="BJ1366" i="140"/>
  <c r="BI1366" i="140"/>
  <c r="BH1366" i="140"/>
  <c r="BG1366" i="140"/>
  <c r="BM1365" i="140"/>
  <c r="BL1365" i="140"/>
  <c r="BK1365" i="140"/>
  <c r="BJ1365" i="140"/>
  <c r="BI1365" i="140"/>
  <c r="BH1365" i="140"/>
  <c r="BG1365" i="140"/>
  <c r="BM1364" i="140"/>
  <c r="BL1364" i="140"/>
  <c r="BK1364" i="140"/>
  <c r="BJ1364" i="140"/>
  <c r="BI1364" i="140"/>
  <c r="BH1364" i="140"/>
  <c r="BG1364" i="140"/>
  <c r="BM1363" i="140"/>
  <c r="BL1363" i="140"/>
  <c r="BK1363" i="140"/>
  <c r="BJ1363" i="140"/>
  <c r="BI1363" i="140"/>
  <c r="BH1363" i="140"/>
  <c r="BG1363" i="140"/>
  <c r="BM1362" i="140"/>
  <c r="BL1362" i="140"/>
  <c r="BK1362" i="140"/>
  <c r="BJ1362" i="140"/>
  <c r="BI1362" i="140"/>
  <c r="BH1362" i="140"/>
  <c r="BG1362" i="140"/>
  <c r="BM1361" i="140"/>
  <c r="BL1361" i="140"/>
  <c r="BK1361" i="140"/>
  <c r="BJ1361" i="140"/>
  <c r="BI1361" i="140"/>
  <c r="BH1361" i="140"/>
  <c r="BG1361" i="140"/>
  <c r="BM1360" i="140"/>
  <c r="BL1360" i="140"/>
  <c r="BK1360" i="140"/>
  <c r="BJ1360" i="140"/>
  <c r="BI1360" i="140"/>
  <c r="BH1360" i="140"/>
  <c r="BG1360" i="140"/>
  <c r="BM1359" i="140"/>
  <c r="BL1359" i="140"/>
  <c r="BK1359" i="140"/>
  <c r="BJ1359" i="140"/>
  <c r="BI1359" i="140"/>
  <c r="BH1359" i="140"/>
  <c r="BG1359" i="140"/>
  <c r="BM1358" i="140"/>
  <c r="BL1358" i="140"/>
  <c r="BK1358" i="140"/>
  <c r="BJ1358" i="140"/>
  <c r="BI1358" i="140"/>
  <c r="BH1358" i="140"/>
  <c r="BG1358" i="140"/>
  <c r="BM1357" i="140"/>
  <c r="BL1357" i="140"/>
  <c r="BK1357" i="140"/>
  <c r="BJ1357" i="140"/>
  <c r="BI1357" i="140"/>
  <c r="BH1357" i="140"/>
  <c r="BG1357" i="140"/>
  <c r="BM1356" i="140"/>
  <c r="BL1356" i="140"/>
  <c r="BK1356" i="140"/>
  <c r="BJ1356" i="140"/>
  <c r="BI1356" i="140"/>
  <c r="BH1356" i="140"/>
  <c r="BG1356" i="140"/>
  <c r="BM1355" i="140"/>
  <c r="BL1355" i="140"/>
  <c r="BK1355" i="140"/>
  <c r="BJ1355" i="140"/>
  <c r="BI1355" i="140"/>
  <c r="BH1355" i="140"/>
  <c r="BG1355" i="140"/>
  <c r="BM1354" i="140"/>
  <c r="BL1354" i="140"/>
  <c r="BK1354" i="140"/>
  <c r="BJ1354" i="140"/>
  <c r="BI1354" i="140"/>
  <c r="BH1354" i="140"/>
  <c r="BG1354" i="140"/>
  <c r="BM1353" i="140"/>
  <c r="BL1353" i="140"/>
  <c r="BK1353" i="140"/>
  <c r="BJ1353" i="140"/>
  <c r="BI1353" i="140"/>
  <c r="BH1353" i="140"/>
  <c r="BG1353" i="140"/>
  <c r="BM1352" i="140"/>
  <c r="BL1352" i="140"/>
  <c r="BK1352" i="140"/>
  <c r="BJ1352" i="140"/>
  <c r="BI1352" i="140"/>
  <c r="BH1352" i="140"/>
  <c r="BG1352" i="140"/>
  <c r="BM1351" i="140"/>
  <c r="BL1351" i="140"/>
  <c r="BK1351" i="140"/>
  <c r="BJ1351" i="140"/>
  <c r="BI1351" i="140"/>
  <c r="BH1351" i="140"/>
  <c r="BG1351" i="140"/>
  <c r="BM1350" i="140"/>
  <c r="BL1350" i="140"/>
  <c r="BK1350" i="140"/>
  <c r="BJ1350" i="140"/>
  <c r="BI1350" i="140"/>
  <c r="BH1350" i="140"/>
  <c r="BG1350" i="140"/>
  <c r="BM1349" i="140"/>
  <c r="BL1349" i="140"/>
  <c r="BK1349" i="140"/>
  <c r="BJ1349" i="140"/>
  <c r="BI1349" i="140"/>
  <c r="BH1349" i="140"/>
  <c r="BG1349" i="140"/>
  <c r="BM1348" i="140"/>
  <c r="BL1348" i="140"/>
  <c r="BK1348" i="140"/>
  <c r="BJ1348" i="140"/>
  <c r="BI1348" i="140"/>
  <c r="BH1348" i="140"/>
  <c r="BG1348" i="140"/>
  <c r="BM1347" i="140"/>
  <c r="BL1347" i="140"/>
  <c r="BK1347" i="140"/>
  <c r="BJ1347" i="140"/>
  <c r="BI1347" i="140"/>
  <c r="BH1347" i="140"/>
  <c r="BG1347" i="140"/>
  <c r="BM1346" i="140"/>
  <c r="BL1346" i="140"/>
  <c r="BK1346" i="140"/>
  <c r="BJ1346" i="140"/>
  <c r="BI1346" i="140"/>
  <c r="BH1346" i="140"/>
  <c r="BG1346" i="140"/>
  <c r="BM1345" i="140"/>
  <c r="BL1345" i="140"/>
  <c r="BK1345" i="140"/>
  <c r="BJ1345" i="140"/>
  <c r="BI1345" i="140"/>
  <c r="BH1345" i="140"/>
  <c r="BG1345" i="140"/>
  <c r="BM1344" i="140"/>
  <c r="BL1344" i="140"/>
  <c r="BK1344" i="140"/>
  <c r="BJ1344" i="140"/>
  <c r="BI1344" i="140"/>
  <c r="BH1344" i="140"/>
  <c r="BG1344" i="140"/>
  <c r="BM1343" i="140"/>
  <c r="BL1343" i="140"/>
  <c r="BK1343" i="140"/>
  <c r="BJ1343" i="140"/>
  <c r="BI1343" i="140"/>
  <c r="BH1343" i="140"/>
  <c r="BG1343" i="140"/>
  <c r="BM1342" i="140"/>
  <c r="BL1342" i="140"/>
  <c r="BK1342" i="140"/>
  <c r="BJ1342" i="140"/>
  <c r="BI1342" i="140"/>
  <c r="BH1342" i="140"/>
  <c r="BG1342" i="140"/>
  <c r="BM1341" i="140"/>
  <c r="BL1341" i="140"/>
  <c r="BK1341" i="140"/>
  <c r="BJ1341" i="140"/>
  <c r="BI1341" i="140"/>
  <c r="BH1341" i="140"/>
  <c r="BG1341" i="140"/>
  <c r="BM1340" i="140"/>
  <c r="BL1340" i="140"/>
  <c r="BK1340" i="140"/>
  <c r="BJ1340" i="140"/>
  <c r="BI1340" i="140"/>
  <c r="BH1340" i="140"/>
  <c r="BG1340" i="140"/>
  <c r="BM1339" i="140"/>
  <c r="BL1339" i="140"/>
  <c r="BK1339" i="140"/>
  <c r="BJ1339" i="140"/>
  <c r="BI1339" i="140"/>
  <c r="BH1339" i="140"/>
  <c r="BG1339" i="140"/>
  <c r="BM1338" i="140"/>
  <c r="BL1338" i="140"/>
  <c r="BK1338" i="140"/>
  <c r="BJ1338" i="140"/>
  <c r="BI1338" i="140"/>
  <c r="BH1338" i="140"/>
  <c r="BG1338" i="140"/>
  <c r="BM1337" i="140"/>
  <c r="BL1337" i="140"/>
  <c r="BK1337" i="140"/>
  <c r="BJ1337" i="140"/>
  <c r="BI1337" i="140"/>
  <c r="BH1337" i="140"/>
  <c r="BG1337" i="140"/>
  <c r="BM1336" i="140"/>
  <c r="BL1336" i="140"/>
  <c r="BK1336" i="140"/>
  <c r="BJ1336" i="140"/>
  <c r="BI1336" i="140"/>
  <c r="BH1336" i="140"/>
  <c r="BG1336" i="140"/>
  <c r="BM1335" i="140"/>
  <c r="BL1335" i="140"/>
  <c r="BK1335" i="140"/>
  <c r="BJ1335" i="140"/>
  <c r="BI1335" i="140"/>
  <c r="BH1335" i="140"/>
  <c r="BG1335" i="140"/>
  <c r="BM1334" i="140"/>
  <c r="BL1334" i="140"/>
  <c r="BK1334" i="140"/>
  <c r="BJ1334" i="140"/>
  <c r="BI1334" i="140"/>
  <c r="BH1334" i="140"/>
  <c r="BG1334" i="140"/>
  <c r="BM1333" i="140"/>
  <c r="BL1333" i="140"/>
  <c r="BK1333" i="140"/>
  <c r="BJ1333" i="140"/>
  <c r="BI1333" i="140"/>
  <c r="BH1333" i="140"/>
  <c r="BG1333" i="140"/>
  <c r="BM1332" i="140"/>
  <c r="BL1332" i="140"/>
  <c r="BK1332" i="140"/>
  <c r="BJ1332" i="140"/>
  <c r="BI1332" i="140"/>
  <c r="BH1332" i="140"/>
  <c r="BG1332" i="140"/>
  <c r="BM1331" i="140"/>
  <c r="BL1331" i="140"/>
  <c r="BK1331" i="140"/>
  <c r="BJ1331" i="140"/>
  <c r="BI1331" i="140"/>
  <c r="BH1331" i="140"/>
  <c r="BG1331" i="140"/>
  <c r="BM1330" i="140"/>
  <c r="BL1330" i="140"/>
  <c r="BK1330" i="140"/>
  <c r="BJ1330" i="140"/>
  <c r="BI1330" i="140"/>
  <c r="BH1330" i="140"/>
  <c r="BG1330" i="140"/>
  <c r="BM1329" i="140"/>
  <c r="BL1329" i="140"/>
  <c r="BK1329" i="140"/>
  <c r="BJ1329" i="140"/>
  <c r="BI1329" i="140"/>
  <c r="BH1329" i="140"/>
  <c r="BG1329" i="140"/>
  <c r="BM1328" i="140"/>
  <c r="BL1328" i="140"/>
  <c r="BK1328" i="140"/>
  <c r="BJ1328" i="140"/>
  <c r="BI1328" i="140"/>
  <c r="BH1328" i="140"/>
  <c r="BG1328" i="140"/>
  <c r="BM1327" i="140"/>
  <c r="BL1327" i="140"/>
  <c r="BK1327" i="140"/>
  <c r="BJ1327" i="140"/>
  <c r="BI1327" i="140"/>
  <c r="BH1327" i="140"/>
  <c r="BG1327" i="140"/>
  <c r="BM1326" i="140"/>
  <c r="BL1326" i="140"/>
  <c r="BK1326" i="140"/>
  <c r="BJ1326" i="140"/>
  <c r="BI1326" i="140"/>
  <c r="BH1326" i="140"/>
  <c r="BG1326" i="140"/>
  <c r="BM1325" i="140"/>
  <c r="BL1325" i="140"/>
  <c r="BK1325" i="140"/>
  <c r="BJ1325" i="140"/>
  <c r="BI1325" i="140"/>
  <c r="BH1325" i="140"/>
  <c r="BG1325" i="140"/>
  <c r="BM1324" i="140"/>
  <c r="BL1324" i="140"/>
  <c r="BK1324" i="140"/>
  <c r="BJ1324" i="140"/>
  <c r="BI1324" i="140"/>
  <c r="BH1324" i="140"/>
  <c r="BG1324" i="140"/>
  <c r="BM1323" i="140"/>
  <c r="BL1323" i="140"/>
  <c r="BK1323" i="140"/>
  <c r="BJ1323" i="140"/>
  <c r="BI1323" i="140"/>
  <c r="BH1323" i="140"/>
  <c r="BG1323" i="140"/>
  <c r="BM1322" i="140"/>
  <c r="BL1322" i="140"/>
  <c r="BK1322" i="140"/>
  <c r="BJ1322" i="140"/>
  <c r="BI1322" i="140"/>
  <c r="BH1322" i="140"/>
  <c r="BG1322" i="140"/>
  <c r="BM1321" i="140"/>
  <c r="BL1321" i="140"/>
  <c r="BK1321" i="140"/>
  <c r="BJ1321" i="140"/>
  <c r="BI1321" i="140"/>
  <c r="BH1321" i="140"/>
  <c r="BG1321" i="140"/>
  <c r="BM1320" i="140"/>
  <c r="BL1320" i="140"/>
  <c r="BK1320" i="140"/>
  <c r="BJ1320" i="140"/>
  <c r="BI1320" i="140"/>
  <c r="BH1320" i="140"/>
  <c r="BG1320" i="140"/>
  <c r="BM1319" i="140"/>
  <c r="BL1319" i="140"/>
  <c r="BK1319" i="140"/>
  <c r="BJ1319" i="140"/>
  <c r="BI1319" i="140"/>
  <c r="BH1319" i="140"/>
  <c r="BG1319" i="140"/>
  <c r="BM1318" i="140"/>
  <c r="BL1318" i="140"/>
  <c r="BK1318" i="140"/>
  <c r="BJ1318" i="140"/>
  <c r="BI1318" i="140"/>
  <c r="BH1318" i="140"/>
  <c r="BG1318" i="140"/>
  <c r="BM1317" i="140"/>
  <c r="BL1317" i="140"/>
  <c r="BK1317" i="140"/>
  <c r="BJ1317" i="140"/>
  <c r="BI1317" i="140"/>
  <c r="BH1317" i="140"/>
  <c r="BG1317" i="140"/>
  <c r="BM1316" i="140"/>
  <c r="BL1316" i="140"/>
  <c r="BK1316" i="140"/>
  <c r="BJ1316" i="140"/>
  <c r="BI1316" i="140"/>
  <c r="BH1316" i="140"/>
  <c r="BG1316" i="140"/>
  <c r="BM1315" i="140"/>
  <c r="BL1315" i="140"/>
  <c r="BK1315" i="140"/>
  <c r="BJ1315" i="140"/>
  <c r="BI1315" i="140"/>
  <c r="BH1315" i="140"/>
  <c r="BG1315" i="140"/>
  <c r="BM1314" i="140"/>
  <c r="BL1314" i="140"/>
  <c r="BK1314" i="140"/>
  <c r="BJ1314" i="140"/>
  <c r="BI1314" i="140"/>
  <c r="BH1314" i="140"/>
  <c r="BG1314" i="140"/>
  <c r="BM1313" i="140"/>
  <c r="BL1313" i="140"/>
  <c r="BK1313" i="140"/>
  <c r="BJ1313" i="140"/>
  <c r="BI1313" i="140"/>
  <c r="BH1313" i="140"/>
  <c r="BG1313" i="140"/>
  <c r="BM1312" i="140"/>
  <c r="BL1312" i="140"/>
  <c r="BK1312" i="140"/>
  <c r="BJ1312" i="140"/>
  <c r="BI1312" i="140"/>
  <c r="BH1312" i="140"/>
  <c r="BG1312" i="140"/>
  <c r="BM1311" i="140"/>
  <c r="BL1311" i="140"/>
  <c r="BK1311" i="140"/>
  <c r="BJ1311" i="140"/>
  <c r="BI1311" i="140"/>
  <c r="BH1311" i="140"/>
  <c r="BG1311" i="140"/>
  <c r="BM1310" i="140"/>
  <c r="BL1310" i="140"/>
  <c r="BK1310" i="140"/>
  <c r="BJ1310" i="140"/>
  <c r="BI1310" i="140"/>
  <c r="BH1310" i="140"/>
  <c r="BG1310" i="140"/>
  <c r="BM1309" i="140"/>
  <c r="BL1309" i="140"/>
  <c r="BK1309" i="140"/>
  <c r="BJ1309" i="140"/>
  <c r="BI1309" i="140"/>
  <c r="BH1309" i="140"/>
  <c r="BG1309" i="140"/>
  <c r="BM1308" i="140"/>
  <c r="BL1308" i="140"/>
  <c r="BK1308" i="140"/>
  <c r="BJ1308" i="140"/>
  <c r="BI1308" i="140"/>
  <c r="BH1308" i="140"/>
  <c r="BG1308" i="140"/>
  <c r="BM1307" i="140"/>
  <c r="BL1307" i="140"/>
  <c r="BK1307" i="140"/>
  <c r="BJ1307" i="140"/>
  <c r="BI1307" i="140"/>
  <c r="BH1307" i="140"/>
  <c r="BG1307" i="140"/>
  <c r="BM1306" i="140"/>
  <c r="BL1306" i="140"/>
  <c r="BK1306" i="140"/>
  <c r="BJ1306" i="140"/>
  <c r="BI1306" i="140"/>
  <c r="BH1306" i="140"/>
  <c r="BG1306" i="140"/>
  <c r="BM1305" i="140"/>
  <c r="BL1305" i="140"/>
  <c r="BK1305" i="140"/>
  <c r="BJ1305" i="140"/>
  <c r="BI1305" i="140"/>
  <c r="BH1305" i="140"/>
  <c r="BG1305" i="140"/>
  <c r="BM1304" i="140"/>
  <c r="BL1304" i="140"/>
  <c r="BK1304" i="140"/>
  <c r="BJ1304" i="140"/>
  <c r="BI1304" i="140"/>
  <c r="BH1304" i="140"/>
  <c r="BG1304" i="140"/>
  <c r="BM1303" i="140"/>
  <c r="BL1303" i="140"/>
  <c r="BK1303" i="140"/>
  <c r="BJ1303" i="140"/>
  <c r="BI1303" i="140"/>
  <c r="BH1303" i="140"/>
  <c r="BG1303" i="140"/>
  <c r="BM1302" i="140"/>
  <c r="BL1302" i="140"/>
  <c r="BK1302" i="140"/>
  <c r="BJ1302" i="140"/>
  <c r="BI1302" i="140"/>
  <c r="BH1302" i="140"/>
  <c r="BG1302" i="140"/>
  <c r="BM1301" i="140"/>
  <c r="BL1301" i="140"/>
  <c r="BK1301" i="140"/>
  <c r="BJ1301" i="140"/>
  <c r="BI1301" i="140"/>
  <c r="BH1301" i="140"/>
  <c r="BG1301" i="140"/>
  <c r="BM1300" i="140"/>
  <c r="BL1300" i="140"/>
  <c r="BK1300" i="140"/>
  <c r="BJ1300" i="140"/>
  <c r="BI1300" i="140"/>
  <c r="BH1300" i="140"/>
  <c r="BG1300" i="140"/>
  <c r="BM1299" i="140"/>
  <c r="BL1299" i="140"/>
  <c r="BK1299" i="140"/>
  <c r="BJ1299" i="140"/>
  <c r="BI1299" i="140"/>
  <c r="BH1299" i="140"/>
  <c r="BG1299" i="140"/>
  <c r="BM1298" i="140"/>
  <c r="BL1298" i="140"/>
  <c r="BK1298" i="140"/>
  <c r="BJ1298" i="140"/>
  <c r="BI1298" i="140"/>
  <c r="BH1298" i="140"/>
  <c r="BG1298" i="140"/>
  <c r="BM1297" i="140"/>
  <c r="BL1297" i="140"/>
  <c r="BK1297" i="140"/>
  <c r="BJ1297" i="140"/>
  <c r="BI1297" i="140"/>
  <c r="BH1297" i="140"/>
  <c r="BG1297" i="140"/>
  <c r="BM1296" i="140"/>
  <c r="BL1296" i="140"/>
  <c r="BK1296" i="140"/>
  <c r="BJ1296" i="140"/>
  <c r="BI1296" i="140"/>
  <c r="BH1296" i="140"/>
  <c r="BG1296" i="140"/>
  <c r="BM1295" i="140"/>
  <c r="BL1295" i="140"/>
  <c r="BK1295" i="140"/>
  <c r="BJ1295" i="140"/>
  <c r="BI1295" i="140"/>
  <c r="BH1295" i="140"/>
  <c r="BG1295" i="140"/>
  <c r="BM1294" i="140"/>
  <c r="BL1294" i="140"/>
  <c r="BK1294" i="140"/>
  <c r="BJ1294" i="140"/>
  <c r="BI1294" i="140"/>
  <c r="BH1294" i="140"/>
  <c r="BG1294" i="140"/>
  <c r="BM1293" i="140"/>
  <c r="BL1293" i="140"/>
  <c r="BK1293" i="140"/>
  <c r="BJ1293" i="140"/>
  <c r="BI1293" i="140"/>
  <c r="BH1293" i="140"/>
  <c r="BG1293" i="140"/>
  <c r="BM1292" i="140"/>
  <c r="BL1292" i="140"/>
  <c r="BK1292" i="140"/>
  <c r="BJ1292" i="140"/>
  <c r="BI1292" i="140"/>
  <c r="BH1292" i="140"/>
  <c r="BG1292" i="140"/>
  <c r="BM1291" i="140"/>
  <c r="BL1291" i="140"/>
  <c r="BK1291" i="140"/>
  <c r="BJ1291" i="140"/>
  <c r="BI1291" i="140"/>
  <c r="BH1291" i="140"/>
  <c r="BG1291" i="140"/>
  <c r="BM1290" i="140"/>
  <c r="BL1290" i="140"/>
  <c r="BK1290" i="140"/>
  <c r="BJ1290" i="140"/>
  <c r="BI1290" i="140"/>
  <c r="BH1290" i="140"/>
  <c r="BG1290" i="140"/>
  <c r="BM1289" i="140"/>
  <c r="BL1289" i="140"/>
  <c r="BK1289" i="140"/>
  <c r="BJ1289" i="140"/>
  <c r="BI1289" i="140"/>
  <c r="BH1289" i="140"/>
  <c r="BG1289" i="140"/>
  <c r="BM1288" i="140"/>
  <c r="BL1288" i="140"/>
  <c r="BK1288" i="140"/>
  <c r="BJ1288" i="140"/>
  <c r="BI1288" i="140"/>
  <c r="BH1288" i="140"/>
  <c r="BG1288" i="140"/>
  <c r="BM1287" i="140"/>
  <c r="BL1287" i="140"/>
  <c r="BK1287" i="140"/>
  <c r="BJ1287" i="140"/>
  <c r="BI1287" i="140"/>
  <c r="BH1287" i="140"/>
  <c r="BG1287" i="140"/>
  <c r="BM1286" i="140"/>
  <c r="BL1286" i="140"/>
  <c r="BK1286" i="140"/>
  <c r="BJ1286" i="140"/>
  <c r="BI1286" i="140"/>
  <c r="BH1286" i="140"/>
  <c r="BG1286" i="140"/>
  <c r="BM1285" i="140"/>
  <c r="BL1285" i="140"/>
  <c r="BK1285" i="140"/>
  <c r="BJ1285" i="140"/>
  <c r="BI1285" i="140"/>
  <c r="BH1285" i="140"/>
  <c r="BG1285" i="140"/>
  <c r="BM1284" i="140"/>
  <c r="BL1284" i="140"/>
  <c r="BK1284" i="140"/>
  <c r="BJ1284" i="140"/>
  <c r="BI1284" i="140"/>
  <c r="BH1284" i="140"/>
  <c r="BG1284" i="140"/>
  <c r="BM1283" i="140"/>
  <c r="BL1283" i="140"/>
  <c r="BK1283" i="140"/>
  <c r="BJ1283" i="140"/>
  <c r="BI1283" i="140"/>
  <c r="BH1283" i="140"/>
  <c r="BG1283" i="140"/>
  <c r="BM1282" i="140"/>
  <c r="BL1282" i="140"/>
  <c r="BK1282" i="140"/>
  <c r="BJ1282" i="140"/>
  <c r="BI1282" i="140"/>
  <c r="BH1282" i="140"/>
  <c r="BG1282" i="140"/>
  <c r="BM1281" i="140"/>
  <c r="BL1281" i="140"/>
  <c r="BK1281" i="140"/>
  <c r="BJ1281" i="140"/>
  <c r="BI1281" i="140"/>
  <c r="BH1281" i="140"/>
  <c r="BG1281" i="140"/>
  <c r="BM1280" i="140"/>
  <c r="BL1280" i="140"/>
  <c r="BK1280" i="140"/>
  <c r="BJ1280" i="140"/>
  <c r="BI1280" i="140"/>
  <c r="BH1280" i="140"/>
  <c r="BG1280" i="140"/>
  <c r="BM1279" i="140"/>
  <c r="BL1279" i="140"/>
  <c r="BK1279" i="140"/>
  <c r="BJ1279" i="140"/>
  <c r="BI1279" i="140"/>
  <c r="BH1279" i="140"/>
  <c r="BG1279" i="140"/>
  <c r="BM1278" i="140"/>
  <c r="BL1278" i="140"/>
  <c r="BK1278" i="140"/>
  <c r="BJ1278" i="140"/>
  <c r="BI1278" i="140"/>
  <c r="BH1278" i="140"/>
  <c r="BG1278" i="140"/>
  <c r="BM1277" i="140"/>
  <c r="BL1277" i="140"/>
  <c r="BK1277" i="140"/>
  <c r="BJ1277" i="140"/>
  <c r="BI1277" i="140"/>
  <c r="BH1277" i="140"/>
  <c r="BG1277" i="140"/>
  <c r="BM1276" i="140"/>
  <c r="BL1276" i="140"/>
  <c r="BK1276" i="140"/>
  <c r="BJ1276" i="140"/>
  <c r="BI1276" i="140"/>
  <c r="BH1276" i="140"/>
  <c r="BG1276" i="140"/>
  <c r="BM1275" i="140"/>
  <c r="BL1275" i="140"/>
  <c r="BK1275" i="140"/>
  <c r="BJ1275" i="140"/>
  <c r="BI1275" i="140"/>
  <c r="BH1275" i="140"/>
  <c r="BG1275" i="140"/>
  <c r="BM1274" i="140"/>
  <c r="BL1274" i="140"/>
  <c r="BK1274" i="140"/>
  <c r="BJ1274" i="140"/>
  <c r="BI1274" i="140"/>
  <c r="BH1274" i="140"/>
  <c r="BG1274" i="140"/>
  <c r="BM1273" i="140"/>
  <c r="BL1273" i="140"/>
  <c r="BK1273" i="140"/>
  <c r="BJ1273" i="140"/>
  <c r="BI1273" i="140"/>
  <c r="BH1273" i="140"/>
  <c r="BG1273" i="140"/>
  <c r="BM1272" i="140"/>
  <c r="BL1272" i="140"/>
  <c r="BK1272" i="140"/>
  <c r="BJ1272" i="140"/>
  <c r="BI1272" i="140"/>
  <c r="BH1272" i="140"/>
  <c r="BG1272" i="140"/>
  <c r="BM1271" i="140"/>
  <c r="BL1271" i="140"/>
  <c r="BK1271" i="140"/>
  <c r="BJ1271" i="140"/>
  <c r="BI1271" i="140"/>
  <c r="BH1271" i="140"/>
  <c r="BG1271" i="140"/>
  <c r="BM1270" i="140"/>
  <c r="BL1270" i="140"/>
  <c r="BK1270" i="140"/>
  <c r="BJ1270" i="140"/>
  <c r="BI1270" i="140"/>
  <c r="BH1270" i="140"/>
  <c r="BG1270" i="140"/>
  <c r="BM1269" i="140"/>
  <c r="BL1269" i="140"/>
  <c r="BK1269" i="140"/>
  <c r="BJ1269" i="140"/>
  <c r="BI1269" i="140"/>
  <c r="BH1269" i="140"/>
  <c r="BG1269" i="140"/>
  <c r="BM1268" i="140"/>
  <c r="BL1268" i="140"/>
  <c r="BK1268" i="140"/>
  <c r="BJ1268" i="140"/>
  <c r="BI1268" i="140"/>
  <c r="BH1268" i="140"/>
  <c r="BG1268" i="140"/>
  <c r="BM1267" i="140"/>
  <c r="BL1267" i="140"/>
  <c r="BK1267" i="140"/>
  <c r="BJ1267" i="140"/>
  <c r="BI1267" i="140"/>
  <c r="BH1267" i="140"/>
  <c r="BG1267" i="140"/>
  <c r="BM1266" i="140"/>
  <c r="BL1266" i="140"/>
  <c r="BK1266" i="140"/>
  <c r="BJ1266" i="140"/>
  <c r="BI1266" i="140"/>
  <c r="BH1266" i="140"/>
  <c r="BG1266" i="140"/>
  <c r="BM1265" i="140"/>
  <c r="BL1265" i="140"/>
  <c r="BK1265" i="140"/>
  <c r="BJ1265" i="140"/>
  <c r="BI1265" i="140"/>
  <c r="BH1265" i="140"/>
  <c r="BG1265" i="140"/>
  <c r="BM1264" i="140"/>
  <c r="BL1264" i="140"/>
  <c r="BK1264" i="140"/>
  <c r="BJ1264" i="140"/>
  <c r="BI1264" i="140"/>
  <c r="BH1264" i="140"/>
  <c r="BG1264" i="140"/>
  <c r="BM1263" i="140"/>
  <c r="BL1263" i="140"/>
  <c r="BK1263" i="140"/>
  <c r="BJ1263" i="140"/>
  <c r="BI1263" i="140"/>
  <c r="BH1263" i="140"/>
  <c r="BG1263" i="140"/>
  <c r="BM1262" i="140"/>
  <c r="BL1262" i="140"/>
  <c r="BK1262" i="140"/>
  <c r="BJ1262" i="140"/>
  <c r="BI1262" i="140"/>
  <c r="BH1262" i="140"/>
  <c r="BG1262" i="140"/>
  <c r="BM1261" i="140"/>
  <c r="BL1261" i="140"/>
  <c r="BK1261" i="140"/>
  <c r="BJ1261" i="140"/>
  <c r="BI1261" i="140"/>
  <c r="BH1261" i="140"/>
  <c r="BG1261" i="140"/>
  <c r="BM1260" i="140"/>
  <c r="BL1260" i="140"/>
  <c r="BK1260" i="140"/>
  <c r="BJ1260" i="140"/>
  <c r="BI1260" i="140"/>
  <c r="BH1260" i="140"/>
  <c r="BG1260" i="140"/>
  <c r="BM1259" i="140"/>
  <c r="BL1259" i="140"/>
  <c r="BK1259" i="140"/>
  <c r="BJ1259" i="140"/>
  <c r="BI1259" i="140"/>
  <c r="BH1259" i="140"/>
  <c r="BG1259" i="140"/>
  <c r="BM1258" i="140"/>
  <c r="BL1258" i="140"/>
  <c r="BK1258" i="140"/>
  <c r="BJ1258" i="140"/>
  <c r="BI1258" i="140"/>
  <c r="BH1258" i="140"/>
  <c r="BG1258" i="140"/>
  <c r="BM1257" i="140"/>
  <c r="BL1257" i="140"/>
  <c r="BK1257" i="140"/>
  <c r="BJ1257" i="140"/>
  <c r="BI1257" i="140"/>
  <c r="BH1257" i="140"/>
  <c r="BG1257" i="140"/>
  <c r="BM1256" i="140"/>
  <c r="BL1256" i="140"/>
  <c r="BK1256" i="140"/>
  <c r="BJ1256" i="140"/>
  <c r="BI1256" i="140"/>
  <c r="BH1256" i="140"/>
  <c r="BG1256" i="140"/>
  <c r="BM1255" i="140"/>
  <c r="BL1255" i="140"/>
  <c r="BK1255" i="140"/>
  <c r="BJ1255" i="140"/>
  <c r="BI1255" i="140"/>
  <c r="BH1255" i="140"/>
  <c r="BG1255" i="140"/>
  <c r="BM1254" i="140"/>
  <c r="BL1254" i="140"/>
  <c r="BK1254" i="140"/>
  <c r="BJ1254" i="140"/>
  <c r="BI1254" i="140"/>
  <c r="BH1254" i="140"/>
  <c r="BG1254" i="140"/>
  <c r="BM1253" i="140"/>
  <c r="BL1253" i="140"/>
  <c r="BK1253" i="140"/>
  <c r="BJ1253" i="140"/>
  <c r="BI1253" i="140"/>
  <c r="BH1253" i="140"/>
  <c r="BG1253" i="140"/>
  <c r="BM1252" i="140"/>
  <c r="BL1252" i="140"/>
  <c r="BK1252" i="140"/>
  <c r="BJ1252" i="140"/>
  <c r="BI1252" i="140"/>
  <c r="BH1252" i="140"/>
  <c r="BG1252" i="140"/>
  <c r="BM1251" i="140"/>
  <c r="BL1251" i="140"/>
  <c r="BK1251" i="140"/>
  <c r="BJ1251" i="140"/>
  <c r="BI1251" i="140"/>
  <c r="BH1251" i="140"/>
  <c r="BG1251" i="140"/>
  <c r="BM1250" i="140"/>
  <c r="BL1250" i="140"/>
  <c r="BK1250" i="140"/>
  <c r="BJ1250" i="140"/>
  <c r="BI1250" i="140"/>
  <c r="BH1250" i="140"/>
  <c r="BG1250" i="140"/>
  <c r="BM1249" i="140"/>
  <c r="BL1249" i="140"/>
  <c r="BK1249" i="140"/>
  <c r="BJ1249" i="140"/>
  <c r="BI1249" i="140"/>
  <c r="BH1249" i="140"/>
  <c r="BG1249" i="140"/>
  <c r="BM1248" i="140"/>
  <c r="BL1248" i="140"/>
  <c r="BK1248" i="140"/>
  <c r="BJ1248" i="140"/>
  <c r="BI1248" i="140"/>
  <c r="BH1248" i="140"/>
  <c r="BG1248" i="140"/>
  <c r="BM1247" i="140"/>
  <c r="BL1247" i="140"/>
  <c r="BK1247" i="140"/>
  <c r="BJ1247" i="140"/>
  <c r="BI1247" i="140"/>
  <c r="BH1247" i="140"/>
  <c r="BG1247" i="140"/>
  <c r="BM1246" i="140"/>
  <c r="BL1246" i="140"/>
  <c r="BK1246" i="140"/>
  <c r="BJ1246" i="140"/>
  <c r="BI1246" i="140"/>
  <c r="BH1246" i="140"/>
  <c r="BG1246" i="140"/>
  <c r="BM1245" i="140"/>
  <c r="BL1245" i="140"/>
  <c r="BK1245" i="140"/>
  <c r="BJ1245" i="140"/>
  <c r="BI1245" i="140"/>
  <c r="BH1245" i="140"/>
  <c r="BG1245" i="140"/>
  <c r="BM1244" i="140"/>
  <c r="BL1244" i="140"/>
  <c r="BK1244" i="140"/>
  <c r="BJ1244" i="140"/>
  <c r="BI1244" i="140"/>
  <c r="BH1244" i="140"/>
  <c r="BG1244" i="140"/>
  <c r="BM1243" i="140"/>
  <c r="BL1243" i="140"/>
  <c r="BK1243" i="140"/>
  <c r="BJ1243" i="140"/>
  <c r="BI1243" i="140"/>
  <c r="BH1243" i="140"/>
  <c r="BG1243" i="140"/>
  <c r="BM1242" i="140"/>
  <c r="BL1242" i="140"/>
  <c r="BK1242" i="140"/>
  <c r="BJ1242" i="140"/>
  <c r="BI1242" i="140"/>
  <c r="BH1242" i="140"/>
  <c r="BG1242" i="140"/>
  <c r="BM1241" i="140"/>
  <c r="BL1241" i="140"/>
  <c r="BK1241" i="140"/>
  <c r="BJ1241" i="140"/>
  <c r="BI1241" i="140"/>
  <c r="BH1241" i="140"/>
  <c r="BG1241" i="140"/>
  <c r="BM1240" i="140"/>
  <c r="BL1240" i="140"/>
  <c r="BK1240" i="140"/>
  <c r="BJ1240" i="140"/>
  <c r="BI1240" i="140"/>
  <c r="BH1240" i="140"/>
  <c r="BG1240" i="140"/>
  <c r="BM1239" i="140"/>
  <c r="BL1239" i="140"/>
  <c r="BK1239" i="140"/>
  <c r="BJ1239" i="140"/>
  <c r="BI1239" i="140"/>
  <c r="BH1239" i="140"/>
  <c r="BG1239" i="140"/>
  <c r="BM1238" i="140"/>
  <c r="BL1238" i="140"/>
  <c r="BK1238" i="140"/>
  <c r="BJ1238" i="140"/>
  <c r="BI1238" i="140"/>
  <c r="BH1238" i="140"/>
  <c r="BG1238" i="140"/>
  <c r="BM1237" i="140"/>
  <c r="BL1237" i="140"/>
  <c r="BK1237" i="140"/>
  <c r="BJ1237" i="140"/>
  <c r="BI1237" i="140"/>
  <c r="BH1237" i="140"/>
  <c r="BG1237" i="140"/>
  <c r="BM1236" i="140"/>
  <c r="BL1236" i="140"/>
  <c r="BK1236" i="140"/>
  <c r="BJ1236" i="140"/>
  <c r="BI1236" i="140"/>
  <c r="BH1236" i="140"/>
  <c r="BG1236" i="140"/>
  <c r="BM1235" i="140"/>
  <c r="BL1235" i="140"/>
  <c r="BK1235" i="140"/>
  <c r="BJ1235" i="140"/>
  <c r="BI1235" i="140"/>
  <c r="BH1235" i="140"/>
  <c r="BG1235" i="140"/>
  <c r="BM1234" i="140"/>
  <c r="BL1234" i="140"/>
  <c r="BK1234" i="140"/>
  <c r="BJ1234" i="140"/>
  <c r="BI1234" i="140"/>
  <c r="BH1234" i="140"/>
  <c r="BG1234" i="140"/>
  <c r="BM1233" i="140"/>
  <c r="BL1233" i="140"/>
  <c r="BK1233" i="140"/>
  <c r="BJ1233" i="140"/>
  <c r="BI1233" i="140"/>
  <c r="BH1233" i="140"/>
  <c r="BG1233" i="140"/>
  <c r="BM1232" i="140"/>
  <c r="BL1232" i="140"/>
  <c r="BK1232" i="140"/>
  <c r="BJ1232" i="140"/>
  <c r="BI1232" i="140"/>
  <c r="BH1232" i="140"/>
  <c r="BG1232" i="140"/>
  <c r="BM1231" i="140"/>
  <c r="BL1231" i="140"/>
  <c r="BK1231" i="140"/>
  <c r="BJ1231" i="140"/>
  <c r="BI1231" i="140"/>
  <c r="BH1231" i="140"/>
  <c r="BG1231" i="140"/>
  <c r="BM1230" i="140"/>
  <c r="BL1230" i="140"/>
  <c r="BK1230" i="140"/>
  <c r="BJ1230" i="140"/>
  <c r="BI1230" i="140"/>
  <c r="BH1230" i="140"/>
  <c r="BG1230" i="140"/>
  <c r="BM1229" i="140"/>
  <c r="BL1229" i="140"/>
  <c r="BK1229" i="140"/>
  <c r="BJ1229" i="140"/>
  <c r="BI1229" i="140"/>
  <c r="BH1229" i="140"/>
  <c r="BG1229" i="140"/>
  <c r="BM1228" i="140"/>
  <c r="BL1228" i="140"/>
  <c r="BK1228" i="140"/>
  <c r="BJ1228" i="140"/>
  <c r="BI1228" i="140"/>
  <c r="BH1228" i="140"/>
  <c r="BG1228" i="140"/>
  <c r="BM1227" i="140"/>
  <c r="BL1227" i="140"/>
  <c r="BK1227" i="140"/>
  <c r="BJ1227" i="140"/>
  <c r="BI1227" i="140"/>
  <c r="BH1227" i="140"/>
  <c r="BG1227" i="140"/>
  <c r="BM1226" i="140"/>
  <c r="BL1226" i="140"/>
  <c r="BK1226" i="140"/>
  <c r="BJ1226" i="140"/>
  <c r="BI1226" i="140"/>
  <c r="BH1226" i="140"/>
  <c r="BG1226" i="140"/>
  <c r="BM1225" i="140"/>
  <c r="BL1225" i="140"/>
  <c r="BK1225" i="140"/>
  <c r="BJ1225" i="140"/>
  <c r="BI1225" i="140"/>
  <c r="BH1225" i="140"/>
  <c r="BG1225" i="140"/>
  <c r="BM1224" i="140"/>
  <c r="BL1224" i="140"/>
  <c r="BK1224" i="140"/>
  <c r="BJ1224" i="140"/>
  <c r="BI1224" i="140"/>
  <c r="BH1224" i="140"/>
  <c r="BG1224" i="140"/>
  <c r="BM1223" i="140"/>
  <c r="BL1223" i="140"/>
  <c r="BK1223" i="140"/>
  <c r="BJ1223" i="140"/>
  <c r="BI1223" i="140"/>
  <c r="BH1223" i="140"/>
  <c r="BG1223" i="140"/>
  <c r="BM1222" i="140"/>
  <c r="BL1222" i="140"/>
  <c r="BK1222" i="140"/>
  <c r="BJ1222" i="140"/>
  <c r="BI1222" i="140"/>
  <c r="BH1222" i="140"/>
  <c r="BG1222" i="140"/>
  <c r="BM1221" i="140"/>
  <c r="BL1221" i="140"/>
  <c r="BK1221" i="140"/>
  <c r="BJ1221" i="140"/>
  <c r="BI1221" i="140"/>
  <c r="BH1221" i="140"/>
  <c r="BG1221" i="140"/>
  <c r="BM1220" i="140"/>
  <c r="BL1220" i="140"/>
  <c r="BK1220" i="140"/>
  <c r="BJ1220" i="140"/>
  <c r="BI1220" i="140"/>
  <c r="BH1220" i="140"/>
  <c r="BG1220" i="140"/>
  <c r="BM1219" i="140"/>
  <c r="BL1219" i="140"/>
  <c r="BK1219" i="140"/>
  <c r="BJ1219" i="140"/>
  <c r="BI1219" i="140"/>
  <c r="BH1219" i="140"/>
  <c r="BG1219" i="140"/>
  <c r="BM1218" i="140"/>
  <c r="BL1218" i="140"/>
  <c r="BK1218" i="140"/>
  <c r="BJ1218" i="140"/>
  <c r="BI1218" i="140"/>
  <c r="BH1218" i="140"/>
  <c r="BG1218" i="140"/>
  <c r="BM1217" i="140"/>
  <c r="BL1217" i="140"/>
  <c r="BK1217" i="140"/>
  <c r="BJ1217" i="140"/>
  <c r="BI1217" i="140"/>
  <c r="BH1217" i="140"/>
  <c r="BG1217" i="140"/>
  <c r="BM1216" i="140"/>
  <c r="BL1216" i="140"/>
  <c r="BK1216" i="140"/>
  <c r="BJ1216" i="140"/>
  <c r="BI1216" i="140"/>
  <c r="BH1216" i="140"/>
  <c r="BG1216" i="140"/>
  <c r="BM1215" i="140"/>
  <c r="BL1215" i="140"/>
  <c r="BK1215" i="140"/>
  <c r="BJ1215" i="140"/>
  <c r="BI1215" i="140"/>
  <c r="BH1215" i="140"/>
  <c r="BG1215" i="140"/>
  <c r="BM1214" i="140"/>
  <c r="BL1214" i="140"/>
  <c r="BK1214" i="140"/>
  <c r="BJ1214" i="140"/>
  <c r="BI1214" i="140"/>
  <c r="BH1214" i="140"/>
  <c r="BG1214" i="140"/>
  <c r="BM1213" i="140"/>
  <c r="BL1213" i="140"/>
  <c r="BK1213" i="140"/>
  <c r="BJ1213" i="140"/>
  <c r="BI1213" i="140"/>
  <c r="BH1213" i="140"/>
  <c r="BG1213" i="140"/>
  <c r="BM1212" i="140"/>
  <c r="BL1212" i="140"/>
  <c r="BK1212" i="140"/>
  <c r="BJ1212" i="140"/>
  <c r="BI1212" i="140"/>
  <c r="BH1212" i="140"/>
  <c r="BG1212" i="140"/>
  <c r="BM1211" i="140"/>
  <c r="BL1211" i="140"/>
  <c r="BK1211" i="140"/>
  <c r="BJ1211" i="140"/>
  <c r="BI1211" i="140"/>
  <c r="BH1211" i="140"/>
  <c r="BG1211" i="140"/>
  <c r="BM1210" i="140"/>
  <c r="BL1210" i="140"/>
  <c r="BK1210" i="140"/>
  <c r="BJ1210" i="140"/>
  <c r="BI1210" i="140"/>
  <c r="BH1210" i="140"/>
  <c r="BG1210" i="140"/>
  <c r="BM1209" i="140"/>
  <c r="BL1209" i="140"/>
  <c r="BK1209" i="140"/>
  <c r="BJ1209" i="140"/>
  <c r="BI1209" i="140"/>
  <c r="BH1209" i="140"/>
  <c r="BG1209" i="140"/>
  <c r="BM1208" i="140"/>
  <c r="BL1208" i="140"/>
  <c r="BK1208" i="140"/>
  <c r="BJ1208" i="140"/>
  <c r="BI1208" i="140"/>
  <c r="BH1208" i="140"/>
  <c r="BG1208" i="140"/>
  <c r="BM1207" i="140"/>
  <c r="BL1207" i="140"/>
  <c r="BK1207" i="140"/>
  <c r="BJ1207" i="140"/>
  <c r="BI1207" i="140"/>
  <c r="BH1207" i="140"/>
  <c r="BG1207" i="140"/>
  <c r="BM1206" i="140"/>
  <c r="BL1206" i="140"/>
  <c r="BK1206" i="140"/>
  <c r="BJ1206" i="140"/>
  <c r="BI1206" i="140"/>
  <c r="BH1206" i="140"/>
  <c r="BG1206" i="140"/>
  <c r="BM1205" i="140"/>
  <c r="BL1205" i="140"/>
  <c r="BK1205" i="140"/>
  <c r="BJ1205" i="140"/>
  <c r="BI1205" i="140"/>
  <c r="BH1205" i="140"/>
  <c r="BG1205" i="140"/>
  <c r="BM1204" i="140"/>
  <c r="BL1204" i="140"/>
  <c r="BK1204" i="140"/>
  <c r="BJ1204" i="140"/>
  <c r="BI1204" i="140"/>
  <c r="BH1204" i="140"/>
  <c r="BG1204" i="140"/>
  <c r="BM1203" i="140"/>
  <c r="BL1203" i="140"/>
  <c r="BK1203" i="140"/>
  <c r="BJ1203" i="140"/>
  <c r="BI1203" i="140"/>
  <c r="BH1203" i="140"/>
  <c r="BG1203" i="140"/>
  <c r="BM1202" i="140"/>
  <c r="BL1202" i="140"/>
  <c r="BK1202" i="140"/>
  <c r="BJ1202" i="140"/>
  <c r="BI1202" i="140"/>
  <c r="BH1202" i="140"/>
  <c r="BG1202" i="140"/>
  <c r="BM1201" i="140"/>
  <c r="BL1201" i="140"/>
  <c r="BK1201" i="140"/>
  <c r="BJ1201" i="140"/>
  <c r="BI1201" i="140"/>
  <c r="BH1201" i="140"/>
  <c r="BG1201" i="140"/>
  <c r="BM1200" i="140"/>
  <c r="BL1200" i="140"/>
  <c r="BK1200" i="140"/>
  <c r="BJ1200" i="140"/>
  <c r="BI1200" i="140"/>
  <c r="BH1200" i="140"/>
  <c r="BG1200" i="140"/>
  <c r="BM1199" i="140"/>
  <c r="BL1199" i="140"/>
  <c r="BK1199" i="140"/>
  <c r="BJ1199" i="140"/>
  <c r="BI1199" i="140"/>
  <c r="BH1199" i="140"/>
  <c r="BG1199" i="140"/>
  <c r="BM1198" i="140"/>
  <c r="BL1198" i="140"/>
  <c r="BK1198" i="140"/>
  <c r="BJ1198" i="140"/>
  <c r="BI1198" i="140"/>
  <c r="BH1198" i="140"/>
  <c r="BG1198" i="140"/>
  <c r="BM1197" i="140"/>
  <c r="BL1197" i="140"/>
  <c r="BK1197" i="140"/>
  <c r="BJ1197" i="140"/>
  <c r="BI1197" i="140"/>
  <c r="BH1197" i="140"/>
  <c r="BG1197" i="140"/>
  <c r="BM1196" i="140"/>
  <c r="BL1196" i="140"/>
  <c r="BK1196" i="140"/>
  <c r="BJ1196" i="140"/>
  <c r="BI1196" i="140"/>
  <c r="BH1196" i="140"/>
  <c r="BG1196" i="140"/>
  <c r="BM1195" i="140"/>
  <c r="BL1195" i="140"/>
  <c r="BK1195" i="140"/>
  <c r="BJ1195" i="140"/>
  <c r="BI1195" i="140"/>
  <c r="BH1195" i="140"/>
  <c r="BG1195" i="140"/>
  <c r="BM1194" i="140"/>
  <c r="BL1194" i="140"/>
  <c r="BK1194" i="140"/>
  <c r="BJ1194" i="140"/>
  <c r="BI1194" i="140"/>
  <c r="BH1194" i="140"/>
  <c r="BG1194" i="140"/>
  <c r="BM1193" i="140"/>
  <c r="BL1193" i="140"/>
  <c r="BK1193" i="140"/>
  <c r="BJ1193" i="140"/>
  <c r="BI1193" i="140"/>
  <c r="BH1193" i="140"/>
  <c r="BG1193" i="140"/>
  <c r="BM1192" i="140"/>
  <c r="BL1192" i="140"/>
  <c r="BK1192" i="140"/>
  <c r="BJ1192" i="140"/>
  <c r="BI1192" i="140"/>
  <c r="BH1192" i="140"/>
  <c r="BG1192" i="140"/>
  <c r="BM1191" i="140"/>
  <c r="BL1191" i="140"/>
  <c r="BK1191" i="140"/>
  <c r="BJ1191" i="140"/>
  <c r="BI1191" i="140"/>
  <c r="BH1191" i="140"/>
  <c r="BG1191" i="140"/>
  <c r="BM1190" i="140"/>
  <c r="BL1190" i="140"/>
  <c r="BK1190" i="140"/>
  <c r="BJ1190" i="140"/>
  <c r="BI1190" i="140"/>
  <c r="BH1190" i="140"/>
  <c r="BG1190" i="140"/>
  <c r="BM1189" i="140"/>
  <c r="BL1189" i="140"/>
  <c r="BK1189" i="140"/>
  <c r="BJ1189" i="140"/>
  <c r="BI1189" i="140"/>
  <c r="BH1189" i="140"/>
  <c r="BG1189" i="140"/>
  <c r="BM1188" i="140"/>
  <c r="BL1188" i="140"/>
  <c r="BK1188" i="140"/>
  <c r="BJ1188" i="140"/>
  <c r="BI1188" i="140"/>
  <c r="BH1188" i="140"/>
  <c r="BG1188" i="140"/>
  <c r="BM1187" i="140"/>
  <c r="BL1187" i="140"/>
  <c r="BK1187" i="140"/>
  <c r="BJ1187" i="140"/>
  <c r="BI1187" i="140"/>
  <c r="BH1187" i="140"/>
  <c r="BG1187" i="140"/>
  <c r="BM1186" i="140"/>
  <c r="BL1186" i="140"/>
  <c r="BK1186" i="140"/>
  <c r="BJ1186" i="140"/>
  <c r="BI1186" i="140"/>
  <c r="BH1186" i="140"/>
  <c r="BG1186" i="140"/>
  <c r="BM1185" i="140"/>
  <c r="BL1185" i="140"/>
  <c r="BK1185" i="140"/>
  <c r="BJ1185" i="140"/>
  <c r="BI1185" i="140"/>
  <c r="BH1185" i="140"/>
  <c r="BG1185" i="140"/>
  <c r="BM1184" i="140"/>
  <c r="BL1184" i="140"/>
  <c r="BK1184" i="140"/>
  <c r="BJ1184" i="140"/>
  <c r="BI1184" i="140"/>
  <c r="BH1184" i="140"/>
  <c r="BG1184" i="140"/>
  <c r="BM1183" i="140"/>
  <c r="BL1183" i="140"/>
  <c r="BK1183" i="140"/>
  <c r="BJ1183" i="140"/>
  <c r="BI1183" i="140"/>
  <c r="BH1183" i="140"/>
  <c r="BG1183" i="140"/>
  <c r="BM1182" i="140"/>
  <c r="BL1182" i="140"/>
  <c r="BK1182" i="140"/>
  <c r="BJ1182" i="140"/>
  <c r="BI1182" i="140"/>
  <c r="BH1182" i="140"/>
  <c r="BG1182" i="140"/>
  <c r="BM1181" i="140"/>
  <c r="BL1181" i="140"/>
  <c r="BK1181" i="140"/>
  <c r="BJ1181" i="140"/>
  <c r="BI1181" i="140"/>
  <c r="BH1181" i="140"/>
  <c r="BG1181" i="140"/>
  <c r="BM1180" i="140"/>
  <c r="BL1180" i="140"/>
  <c r="BK1180" i="140"/>
  <c r="BJ1180" i="140"/>
  <c r="BI1180" i="140"/>
  <c r="BH1180" i="140"/>
  <c r="BG1180" i="140"/>
  <c r="BM1179" i="140"/>
  <c r="BL1179" i="140"/>
  <c r="BK1179" i="140"/>
  <c r="BJ1179" i="140"/>
  <c r="BI1179" i="140"/>
  <c r="BH1179" i="140"/>
  <c r="BG1179" i="140"/>
  <c r="BM1178" i="140"/>
  <c r="BL1178" i="140"/>
  <c r="BK1178" i="140"/>
  <c r="BJ1178" i="140"/>
  <c r="BI1178" i="140"/>
  <c r="BH1178" i="140"/>
  <c r="BG1178" i="140"/>
  <c r="BM1177" i="140"/>
  <c r="BL1177" i="140"/>
  <c r="BK1177" i="140"/>
  <c r="BJ1177" i="140"/>
  <c r="BI1177" i="140"/>
  <c r="BH1177" i="140"/>
  <c r="BG1177" i="140"/>
  <c r="BM1176" i="140"/>
  <c r="BL1176" i="140"/>
  <c r="BK1176" i="140"/>
  <c r="BJ1176" i="140"/>
  <c r="BI1176" i="140"/>
  <c r="BH1176" i="140"/>
  <c r="BG1176" i="140"/>
  <c r="BM1175" i="140"/>
  <c r="BL1175" i="140"/>
  <c r="BK1175" i="140"/>
  <c r="BJ1175" i="140"/>
  <c r="BI1175" i="140"/>
  <c r="BH1175" i="140"/>
  <c r="BG1175" i="140"/>
  <c r="BM1174" i="140"/>
  <c r="BL1174" i="140"/>
  <c r="BK1174" i="140"/>
  <c r="BJ1174" i="140"/>
  <c r="BI1174" i="140"/>
  <c r="BH1174" i="140"/>
  <c r="BG1174" i="140"/>
  <c r="BM1173" i="140"/>
  <c r="BL1173" i="140"/>
  <c r="BK1173" i="140"/>
  <c r="BJ1173" i="140"/>
  <c r="BI1173" i="140"/>
  <c r="BH1173" i="140"/>
  <c r="BG1173" i="140"/>
  <c r="BM1172" i="140"/>
  <c r="BL1172" i="140"/>
  <c r="BK1172" i="140"/>
  <c r="BJ1172" i="140"/>
  <c r="BI1172" i="140"/>
  <c r="BH1172" i="140"/>
  <c r="BG1172" i="140"/>
  <c r="BM1171" i="140"/>
  <c r="BL1171" i="140"/>
  <c r="BK1171" i="140"/>
  <c r="BJ1171" i="140"/>
  <c r="BI1171" i="140"/>
  <c r="BH1171" i="140"/>
  <c r="BG1171" i="140"/>
  <c r="BM1170" i="140"/>
  <c r="BL1170" i="140"/>
  <c r="BK1170" i="140"/>
  <c r="BJ1170" i="140"/>
  <c r="BI1170" i="140"/>
  <c r="BH1170" i="140"/>
  <c r="BG1170" i="140"/>
  <c r="BM1169" i="140"/>
  <c r="BL1169" i="140"/>
  <c r="BK1169" i="140"/>
  <c r="BJ1169" i="140"/>
  <c r="BI1169" i="140"/>
  <c r="BH1169" i="140"/>
  <c r="BG1169" i="140"/>
  <c r="BM1168" i="140"/>
  <c r="BL1168" i="140"/>
  <c r="BK1168" i="140"/>
  <c r="BJ1168" i="140"/>
  <c r="BI1168" i="140"/>
  <c r="BH1168" i="140"/>
  <c r="BG1168" i="140"/>
  <c r="BM1167" i="140"/>
  <c r="BL1167" i="140"/>
  <c r="BK1167" i="140"/>
  <c r="BJ1167" i="140"/>
  <c r="BI1167" i="140"/>
  <c r="BH1167" i="140"/>
  <c r="BG1167" i="140"/>
  <c r="BM1166" i="140"/>
  <c r="BL1166" i="140"/>
  <c r="BK1166" i="140"/>
  <c r="BJ1166" i="140"/>
  <c r="BI1166" i="140"/>
  <c r="BH1166" i="140"/>
  <c r="BG1166" i="140"/>
  <c r="BM1165" i="140"/>
  <c r="BL1165" i="140"/>
  <c r="BK1165" i="140"/>
  <c r="BJ1165" i="140"/>
  <c r="BI1165" i="140"/>
  <c r="BH1165" i="140"/>
  <c r="BG1165" i="140"/>
  <c r="BM1164" i="140"/>
  <c r="BL1164" i="140"/>
  <c r="BK1164" i="140"/>
  <c r="BJ1164" i="140"/>
  <c r="BI1164" i="140"/>
  <c r="BH1164" i="140"/>
  <c r="BG1164" i="140"/>
  <c r="BM1163" i="140"/>
  <c r="BL1163" i="140"/>
  <c r="BK1163" i="140"/>
  <c r="BJ1163" i="140"/>
  <c r="BI1163" i="140"/>
  <c r="BH1163" i="140"/>
  <c r="BG1163" i="140"/>
  <c r="BM1162" i="140"/>
  <c r="BL1162" i="140"/>
  <c r="BK1162" i="140"/>
  <c r="BJ1162" i="140"/>
  <c r="BI1162" i="140"/>
  <c r="BH1162" i="140"/>
  <c r="BG1162" i="140"/>
  <c r="BM1161" i="140"/>
  <c r="BL1161" i="140"/>
  <c r="BK1161" i="140"/>
  <c r="BJ1161" i="140"/>
  <c r="BI1161" i="140"/>
  <c r="BH1161" i="140"/>
  <c r="BG1161" i="140"/>
  <c r="BM1160" i="140"/>
  <c r="BL1160" i="140"/>
  <c r="BK1160" i="140"/>
  <c r="BJ1160" i="140"/>
  <c r="BI1160" i="140"/>
  <c r="BH1160" i="140"/>
  <c r="BG1160" i="140"/>
  <c r="BM1159" i="140"/>
  <c r="BL1159" i="140"/>
  <c r="BK1159" i="140"/>
  <c r="BJ1159" i="140"/>
  <c r="BI1159" i="140"/>
  <c r="BH1159" i="140"/>
  <c r="BG1159" i="140"/>
  <c r="BM1158" i="140"/>
  <c r="BL1158" i="140"/>
  <c r="BK1158" i="140"/>
  <c r="BJ1158" i="140"/>
  <c r="BI1158" i="140"/>
  <c r="BH1158" i="140"/>
  <c r="BG1158" i="140"/>
  <c r="BM1157" i="140"/>
  <c r="BL1157" i="140"/>
  <c r="BK1157" i="140"/>
  <c r="BJ1157" i="140"/>
  <c r="BI1157" i="140"/>
  <c r="BH1157" i="140"/>
  <c r="BG1157" i="140"/>
  <c r="BM1156" i="140"/>
  <c r="BL1156" i="140"/>
  <c r="BK1156" i="140"/>
  <c r="BJ1156" i="140"/>
  <c r="BI1156" i="140"/>
  <c r="BH1156" i="140"/>
  <c r="BG1156" i="140"/>
  <c r="BM1155" i="140"/>
  <c r="BL1155" i="140"/>
  <c r="BK1155" i="140"/>
  <c r="BJ1155" i="140"/>
  <c r="BI1155" i="140"/>
  <c r="BH1155" i="140"/>
  <c r="BG1155" i="140"/>
  <c r="BM1154" i="140"/>
  <c r="BL1154" i="140"/>
  <c r="BK1154" i="140"/>
  <c r="BJ1154" i="140"/>
  <c r="BI1154" i="140"/>
  <c r="BH1154" i="140"/>
  <c r="BG1154" i="140"/>
  <c r="BM1153" i="140"/>
  <c r="BL1153" i="140"/>
  <c r="BK1153" i="140"/>
  <c r="BJ1153" i="140"/>
  <c r="BI1153" i="140"/>
  <c r="BH1153" i="140"/>
  <c r="BG1153" i="140"/>
  <c r="BM1152" i="140"/>
  <c r="BL1152" i="140"/>
  <c r="BK1152" i="140"/>
  <c r="BJ1152" i="140"/>
  <c r="BI1152" i="140"/>
  <c r="BH1152" i="140"/>
  <c r="BG1152" i="140"/>
  <c r="BM1151" i="140"/>
  <c r="BL1151" i="140"/>
  <c r="BK1151" i="140"/>
  <c r="BJ1151" i="140"/>
  <c r="BI1151" i="140"/>
  <c r="BH1151" i="140"/>
  <c r="BG1151" i="140"/>
  <c r="BM1150" i="140"/>
  <c r="BL1150" i="140"/>
  <c r="BK1150" i="140"/>
  <c r="BJ1150" i="140"/>
  <c r="BI1150" i="140"/>
  <c r="BH1150" i="140"/>
  <c r="BG1150" i="140"/>
  <c r="BM1149" i="140"/>
  <c r="BL1149" i="140"/>
  <c r="BK1149" i="140"/>
  <c r="BJ1149" i="140"/>
  <c r="BI1149" i="140"/>
  <c r="BH1149" i="140"/>
  <c r="BG1149" i="140"/>
  <c r="BM1148" i="140"/>
  <c r="BL1148" i="140"/>
  <c r="BK1148" i="140"/>
  <c r="BJ1148" i="140"/>
  <c r="BI1148" i="140"/>
  <c r="BH1148" i="140"/>
  <c r="BG1148" i="140"/>
  <c r="BM1147" i="140"/>
  <c r="BL1147" i="140"/>
  <c r="BK1147" i="140"/>
  <c r="BJ1147" i="140"/>
  <c r="BI1147" i="140"/>
  <c r="BH1147" i="140"/>
  <c r="BG1147" i="140"/>
  <c r="BM1146" i="140"/>
  <c r="BL1146" i="140"/>
  <c r="BK1146" i="140"/>
  <c r="BJ1146" i="140"/>
  <c r="BI1146" i="140"/>
  <c r="BH1146" i="140"/>
  <c r="BG1146" i="140"/>
  <c r="BM1145" i="140"/>
  <c r="BL1145" i="140"/>
  <c r="BK1145" i="140"/>
  <c r="BJ1145" i="140"/>
  <c r="BI1145" i="140"/>
  <c r="BH1145" i="140"/>
  <c r="BG1145" i="140"/>
  <c r="BM1144" i="140"/>
  <c r="BL1144" i="140"/>
  <c r="BK1144" i="140"/>
  <c r="BJ1144" i="140"/>
  <c r="BI1144" i="140"/>
  <c r="BH1144" i="140"/>
  <c r="BG1144" i="140"/>
  <c r="BM1143" i="140"/>
  <c r="BL1143" i="140"/>
  <c r="BK1143" i="140"/>
  <c r="BJ1143" i="140"/>
  <c r="BI1143" i="140"/>
  <c r="BH1143" i="140"/>
  <c r="BG1143" i="140"/>
  <c r="BM1142" i="140"/>
  <c r="BL1142" i="140"/>
  <c r="BK1142" i="140"/>
  <c r="BJ1142" i="140"/>
  <c r="BI1142" i="140"/>
  <c r="BH1142" i="140"/>
  <c r="BG1142" i="140"/>
  <c r="BM1141" i="140"/>
  <c r="BL1141" i="140"/>
  <c r="BK1141" i="140"/>
  <c r="BJ1141" i="140"/>
  <c r="BI1141" i="140"/>
  <c r="BH1141" i="140"/>
  <c r="BG1141" i="140"/>
  <c r="BM1140" i="140"/>
  <c r="BL1140" i="140"/>
  <c r="BK1140" i="140"/>
  <c r="BJ1140" i="140"/>
  <c r="BI1140" i="140"/>
  <c r="BH1140" i="140"/>
  <c r="BG1140" i="140"/>
  <c r="BM1139" i="140"/>
  <c r="BL1139" i="140"/>
  <c r="BK1139" i="140"/>
  <c r="BJ1139" i="140"/>
  <c r="BI1139" i="140"/>
  <c r="BH1139" i="140"/>
  <c r="BG1139" i="140"/>
  <c r="BM1138" i="140"/>
  <c r="BL1138" i="140"/>
  <c r="BK1138" i="140"/>
  <c r="BJ1138" i="140"/>
  <c r="BI1138" i="140"/>
  <c r="BH1138" i="140"/>
  <c r="BG1138" i="140"/>
  <c r="BM1137" i="140"/>
  <c r="BL1137" i="140"/>
  <c r="BK1137" i="140"/>
  <c r="BJ1137" i="140"/>
  <c r="BI1137" i="140"/>
  <c r="BH1137" i="140"/>
  <c r="BG1137" i="140"/>
  <c r="BM1136" i="140"/>
  <c r="BL1136" i="140"/>
  <c r="BK1136" i="140"/>
  <c r="BJ1136" i="140"/>
  <c r="BI1136" i="140"/>
  <c r="BH1136" i="140"/>
  <c r="BG1136" i="140"/>
  <c r="BM1135" i="140"/>
  <c r="BL1135" i="140"/>
  <c r="BK1135" i="140"/>
  <c r="BJ1135" i="140"/>
  <c r="BI1135" i="140"/>
  <c r="BH1135" i="140"/>
  <c r="BG1135" i="140"/>
  <c r="BM1134" i="140"/>
  <c r="BL1134" i="140"/>
  <c r="BK1134" i="140"/>
  <c r="BJ1134" i="140"/>
  <c r="BI1134" i="140"/>
  <c r="BH1134" i="140"/>
  <c r="BG1134" i="140"/>
  <c r="BM1133" i="140"/>
  <c r="BL1133" i="140"/>
  <c r="BK1133" i="140"/>
  <c r="BJ1133" i="140"/>
  <c r="BI1133" i="140"/>
  <c r="BH1133" i="140"/>
  <c r="BG1133" i="140"/>
  <c r="BM1132" i="140"/>
  <c r="BL1132" i="140"/>
  <c r="BK1132" i="140"/>
  <c r="BJ1132" i="140"/>
  <c r="BI1132" i="140"/>
  <c r="BH1132" i="140"/>
  <c r="BG1132" i="140"/>
  <c r="BM1131" i="140"/>
  <c r="BL1131" i="140"/>
  <c r="BK1131" i="140"/>
  <c r="BJ1131" i="140"/>
  <c r="BI1131" i="140"/>
  <c r="BH1131" i="140"/>
  <c r="BG1131" i="140"/>
  <c r="BM1130" i="140"/>
  <c r="BL1130" i="140"/>
  <c r="BK1130" i="140"/>
  <c r="BJ1130" i="140"/>
  <c r="BI1130" i="140"/>
  <c r="BH1130" i="140"/>
  <c r="BG1130" i="140"/>
  <c r="BM1129" i="140"/>
  <c r="BL1129" i="140"/>
  <c r="BK1129" i="140"/>
  <c r="BJ1129" i="140"/>
  <c r="BI1129" i="140"/>
  <c r="BH1129" i="140"/>
  <c r="BG1129" i="140"/>
  <c r="BM1128" i="140"/>
  <c r="BL1128" i="140"/>
  <c r="BK1128" i="140"/>
  <c r="BJ1128" i="140"/>
  <c r="BI1128" i="140"/>
  <c r="BH1128" i="140"/>
  <c r="BG1128" i="140"/>
  <c r="BM1127" i="140"/>
  <c r="BL1127" i="140"/>
  <c r="BK1127" i="140"/>
  <c r="BJ1127" i="140"/>
  <c r="BI1127" i="140"/>
  <c r="BH1127" i="140"/>
  <c r="BG1127" i="140"/>
  <c r="BM1126" i="140"/>
  <c r="BL1126" i="140"/>
  <c r="BK1126" i="140"/>
  <c r="BJ1126" i="140"/>
  <c r="BI1126" i="140"/>
  <c r="BH1126" i="140"/>
  <c r="BG1126" i="140"/>
  <c r="BM1125" i="140"/>
  <c r="BL1125" i="140"/>
  <c r="BK1125" i="140"/>
  <c r="BJ1125" i="140"/>
  <c r="BI1125" i="140"/>
  <c r="BH1125" i="140"/>
  <c r="BG1125" i="140"/>
  <c r="BM1124" i="140"/>
  <c r="BL1124" i="140"/>
  <c r="BK1124" i="140"/>
  <c r="BJ1124" i="140"/>
  <c r="BI1124" i="140"/>
  <c r="BH1124" i="140"/>
  <c r="BG1124" i="140"/>
  <c r="BM1123" i="140"/>
  <c r="BL1123" i="140"/>
  <c r="BK1123" i="140"/>
  <c r="BJ1123" i="140"/>
  <c r="BI1123" i="140"/>
  <c r="BH1123" i="140"/>
  <c r="BG1123" i="140"/>
  <c r="BM1122" i="140"/>
  <c r="BL1122" i="140"/>
  <c r="BK1122" i="140"/>
  <c r="BJ1122" i="140"/>
  <c r="BI1122" i="140"/>
  <c r="BH1122" i="140"/>
  <c r="BG1122" i="140"/>
  <c r="BM1121" i="140"/>
  <c r="BL1121" i="140"/>
  <c r="BK1121" i="140"/>
  <c r="BJ1121" i="140"/>
  <c r="BI1121" i="140"/>
  <c r="BH1121" i="140"/>
  <c r="BG1121" i="140"/>
  <c r="BM1120" i="140"/>
  <c r="BL1120" i="140"/>
  <c r="BK1120" i="140"/>
  <c r="BJ1120" i="140"/>
  <c r="BI1120" i="140"/>
  <c r="BH1120" i="140"/>
  <c r="BG1120" i="140"/>
  <c r="BM1119" i="140"/>
  <c r="BL1119" i="140"/>
  <c r="BK1119" i="140"/>
  <c r="BJ1119" i="140"/>
  <c r="BI1119" i="140"/>
  <c r="BH1119" i="140"/>
  <c r="BG1119" i="140"/>
  <c r="BM1118" i="140"/>
  <c r="BL1118" i="140"/>
  <c r="BK1118" i="140"/>
  <c r="BJ1118" i="140"/>
  <c r="BI1118" i="140"/>
  <c r="BH1118" i="140"/>
  <c r="BG1118" i="140"/>
  <c r="BM1117" i="140"/>
  <c r="BL1117" i="140"/>
  <c r="BK1117" i="140"/>
  <c r="BJ1117" i="140"/>
  <c r="BI1117" i="140"/>
  <c r="BH1117" i="140"/>
  <c r="BG1117" i="140"/>
  <c r="BM1116" i="140"/>
  <c r="BL1116" i="140"/>
  <c r="BK1116" i="140"/>
  <c r="BJ1116" i="140"/>
  <c r="BI1116" i="140"/>
  <c r="BH1116" i="140"/>
  <c r="BG1116" i="140"/>
  <c r="BM1115" i="140"/>
  <c r="BL1115" i="140"/>
  <c r="BK1115" i="140"/>
  <c r="BJ1115" i="140"/>
  <c r="BI1115" i="140"/>
  <c r="BH1115" i="140"/>
  <c r="BG1115" i="140"/>
  <c r="BM1114" i="140"/>
  <c r="BL1114" i="140"/>
  <c r="BK1114" i="140"/>
  <c r="BJ1114" i="140"/>
  <c r="BI1114" i="140"/>
  <c r="BH1114" i="140"/>
  <c r="BG1114" i="140"/>
  <c r="BM1113" i="140"/>
  <c r="BL1113" i="140"/>
  <c r="BK1113" i="140"/>
  <c r="BJ1113" i="140"/>
  <c r="BI1113" i="140"/>
  <c r="BH1113" i="140"/>
  <c r="BG1113" i="140"/>
  <c r="BM1112" i="140"/>
  <c r="BL1112" i="140"/>
  <c r="BK1112" i="140"/>
  <c r="BJ1112" i="140"/>
  <c r="BI1112" i="140"/>
  <c r="BH1112" i="140"/>
  <c r="BG1112" i="140"/>
  <c r="BM1111" i="140"/>
  <c r="BL1111" i="140"/>
  <c r="BK1111" i="140"/>
  <c r="BJ1111" i="140"/>
  <c r="BI1111" i="140"/>
  <c r="BH1111" i="140"/>
  <c r="BG1111" i="140"/>
  <c r="BM1110" i="140"/>
  <c r="BL1110" i="140"/>
  <c r="BK1110" i="140"/>
  <c r="BJ1110" i="140"/>
  <c r="BI1110" i="140"/>
  <c r="BH1110" i="140"/>
  <c r="BG1110" i="140"/>
  <c r="BM1109" i="140"/>
  <c r="BL1109" i="140"/>
  <c r="BK1109" i="140"/>
  <c r="BJ1109" i="140"/>
  <c r="BI1109" i="140"/>
  <c r="BH1109" i="140"/>
  <c r="BG1109" i="140"/>
  <c r="BM1108" i="140"/>
  <c r="BL1108" i="140"/>
  <c r="BK1108" i="140"/>
  <c r="BJ1108" i="140"/>
  <c r="BI1108" i="140"/>
  <c r="BH1108" i="140"/>
  <c r="BG1108" i="140"/>
  <c r="BM1107" i="140"/>
  <c r="BL1107" i="140"/>
  <c r="BK1107" i="140"/>
  <c r="BJ1107" i="140"/>
  <c r="BI1107" i="140"/>
  <c r="BH1107" i="140"/>
  <c r="BG1107" i="140"/>
  <c r="BM1106" i="140"/>
  <c r="BL1106" i="140"/>
  <c r="BK1106" i="140"/>
  <c r="BJ1106" i="140"/>
  <c r="BI1106" i="140"/>
  <c r="BH1106" i="140"/>
  <c r="BG1106" i="140"/>
  <c r="BM1105" i="140"/>
  <c r="BL1105" i="140"/>
  <c r="BK1105" i="140"/>
  <c r="BJ1105" i="140"/>
  <c r="BI1105" i="140"/>
  <c r="BH1105" i="140"/>
  <c r="BG1105" i="140"/>
  <c r="BM1104" i="140"/>
  <c r="BL1104" i="140"/>
  <c r="BK1104" i="140"/>
  <c r="BJ1104" i="140"/>
  <c r="BI1104" i="140"/>
  <c r="BH1104" i="140"/>
  <c r="BG1104" i="140"/>
  <c r="BM1103" i="140"/>
  <c r="BL1103" i="140"/>
  <c r="BK1103" i="140"/>
  <c r="BJ1103" i="140"/>
  <c r="BI1103" i="140"/>
  <c r="BH1103" i="140"/>
  <c r="BG1103" i="140"/>
  <c r="BM1102" i="140"/>
  <c r="BL1102" i="140"/>
  <c r="BK1102" i="140"/>
  <c r="BJ1102" i="140"/>
  <c r="BI1102" i="140"/>
  <c r="BH1102" i="140"/>
  <c r="BG1102" i="140"/>
  <c r="BM1101" i="140"/>
  <c r="BL1101" i="140"/>
  <c r="BK1101" i="140"/>
  <c r="BJ1101" i="140"/>
  <c r="BI1101" i="140"/>
  <c r="BH1101" i="140"/>
  <c r="BG1101" i="140"/>
  <c r="BM1100" i="140"/>
  <c r="BL1100" i="140"/>
  <c r="BK1100" i="140"/>
  <c r="BJ1100" i="140"/>
  <c r="BI1100" i="140"/>
  <c r="BH1100" i="140"/>
  <c r="BG1100" i="140"/>
  <c r="BM1099" i="140"/>
  <c r="BL1099" i="140"/>
  <c r="BK1099" i="140"/>
  <c r="BJ1099" i="140"/>
  <c r="BI1099" i="140"/>
  <c r="BH1099" i="140"/>
  <c r="BG1099" i="140"/>
  <c r="BM1098" i="140"/>
  <c r="BL1098" i="140"/>
  <c r="BK1098" i="140"/>
  <c r="BJ1098" i="140"/>
  <c r="BI1098" i="140"/>
  <c r="BH1098" i="140"/>
  <c r="BG1098" i="140"/>
  <c r="BM1097" i="140"/>
  <c r="BL1097" i="140"/>
  <c r="BK1097" i="140"/>
  <c r="BJ1097" i="140"/>
  <c r="BI1097" i="140"/>
  <c r="BH1097" i="140"/>
  <c r="BG1097" i="140"/>
  <c r="BM1096" i="140"/>
  <c r="BL1096" i="140"/>
  <c r="BK1096" i="140"/>
  <c r="BJ1096" i="140"/>
  <c r="BI1096" i="140"/>
  <c r="BH1096" i="140"/>
  <c r="BG1096" i="140"/>
  <c r="BM1095" i="140"/>
  <c r="BL1095" i="140"/>
  <c r="BK1095" i="140"/>
  <c r="BJ1095" i="140"/>
  <c r="BI1095" i="140"/>
  <c r="BH1095" i="140"/>
  <c r="BG1095" i="140"/>
  <c r="BM1094" i="140"/>
  <c r="BL1094" i="140"/>
  <c r="BK1094" i="140"/>
  <c r="BJ1094" i="140"/>
  <c r="BI1094" i="140"/>
  <c r="BH1094" i="140"/>
  <c r="BG1094" i="140"/>
  <c r="BM1093" i="140"/>
  <c r="BL1093" i="140"/>
  <c r="BK1093" i="140"/>
  <c r="BJ1093" i="140"/>
  <c r="BI1093" i="140"/>
  <c r="BH1093" i="140"/>
  <c r="BG1093" i="140"/>
  <c r="BM1092" i="140"/>
  <c r="BL1092" i="140"/>
  <c r="BK1092" i="140"/>
  <c r="BJ1092" i="140"/>
  <c r="BI1092" i="140"/>
  <c r="BH1092" i="140"/>
  <c r="BG1092" i="140"/>
  <c r="BM1091" i="140"/>
  <c r="BL1091" i="140"/>
  <c r="BK1091" i="140"/>
  <c r="BJ1091" i="140"/>
  <c r="BI1091" i="140"/>
  <c r="BH1091" i="140"/>
  <c r="BG1091" i="140"/>
  <c r="BM1090" i="140"/>
  <c r="BL1090" i="140"/>
  <c r="BK1090" i="140"/>
  <c r="BJ1090" i="140"/>
  <c r="BI1090" i="140"/>
  <c r="BH1090" i="140"/>
  <c r="BG1090" i="140"/>
  <c r="BM1089" i="140"/>
  <c r="BL1089" i="140"/>
  <c r="BK1089" i="140"/>
  <c r="BJ1089" i="140"/>
  <c r="BI1089" i="140"/>
  <c r="BH1089" i="140"/>
  <c r="BG1089" i="140"/>
  <c r="BM1088" i="140"/>
  <c r="BL1088" i="140"/>
  <c r="BK1088" i="140"/>
  <c r="BJ1088" i="140"/>
  <c r="BI1088" i="140"/>
  <c r="BH1088" i="140"/>
  <c r="BG1088" i="140"/>
  <c r="BM1087" i="140"/>
  <c r="BL1087" i="140"/>
  <c r="BK1087" i="140"/>
  <c r="BJ1087" i="140"/>
  <c r="BI1087" i="140"/>
  <c r="BH1087" i="140"/>
  <c r="BG1087" i="140"/>
  <c r="BM1086" i="140"/>
  <c r="BL1086" i="140"/>
  <c r="BK1086" i="140"/>
  <c r="BJ1086" i="140"/>
  <c r="BI1086" i="140"/>
  <c r="BH1086" i="140"/>
  <c r="BG1086" i="140"/>
  <c r="BM1085" i="140"/>
  <c r="BL1085" i="140"/>
  <c r="BK1085" i="140"/>
  <c r="BJ1085" i="140"/>
  <c r="BI1085" i="140"/>
  <c r="BH1085" i="140"/>
  <c r="BG1085" i="140"/>
  <c r="BM1084" i="140"/>
  <c r="BL1084" i="140"/>
  <c r="BK1084" i="140"/>
  <c r="BJ1084" i="140"/>
  <c r="BI1084" i="140"/>
  <c r="BH1084" i="140"/>
  <c r="BG1084" i="140"/>
  <c r="BM1083" i="140"/>
  <c r="BL1083" i="140"/>
  <c r="BK1083" i="140"/>
  <c r="BJ1083" i="140"/>
  <c r="BI1083" i="140"/>
  <c r="BH1083" i="140"/>
  <c r="BG1083" i="140"/>
  <c r="BM1082" i="140"/>
  <c r="BL1082" i="140"/>
  <c r="BK1082" i="140"/>
  <c r="BJ1082" i="140"/>
  <c r="BI1082" i="140"/>
  <c r="BH1082" i="140"/>
  <c r="BG1082" i="140"/>
  <c r="BM1081" i="140"/>
  <c r="BL1081" i="140"/>
  <c r="BK1081" i="140"/>
  <c r="BJ1081" i="140"/>
  <c r="BI1081" i="140"/>
  <c r="BH1081" i="140"/>
  <c r="BG1081" i="140"/>
  <c r="BM1080" i="140"/>
  <c r="BL1080" i="140"/>
  <c r="BK1080" i="140"/>
  <c r="BJ1080" i="140"/>
  <c r="BI1080" i="140"/>
  <c r="BH1080" i="140"/>
  <c r="BG1080" i="140"/>
  <c r="BM1079" i="140"/>
  <c r="BL1079" i="140"/>
  <c r="BK1079" i="140"/>
  <c r="BJ1079" i="140"/>
  <c r="BI1079" i="140"/>
  <c r="BH1079" i="140"/>
  <c r="BG1079" i="140"/>
  <c r="BM1078" i="140"/>
  <c r="BL1078" i="140"/>
  <c r="BK1078" i="140"/>
  <c r="BJ1078" i="140"/>
  <c r="BI1078" i="140"/>
  <c r="BH1078" i="140"/>
  <c r="BG1078" i="140"/>
  <c r="BM1077" i="140"/>
  <c r="BL1077" i="140"/>
  <c r="BK1077" i="140"/>
  <c r="BJ1077" i="140"/>
  <c r="BI1077" i="140"/>
  <c r="BH1077" i="140"/>
  <c r="BG1077" i="140"/>
  <c r="BM1076" i="140"/>
  <c r="BL1076" i="140"/>
  <c r="BK1076" i="140"/>
  <c r="BJ1076" i="140"/>
  <c r="BI1076" i="140"/>
  <c r="BH1076" i="140"/>
  <c r="BG1076" i="140"/>
  <c r="BM1075" i="140"/>
  <c r="BL1075" i="140"/>
  <c r="BK1075" i="140"/>
  <c r="BJ1075" i="140"/>
  <c r="BI1075" i="140"/>
  <c r="BH1075" i="140"/>
  <c r="BG1075" i="140"/>
  <c r="BM1074" i="140"/>
  <c r="BL1074" i="140"/>
  <c r="BK1074" i="140"/>
  <c r="BJ1074" i="140"/>
  <c r="BI1074" i="140"/>
  <c r="BH1074" i="140"/>
  <c r="BG1074" i="140"/>
  <c r="BM1073" i="140"/>
  <c r="BL1073" i="140"/>
  <c r="BK1073" i="140"/>
  <c r="BJ1073" i="140"/>
  <c r="BI1073" i="140"/>
  <c r="BH1073" i="140"/>
  <c r="BG1073" i="140"/>
  <c r="BM1072" i="140"/>
  <c r="BL1072" i="140"/>
  <c r="BK1072" i="140"/>
  <c r="BJ1072" i="140"/>
  <c r="BI1072" i="140"/>
  <c r="BH1072" i="140"/>
  <c r="BG1072" i="140"/>
  <c r="BM1071" i="140"/>
  <c r="BL1071" i="140"/>
  <c r="BK1071" i="140"/>
  <c r="BJ1071" i="140"/>
  <c r="BI1071" i="140"/>
  <c r="BH1071" i="140"/>
  <c r="BG1071" i="140"/>
  <c r="BM1070" i="140"/>
  <c r="BL1070" i="140"/>
  <c r="BK1070" i="140"/>
  <c r="BJ1070" i="140"/>
  <c r="BI1070" i="140"/>
  <c r="BH1070" i="140"/>
  <c r="BG1070" i="140"/>
  <c r="BM1069" i="140"/>
  <c r="BL1069" i="140"/>
  <c r="BK1069" i="140"/>
  <c r="BJ1069" i="140"/>
  <c r="BI1069" i="140"/>
  <c r="BH1069" i="140"/>
  <c r="BG1069" i="140"/>
  <c r="BM1068" i="140"/>
  <c r="BL1068" i="140"/>
  <c r="BK1068" i="140"/>
  <c r="BJ1068" i="140"/>
  <c r="BI1068" i="140"/>
  <c r="BH1068" i="140"/>
  <c r="BG1068" i="140"/>
  <c r="BM1067" i="140"/>
  <c r="BL1067" i="140"/>
  <c r="BK1067" i="140"/>
  <c r="BJ1067" i="140"/>
  <c r="BI1067" i="140"/>
  <c r="BH1067" i="140"/>
  <c r="BG1067" i="140"/>
  <c r="BM1066" i="140"/>
  <c r="BL1066" i="140"/>
  <c r="BK1066" i="140"/>
  <c r="BJ1066" i="140"/>
  <c r="BI1066" i="140"/>
  <c r="BH1066" i="140"/>
  <c r="BG1066" i="140"/>
  <c r="BM1065" i="140"/>
  <c r="BL1065" i="140"/>
  <c r="BK1065" i="140"/>
  <c r="BJ1065" i="140"/>
  <c r="BI1065" i="140"/>
  <c r="BH1065" i="140"/>
  <c r="BG1065" i="140"/>
  <c r="BM1064" i="140"/>
  <c r="BL1064" i="140"/>
  <c r="BK1064" i="140"/>
  <c r="BJ1064" i="140"/>
  <c r="BI1064" i="140"/>
  <c r="BH1064" i="140"/>
  <c r="BG1064" i="140"/>
  <c r="BM1063" i="140"/>
  <c r="BL1063" i="140"/>
  <c r="BK1063" i="140"/>
  <c r="BJ1063" i="140"/>
  <c r="BI1063" i="140"/>
  <c r="BH1063" i="140"/>
  <c r="BG1063" i="140"/>
  <c r="BM1062" i="140"/>
  <c r="BL1062" i="140"/>
  <c r="BK1062" i="140"/>
  <c r="BJ1062" i="140"/>
  <c r="BI1062" i="140"/>
  <c r="BH1062" i="140"/>
  <c r="BG1062" i="140"/>
  <c r="BM1061" i="140"/>
  <c r="BL1061" i="140"/>
  <c r="BK1061" i="140"/>
  <c r="BJ1061" i="140"/>
  <c r="BI1061" i="140"/>
  <c r="BH1061" i="140"/>
  <c r="BG1061" i="140"/>
  <c r="BM1060" i="140"/>
  <c r="BL1060" i="140"/>
  <c r="BK1060" i="140"/>
  <c r="BJ1060" i="140"/>
  <c r="BI1060" i="140"/>
  <c r="BH1060" i="140"/>
  <c r="BG1060" i="140"/>
  <c r="BM1059" i="140"/>
  <c r="BL1059" i="140"/>
  <c r="BK1059" i="140"/>
  <c r="BJ1059" i="140"/>
  <c r="BI1059" i="140"/>
  <c r="BH1059" i="140"/>
  <c r="BG1059" i="140"/>
  <c r="BM1058" i="140"/>
  <c r="BL1058" i="140"/>
  <c r="BK1058" i="140"/>
  <c r="BJ1058" i="140"/>
  <c r="BI1058" i="140"/>
  <c r="BH1058" i="140"/>
  <c r="BG1058" i="140"/>
  <c r="BM1057" i="140"/>
  <c r="BL1057" i="140"/>
  <c r="BK1057" i="140"/>
  <c r="BJ1057" i="140"/>
  <c r="BI1057" i="140"/>
  <c r="BH1057" i="140"/>
  <c r="BG1057" i="140"/>
  <c r="BM1056" i="140"/>
  <c r="BL1056" i="140"/>
  <c r="BK1056" i="140"/>
  <c r="BJ1056" i="140"/>
  <c r="BI1056" i="140"/>
  <c r="BH1056" i="140"/>
  <c r="BG1056" i="140"/>
  <c r="BM1055" i="140"/>
  <c r="BL1055" i="140"/>
  <c r="BK1055" i="140"/>
  <c r="BJ1055" i="140"/>
  <c r="BI1055" i="140"/>
  <c r="BH1055" i="140"/>
  <c r="BG1055" i="140"/>
  <c r="BM1054" i="140"/>
  <c r="BL1054" i="140"/>
  <c r="BK1054" i="140"/>
  <c r="BJ1054" i="140"/>
  <c r="BI1054" i="140"/>
  <c r="BH1054" i="140"/>
  <c r="BG1054" i="140"/>
  <c r="BM1053" i="140"/>
  <c r="BL1053" i="140"/>
  <c r="BK1053" i="140"/>
  <c r="BJ1053" i="140"/>
  <c r="BI1053" i="140"/>
  <c r="BH1053" i="140"/>
  <c r="BG1053" i="140"/>
  <c r="BM1052" i="140"/>
  <c r="BL1052" i="140"/>
  <c r="BK1052" i="140"/>
  <c r="BJ1052" i="140"/>
  <c r="BI1052" i="140"/>
  <c r="BH1052" i="140"/>
  <c r="BG1052" i="140"/>
  <c r="BM1051" i="140"/>
  <c r="BL1051" i="140"/>
  <c r="BK1051" i="140"/>
  <c r="BJ1051" i="140"/>
  <c r="BI1051" i="140"/>
  <c r="BH1051" i="140"/>
  <c r="BG1051" i="140"/>
  <c r="BM1050" i="140"/>
  <c r="BL1050" i="140"/>
  <c r="BK1050" i="140"/>
  <c r="BJ1050" i="140"/>
  <c r="BI1050" i="140"/>
  <c r="BH1050" i="140"/>
  <c r="BG1050" i="140"/>
  <c r="BM1049" i="140"/>
  <c r="BL1049" i="140"/>
  <c r="BK1049" i="140"/>
  <c r="BJ1049" i="140"/>
  <c r="BI1049" i="140"/>
  <c r="BH1049" i="140"/>
  <c r="BG1049" i="140"/>
  <c r="BM1048" i="140"/>
  <c r="BL1048" i="140"/>
  <c r="BK1048" i="140"/>
  <c r="BJ1048" i="140"/>
  <c r="BI1048" i="140"/>
  <c r="BH1048" i="140"/>
  <c r="BG1048" i="140"/>
  <c r="BM1047" i="140"/>
  <c r="BL1047" i="140"/>
  <c r="BK1047" i="140"/>
  <c r="BJ1047" i="140"/>
  <c r="BI1047" i="140"/>
  <c r="BH1047" i="140"/>
  <c r="BG1047" i="140"/>
  <c r="BM1046" i="140"/>
  <c r="BL1046" i="140"/>
  <c r="BK1046" i="140"/>
  <c r="BJ1046" i="140"/>
  <c r="BI1046" i="140"/>
  <c r="BH1046" i="140"/>
  <c r="BG1046" i="140"/>
  <c r="BM1045" i="140"/>
  <c r="BL1045" i="140"/>
  <c r="BK1045" i="140"/>
  <c r="BJ1045" i="140"/>
  <c r="BI1045" i="140"/>
  <c r="BH1045" i="140"/>
  <c r="BG1045" i="140"/>
  <c r="BM1044" i="140"/>
  <c r="BL1044" i="140"/>
  <c r="BK1044" i="140"/>
  <c r="BJ1044" i="140"/>
  <c r="BI1044" i="140"/>
  <c r="BH1044" i="140"/>
  <c r="BG1044" i="140"/>
  <c r="BM1043" i="140"/>
  <c r="BL1043" i="140"/>
  <c r="BK1043" i="140"/>
  <c r="BJ1043" i="140"/>
  <c r="BI1043" i="140"/>
  <c r="BH1043" i="140"/>
  <c r="BG1043" i="140"/>
  <c r="BM1042" i="140"/>
  <c r="BL1042" i="140"/>
  <c r="BK1042" i="140"/>
  <c r="BJ1042" i="140"/>
  <c r="BI1042" i="140"/>
  <c r="BH1042" i="140"/>
  <c r="BG1042" i="140"/>
  <c r="BM1041" i="140"/>
  <c r="BL1041" i="140"/>
  <c r="BK1041" i="140"/>
  <c r="BJ1041" i="140"/>
  <c r="BI1041" i="140"/>
  <c r="BH1041" i="140"/>
  <c r="BG1041" i="140"/>
  <c r="BM1040" i="140"/>
  <c r="BL1040" i="140"/>
  <c r="BK1040" i="140"/>
  <c r="BJ1040" i="140"/>
  <c r="BI1040" i="140"/>
  <c r="BH1040" i="140"/>
  <c r="BG1040" i="140"/>
  <c r="BM1039" i="140"/>
  <c r="BL1039" i="140"/>
  <c r="BK1039" i="140"/>
  <c r="BJ1039" i="140"/>
  <c r="BI1039" i="140"/>
  <c r="BH1039" i="140"/>
  <c r="BG1039" i="140"/>
  <c r="BM1038" i="140"/>
  <c r="BL1038" i="140"/>
  <c r="BK1038" i="140"/>
  <c r="BJ1038" i="140"/>
  <c r="BI1038" i="140"/>
  <c r="BH1038" i="140"/>
  <c r="BG1038" i="140"/>
  <c r="BM1037" i="140"/>
  <c r="BL1037" i="140"/>
  <c r="BK1037" i="140"/>
  <c r="BJ1037" i="140"/>
  <c r="BI1037" i="140"/>
  <c r="BH1037" i="140"/>
  <c r="BG1037" i="140"/>
  <c r="BM1036" i="140"/>
  <c r="BL1036" i="140"/>
  <c r="BK1036" i="140"/>
  <c r="BJ1036" i="140"/>
  <c r="BI1036" i="140"/>
  <c r="BH1036" i="140"/>
  <c r="BG1036" i="140"/>
  <c r="BM1035" i="140"/>
  <c r="BL1035" i="140"/>
  <c r="BK1035" i="140"/>
  <c r="BJ1035" i="140"/>
  <c r="BI1035" i="140"/>
  <c r="BH1035" i="140"/>
  <c r="BG1035" i="140"/>
  <c r="BM1034" i="140"/>
  <c r="BL1034" i="140"/>
  <c r="BK1034" i="140"/>
  <c r="BJ1034" i="140"/>
  <c r="BI1034" i="140"/>
  <c r="BH1034" i="140"/>
  <c r="BG1034" i="140"/>
  <c r="BM1033" i="140"/>
  <c r="BL1033" i="140"/>
  <c r="BK1033" i="140"/>
  <c r="BJ1033" i="140"/>
  <c r="BI1033" i="140"/>
  <c r="BH1033" i="140"/>
  <c r="BG1033" i="140"/>
  <c r="BM1032" i="140"/>
  <c r="BL1032" i="140"/>
  <c r="BK1032" i="140"/>
  <c r="BJ1032" i="140"/>
  <c r="BI1032" i="140"/>
  <c r="BH1032" i="140"/>
  <c r="BG1032" i="140"/>
  <c r="BM1031" i="140"/>
  <c r="BL1031" i="140"/>
  <c r="BK1031" i="140"/>
  <c r="BJ1031" i="140"/>
  <c r="BI1031" i="140"/>
  <c r="BH1031" i="140"/>
  <c r="BG1031" i="140"/>
  <c r="BM1030" i="140"/>
  <c r="BL1030" i="140"/>
  <c r="BK1030" i="140"/>
  <c r="BJ1030" i="140"/>
  <c r="BI1030" i="140"/>
  <c r="BH1030" i="140"/>
  <c r="BG1030" i="140"/>
  <c r="BM1029" i="140"/>
  <c r="BL1029" i="140"/>
  <c r="BK1029" i="140"/>
  <c r="BJ1029" i="140"/>
  <c r="BI1029" i="140"/>
  <c r="BH1029" i="140"/>
  <c r="BG1029" i="140"/>
  <c r="BM1028" i="140"/>
  <c r="BL1028" i="140"/>
  <c r="BK1028" i="140"/>
  <c r="BJ1028" i="140"/>
  <c r="BI1028" i="140"/>
  <c r="BH1028" i="140"/>
  <c r="BG1028" i="140"/>
  <c r="BM1027" i="140"/>
  <c r="BL1027" i="140"/>
  <c r="BK1027" i="140"/>
  <c r="BJ1027" i="140"/>
  <c r="BI1027" i="140"/>
  <c r="BH1027" i="140"/>
  <c r="BG1027" i="140"/>
  <c r="BM1026" i="140"/>
  <c r="BL1026" i="140"/>
  <c r="BK1026" i="140"/>
  <c r="BJ1026" i="140"/>
  <c r="BI1026" i="140"/>
  <c r="BH1026" i="140"/>
  <c r="BG1026" i="140"/>
  <c r="BM1025" i="140"/>
  <c r="BL1025" i="140"/>
  <c r="BK1025" i="140"/>
  <c r="BJ1025" i="140"/>
  <c r="BI1025" i="140"/>
  <c r="BH1025" i="140"/>
  <c r="BG1025" i="140"/>
  <c r="BM1024" i="140"/>
  <c r="BL1024" i="140"/>
  <c r="BK1024" i="140"/>
  <c r="BJ1024" i="140"/>
  <c r="BI1024" i="140"/>
  <c r="BH1024" i="140"/>
  <c r="BG1024" i="140"/>
  <c r="BM1023" i="140"/>
  <c r="BL1023" i="140"/>
  <c r="BK1023" i="140"/>
  <c r="BJ1023" i="140"/>
  <c r="BI1023" i="140"/>
  <c r="BH1023" i="140"/>
  <c r="BG1023" i="140"/>
  <c r="BM1022" i="140"/>
  <c r="BL1022" i="140"/>
  <c r="BK1022" i="140"/>
  <c r="BJ1022" i="140"/>
  <c r="BI1022" i="140"/>
  <c r="BH1022" i="140"/>
  <c r="BG1022" i="140"/>
  <c r="BM1021" i="140"/>
  <c r="BL1021" i="140"/>
  <c r="BK1021" i="140"/>
  <c r="BJ1021" i="140"/>
  <c r="BI1021" i="140"/>
  <c r="BH1021" i="140"/>
  <c r="BG1021" i="140"/>
  <c r="BM1020" i="140"/>
  <c r="BL1020" i="140"/>
  <c r="BK1020" i="140"/>
  <c r="BJ1020" i="140"/>
  <c r="BI1020" i="140"/>
  <c r="BH1020" i="140"/>
  <c r="BG1020" i="140"/>
  <c r="BM1019" i="140"/>
  <c r="BL1019" i="140"/>
  <c r="BK1019" i="140"/>
  <c r="BJ1019" i="140"/>
  <c r="BI1019" i="140"/>
  <c r="BH1019" i="140"/>
  <c r="BG1019" i="140"/>
  <c r="BM1018" i="140"/>
  <c r="BL1018" i="140"/>
  <c r="BK1018" i="140"/>
  <c r="BJ1018" i="140"/>
  <c r="BI1018" i="140"/>
  <c r="BH1018" i="140"/>
  <c r="BG1018" i="140"/>
  <c r="BM1017" i="140"/>
  <c r="BL1017" i="140"/>
  <c r="BK1017" i="140"/>
  <c r="BJ1017" i="140"/>
  <c r="BI1017" i="140"/>
  <c r="BH1017" i="140"/>
  <c r="BG1017" i="140"/>
  <c r="BM1016" i="140"/>
  <c r="BL1016" i="140"/>
  <c r="BK1016" i="140"/>
  <c r="BJ1016" i="140"/>
  <c r="BI1016" i="140"/>
  <c r="BH1016" i="140"/>
  <c r="BG1016" i="140"/>
  <c r="BM1015" i="140"/>
  <c r="BL1015" i="140"/>
  <c r="BK1015" i="140"/>
  <c r="BJ1015" i="140"/>
  <c r="BI1015" i="140"/>
  <c r="BH1015" i="140"/>
  <c r="BG1015" i="140"/>
  <c r="BM1014" i="140"/>
  <c r="BL1014" i="140"/>
  <c r="BK1014" i="140"/>
  <c r="BJ1014" i="140"/>
  <c r="BI1014" i="140"/>
  <c r="BH1014" i="140"/>
  <c r="BG1014" i="140"/>
  <c r="BM1013" i="140"/>
  <c r="BL1013" i="140"/>
  <c r="BK1013" i="140"/>
  <c r="BJ1013" i="140"/>
  <c r="BI1013" i="140"/>
  <c r="BH1013" i="140"/>
  <c r="BG1013" i="140"/>
  <c r="BM1012" i="140"/>
  <c r="BL1012" i="140"/>
  <c r="BK1012" i="140"/>
  <c r="BJ1012" i="140"/>
  <c r="BI1012" i="140"/>
  <c r="BH1012" i="140"/>
  <c r="BG1012" i="140"/>
  <c r="BM1011" i="140"/>
  <c r="BL1011" i="140"/>
  <c r="BK1011" i="140"/>
  <c r="BJ1011" i="140"/>
  <c r="BI1011" i="140"/>
  <c r="BH1011" i="140"/>
  <c r="BG1011" i="140"/>
  <c r="BM1010" i="140"/>
  <c r="BL1010" i="140"/>
  <c r="BK1010" i="140"/>
  <c r="BJ1010" i="140"/>
  <c r="BI1010" i="140"/>
  <c r="BH1010" i="140"/>
  <c r="BG1010" i="140"/>
  <c r="BM1009" i="140"/>
  <c r="BL1009" i="140"/>
  <c r="BK1009" i="140"/>
  <c r="BJ1009" i="140"/>
  <c r="BI1009" i="140"/>
  <c r="BH1009" i="140"/>
  <c r="BG1009" i="140"/>
  <c r="BM1008" i="140"/>
  <c r="BL1008" i="140"/>
  <c r="BK1008" i="140"/>
  <c r="BJ1008" i="140"/>
  <c r="BI1008" i="140"/>
  <c r="BH1008" i="140"/>
  <c r="BG1008" i="140"/>
  <c r="BM1007" i="140"/>
  <c r="BL1007" i="140"/>
  <c r="BK1007" i="140"/>
  <c r="BJ1007" i="140"/>
  <c r="BI1007" i="140"/>
  <c r="BH1007" i="140"/>
  <c r="BG1007" i="140"/>
  <c r="BM1006" i="140"/>
  <c r="BL1006" i="140"/>
  <c r="BK1006" i="140"/>
  <c r="BJ1006" i="140"/>
  <c r="BI1006" i="140"/>
  <c r="BH1006" i="140"/>
  <c r="BG1006" i="140"/>
  <c r="BM1005" i="140"/>
  <c r="BL1005" i="140"/>
  <c r="BK1005" i="140"/>
  <c r="BJ1005" i="140"/>
  <c r="BI1005" i="140"/>
  <c r="BH1005" i="140"/>
  <c r="BG1005" i="140"/>
  <c r="BM1004" i="140"/>
  <c r="BL1004" i="140"/>
  <c r="BK1004" i="140"/>
  <c r="BJ1004" i="140"/>
  <c r="BI1004" i="140"/>
  <c r="BH1004" i="140"/>
  <c r="BG1004" i="140"/>
  <c r="BM1003" i="140"/>
  <c r="BL1003" i="140"/>
  <c r="BK1003" i="140"/>
  <c r="BJ1003" i="140"/>
  <c r="BI1003" i="140"/>
  <c r="BH1003" i="140"/>
  <c r="BG1003" i="140"/>
  <c r="BM1002" i="140"/>
  <c r="BL1002" i="140"/>
  <c r="BK1002" i="140"/>
  <c r="BJ1002" i="140"/>
  <c r="BI1002" i="140"/>
  <c r="BH1002" i="140"/>
  <c r="BG1002" i="140"/>
  <c r="BM1001" i="140"/>
  <c r="BL1001" i="140"/>
  <c r="BK1001" i="140"/>
  <c r="BJ1001" i="140"/>
  <c r="BI1001" i="140"/>
  <c r="BH1001" i="140"/>
  <c r="BG1001" i="140"/>
  <c r="BM1000" i="140"/>
  <c r="BL1000" i="140"/>
  <c r="BK1000" i="140"/>
  <c r="BJ1000" i="140"/>
  <c r="BI1000" i="140"/>
  <c r="BH1000" i="140"/>
  <c r="BG1000" i="140"/>
  <c r="BM999" i="140"/>
  <c r="BL999" i="140"/>
  <c r="BK999" i="140"/>
  <c r="BJ999" i="140"/>
  <c r="BI999" i="140"/>
  <c r="BH999" i="140"/>
  <c r="BG999" i="140"/>
  <c r="BM998" i="140"/>
  <c r="BL998" i="140"/>
  <c r="BK998" i="140"/>
  <c r="BJ998" i="140"/>
  <c r="BI998" i="140"/>
  <c r="BH998" i="140"/>
  <c r="BG998" i="140"/>
  <c r="BM997" i="140"/>
  <c r="BL997" i="140"/>
  <c r="BK997" i="140"/>
  <c r="BJ997" i="140"/>
  <c r="BI997" i="140"/>
  <c r="BH997" i="140"/>
  <c r="BG997" i="140"/>
  <c r="BM996" i="140"/>
  <c r="BL996" i="140"/>
  <c r="BK996" i="140"/>
  <c r="BJ996" i="140"/>
  <c r="BI996" i="140"/>
  <c r="BH996" i="140"/>
  <c r="BG996" i="140"/>
  <c r="BM995" i="140"/>
  <c r="BL995" i="140"/>
  <c r="BK995" i="140"/>
  <c r="BJ995" i="140"/>
  <c r="BI995" i="140"/>
  <c r="BH995" i="140"/>
  <c r="BG995" i="140"/>
  <c r="BM994" i="140"/>
  <c r="BL994" i="140"/>
  <c r="BK994" i="140"/>
  <c r="BJ994" i="140"/>
  <c r="BI994" i="140"/>
  <c r="BH994" i="140"/>
  <c r="BG994" i="140"/>
  <c r="BM993" i="140"/>
  <c r="BL993" i="140"/>
  <c r="BK993" i="140"/>
  <c r="BJ993" i="140"/>
  <c r="BI993" i="140"/>
  <c r="BH993" i="140"/>
  <c r="BG993" i="140"/>
  <c r="BM992" i="140"/>
  <c r="BL992" i="140"/>
  <c r="BK992" i="140"/>
  <c r="BJ992" i="140"/>
  <c r="BI992" i="140"/>
  <c r="BH992" i="140"/>
  <c r="BG992" i="140"/>
  <c r="BM991" i="140"/>
  <c r="BL991" i="140"/>
  <c r="BK991" i="140"/>
  <c r="BJ991" i="140"/>
  <c r="BI991" i="140"/>
  <c r="BH991" i="140"/>
  <c r="BG991" i="140"/>
  <c r="BM990" i="140"/>
  <c r="BL990" i="140"/>
  <c r="BK990" i="140"/>
  <c r="BJ990" i="140"/>
  <c r="BI990" i="140"/>
  <c r="BH990" i="140"/>
  <c r="BG990" i="140"/>
  <c r="BM989" i="140"/>
  <c r="BL989" i="140"/>
  <c r="BK989" i="140"/>
  <c r="BJ989" i="140"/>
  <c r="BI989" i="140"/>
  <c r="BH989" i="140"/>
  <c r="BG989" i="140"/>
  <c r="BM988" i="140"/>
  <c r="BL988" i="140"/>
  <c r="BK988" i="140"/>
  <c r="BJ988" i="140"/>
  <c r="BI988" i="140"/>
  <c r="BH988" i="140"/>
  <c r="BG988" i="140"/>
  <c r="BM987" i="140"/>
  <c r="BL987" i="140"/>
  <c r="BK987" i="140"/>
  <c r="BJ987" i="140"/>
  <c r="BI987" i="140"/>
  <c r="BH987" i="140"/>
  <c r="BG987" i="140"/>
  <c r="BM986" i="140"/>
  <c r="BL986" i="140"/>
  <c r="BK986" i="140"/>
  <c r="BJ986" i="140"/>
  <c r="BI986" i="140"/>
  <c r="BH986" i="140"/>
  <c r="BG986" i="140"/>
  <c r="BM985" i="140"/>
  <c r="BL985" i="140"/>
  <c r="BK985" i="140"/>
  <c r="BJ985" i="140"/>
  <c r="BI985" i="140"/>
  <c r="BH985" i="140"/>
  <c r="BG985" i="140"/>
  <c r="BM984" i="140"/>
  <c r="BL984" i="140"/>
  <c r="BK984" i="140"/>
  <c r="BJ984" i="140"/>
  <c r="BI984" i="140"/>
  <c r="BH984" i="140"/>
  <c r="BG984" i="140"/>
  <c r="BM983" i="140"/>
  <c r="BL983" i="140"/>
  <c r="BK983" i="140"/>
  <c r="BJ983" i="140"/>
  <c r="BI983" i="140"/>
  <c r="BH983" i="140"/>
  <c r="BG983" i="140"/>
  <c r="BM982" i="140"/>
  <c r="BL982" i="140"/>
  <c r="BK982" i="140"/>
  <c r="BJ982" i="140"/>
  <c r="BI982" i="140"/>
  <c r="BH982" i="140"/>
  <c r="BG982" i="140"/>
  <c r="BM981" i="140"/>
  <c r="BL981" i="140"/>
  <c r="BK981" i="140"/>
  <c r="BJ981" i="140"/>
  <c r="BI981" i="140"/>
  <c r="BH981" i="140"/>
  <c r="BG981" i="140"/>
  <c r="BM980" i="140"/>
  <c r="BL980" i="140"/>
  <c r="BK980" i="140"/>
  <c r="BJ980" i="140"/>
  <c r="BI980" i="140"/>
  <c r="BH980" i="140"/>
  <c r="BG980" i="140"/>
  <c r="BM979" i="140"/>
  <c r="BL979" i="140"/>
  <c r="BK979" i="140"/>
  <c r="BJ979" i="140"/>
  <c r="BI979" i="140"/>
  <c r="BH979" i="140"/>
  <c r="BG979" i="140"/>
  <c r="BM978" i="140"/>
  <c r="BL978" i="140"/>
  <c r="BK978" i="140"/>
  <c r="BJ978" i="140"/>
  <c r="BI978" i="140"/>
  <c r="BH978" i="140"/>
  <c r="BG978" i="140"/>
  <c r="BM977" i="140"/>
  <c r="BL977" i="140"/>
  <c r="BK977" i="140"/>
  <c r="BJ977" i="140"/>
  <c r="BI977" i="140"/>
  <c r="BH977" i="140"/>
  <c r="BG977" i="140"/>
  <c r="BM976" i="140"/>
  <c r="BL976" i="140"/>
  <c r="BK976" i="140"/>
  <c r="BJ976" i="140"/>
  <c r="BI976" i="140"/>
  <c r="BH976" i="140"/>
  <c r="BG976" i="140"/>
  <c r="BM975" i="140"/>
  <c r="BL975" i="140"/>
  <c r="BK975" i="140"/>
  <c r="BJ975" i="140"/>
  <c r="BI975" i="140"/>
  <c r="BH975" i="140"/>
  <c r="BG975" i="140"/>
  <c r="BM974" i="140"/>
  <c r="BL974" i="140"/>
  <c r="BK974" i="140"/>
  <c r="BJ974" i="140"/>
  <c r="BI974" i="140"/>
  <c r="BH974" i="140"/>
  <c r="BG974" i="140"/>
  <c r="BM973" i="140"/>
  <c r="BL973" i="140"/>
  <c r="BK973" i="140"/>
  <c r="BJ973" i="140"/>
  <c r="BI973" i="140"/>
  <c r="BH973" i="140"/>
  <c r="BG973" i="140"/>
  <c r="BM972" i="140"/>
  <c r="BL972" i="140"/>
  <c r="BK972" i="140"/>
  <c r="BJ972" i="140"/>
  <c r="BI972" i="140"/>
  <c r="BH972" i="140"/>
  <c r="BG972" i="140"/>
  <c r="BM971" i="140"/>
  <c r="BL971" i="140"/>
  <c r="BK971" i="140"/>
  <c r="BJ971" i="140"/>
  <c r="BI971" i="140"/>
  <c r="BH971" i="140"/>
  <c r="BG971" i="140"/>
  <c r="BM970" i="140"/>
  <c r="BL970" i="140"/>
  <c r="BK970" i="140"/>
  <c r="BJ970" i="140"/>
  <c r="BI970" i="140"/>
  <c r="BH970" i="140"/>
  <c r="BG970" i="140"/>
  <c r="BM969" i="140"/>
  <c r="BL969" i="140"/>
  <c r="BK969" i="140"/>
  <c r="BJ969" i="140"/>
  <c r="BI969" i="140"/>
  <c r="BH969" i="140"/>
  <c r="BG969" i="140"/>
  <c r="BM968" i="140"/>
  <c r="BL968" i="140"/>
  <c r="BK968" i="140"/>
  <c r="BJ968" i="140"/>
  <c r="BI968" i="140"/>
  <c r="BH968" i="140"/>
  <c r="BG968" i="140"/>
  <c r="BM967" i="140"/>
  <c r="BL967" i="140"/>
  <c r="BK967" i="140"/>
  <c r="BJ967" i="140"/>
  <c r="BI967" i="140"/>
  <c r="BH967" i="140"/>
  <c r="BG967" i="140"/>
  <c r="BM966" i="140"/>
  <c r="BL966" i="140"/>
  <c r="BK966" i="140"/>
  <c r="BJ966" i="140"/>
  <c r="BI966" i="140"/>
  <c r="BH966" i="140"/>
  <c r="BG966" i="140"/>
  <c r="BM965" i="140"/>
  <c r="BL965" i="140"/>
  <c r="BK965" i="140"/>
  <c r="BJ965" i="140"/>
  <c r="BI965" i="140"/>
  <c r="BH965" i="140"/>
  <c r="BG965" i="140"/>
  <c r="BM964" i="140"/>
  <c r="BL964" i="140"/>
  <c r="BK964" i="140"/>
  <c r="BJ964" i="140"/>
  <c r="BI964" i="140"/>
  <c r="BH964" i="140"/>
  <c r="BG964" i="140"/>
  <c r="BM963" i="140"/>
  <c r="BL963" i="140"/>
  <c r="BK963" i="140"/>
  <c r="BJ963" i="140"/>
  <c r="BI963" i="140"/>
  <c r="BH963" i="140"/>
  <c r="BG963" i="140"/>
  <c r="BM962" i="140"/>
  <c r="BL962" i="140"/>
  <c r="BK962" i="140"/>
  <c r="BJ962" i="140"/>
  <c r="BI962" i="140"/>
  <c r="BH962" i="140"/>
  <c r="BG962" i="140"/>
  <c r="BM961" i="140"/>
  <c r="BL961" i="140"/>
  <c r="BK961" i="140"/>
  <c r="BJ961" i="140"/>
  <c r="BI961" i="140"/>
  <c r="BH961" i="140"/>
  <c r="BG961" i="140"/>
  <c r="BM960" i="140"/>
  <c r="BL960" i="140"/>
  <c r="BK960" i="140"/>
  <c r="BJ960" i="140"/>
  <c r="BI960" i="140"/>
  <c r="BH960" i="140"/>
  <c r="BG960" i="140"/>
  <c r="BM959" i="140"/>
  <c r="BL959" i="140"/>
  <c r="BK959" i="140"/>
  <c r="BJ959" i="140"/>
  <c r="BI959" i="140"/>
  <c r="BH959" i="140"/>
  <c r="BG959" i="140"/>
  <c r="BM958" i="140"/>
  <c r="BL958" i="140"/>
  <c r="BK958" i="140"/>
  <c r="BJ958" i="140"/>
  <c r="BI958" i="140"/>
  <c r="BH958" i="140"/>
  <c r="BG958" i="140"/>
  <c r="BM957" i="140"/>
  <c r="BL957" i="140"/>
  <c r="BK957" i="140"/>
  <c r="BJ957" i="140"/>
  <c r="BI957" i="140"/>
  <c r="BH957" i="140"/>
  <c r="BG957" i="140"/>
  <c r="BM956" i="140"/>
  <c r="BL956" i="140"/>
  <c r="BK956" i="140"/>
  <c r="BJ956" i="140"/>
  <c r="BI956" i="140"/>
  <c r="BH956" i="140"/>
  <c r="BG956" i="140"/>
  <c r="BM955" i="140"/>
  <c r="BL955" i="140"/>
  <c r="BK955" i="140"/>
  <c r="BJ955" i="140"/>
  <c r="BI955" i="140"/>
  <c r="BH955" i="140"/>
  <c r="BG955" i="140"/>
  <c r="BM954" i="140"/>
  <c r="BL954" i="140"/>
  <c r="BK954" i="140"/>
  <c r="BJ954" i="140"/>
  <c r="BI954" i="140"/>
  <c r="BH954" i="140"/>
  <c r="BG954" i="140"/>
  <c r="BM953" i="140"/>
  <c r="BL953" i="140"/>
  <c r="BK953" i="140"/>
  <c r="BJ953" i="140"/>
  <c r="BI953" i="140"/>
  <c r="BH953" i="140"/>
  <c r="BG953" i="140"/>
  <c r="BM952" i="140"/>
  <c r="BL952" i="140"/>
  <c r="BK952" i="140"/>
  <c r="BJ952" i="140"/>
  <c r="BI952" i="140"/>
  <c r="BH952" i="140"/>
  <c r="BG952" i="140"/>
  <c r="BM951" i="140"/>
  <c r="BL951" i="140"/>
  <c r="BK951" i="140"/>
  <c r="BJ951" i="140"/>
  <c r="BI951" i="140"/>
  <c r="BH951" i="140"/>
  <c r="BG951" i="140"/>
  <c r="BM950" i="140"/>
  <c r="BL950" i="140"/>
  <c r="BK950" i="140"/>
  <c r="BJ950" i="140"/>
  <c r="BI950" i="140"/>
  <c r="BH950" i="140"/>
  <c r="BG950" i="140"/>
  <c r="BM949" i="140"/>
  <c r="BL949" i="140"/>
  <c r="BK949" i="140"/>
  <c r="BJ949" i="140"/>
  <c r="BI949" i="140"/>
  <c r="BH949" i="140"/>
  <c r="BG949" i="140"/>
  <c r="BM948" i="140"/>
  <c r="BL948" i="140"/>
  <c r="BK948" i="140"/>
  <c r="BJ948" i="140"/>
  <c r="BI948" i="140"/>
  <c r="BH948" i="140"/>
  <c r="BG948" i="140"/>
  <c r="BM947" i="140"/>
  <c r="BL947" i="140"/>
  <c r="BK947" i="140"/>
  <c r="BJ947" i="140"/>
  <c r="BI947" i="140"/>
  <c r="BH947" i="140"/>
  <c r="BG947" i="140"/>
  <c r="BM946" i="140"/>
  <c r="BL946" i="140"/>
  <c r="BK946" i="140"/>
  <c r="BJ946" i="140"/>
  <c r="BI946" i="140"/>
  <c r="BH946" i="140"/>
  <c r="BG946" i="140"/>
  <c r="BM945" i="140"/>
  <c r="BL945" i="140"/>
  <c r="BK945" i="140"/>
  <c r="BJ945" i="140"/>
  <c r="BI945" i="140"/>
  <c r="BH945" i="140"/>
  <c r="BG945" i="140"/>
  <c r="BM944" i="140"/>
  <c r="BL944" i="140"/>
  <c r="BK944" i="140"/>
  <c r="BJ944" i="140"/>
  <c r="BI944" i="140"/>
  <c r="BH944" i="140"/>
  <c r="BG944" i="140"/>
  <c r="BM943" i="140"/>
  <c r="BL943" i="140"/>
  <c r="BK943" i="140"/>
  <c r="BJ943" i="140"/>
  <c r="BI943" i="140"/>
  <c r="BH943" i="140"/>
  <c r="BG943" i="140"/>
  <c r="BM942" i="140"/>
  <c r="BL942" i="140"/>
  <c r="BK942" i="140"/>
  <c r="BJ942" i="140"/>
  <c r="BI942" i="140"/>
  <c r="BH942" i="140"/>
  <c r="BG942" i="140"/>
  <c r="BM941" i="140"/>
  <c r="BL941" i="140"/>
  <c r="BK941" i="140"/>
  <c r="BJ941" i="140"/>
  <c r="BI941" i="140"/>
  <c r="BH941" i="140"/>
  <c r="BG941" i="140"/>
  <c r="BM940" i="140"/>
  <c r="BL940" i="140"/>
  <c r="BK940" i="140"/>
  <c r="BJ940" i="140"/>
  <c r="BI940" i="140"/>
  <c r="BH940" i="140"/>
  <c r="BG940" i="140"/>
  <c r="BM939" i="140"/>
  <c r="BL939" i="140"/>
  <c r="BK939" i="140"/>
  <c r="BJ939" i="140"/>
  <c r="BI939" i="140"/>
  <c r="BH939" i="140"/>
  <c r="BG939" i="140"/>
  <c r="BM938" i="140"/>
  <c r="BL938" i="140"/>
  <c r="BK938" i="140"/>
  <c r="BJ938" i="140"/>
  <c r="BI938" i="140"/>
  <c r="BH938" i="140"/>
  <c r="BG938" i="140"/>
  <c r="BM937" i="140"/>
  <c r="BL937" i="140"/>
  <c r="BK937" i="140"/>
  <c r="BJ937" i="140"/>
  <c r="BI937" i="140"/>
  <c r="BH937" i="140"/>
  <c r="BG937" i="140"/>
  <c r="BM936" i="140"/>
  <c r="BL936" i="140"/>
  <c r="BK936" i="140"/>
  <c r="BJ936" i="140"/>
  <c r="BI936" i="140"/>
  <c r="BH936" i="140"/>
  <c r="BG936" i="140"/>
  <c r="BM935" i="140"/>
  <c r="BL935" i="140"/>
  <c r="BK935" i="140"/>
  <c r="BJ935" i="140"/>
  <c r="BI935" i="140"/>
  <c r="BH935" i="140"/>
  <c r="BG935" i="140"/>
  <c r="BM934" i="140"/>
  <c r="BL934" i="140"/>
  <c r="BK934" i="140"/>
  <c r="BJ934" i="140"/>
  <c r="BI934" i="140"/>
  <c r="BH934" i="140"/>
  <c r="BG934" i="140"/>
  <c r="BM933" i="140"/>
  <c r="BL933" i="140"/>
  <c r="BK933" i="140"/>
  <c r="BJ933" i="140"/>
  <c r="BI933" i="140"/>
  <c r="BH933" i="140"/>
  <c r="BG933" i="140"/>
  <c r="BM932" i="140"/>
  <c r="BL932" i="140"/>
  <c r="BK932" i="140"/>
  <c r="BJ932" i="140"/>
  <c r="BI932" i="140"/>
  <c r="BH932" i="140"/>
  <c r="BG932" i="140"/>
  <c r="BM931" i="140"/>
  <c r="BL931" i="140"/>
  <c r="BK931" i="140"/>
  <c r="BJ931" i="140"/>
  <c r="BI931" i="140"/>
  <c r="BH931" i="140"/>
  <c r="BG931" i="140"/>
  <c r="BM930" i="140"/>
  <c r="BL930" i="140"/>
  <c r="BK930" i="140"/>
  <c r="BJ930" i="140"/>
  <c r="BI930" i="140"/>
  <c r="BH930" i="140"/>
  <c r="BG930" i="140"/>
  <c r="BM929" i="140"/>
  <c r="BL929" i="140"/>
  <c r="BK929" i="140"/>
  <c r="BJ929" i="140"/>
  <c r="BI929" i="140"/>
  <c r="BH929" i="140"/>
  <c r="BG929" i="140"/>
  <c r="BM928" i="140"/>
  <c r="BL928" i="140"/>
  <c r="BK928" i="140"/>
  <c r="BJ928" i="140"/>
  <c r="BI928" i="140"/>
  <c r="BH928" i="140"/>
  <c r="BG928" i="140"/>
  <c r="BM927" i="140"/>
  <c r="BL927" i="140"/>
  <c r="BK927" i="140"/>
  <c r="BJ927" i="140"/>
  <c r="BI927" i="140"/>
  <c r="BH927" i="140"/>
  <c r="BG927" i="140"/>
  <c r="BM926" i="140"/>
  <c r="BL926" i="140"/>
  <c r="BK926" i="140"/>
  <c r="BJ926" i="140"/>
  <c r="BI926" i="140"/>
  <c r="BH926" i="140"/>
  <c r="BG926" i="140"/>
  <c r="BM925" i="140"/>
  <c r="BL925" i="140"/>
  <c r="BK925" i="140"/>
  <c r="BJ925" i="140"/>
  <c r="BI925" i="140"/>
  <c r="BH925" i="140"/>
  <c r="BG925" i="140"/>
  <c r="BM924" i="140"/>
  <c r="BL924" i="140"/>
  <c r="BK924" i="140"/>
  <c r="BJ924" i="140"/>
  <c r="BI924" i="140"/>
  <c r="BH924" i="140"/>
  <c r="BG924" i="140"/>
  <c r="BM923" i="140"/>
  <c r="BL923" i="140"/>
  <c r="BK923" i="140"/>
  <c r="BJ923" i="140"/>
  <c r="BI923" i="140"/>
  <c r="BH923" i="140"/>
  <c r="BG923" i="140"/>
  <c r="BM922" i="140"/>
  <c r="BL922" i="140"/>
  <c r="BK922" i="140"/>
  <c r="BJ922" i="140"/>
  <c r="BI922" i="140"/>
  <c r="BH922" i="140"/>
  <c r="BG922" i="140"/>
  <c r="BM921" i="140"/>
  <c r="BL921" i="140"/>
  <c r="BK921" i="140"/>
  <c r="BJ921" i="140"/>
  <c r="BI921" i="140"/>
  <c r="BH921" i="140"/>
  <c r="BG921" i="140"/>
  <c r="BM920" i="140"/>
  <c r="BL920" i="140"/>
  <c r="BK920" i="140"/>
  <c r="BJ920" i="140"/>
  <c r="BI920" i="140"/>
  <c r="BH920" i="140"/>
  <c r="BG920" i="140"/>
  <c r="BM919" i="140"/>
  <c r="BL919" i="140"/>
  <c r="BK919" i="140"/>
  <c r="BJ919" i="140"/>
  <c r="BI919" i="140"/>
  <c r="BH919" i="140"/>
  <c r="BG919" i="140"/>
  <c r="BM918" i="140"/>
  <c r="BL918" i="140"/>
  <c r="BK918" i="140"/>
  <c r="BJ918" i="140"/>
  <c r="BI918" i="140"/>
  <c r="BH918" i="140"/>
  <c r="BG918" i="140"/>
  <c r="BM917" i="140"/>
  <c r="BL917" i="140"/>
  <c r="BK917" i="140"/>
  <c r="BJ917" i="140"/>
  <c r="BI917" i="140"/>
  <c r="BH917" i="140"/>
  <c r="BG917" i="140"/>
  <c r="BM916" i="140"/>
  <c r="BL916" i="140"/>
  <c r="BK916" i="140"/>
  <c r="BJ916" i="140"/>
  <c r="BI916" i="140"/>
  <c r="BH916" i="140"/>
  <c r="BG916" i="140"/>
  <c r="BM915" i="140"/>
  <c r="BL915" i="140"/>
  <c r="BK915" i="140"/>
  <c r="BJ915" i="140"/>
  <c r="BI915" i="140"/>
  <c r="BH915" i="140"/>
  <c r="BG915" i="140"/>
  <c r="BM914" i="140"/>
  <c r="BL914" i="140"/>
  <c r="BK914" i="140"/>
  <c r="BJ914" i="140"/>
  <c r="BI914" i="140"/>
  <c r="BH914" i="140"/>
  <c r="BG914" i="140"/>
  <c r="BM913" i="140"/>
  <c r="BL913" i="140"/>
  <c r="BK913" i="140"/>
  <c r="BJ913" i="140"/>
  <c r="BI913" i="140"/>
  <c r="BH913" i="140"/>
  <c r="BG913" i="140"/>
  <c r="BM912" i="140"/>
  <c r="BL912" i="140"/>
  <c r="BK912" i="140"/>
  <c r="BJ912" i="140"/>
  <c r="BI912" i="140"/>
  <c r="BH912" i="140"/>
  <c r="BG912" i="140"/>
  <c r="BM911" i="140"/>
  <c r="BL911" i="140"/>
  <c r="BK911" i="140"/>
  <c r="BJ911" i="140"/>
  <c r="BI911" i="140"/>
  <c r="BH911" i="140"/>
  <c r="BG911" i="140"/>
  <c r="BM910" i="140"/>
  <c r="BL910" i="140"/>
  <c r="BK910" i="140"/>
  <c r="BJ910" i="140"/>
  <c r="BI910" i="140"/>
  <c r="BH910" i="140"/>
  <c r="BG910" i="140"/>
  <c r="BM909" i="140"/>
  <c r="BL909" i="140"/>
  <c r="BK909" i="140"/>
  <c r="BJ909" i="140"/>
  <c r="BI909" i="140"/>
  <c r="BH909" i="140"/>
  <c r="BG909" i="140"/>
  <c r="BM908" i="140"/>
  <c r="BL908" i="140"/>
  <c r="BK908" i="140"/>
  <c r="BJ908" i="140"/>
  <c r="BI908" i="140"/>
  <c r="BH908" i="140"/>
  <c r="BG908" i="140"/>
  <c r="BM907" i="140"/>
  <c r="BL907" i="140"/>
  <c r="BK907" i="140"/>
  <c r="BJ907" i="140"/>
  <c r="BI907" i="140"/>
  <c r="BH907" i="140"/>
  <c r="BG907" i="140"/>
  <c r="BM906" i="140"/>
  <c r="BL906" i="140"/>
  <c r="BK906" i="140"/>
  <c r="BJ906" i="140"/>
  <c r="BI906" i="140"/>
  <c r="BH906" i="140"/>
  <c r="BG906" i="140"/>
  <c r="BM905" i="140"/>
  <c r="BL905" i="140"/>
  <c r="BK905" i="140"/>
  <c r="BJ905" i="140"/>
  <c r="BI905" i="140"/>
  <c r="BH905" i="140"/>
  <c r="BG905" i="140"/>
  <c r="BM904" i="140"/>
  <c r="BL904" i="140"/>
  <c r="BK904" i="140"/>
  <c r="BJ904" i="140"/>
  <c r="BI904" i="140"/>
  <c r="BH904" i="140"/>
  <c r="BG904" i="140"/>
  <c r="BM903" i="140"/>
  <c r="BL903" i="140"/>
  <c r="BK903" i="140"/>
  <c r="BJ903" i="140"/>
  <c r="BI903" i="140"/>
  <c r="BH903" i="140"/>
  <c r="BG903" i="140"/>
  <c r="BM902" i="140"/>
  <c r="BL902" i="140"/>
  <c r="BK902" i="140"/>
  <c r="BJ902" i="140"/>
  <c r="BI902" i="140"/>
  <c r="BH902" i="140"/>
  <c r="BG902" i="140"/>
  <c r="BM901" i="140"/>
  <c r="BL901" i="140"/>
  <c r="BK901" i="140"/>
  <c r="BJ901" i="140"/>
  <c r="BI901" i="140"/>
  <c r="BH901" i="140"/>
  <c r="BG901" i="140"/>
  <c r="BM900" i="140"/>
  <c r="BL900" i="140"/>
  <c r="BK900" i="140"/>
  <c r="BJ900" i="140"/>
  <c r="BI900" i="140"/>
  <c r="BH900" i="140"/>
  <c r="BG900" i="140"/>
  <c r="BM899" i="140"/>
  <c r="BL899" i="140"/>
  <c r="BK899" i="140"/>
  <c r="BJ899" i="140"/>
  <c r="BI899" i="140"/>
  <c r="BH899" i="140"/>
  <c r="BG899" i="140"/>
  <c r="BM898" i="140"/>
  <c r="BL898" i="140"/>
  <c r="BK898" i="140"/>
  <c r="BJ898" i="140"/>
  <c r="BI898" i="140"/>
  <c r="BH898" i="140"/>
  <c r="BG898" i="140"/>
  <c r="BM897" i="140"/>
  <c r="BL897" i="140"/>
  <c r="BK897" i="140"/>
  <c r="BJ897" i="140"/>
  <c r="BI897" i="140"/>
  <c r="BH897" i="140"/>
  <c r="BG897" i="140"/>
  <c r="BM896" i="140"/>
  <c r="BL896" i="140"/>
  <c r="BK896" i="140"/>
  <c r="BJ896" i="140"/>
  <c r="BI896" i="140"/>
  <c r="BH896" i="140"/>
  <c r="BG896" i="140"/>
  <c r="BM895" i="140"/>
  <c r="BL895" i="140"/>
  <c r="BK895" i="140"/>
  <c r="BJ895" i="140"/>
  <c r="BI895" i="140"/>
  <c r="BH895" i="140"/>
  <c r="BG895" i="140"/>
  <c r="BM894" i="140"/>
  <c r="BL894" i="140"/>
  <c r="BK894" i="140"/>
  <c r="BJ894" i="140"/>
  <c r="BI894" i="140"/>
  <c r="BH894" i="140"/>
  <c r="BG894" i="140"/>
  <c r="BM893" i="140"/>
  <c r="BL893" i="140"/>
  <c r="BK893" i="140"/>
  <c r="BJ893" i="140"/>
  <c r="BI893" i="140"/>
  <c r="BH893" i="140"/>
  <c r="BG893" i="140"/>
  <c r="BM892" i="140"/>
  <c r="BL892" i="140"/>
  <c r="BK892" i="140"/>
  <c r="BJ892" i="140"/>
  <c r="BI892" i="140"/>
  <c r="BH892" i="140"/>
  <c r="BG892" i="140"/>
  <c r="BM891" i="140"/>
  <c r="BL891" i="140"/>
  <c r="BK891" i="140"/>
  <c r="BJ891" i="140"/>
  <c r="BI891" i="140"/>
  <c r="BH891" i="140"/>
  <c r="BG891" i="140"/>
  <c r="BM890" i="140"/>
  <c r="BL890" i="140"/>
  <c r="BK890" i="140"/>
  <c r="BJ890" i="140"/>
  <c r="BI890" i="140"/>
  <c r="BH890" i="140"/>
  <c r="BG890" i="140"/>
  <c r="BM889" i="140"/>
  <c r="BL889" i="140"/>
  <c r="BK889" i="140"/>
  <c r="BJ889" i="140"/>
  <c r="BI889" i="140"/>
  <c r="BH889" i="140"/>
  <c r="BG889" i="140"/>
  <c r="BM888" i="140"/>
  <c r="BL888" i="140"/>
  <c r="BK888" i="140"/>
  <c r="BJ888" i="140"/>
  <c r="BI888" i="140"/>
  <c r="BH888" i="140"/>
  <c r="BG888" i="140"/>
  <c r="BM887" i="140"/>
  <c r="BL887" i="140"/>
  <c r="BK887" i="140"/>
  <c r="BJ887" i="140"/>
  <c r="BI887" i="140"/>
  <c r="BH887" i="140"/>
  <c r="BG887" i="140"/>
  <c r="BM886" i="140"/>
  <c r="BL886" i="140"/>
  <c r="BK886" i="140"/>
  <c r="BJ886" i="140"/>
  <c r="BI886" i="140"/>
  <c r="BH886" i="140"/>
  <c r="BG886" i="140"/>
  <c r="BM885" i="140"/>
  <c r="BL885" i="140"/>
  <c r="BK885" i="140"/>
  <c r="BJ885" i="140"/>
  <c r="BI885" i="140"/>
  <c r="BH885" i="140"/>
  <c r="BG885" i="140"/>
  <c r="BM884" i="140"/>
  <c r="BL884" i="140"/>
  <c r="BK884" i="140"/>
  <c r="BJ884" i="140"/>
  <c r="BI884" i="140"/>
  <c r="BH884" i="140"/>
  <c r="BG884" i="140"/>
  <c r="BM883" i="140"/>
  <c r="BL883" i="140"/>
  <c r="BK883" i="140"/>
  <c r="BJ883" i="140"/>
  <c r="BI883" i="140"/>
  <c r="BH883" i="140"/>
  <c r="BG883" i="140"/>
  <c r="BM882" i="140"/>
  <c r="BL882" i="140"/>
  <c r="BK882" i="140"/>
  <c r="BJ882" i="140"/>
  <c r="BI882" i="140"/>
  <c r="BH882" i="140"/>
  <c r="BG882" i="140"/>
  <c r="BM881" i="140"/>
  <c r="BL881" i="140"/>
  <c r="BK881" i="140"/>
  <c r="BJ881" i="140"/>
  <c r="BI881" i="140"/>
  <c r="BH881" i="140"/>
  <c r="BG881" i="140"/>
  <c r="BM880" i="140"/>
  <c r="BL880" i="140"/>
  <c r="BK880" i="140"/>
  <c r="BJ880" i="140"/>
  <c r="BI880" i="140"/>
  <c r="BH880" i="140"/>
  <c r="BG880" i="140"/>
  <c r="BM879" i="140"/>
  <c r="BL879" i="140"/>
  <c r="BK879" i="140"/>
  <c r="BJ879" i="140"/>
  <c r="BI879" i="140"/>
  <c r="BH879" i="140"/>
  <c r="BG879" i="140"/>
  <c r="BM878" i="140"/>
  <c r="BL878" i="140"/>
  <c r="BK878" i="140"/>
  <c r="BJ878" i="140"/>
  <c r="BI878" i="140"/>
  <c r="BH878" i="140"/>
  <c r="BG878" i="140"/>
  <c r="BM877" i="140"/>
  <c r="BL877" i="140"/>
  <c r="BK877" i="140"/>
  <c r="BJ877" i="140"/>
  <c r="BI877" i="140"/>
  <c r="BH877" i="140"/>
  <c r="BG877" i="140"/>
  <c r="BM876" i="140"/>
  <c r="BL876" i="140"/>
  <c r="BK876" i="140"/>
  <c r="BJ876" i="140"/>
  <c r="BI876" i="140"/>
  <c r="BH876" i="140"/>
  <c r="BG876" i="140"/>
  <c r="BM875" i="140"/>
  <c r="BL875" i="140"/>
  <c r="BK875" i="140"/>
  <c r="BJ875" i="140"/>
  <c r="BI875" i="140"/>
  <c r="BH875" i="140"/>
  <c r="BG875" i="140"/>
  <c r="BM874" i="140"/>
  <c r="BL874" i="140"/>
  <c r="BK874" i="140"/>
  <c r="BJ874" i="140"/>
  <c r="BI874" i="140"/>
  <c r="BH874" i="140"/>
  <c r="BG874" i="140"/>
  <c r="BM873" i="140"/>
  <c r="BL873" i="140"/>
  <c r="BK873" i="140"/>
  <c r="BJ873" i="140"/>
  <c r="BI873" i="140"/>
  <c r="BH873" i="140"/>
  <c r="BG873" i="140"/>
  <c r="BM872" i="140"/>
  <c r="BL872" i="140"/>
  <c r="BK872" i="140"/>
  <c r="BJ872" i="140"/>
  <c r="BI872" i="140"/>
  <c r="BH872" i="140"/>
  <c r="BG872" i="140"/>
  <c r="BM871" i="140"/>
  <c r="BL871" i="140"/>
  <c r="BK871" i="140"/>
  <c r="BJ871" i="140"/>
  <c r="BI871" i="140"/>
  <c r="BH871" i="140"/>
  <c r="BG871" i="140"/>
  <c r="BM870" i="140"/>
  <c r="BL870" i="140"/>
  <c r="BK870" i="140"/>
  <c r="BJ870" i="140"/>
  <c r="BI870" i="140"/>
  <c r="BH870" i="140"/>
  <c r="BG870" i="140"/>
  <c r="BM869" i="140"/>
  <c r="BL869" i="140"/>
  <c r="BK869" i="140"/>
  <c r="BJ869" i="140"/>
  <c r="BI869" i="140"/>
  <c r="BH869" i="140"/>
  <c r="BG869" i="140"/>
  <c r="BM868" i="140"/>
  <c r="BL868" i="140"/>
  <c r="BK868" i="140"/>
  <c r="BJ868" i="140"/>
  <c r="BI868" i="140"/>
  <c r="BH868" i="140"/>
  <c r="BG868" i="140"/>
  <c r="BM867" i="140"/>
  <c r="BL867" i="140"/>
  <c r="BK867" i="140"/>
  <c r="BJ867" i="140"/>
  <c r="BI867" i="140"/>
  <c r="BH867" i="140"/>
  <c r="BG867" i="140"/>
  <c r="BM866" i="140"/>
  <c r="BL866" i="140"/>
  <c r="BK866" i="140"/>
  <c r="BJ866" i="140"/>
  <c r="BI866" i="140"/>
  <c r="BH866" i="140"/>
  <c r="BG866" i="140"/>
  <c r="BM865" i="140"/>
  <c r="BL865" i="140"/>
  <c r="BK865" i="140"/>
  <c r="BJ865" i="140"/>
  <c r="BI865" i="140"/>
  <c r="BH865" i="140"/>
  <c r="BG865" i="140"/>
  <c r="BM864" i="140"/>
  <c r="BL864" i="140"/>
  <c r="BK864" i="140"/>
  <c r="BJ864" i="140"/>
  <c r="BI864" i="140"/>
  <c r="BH864" i="140"/>
  <c r="BG864" i="140"/>
  <c r="BM863" i="140"/>
  <c r="BL863" i="140"/>
  <c r="BK863" i="140"/>
  <c r="BJ863" i="140"/>
  <c r="BI863" i="140"/>
  <c r="BH863" i="140"/>
  <c r="BG863" i="140"/>
  <c r="BM862" i="140"/>
  <c r="BL862" i="140"/>
  <c r="BK862" i="140"/>
  <c r="BJ862" i="140"/>
  <c r="BI862" i="140"/>
  <c r="BH862" i="140"/>
  <c r="BG862" i="140"/>
  <c r="BM861" i="140"/>
  <c r="BL861" i="140"/>
  <c r="BK861" i="140"/>
  <c r="BJ861" i="140"/>
  <c r="BI861" i="140"/>
  <c r="BH861" i="140"/>
  <c r="BG861" i="140"/>
  <c r="BM860" i="140"/>
  <c r="BL860" i="140"/>
  <c r="BK860" i="140"/>
  <c r="BJ860" i="140"/>
  <c r="BI860" i="140"/>
  <c r="BH860" i="140"/>
  <c r="BG860" i="140"/>
  <c r="BM859" i="140"/>
  <c r="BL859" i="140"/>
  <c r="BK859" i="140"/>
  <c r="BJ859" i="140"/>
  <c r="BI859" i="140"/>
  <c r="BH859" i="140"/>
  <c r="BG859" i="140"/>
  <c r="BM858" i="140"/>
  <c r="BL858" i="140"/>
  <c r="BK858" i="140"/>
  <c r="BJ858" i="140"/>
  <c r="BI858" i="140"/>
  <c r="BH858" i="140"/>
  <c r="BG858" i="140"/>
  <c r="BM857" i="140"/>
  <c r="BL857" i="140"/>
  <c r="BK857" i="140"/>
  <c r="BJ857" i="140"/>
  <c r="BI857" i="140"/>
  <c r="BH857" i="140"/>
  <c r="BG857" i="140"/>
  <c r="BM856" i="140"/>
  <c r="BL856" i="140"/>
  <c r="BK856" i="140"/>
  <c r="BJ856" i="140"/>
  <c r="BI856" i="140"/>
  <c r="BH856" i="140"/>
  <c r="BG856" i="140"/>
  <c r="BM855" i="140"/>
  <c r="BL855" i="140"/>
  <c r="BK855" i="140"/>
  <c r="BJ855" i="140"/>
  <c r="BI855" i="140"/>
  <c r="BH855" i="140"/>
  <c r="BG855" i="140"/>
  <c r="BM854" i="140"/>
  <c r="BL854" i="140"/>
  <c r="BK854" i="140"/>
  <c r="BJ854" i="140"/>
  <c r="BI854" i="140"/>
  <c r="BH854" i="140"/>
  <c r="BG854" i="140"/>
  <c r="BM853" i="140"/>
  <c r="BL853" i="140"/>
  <c r="BK853" i="140"/>
  <c r="BJ853" i="140"/>
  <c r="BI853" i="140"/>
  <c r="BH853" i="140"/>
  <c r="BG853" i="140"/>
  <c r="BM852" i="140"/>
  <c r="BL852" i="140"/>
  <c r="BK852" i="140"/>
  <c r="BJ852" i="140"/>
  <c r="BI852" i="140"/>
  <c r="BH852" i="140"/>
  <c r="BG852" i="140"/>
  <c r="BM851" i="140"/>
  <c r="BL851" i="140"/>
  <c r="BK851" i="140"/>
  <c r="BJ851" i="140"/>
  <c r="BI851" i="140"/>
  <c r="BH851" i="140"/>
  <c r="BG851" i="140"/>
  <c r="BM850" i="140"/>
  <c r="BL850" i="140"/>
  <c r="BK850" i="140"/>
  <c r="BJ850" i="140"/>
  <c r="BI850" i="140"/>
  <c r="BH850" i="140"/>
  <c r="BG850" i="140"/>
  <c r="BM849" i="140"/>
  <c r="BL849" i="140"/>
  <c r="BK849" i="140"/>
  <c r="BJ849" i="140"/>
  <c r="BI849" i="140"/>
  <c r="BH849" i="140"/>
  <c r="BG849" i="140"/>
  <c r="BM848" i="140"/>
  <c r="BL848" i="140"/>
  <c r="BK848" i="140"/>
  <c r="BJ848" i="140"/>
  <c r="BI848" i="140"/>
  <c r="BH848" i="140"/>
  <c r="BG848" i="140"/>
  <c r="BM847" i="140"/>
  <c r="BL847" i="140"/>
  <c r="BK847" i="140"/>
  <c r="BJ847" i="140"/>
  <c r="BI847" i="140"/>
  <c r="BH847" i="140"/>
  <c r="BG847" i="140"/>
  <c r="BM846" i="140"/>
  <c r="BL846" i="140"/>
  <c r="BK846" i="140"/>
  <c r="BJ846" i="140"/>
  <c r="BI846" i="140"/>
  <c r="BH846" i="140"/>
  <c r="BG846" i="140"/>
  <c r="BM845" i="140"/>
  <c r="BL845" i="140"/>
  <c r="BK845" i="140"/>
  <c r="BJ845" i="140"/>
  <c r="BI845" i="140"/>
  <c r="BH845" i="140"/>
  <c r="BG845" i="140"/>
  <c r="BM844" i="140"/>
  <c r="BL844" i="140"/>
  <c r="BK844" i="140"/>
  <c r="BJ844" i="140"/>
  <c r="BI844" i="140"/>
  <c r="BH844" i="140"/>
  <c r="BG844" i="140"/>
  <c r="BM843" i="140"/>
  <c r="BL843" i="140"/>
  <c r="BK843" i="140"/>
  <c r="BJ843" i="140"/>
  <c r="BI843" i="140"/>
  <c r="BH843" i="140"/>
  <c r="BG843" i="140"/>
  <c r="BM842" i="140"/>
  <c r="BL842" i="140"/>
  <c r="BK842" i="140"/>
  <c r="BJ842" i="140"/>
  <c r="BI842" i="140"/>
  <c r="BH842" i="140"/>
  <c r="BG842" i="140"/>
  <c r="BM841" i="140"/>
  <c r="BL841" i="140"/>
  <c r="BK841" i="140"/>
  <c r="BJ841" i="140"/>
  <c r="BI841" i="140"/>
  <c r="BH841" i="140"/>
  <c r="BG841" i="140"/>
  <c r="BM840" i="140"/>
  <c r="BL840" i="140"/>
  <c r="BK840" i="140"/>
  <c r="BJ840" i="140"/>
  <c r="BI840" i="140"/>
  <c r="BH840" i="140"/>
  <c r="BG840" i="140"/>
  <c r="BM839" i="140"/>
  <c r="BL839" i="140"/>
  <c r="BK839" i="140"/>
  <c r="BJ839" i="140"/>
  <c r="BI839" i="140"/>
  <c r="BH839" i="140"/>
  <c r="BG839" i="140"/>
  <c r="BM838" i="140"/>
  <c r="BL838" i="140"/>
  <c r="BK838" i="140"/>
  <c r="BJ838" i="140"/>
  <c r="BI838" i="140"/>
  <c r="BH838" i="140"/>
  <c r="BG838" i="140"/>
  <c r="BM837" i="140"/>
  <c r="BL837" i="140"/>
  <c r="BK837" i="140"/>
  <c r="BJ837" i="140"/>
  <c r="BI837" i="140"/>
  <c r="BH837" i="140"/>
  <c r="BG837" i="140"/>
  <c r="BM836" i="140"/>
  <c r="BL836" i="140"/>
  <c r="BK836" i="140"/>
  <c r="BJ836" i="140"/>
  <c r="BI836" i="140"/>
  <c r="BH836" i="140"/>
  <c r="BG836" i="140"/>
  <c r="BM835" i="140"/>
  <c r="BL835" i="140"/>
  <c r="BK835" i="140"/>
  <c r="BJ835" i="140"/>
  <c r="BI835" i="140"/>
  <c r="BH835" i="140"/>
  <c r="BG835" i="140"/>
  <c r="BM834" i="140"/>
  <c r="BL834" i="140"/>
  <c r="BK834" i="140"/>
  <c r="BJ834" i="140"/>
  <c r="BI834" i="140"/>
  <c r="BH834" i="140"/>
  <c r="BG834" i="140"/>
  <c r="BM833" i="140"/>
  <c r="BL833" i="140"/>
  <c r="BK833" i="140"/>
  <c r="BJ833" i="140"/>
  <c r="BI833" i="140"/>
  <c r="BH833" i="140"/>
  <c r="BG833" i="140"/>
  <c r="BM832" i="140"/>
  <c r="BL832" i="140"/>
  <c r="BK832" i="140"/>
  <c r="BJ832" i="140"/>
  <c r="BI832" i="140"/>
  <c r="BH832" i="140"/>
  <c r="BG832" i="140"/>
  <c r="BM831" i="140"/>
  <c r="BL831" i="140"/>
  <c r="BK831" i="140"/>
  <c r="BJ831" i="140"/>
  <c r="BI831" i="140"/>
  <c r="BH831" i="140"/>
  <c r="BG831" i="140"/>
  <c r="BM830" i="140"/>
  <c r="BL830" i="140"/>
  <c r="BK830" i="140"/>
  <c r="BJ830" i="140"/>
  <c r="BI830" i="140"/>
  <c r="BH830" i="140"/>
  <c r="BG830" i="140"/>
  <c r="BM829" i="140"/>
  <c r="BL829" i="140"/>
  <c r="BK829" i="140"/>
  <c r="BJ829" i="140"/>
  <c r="BI829" i="140"/>
  <c r="BH829" i="140"/>
  <c r="BG829" i="140"/>
  <c r="BM828" i="140"/>
  <c r="BL828" i="140"/>
  <c r="BK828" i="140"/>
  <c r="BJ828" i="140"/>
  <c r="BI828" i="140"/>
  <c r="BH828" i="140"/>
  <c r="BG828" i="140"/>
  <c r="BM827" i="140"/>
  <c r="BL827" i="140"/>
  <c r="BK827" i="140"/>
  <c r="BJ827" i="140"/>
  <c r="BI827" i="140"/>
  <c r="BH827" i="140"/>
  <c r="BG827" i="140"/>
  <c r="BM826" i="140"/>
  <c r="BL826" i="140"/>
  <c r="BK826" i="140"/>
  <c r="BJ826" i="140"/>
  <c r="BI826" i="140"/>
  <c r="BH826" i="140"/>
  <c r="BG826" i="140"/>
  <c r="BM825" i="140"/>
  <c r="BL825" i="140"/>
  <c r="BK825" i="140"/>
  <c r="BJ825" i="140"/>
  <c r="BI825" i="140"/>
  <c r="BH825" i="140"/>
  <c r="BG825" i="140"/>
  <c r="BM824" i="140"/>
  <c r="BL824" i="140"/>
  <c r="BK824" i="140"/>
  <c r="BJ824" i="140"/>
  <c r="BI824" i="140"/>
  <c r="BH824" i="140"/>
  <c r="BG824" i="140"/>
  <c r="BM823" i="140"/>
  <c r="BL823" i="140"/>
  <c r="BK823" i="140"/>
  <c r="BJ823" i="140"/>
  <c r="BI823" i="140"/>
  <c r="BH823" i="140"/>
  <c r="BG823" i="140"/>
  <c r="BM822" i="140"/>
  <c r="BL822" i="140"/>
  <c r="BK822" i="140"/>
  <c r="BJ822" i="140"/>
  <c r="BI822" i="140"/>
  <c r="BH822" i="140"/>
  <c r="BG822" i="140"/>
  <c r="BM821" i="140"/>
  <c r="BL821" i="140"/>
  <c r="BK821" i="140"/>
  <c r="BJ821" i="140"/>
  <c r="BI821" i="140"/>
  <c r="BH821" i="140"/>
  <c r="BG821" i="140"/>
  <c r="BM820" i="140"/>
  <c r="BL820" i="140"/>
  <c r="BK820" i="140"/>
  <c r="BJ820" i="140"/>
  <c r="BI820" i="140"/>
  <c r="BH820" i="140"/>
  <c r="BG820" i="140"/>
  <c r="BM819" i="140"/>
  <c r="BL819" i="140"/>
  <c r="BK819" i="140"/>
  <c r="BJ819" i="140"/>
  <c r="BI819" i="140"/>
  <c r="BH819" i="140"/>
  <c r="BG819" i="140"/>
  <c r="BM818" i="140"/>
  <c r="BL818" i="140"/>
  <c r="BK818" i="140"/>
  <c r="BJ818" i="140"/>
  <c r="BI818" i="140"/>
  <c r="BH818" i="140"/>
  <c r="BG818" i="140"/>
  <c r="BM817" i="140"/>
  <c r="BL817" i="140"/>
  <c r="BK817" i="140"/>
  <c r="BJ817" i="140"/>
  <c r="BI817" i="140"/>
  <c r="BH817" i="140"/>
  <c r="BG817" i="140"/>
  <c r="BM816" i="140"/>
  <c r="BL816" i="140"/>
  <c r="BK816" i="140"/>
  <c r="BJ816" i="140"/>
  <c r="BI816" i="140"/>
  <c r="BH816" i="140"/>
  <c r="BG816" i="140"/>
  <c r="BM815" i="140"/>
  <c r="BL815" i="140"/>
  <c r="BK815" i="140"/>
  <c r="BJ815" i="140"/>
  <c r="BI815" i="140"/>
  <c r="BH815" i="140"/>
  <c r="BG815" i="140"/>
  <c r="BM814" i="140"/>
  <c r="BL814" i="140"/>
  <c r="BK814" i="140"/>
  <c r="BJ814" i="140"/>
  <c r="BI814" i="140"/>
  <c r="BH814" i="140"/>
  <c r="BG814" i="140"/>
  <c r="BM813" i="140"/>
  <c r="BL813" i="140"/>
  <c r="BK813" i="140"/>
  <c r="BJ813" i="140"/>
  <c r="BI813" i="140"/>
  <c r="BH813" i="140"/>
  <c r="BG813" i="140"/>
  <c r="BM812" i="140"/>
  <c r="BL812" i="140"/>
  <c r="BK812" i="140"/>
  <c r="BJ812" i="140"/>
  <c r="BI812" i="140"/>
  <c r="BH812" i="140"/>
  <c r="BG812" i="140"/>
  <c r="BM811" i="140"/>
  <c r="BL811" i="140"/>
  <c r="BK811" i="140"/>
  <c r="BJ811" i="140"/>
  <c r="BI811" i="140"/>
  <c r="BH811" i="140"/>
  <c r="BG811" i="140"/>
  <c r="BM810" i="140"/>
  <c r="BL810" i="140"/>
  <c r="BK810" i="140"/>
  <c r="BJ810" i="140"/>
  <c r="BI810" i="140"/>
  <c r="BH810" i="140"/>
  <c r="BG810" i="140"/>
  <c r="BM809" i="140"/>
  <c r="BL809" i="140"/>
  <c r="BK809" i="140"/>
  <c r="BJ809" i="140"/>
  <c r="BI809" i="140"/>
  <c r="BH809" i="140"/>
  <c r="BG809" i="140"/>
  <c r="BM808" i="140"/>
  <c r="BL808" i="140"/>
  <c r="BK808" i="140"/>
  <c r="BJ808" i="140"/>
  <c r="BI808" i="140"/>
  <c r="BH808" i="140"/>
  <c r="BG808" i="140"/>
  <c r="BM807" i="140"/>
  <c r="BL807" i="140"/>
  <c r="BK807" i="140"/>
  <c r="BJ807" i="140"/>
  <c r="BI807" i="140"/>
  <c r="BH807" i="140"/>
  <c r="BG807" i="140"/>
  <c r="BM806" i="140"/>
  <c r="BL806" i="140"/>
  <c r="BK806" i="140"/>
  <c r="BJ806" i="140"/>
  <c r="BI806" i="140"/>
  <c r="BH806" i="140"/>
  <c r="BG806" i="140"/>
  <c r="BM805" i="140"/>
  <c r="BL805" i="140"/>
  <c r="BK805" i="140"/>
  <c r="BJ805" i="140"/>
  <c r="BI805" i="140"/>
  <c r="BH805" i="140"/>
  <c r="BG805" i="140"/>
  <c r="BM804" i="140"/>
  <c r="BL804" i="140"/>
  <c r="BK804" i="140"/>
  <c r="BJ804" i="140"/>
  <c r="BI804" i="140"/>
  <c r="BH804" i="140"/>
  <c r="BG804" i="140"/>
  <c r="BM803" i="140"/>
  <c r="BL803" i="140"/>
  <c r="BK803" i="140"/>
  <c r="BJ803" i="140"/>
  <c r="BI803" i="140"/>
  <c r="BH803" i="140"/>
  <c r="BG803" i="140"/>
  <c r="BM802" i="140"/>
  <c r="BL802" i="140"/>
  <c r="BK802" i="140"/>
  <c r="BJ802" i="140"/>
  <c r="BI802" i="140"/>
  <c r="BH802" i="140"/>
  <c r="BG802" i="140"/>
  <c r="BM801" i="140"/>
  <c r="BL801" i="140"/>
  <c r="BK801" i="140"/>
  <c r="BJ801" i="140"/>
  <c r="BI801" i="140"/>
  <c r="BH801" i="140"/>
  <c r="BG801" i="140"/>
  <c r="BM800" i="140"/>
  <c r="BL800" i="140"/>
  <c r="BK800" i="140"/>
  <c r="BJ800" i="140"/>
  <c r="BI800" i="140"/>
  <c r="BH800" i="140"/>
  <c r="BG800" i="140"/>
  <c r="BM799" i="140"/>
  <c r="BL799" i="140"/>
  <c r="BK799" i="140"/>
  <c r="BJ799" i="140"/>
  <c r="BI799" i="140"/>
  <c r="BH799" i="140"/>
  <c r="BG799" i="140"/>
  <c r="BM798" i="140"/>
  <c r="BL798" i="140"/>
  <c r="BK798" i="140"/>
  <c r="BJ798" i="140"/>
  <c r="BI798" i="140"/>
  <c r="BH798" i="140"/>
  <c r="BG798" i="140"/>
  <c r="BM797" i="140"/>
  <c r="BL797" i="140"/>
  <c r="BK797" i="140"/>
  <c r="BJ797" i="140"/>
  <c r="BI797" i="140"/>
  <c r="BH797" i="140"/>
  <c r="BG797" i="140"/>
  <c r="BM796" i="140"/>
  <c r="BL796" i="140"/>
  <c r="BK796" i="140"/>
  <c r="BJ796" i="140"/>
  <c r="BI796" i="140"/>
  <c r="BH796" i="140"/>
  <c r="BG796" i="140"/>
  <c r="BM795" i="140"/>
  <c r="BL795" i="140"/>
  <c r="BK795" i="140"/>
  <c r="BJ795" i="140"/>
  <c r="BI795" i="140"/>
  <c r="BH795" i="140"/>
  <c r="BG795" i="140"/>
  <c r="BM794" i="140"/>
  <c r="BL794" i="140"/>
  <c r="BK794" i="140"/>
  <c r="BJ794" i="140"/>
  <c r="BI794" i="140"/>
  <c r="BH794" i="140"/>
  <c r="BG794" i="140"/>
  <c r="BM793" i="140"/>
  <c r="BL793" i="140"/>
  <c r="BK793" i="140"/>
  <c r="BJ793" i="140"/>
  <c r="BI793" i="140"/>
  <c r="BH793" i="140"/>
  <c r="BG793" i="140"/>
  <c r="BM792" i="140"/>
  <c r="BL792" i="140"/>
  <c r="BK792" i="140"/>
  <c r="BJ792" i="140"/>
  <c r="BI792" i="140"/>
  <c r="BH792" i="140"/>
  <c r="BG792" i="140"/>
  <c r="BM791" i="140"/>
  <c r="BL791" i="140"/>
  <c r="BK791" i="140"/>
  <c r="BJ791" i="140"/>
  <c r="BI791" i="140"/>
  <c r="BH791" i="140"/>
  <c r="BG791" i="140"/>
  <c r="BM790" i="140"/>
  <c r="BL790" i="140"/>
  <c r="BK790" i="140"/>
  <c r="BJ790" i="140"/>
  <c r="BI790" i="140"/>
  <c r="BH790" i="140"/>
  <c r="BG790" i="140"/>
  <c r="BM789" i="140"/>
  <c r="BL789" i="140"/>
  <c r="BK789" i="140"/>
  <c r="BJ789" i="140"/>
  <c r="BI789" i="140"/>
  <c r="BH789" i="140"/>
  <c r="BG789" i="140"/>
  <c r="BM788" i="140"/>
  <c r="BL788" i="140"/>
  <c r="BK788" i="140"/>
  <c r="BJ788" i="140"/>
  <c r="BI788" i="140"/>
  <c r="BH788" i="140"/>
  <c r="BG788" i="140"/>
  <c r="BM787" i="140"/>
  <c r="BL787" i="140"/>
  <c r="BK787" i="140"/>
  <c r="BJ787" i="140"/>
  <c r="BI787" i="140"/>
  <c r="BH787" i="140"/>
  <c r="BG787" i="140"/>
  <c r="BM786" i="140"/>
  <c r="BL786" i="140"/>
  <c r="BK786" i="140"/>
  <c r="BJ786" i="140"/>
  <c r="BI786" i="140"/>
  <c r="BH786" i="140"/>
  <c r="BG786" i="140"/>
  <c r="BM785" i="140"/>
  <c r="BL785" i="140"/>
  <c r="BK785" i="140"/>
  <c r="BJ785" i="140"/>
  <c r="BI785" i="140"/>
  <c r="BH785" i="140"/>
  <c r="BG785" i="140"/>
  <c r="BM784" i="140"/>
  <c r="BL784" i="140"/>
  <c r="BK784" i="140"/>
  <c r="BJ784" i="140"/>
  <c r="BI784" i="140"/>
  <c r="BH784" i="140"/>
  <c r="BG784" i="140"/>
  <c r="BM783" i="140"/>
  <c r="BL783" i="140"/>
  <c r="BK783" i="140"/>
  <c r="BJ783" i="140"/>
  <c r="BI783" i="140"/>
  <c r="BH783" i="140"/>
  <c r="BG783" i="140"/>
  <c r="BM782" i="140"/>
  <c r="BL782" i="140"/>
  <c r="BK782" i="140"/>
  <c r="BJ782" i="140"/>
  <c r="BI782" i="140"/>
  <c r="BH782" i="140"/>
  <c r="BG782" i="140"/>
  <c r="BM781" i="140"/>
  <c r="BL781" i="140"/>
  <c r="BK781" i="140"/>
  <c r="BJ781" i="140"/>
  <c r="BI781" i="140"/>
  <c r="BH781" i="140"/>
  <c r="BG781" i="140"/>
  <c r="BM780" i="140"/>
  <c r="BL780" i="140"/>
  <c r="BK780" i="140"/>
  <c r="BJ780" i="140"/>
  <c r="BI780" i="140"/>
  <c r="BH780" i="140"/>
  <c r="BG780" i="140"/>
  <c r="BM779" i="140"/>
  <c r="BL779" i="140"/>
  <c r="BK779" i="140"/>
  <c r="BJ779" i="140"/>
  <c r="BI779" i="140"/>
  <c r="BH779" i="140"/>
  <c r="BG779" i="140"/>
  <c r="BM778" i="140"/>
  <c r="BL778" i="140"/>
  <c r="BK778" i="140"/>
  <c r="BJ778" i="140"/>
  <c r="BI778" i="140"/>
  <c r="BH778" i="140"/>
  <c r="BG778" i="140"/>
  <c r="BM777" i="140"/>
  <c r="BL777" i="140"/>
  <c r="BK777" i="140"/>
  <c r="BJ777" i="140"/>
  <c r="BI777" i="140"/>
  <c r="BH777" i="140"/>
  <c r="BG777" i="140"/>
  <c r="BM776" i="140"/>
  <c r="BL776" i="140"/>
  <c r="BK776" i="140"/>
  <c r="BJ776" i="140"/>
  <c r="BI776" i="140"/>
  <c r="BH776" i="140"/>
  <c r="BG776" i="140"/>
  <c r="BM775" i="140"/>
  <c r="BL775" i="140"/>
  <c r="BK775" i="140"/>
  <c r="BJ775" i="140"/>
  <c r="BI775" i="140"/>
  <c r="BH775" i="140"/>
  <c r="BG775" i="140"/>
  <c r="BM774" i="140"/>
  <c r="BL774" i="140"/>
  <c r="BK774" i="140"/>
  <c r="BJ774" i="140"/>
  <c r="BI774" i="140"/>
  <c r="BH774" i="140"/>
  <c r="BG774" i="140"/>
  <c r="BM773" i="140"/>
  <c r="BL773" i="140"/>
  <c r="BK773" i="140"/>
  <c r="BJ773" i="140"/>
  <c r="BI773" i="140"/>
  <c r="BH773" i="140"/>
  <c r="BG773" i="140"/>
  <c r="BM772" i="140"/>
  <c r="BL772" i="140"/>
  <c r="BK772" i="140"/>
  <c r="BJ772" i="140"/>
  <c r="BI772" i="140"/>
  <c r="BH772" i="140"/>
  <c r="BG772" i="140"/>
  <c r="BM771" i="140"/>
  <c r="BL771" i="140"/>
  <c r="BK771" i="140"/>
  <c r="BJ771" i="140"/>
  <c r="BI771" i="140"/>
  <c r="BH771" i="140"/>
  <c r="BG771" i="140"/>
  <c r="BM770" i="140"/>
  <c r="BL770" i="140"/>
  <c r="BK770" i="140"/>
  <c r="BJ770" i="140"/>
  <c r="BI770" i="140"/>
  <c r="BH770" i="140"/>
  <c r="BG770" i="140"/>
  <c r="BM769" i="140"/>
  <c r="BL769" i="140"/>
  <c r="BK769" i="140"/>
  <c r="BJ769" i="140"/>
  <c r="BI769" i="140"/>
  <c r="BH769" i="140"/>
  <c r="BG769" i="140"/>
  <c r="BM768" i="140"/>
  <c r="BL768" i="140"/>
  <c r="BK768" i="140"/>
  <c r="BJ768" i="140"/>
  <c r="BI768" i="140"/>
  <c r="BH768" i="140"/>
  <c r="BG768" i="140"/>
  <c r="BM767" i="140"/>
  <c r="BL767" i="140"/>
  <c r="BK767" i="140"/>
  <c r="BJ767" i="140"/>
  <c r="BI767" i="140"/>
  <c r="BH767" i="140"/>
  <c r="BG767" i="140"/>
  <c r="BM766" i="140"/>
  <c r="BL766" i="140"/>
  <c r="BK766" i="140"/>
  <c r="BJ766" i="140"/>
  <c r="BI766" i="140"/>
  <c r="BH766" i="140"/>
  <c r="BG766" i="140"/>
  <c r="BM765" i="140"/>
  <c r="BL765" i="140"/>
  <c r="BK765" i="140"/>
  <c r="BJ765" i="140"/>
  <c r="BI765" i="140"/>
  <c r="BH765" i="140"/>
  <c r="BG765" i="140"/>
  <c r="BM764" i="140"/>
  <c r="BL764" i="140"/>
  <c r="BK764" i="140"/>
  <c r="BJ764" i="140"/>
  <c r="BI764" i="140"/>
  <c r="BH764" i="140"/>
  <c r="BG764" i="140"/>
  <c r="BM763" i="140"/>
  <c r="BL763" i="140"/>
  <c r="BK763" i="140"/>
  <c r="BJ763" i="140"/>
  <c r="BI763" i="140"/>
  <c r="BH763" i="140"/>
  <c r="BG763" i="140"/>
  <c r="BM762" i="140"/>
  <c r="BL762" i="140"/>
  <c r="BK762" i="140"/>
  <c r="BJ762" i="140"/>
  <c r="BI762" i="140"/>
  <c r="BH762" i="140"/>
  <c r="BG762" i="140"/>
  <c r="BM761" i="140"/>
  <c r="BL761" i="140"/>
  <c r="BK761" i="140"/>
  <c r="BJ761" i="140"/>
  <c r="BI761" i="140"/>
  <c r="BH761" i="140"/>
  <c r="BG761" i="140"/>
  <c r="BM760" i="140"/>
  <c r="BL760" i="140"/>
  <c r="BK760" i="140"/>
  <c r="BJ760" i="140"/>
  <c r="BI760" i="140"/>
  <c r="BH760" i="140"/>
  <c r="BG760" i="140"/>
  <c r="BM759" i="140"/>
  <c r="BL759" i="140"/>
  <c r="BK759" i="140"/>
  <c r="BJ759" i="140"/>
  <c r="BI759" i="140"/>
  <c r="BH759" i="140"/>
  <c r="BG759" i="140"/>
  <c r="BM758" i="140"/>
  <c r="BL758" i="140"/>
  <c r="BK758" i="140"/>
  <c r="BJ758" i="140"/>
  <c r="BI758" i="140"/>
  <c r="BH758" i="140"/>
  <c r="BG758" i="140"/>
  <c r="BM757" i="140"/>
  <c r="BL757" i="140"/>
  <c r="BK757" i="140"/>
  <c r="BJ757" i="140"/>
  <c r="BI757" i="140"/>
  <c r="BH757" i="140"/>
  <c r="BG757" i="140"/>
  <c r="BM756" i="140"/>
  <c r="BL756" i="140"/>
  <c r="BK756" i="140"/>
  <c r="BJ756" i="140"/>
  <c r="BI756" i="140"/>
  <c r="BH756" i="140"/>
  <c r="BG756" i="140"/>
  <c r="BM755" i="140"/>
  <c r="BL755" i="140"/>
  <c r="BK755" i="140"/>
  <c r="BJ755" i="140"/>
  <c r="BI755" i="140"/>
  <c r="BH755" i="140"/>
  <c r="BG755" i="140"/>
  <c r="BM754" i="140"/>
  <c r="BL754" i="140"/>
  <c r="BK754" i="140"/>
  <c r="BJ754" i="140"/>
  <c r="BI754" i="140"/>
  <c r="BH754" i="140"/>
  <c r="BG754" i="140"/>
  <c r="BM753" i="140"/>
  <c r="BL753" i="140"/>
  <c r="BK753" i="140"/>
  <c r="BJ753" i="140"/>
  <c r="BI753" i="140"/>
  <c r="BH753" i="140"/>
  <c r="BG753" i="140"/>
  <c r="BM752" i="140"/>
  <c r="BL752" i="140"/>
  <c r="BK752" i="140"/>
  <c r="BJ752" i="140"/>
  <c r="BI752" i="140"/>
  <c r="BH752" i="140"/>
  <c r="BG752" i="140"/>
  <c r="BM751" i="140"/>
  <c r="BL751" i="140"/>
  <c r="BK751" i="140"/>
  <c r="BJ751" i="140"/>
  <c r="BI751" i="140"/>
  <c r="BH751" i="140"/>
  <c r="BG751" i="140"/>
  <c r="BM750" i="140"/>
  <c r="BL750" i="140"/>
  <c r="BK750" i="140"/>
  <c r="BJ750" i="140"/>
  <c r="BI750" i="140"/>
  <c r="BH750" i="140"/>
  <c r="BG750" i="140"/>
  <c r="BM749" i="140"/>
  <c r="BL749" i="140"/>
  <c r="BK749" i="140"/>
  <c r="BJ749" i="140"/>
  <c r="BI749" i="140"/>
  <c r="BH749" i="140"/>
  <c r="BG749" i="140"/>
  <c r="BM748" i="140"/>
  <c r="BL748" i="140"/>
  <c r="BK748" i="140"/>
  <c r="BJ748" i="140"/>
  <c r="BI748" i="140"/>
  <c r="BH748" i="140"/>
  <c r="BG748" i="140"/>
  <c r="BM747" i="140"/>
  <c r="BL747" i="140"/>
  <c r="BK747" i="140"/>
  <c r="BJ747" i="140"/>
  <c r="BI747" i="140"/>
  <c r="BH747" i="140"/>
  <c r="BG747" i="140"/>
  <c r="BM746" i="140"/>
  <c r="BL746" i="140"/>
  <c r="BK746" i="140"/>
  <c r="BJ746" i="140"/>
  <c r="BI746" i="140"/>
  <c r="BH746" i="140"/>
  <c r="BG746" i="140"/>
  <c r="BM745" i="140"/>
  <c r="BL745" i="140"/>
  <c r="BK745" i="140"/>
  <c r="BJ745" i="140"/>
  <c r="BI745" i="140"/>
  <c r="BH745" i="140"/>
  <c r="BG745" i="140"/>
  <c r="BM744" i="140"/>
  <c r="BL744" i="140"/>
  <c r="BK744" i="140"/>
  <c r="BJ744" i="140"/>
  <c r="BI744" i="140"/>
  <c r="BH744" i="140"/>
  <c r="BG744" i="140"/>
  <c r="BM743" i="140"/>
  <c r="BL743" i="140"/>
  <c r="BK743" i="140"/>
  <c r="BJ743" i="140"/>
  <c r="BI743" i="140"/>
  <c r="BH743" i="140"/>
  <c r="BG743" i="140"/>
  <c r="BM742" i="140"/>
  <c r="BL742" i="140"/>
  <c r="BK742" i="140"/>
  <c r="BJ742" i="140"/>
  <c r="BI742" i="140"/>
  <c r="BH742" i="140"/>
  <c r="BG742" i="140"/>
  <c r="BM741" i="140"/>
  <c r="BL741" i="140"/>
  <c r="BK741" i="140"/>
  <c r="BJ741" i="140"/>
  <c r="BI741" i="140"/>
  <c r="BH741" i="140"/>
  <c r="BG741" i="140"/>
  <c r="BM740" i="140"/>
  <c r="BL740" i="140"/>
  <c r="BK740" i="140"/>
  <c r="BJ740" i="140"/>
  <c r="BI740" i="140"/>
  <c r="BH740" i="140"/>
  <c r="BG740" i="140"/>
  <c r="BM739" i="140"/>
  <c r="BL739" i="140"/>
  <c r="BK739" i="140"/>
  <c r="BJ739" i="140"/>
  <c r="BI739" i="140"/>
  <c r="BH739" i="140"/>
  <c r="BG739" i="140"/>
  <c r="BM738" i="140"/>
  <c r="BL738" i="140"/>
  <c r="BK738" i="140"/>
  <c r="BJ738" i="140"/>
  <c r="BI738" i="140"/>
  <c r="BH738" i="140"/>
  <c r="BG738" i="140"/>
  <c r="BM737" i="140"/>
  <c r="BL737" i="140"/>
  <c r="BK737" i="140"/>
  <c r="BJ737" i="140"/>
  <c r="BI737" i="140"/>
  <c r="BH737" i="140"/>
  <c r="BG737" i="140"/>
  <c r="BM736" i="140"/>
  <c r="BL736" i="140"/>
  <c r="BK736" i="140"/>
  <c r="BJ736" i="140"/>
  <c r="BI736" i="140"/>
  <c r="BH736" i="140"/>
  <c r="BG736" i="140"/>
  <c r="BM735" i="140"/>
  <c r="BL735" i="140"/>
  <c r="BK735" i="140"/>
  <c r="BJ735" i="140"/>
  <c r="BI735" i="140"/>
  <c r="BH735" i="140"/>
  <c r="BG735" i="140"/>
  <c r="BM734" i="140"/>
  <c r="BL734" i="140"/>
  <c r="BK734" i="140"/>
  <c r="BJ734" i="140"/>
  <c r="BI734" i="140"/>
  <c r="BH734" i="140"/>
  <c r="BG734" i="140"/>
  <c r="BM733" i="140"/>
  <c r="BL733" i="140"/>
  <c r="BK733" i="140"/>
  <c r="BJ733" i="140"/>
  <c r="BI733" i="140"/>
  <c r="BH733" i="140"/>
  <c r="BG733" i="140"/>
  <c r="BM732" i="140"/>
  <c r="BL732" i="140"/>
  <c r="BK732" i="140"/>
  <c r="BJ732" i="140"/>
  <c r="BI732" i="140"/>
  <c r="BH732" i="140"/>
  <c r="BG732" i="140"/>
  <c r="BM731" i="140"/>
  <c r="BL731" i="140"/>
  <c r="BK731" i="140"/>
  <c r="BJ731" i="140"/>
  <c r="BI731" i="140"/>
  <c r="BH731" i="140"/>
  <c r="BG731" i="140"/>
  <c r="BM730" i="140"/>
  <c r="BL730" i="140"/>
  <c r="BK730" i="140"/>
  <c r="BJ730" i="140"/>
  <c r="BI730" i="140"/>
  <c r="BH730" i="140"/>
  <c r="BG730" i="140"/>
  <c r="BM729" i="140"/>
  <c r="BL729" i="140"/>
  <c r="BK729" i="140"/>
  <c r="BJ729" i="140"/>
  <c r="BI729" i="140"/>
  <c r="BH729" i="140"/>
  <c r="BG729" i="140"/>
  <c r="BM728" i="140"/>
  <c r="BL728" i="140"/>
  <c r="BK728" i="140"/>
  <c r="BJ728" i="140"/>
  <c r="BI728" i="140"/>
  <c r="BH728" i="140"/>
  <c r="BG728" i="140"/>
  <c r="BM727" i="140"/>
  <c r="BL727" i="140"/>
  <c r="BK727" i="140"/>
  <c r="BJ727" i="140"/>
  <c r="BI727" i="140"/>
  <c r="BH727" i="140"/>
  <c r="BG727" i="140"/>
  <c r="BM726" i="140"/>
  <c r="BL726" i="140"/>
  <c r="BK726" i="140"/>
  <c r="BJ726" i="140"/>
  <c r="BI726" i="140"/>
  <c r="BH726" i="140"/>
  <c r="BG726" i="140"/>
  <c r="BM725" i="140"/>
  <c r="BL725" i="140"/>
  <c r="BK725" i="140"/>
  <c r="BJ725" i="140"/>
  <c r="BI725" i="140"/>
  <c r="BH725" i="140"/>
  <c r="BG725" i="140"/>
  <c r="BM724" i="140"/>
  <c r="BL724" i="140"/>
  <c r="BK724" i="140"/>
  <c r="BJ724" i="140"/>
  <c r="BI724" i="140"/>
  <c r="BH724" i="140"/>
  <c r="BG724" i="140"/>
  <c r="BM723" i="140"/>
  <c r="BL723" i="140"/>
  <c r="BK723" i="140"/>
  <c r="BJ723" i="140"/>
  <c r="BI723" i="140"/>
  <c r="BH723" i="140"/>
  <c r="BG723" i="140"/>
  <c r="BM722" i="140"/>
  <c r="BL722" i="140"/>
  <c r="BK722" i="140"/>
  <c r="BJ722" i="140"/>
  <c r="BI722" i="140"/>
  <c r="BH722" i="140"/>
  <c r="BG722" i="140"/>
  <c r="BM721" i="140"/>
  <c r="BL721" i="140"/>
  <c r="BK721" i="140"/>
  <c r="BJ721" i="140"/>
  <c r="BI721" i="140"/>
  <c r="BH721" i="140"/>
  <c r="BG721" i="140"/>
  <c r="BM720" i="140"/>
  <c r="BL720" i="140"/>
  <c r="BK720" i="140"/>
  <c r="BJ720" i="140"/>
  <c r="BI720" i="140"/>
  <c r="BH720" i="140"/>
  <c r="BG720" i="140"/>
  <c r="BM719" i="140"/>
  <c r="BL719" i="140"/>
  <c r="BK719" i="140"/>
  <c r="BJ719" i="140"/>
  <c r="BI719" i="140"/>
  <c r="BH719" i="140"/>
  <c r="BG719" i="140"/>
  <c r="BM718" i="140"/>
  <c r="BL718" i="140"/>
  <c r="BK718" i="140"/>
  <c r="BJ718" i="140"/>
  <c r="BI718" i="140"/>
  <c r="BH718" i="140"/>
  <c r="BG718" i="140"/>
  <c r="BM717" i="140"/>
  <c r="BL717" i="140"/>
  <c r="BK717" i="140"/>
  <c r="BJ717" i="140"/>
  <c r="BI717" i="140"/>
  <c r="BH717" i="140"/>
  <c r="BG717" i="140"/>
  <c r="BM716" i="140"/>
  <c r="BL716" i="140"/>
  <c r="BK716" i="140"/>
  <c r="BJ716" i="140"/>
  <c r="BI716" i="140"/>
  <c r="BH716" i="140"/>
  <c r="BG716" i="140"/>
  <c r="BM715" i="140"/>
  <c r="BL715" i="140"/>
  <c r="BK715" i="140"/>
  <c r="BJ715" i="140"/>
  <c r="BI715" i="140"/>
  <c r="BH715" i="140"/>
  <c r="BG715" i="140"/>
  <c r="BM714" i="140"/>
  <c r="BL714" i="140"/>
  <c r="BK714" i="140"/>
  <c r="BJ714" i="140"/>
  <c r="BI714" i="140"/>
  <c r="BH714" i="140"/>
  <c r="BG714" i="140"/>
  <c r="BM713" i="140"/>
  <c r="BL713" i="140"/>
  <c r="BK713" i="140"/>
  <c r="BJ713" i="140"/>
  <c r="BI713" i="140"/>
  <c r="BH713" i="140"/>
  <c r="BG713" i="140"/>
  <c r="BM712" i="140"/>
  <c r="BL712" i="140"/>
  <c r="BK712" i="140"/>
  <c r="BJ712" i="140"/>
  <c r="BI712" i="140"/>
  <c r="BH712" i="140"/>
  <c r="BG712" i="140"/>
  <c r="BM711" i="140"/>
  <c r="BL711" i="140"/>
  <c r="BK711" i="140"/>
  <c r="BJ711" i="140"/>
  <c r="BI711" i="140"/>
  <c r="BH711" i="140"/>
  <c r="BG711" i="140"/>
  <c r="BM710" i="140"/>
  <c r="BL710" i="140"/>
  <c r="BK710" i="140"/>
  <c r="BJ710" i="140"/>
  <c r="BI710" i="140"/>
  <c r="BH710" i="140"/>
  <c r="BG710" i="140"/>
  <c r="BM709" i="140"/>
  <c r="BL709" i="140"/>
  <c r="BK709" i="140"/>
  <c r="BJ709" i="140"/>
  <c r="BI709" i="140"/>
  <c r="BH709" i="140"/>
  <c r="BG709" i="140"/>
  <c r="BM708" i="140"/>
  <c r="BL708" i="140"/>
  <c r="BK708" i="140"/>
  <c r="BJ708" i="140"/>
  <c r="BI708" i="140"/>
  <c r="BH708" i="140"/>
  <c r="BG708" i="140"/>
  <c r="BM707" i="140"/>
  <c r="BL707" i="140"/>
  <c r="BK707" i="140"/>
  <c r="BJ707" i="140"/>
  <c r="BI707" i="140"/>
  <c r="BH707" i="140"/>
  <c r="BG707" i="140"/>
  <c r="BM706" i="140"/>
  <c r="BL706" i="140"/>
  <c r="BK706" i="140"/>
  <c r="BJ706" i="140"/>
  <c r="BI706" i="140"/>
  <c r="BH706" i="140"/>
  <c r="BG706" i="140"/>
  <c r="BM705" i="140"/>
  <c r="BL705" i="140"/>
  <c r="BK705" i="140"/>
  <c r="BJ705" i="140"/>
  <c r="BI705" i="140"/>
  <c r="BH705" i="140"/>
  <c r="BG705" i="140"/>
  <c r="BM704" i="140"/>
  <c r="BL704" i="140"/>
  <c r="BK704" i="140"/>
  <c r="BJ704" i="140"/>
  <c r="BI704" i="140"/>
  <c r="BH704" i="140"/>
  <c r="BG704" i="140"/>
  <c r="BM703" i="140"/>
  <c r="BL703" i="140"/>
  <c r="BK703" i="140"/>
  <c r="BJ703" i="140"/>
  <c r="BI703" i="140"/>
  <c r="BH703" i="140"/>
  <c r="BG703" i="140"/>
  <c r="BM702" i="140"/>
  <c r="BL702" i="140"/>
  <c r="BK702" i="140"/>
  <c r="BJ702" i="140"/>
  <c r="BI702" i="140"/>
  <c r="BH702" i="140"/>
  <c r="BG702" i="140"/>
  <c r="BM701" i="140"/>
  <c r="BL701" i="140"/>
  <c r="BK701" i="140"/>
  <c r="BJ701" i="140"/>
  <c r="BI701" i="140"/>
  <c r="BH701" i="140"/>
  <c r="BG701" i="140"/>
  <c r="BM700" i="140"/>
  <c r="BL700" i="140"/>
  <c r="BK700" i="140"/>
  <c r="BJ700" i="140"/>
  <c r="BI700" i="140"/>
  <c r="BH700" i="140"/>
  <c r="BG700" i="140"/>
  <c r="BM699" i="140"/>
  <c r="BL699" i="140"/>
  <c r="BK699" i="140"/>
  <c r="BJ699" i="140"/>
  <c r="BI699" i="140"/>
  <c r="BH699" i="140"/>
  <c r="BG699" i="140"/>
  <c r="BM698" i="140"/>
  <c r="BL698" i="140"/>
  <c r="BK698" i="140"/>
  <c r="BJ698" i="140"/>
  <c r="BI698" i="140"/>
  <c r="BH698" i="140"/>
  <c r="BG698" i="140"/>
  <c r="BM697" i="140"/>
  <c r="BL697" i="140"/>
  <c r="BK697" i="140"/>
  <c r="BJ697" i="140"/>
  <c r="BI697" i="140"/>
  <c r="BH697" i="140"/>
  <c r="BG697" i="140"/>
  <c r="BM696" i="140"/>
  <c r="BL696" i="140"/>
  <c r="BK696" i="140"/>
  <c r="BJ696" i="140"/>
  <c r="BI696" i="140"/>
  <c r="BH696" i="140"/>
  <c r="BG696" i="140"/>
  <c r="BM695" i="140"/>
  <c r="BL695" i="140"/>
  <c r="BK695" i="140"/>
  <c r="BJ695" i="140"/>
  <c r="BI695" i="140"/>
  <c r="BH695" i="140"/>
  <c r="BG695" i="140"/>
  <c r="BM694" i="140"/>
  <c r="BL694" i="140"/>
  <c r="BK694" i="140"/>
  <c r="BJ694" i="140"/>
  <c r="BI694" i="140"/>
  <c r="BH694" i="140"/>
  <c r="BG694" i="140"/>
  <c r="BM693" i="140"/>
  <c r="BL693" i="140"/>
  <c r="BK693" i="140"/>
  <c r="BJ693" i="140"/>
  <c r="BI693" i="140"/>
  <c r="BH693" i="140"/>
  <c r="BG693" i="140"/>
  <c r="BM692" i="140"/>
  <c r="BL692" i="140"/>
  <c r="BK692" i="140"/>
  <c r="BJ692" i="140"/>
  <c r="BI692" i="140"/>
  <c r="BH692" i="140"/>
  <c r="BG692" i="140"/>
  <c r="BM691" i="140"/>
  <c r="BL691" i="140"/>
  <c r="BK691" i="140"/>
  <c r="BJ691" i="140"/>
  <c r="BI691" i="140"/>
  <c r="BH691" i="140"/>
  <c r="BG691" i="140"/>
  <c r="BM690" i="140"/>
  <c r="BL690" i="140"/>
  <c r="BK690" i="140"/>
  <c r="BJ690" i="140"/>
  <c r="BI690" i="140"/>
  <c r="BH690" i="140"/>
  <c r="BG690" i="140"/>
  <c r="BM689" i="140"/>
  <c r="BL689" i="140"/>
  <c r="BK689" i="140"/>
  <c r="BJ689" i="140"/>
  <c r="BI689" i="140"/>
  <c r="BH689" i="140"/>
  <c r="BG689" i="140"/>
  <c r="BM688" i="140"/>
  <c r="BL688" i="140"/>
  <c r="BK688" i="140"/>
  <c r="BJ688" i="140"/>
  <c r="BI688" i="140"/>
  <c r="BH688" i="140"/>
  <c r="BG688" i="140"/>
  <c r="BM687" i="140"/>
  <c r="BL687" i="140"/>
  <c r="BK687" i="140"/>
  <c r="BJ687" i="140"/>
  <c r="BI687" i="140"/>
  <c r="BH687" i="140"/>
  <c r="BG687" i="140"/>
  <c r="BM686" i="140"/>
  <c r="BL686" i="140"/>
  <c r="BK686" i="140"/>
  <c r="BJ686" i="140"/>
  <c r="BI686" i="140"/>
  <c r="BH686" i="140"/>
  <c r="BG686" i="140"/>
  <c r="BM685" i="140"/>
  <c r="BL685" i="140"/>
  <c r="BK685" i="140"/>
  <c r="BJ685" i="140"/>
  <c r="BI685" i="140"/>
  <c r="BH685" i="140"/>
  <c r="BG685" i="140"/>
  <c r="BM684" i="140"/>
  <c r="BL684" i="140"/>
  <c r="BK684" i="140"/>
  <c r="BJ684" i="140"/>
  <c r="BI684" i="140"/>
  <c r="BH684" i="140"/>
  <c r="BG684" i="140"/>
  <c r="BM683" i="140"/>
  <c r="BL683" i="140"/>
  <c r="BK683" i="140"/>
  <c r="BJ683" i="140"/>
  <c r="BI683" i="140"/>
  <c r="BH683" i="140"/>
  <c r="BG683" i="140"/>
  <c r="BM682" i="140"/>
  <c r="BL682" i="140"/>
  <c r="BK682" i="140"/>
  <c r="BJ682" i="140"/>
  <c r="BI682" i="140"/>
  <c r="BH682" i="140"/>
  <c r="BG682" i="140"/>
  <c r="BM681" i="140"/>
  <c r="BL681" i="140"/>
  <c r="BK681" i="140"/>
  <c r="BJ681" i="140"/>
  <c r="BI681" i="140"/>
  <c r="BH681" i="140"/>
  <c r="BG681" i="140"/>
  <c r="BM680" i="140"/>
  <c r="BL680" i="140"/>
  <c r="BK680" i="140"/>
  <c r="BJ680" i="140"/>
  <c r="BI680" i="140"/>
  <c r="BH680" i="140"/>
  <c r="BG680" i="140"/>
  <c r="BM679" i="140"/>
  <c r="BL679" i="140"/>
  <c r="BK679" i="140"/>
  <c r="BJ679" i="140"/>
  <c r="BI679" i="140"/>
  <c r="BH679" i="140"/>
  <c r="BG679" i="140"/>
  <c r="BM678" i="140"/>
  <c r="BL678" i="140"/>
  <c r="BK678" i="140"/>
  <c r="BJ678" i="140"/>
  <c r="BI678" i="140"/>
  <c r="BH678" i="140"/>
  <c r="BG678" i="140"/>
  <c r="BM677" i="140"/>
  <c r="BL677" i="140"/>
  <c r="BK677" i="140"/>
  <c r="BJ677" i="140"/>
  <c r="BI677" i="140"/>
  <c r="BH677" i="140"/>
  <c r="BG677" i="140"/>
  <c r="BM676" i="140"/>
  <c r="BL676" i="140"/>
  <c r="BK676" i="140"/>
  <c r="BJ676" i="140"/>
  <c r="BI676" i="140"/>
  <c r="BH676" i="140"/>
  <c r="BG676" i="140"/>
  <c r="BM675" i="140"/>
  <c r="BL675" i="140"/>
  <c r="BK675" i="140"/>
  <c r="BJ675" i="140"/>
  <c r="BI675" i="140"/>
  <c r="BH675" i="140"/>
  <c r="BG675" i="140"/>
  <c r="BM674" i="140"/>
  <c r="BL674" i="140"/>
  <c r="BK674" i="140"/>
  <c r="BJ674" i="140"/>
  <c r="BI674" i="140"/>
  <c r="BH674" i="140"/>
  <c r="BG674" i="140"/>
  <c r="BM673" i="140"/>
  <c r="BL673" i="140"/>
  <c r="BK673" i="140"/>
  <c r="BJ673" i="140"/>
  <c r="BI673" i="140"/>
  <c r="BH673" i="140"/>
  <c r="BG673" i="140"/>
  <c r="BM672" i="140"/>
  <c r="BL672" i="140"/>
  <c r="BK672" i="140"/>
  <c r="BJ672" i="140"/>
  <c r="BI672" i="140"/>
  <c r="BH672" i="140"/>
  <c r="BG672" i="140"/>
  <c r="BM671" i="140"/>
  <c r="BL671" i="140"/>
  <c r="BK671" i="140"/>
  <c r="BJ671" i="140"/>
  <c r="BI671" i="140"/>
  <c r="BH671" i="140"/>
  <c r="BG671" i="140"/>
  <c r="BM670" i="140"/>
  <c r="BL670" i="140"/>
  <c r="BK670" i="140"/>
  <c r="BJ670" i="140"/>
  <c r="BI670" i="140"/>
  <c r="BH670" i="140"/>
  <c r="BG670" i="140"/>
  <c r="BM669" i="140"/>
  <c r="BL669" i="140"/>
  <c r="BK669" i="140"/>
  <c r="BJ669" i="140"/>
  <c r="BI669" i="140"/>
  <c r="BH669" i="140"/>
  <c r="BG669" i="140"/>
  <c r="BM668" i="140"/>
  <c r="BL668" i="140"/>
  <c r="BK668" i="140"/>
  <c r="BJ668" i="140"/>
  <c r="BI668" i="140"/>
  <c r="BH668" i="140"/>
  <c r="BG668" i="140"/>
  <c r="BM667" i="140"/>
  <c r="BL667" i="140"/>
  <c r="BK667" i="140"/>
  <c r="BJ667" i="140"/>
  <c r="BI667" i="140"/>
  <c r="BH667" i="140"/>
  <c r="BG667" i="140"/>
  <c r="BM666" i="140"/>
  <c r="BL666" i="140"/>
  <c r="BK666" i="140"/>
  <c r="BJ666" i="140"/>
  <c r="BI666" i="140"/>
  <c r="BH666" i="140"/>
  <c r="BG666" i="140"/>
  <c r="BM665" i="140"/>
  <c r="BL665" i="140"/>
  <c r="BK665" i="140"/>
  <c r="BJ665" i="140"/>
  <c r="BI665" i="140"/>
  <c r="BH665" i="140"/>
  <c r="BG665" i="140"/>
  <c r="BM664" i="140"/>
  <c r="BL664" i="140"/>
  <c r="BK664" i="140"/>
  <c r="BJ664" i="140"/>
  <c r="BI664" i="140"/>
  <c r="BH664" i="140"/>
  <c r="BG664" i="140"/>
  <c r="BM663" i="140"/>
  <c r="BL663" i="140"/>
  <c r="BK663" i="140"/>
  <c r="BJ663" i="140"/>
  <c r="BI663" i="140"/>
  <c r="BH663" i="140"/>
  <c r="BG663" i="140"/>
  <c r="BM662" i="140"/>
  <c r="BL662" i="140"/>
  <c r="BK662" i="140"/>
  <c r="BJ662" i="140"/>
  <c r="BI662" i="140"/>
  <c r="BH662" i="140"/>
  <c r="BG662" i="140"/>
  <c r="BM661" i="140"/>
  <c r="BL661" i="140"/>
  <c r="BK661" i="140"/>
  <c r="BJ661" i="140"/>
  <c r="BI661" i="140"/>
  <c r="BH661" i="140"/>
  <c r="BG661" i="140"/>
  <c r="BM660" i="140"/>
  <c r="BL660" i="140"/>
  <c r="BK660" i="140"/>
  <c r="BJ660" i="140"/>
  <c r="BI660" i="140"/>
  <c r="BH660" i="140"/>
  <c r="BG660" i="140"/>
  <c r="BM659" i="140"/>
  <c r="BL659" i="140"/>
  <c r="BK659" i="140"/>
  <c r="BJ659" i="140"/>
  <c r="BI659" i="140"/>
  <c r="BH659" i="140"/>
  <c r="BG659" i="140"/>
  <c r="BM658" i="140"/>
  <c r="BL658" i="140"/>
  <c r="BK658" i="140"/>
  <c r="BJ658" i="140"/>
  <c r="BI658" i="140"/>
  <c r="BH658" i="140"/>
  <c r="BG658" i="140"/>
  <c r="BM657" i="140"/>
  <c r="BL657" i="140"/>
  <c r="BK657" i="140"/>
  <c r="BJ657" i="140"/>
  <c r="BI657" i="140"/>
  <c r="BH657" i="140"/>
  <c r="BG657" i="140"/>
  <c r="BM656" i="140"/>
  <c r="BL656" i="140"/>
  <c r="BK656" i="140"/>
  <c r="BJ656" i="140"/>
  <c r="BI656" i="140"/>
  <c r="BH656" i="140"/>
  <c r="BG656" i="140"/>
  <c r="BM655" i="140"/>
  <c r="BL655" i="140"/>
  <c r="BK655" i="140"/>
  <c r="BJ655" i="140"/>
  <c r="BI655" i="140"/>
  <c r="BH655" i="140"/>
  <c r="BG655" i="140"/>
  <c r="BM654" i="140"/>
  <c r="BL654" i="140"/>
  <c r="BK654" i="140"/>
  <c r="BJ654" i="140"/>
  <c r="BI654" i="140"/>
  <c r="BH654" i="140"/>
  <c r="BG654" i="140"/>
  <c r="BM653" i="140"/>
  <c r="BL653" i="140"/>
  <c r="BK653" i="140"/>
  <c r="BJ653" i="140"/>
  <c r="BI653" i="140"/>
  <c r="BH653" i="140"/>
  <c r="BG653" i="140"/>
  <c r="BM652" i="140"/>
  <c r="BL652" i="140"/>
  <c r="BK652" i="140"/>
  <c r="BJ652" i="140"/>
  <c r="BI652" i="140"/>
  <c r="BH652" i="140"/>
  <c r="BG652" i="140"/>
  <c r="BM651" i="140"/>
  <c r="BL651" i="140"/>
  <c r="BK651" i="140"/>
  <c r="BJ651" i="140"/>
  <c r="BI651" i="140"/>
  <c r="BH651" i="140"/>
  <c r="BG651" i="140"/>
  <c r="BM650" i="140"/>
  <c r="BL650" i="140"/>
  <c r="BK650" i="140"/>
  <c r="BJ650" i="140"/>
  <c r="BI650" i="140"/>
  <c r="BH650" i="140"/>
  <c r="BG650" i="140"/>
  <c r="BM649" i="140"/>
  <c r="BL649" i="140"/>
  <c r="BK649" i="140"/>
  <c r="BJ649" i="140"/>
  <c r="BI649" i="140"/>
  <c r="BH649" i="140"/>
  <c r="BG649" i="140"/>
  <c r="BM648" i="140"/>
  <c r="BL648" i="140"/>
  <c r="BK648" i="140"/>
  <c r="BJ648" i="140"/>
  <c r="BI648" i="140"/>
  <c r="BH648" i="140"/>
  <c r="BG648" i="140"/>
  <c r="BM647" i="140"/>
  <c r="BL647" i="140"/>
  <c r="BK647" i="140"/>
  <c r="BJ647" i="140"/>
  <c r="BI647" i="140"/>
  <c r="BH647" i="140"/>
  <c r="BG647" i="140"/>
  <c r="BM646" i="140"/>
  <c r="BL646" i="140"/>
  <c r="BK646" i="140"/>
  <c r="BJ646" i="140"/>
  <c r="BI646" i="140"/>
  <c r="BH646" i="140"/>
  <c r="BG646" i="140"/>
  <c r="BM645" i="140"/>
  <c r="BL645" i="140"/>
  <c r="BK645" i="140"/>
  <c r="BJ645" i="140"/>
  <c r="BI645" i="140"/>
  <c r="BH645" i="140"/>
  <c r="BG645" i="140"/>
  <c r="BM644" i="140"/>
  <c r="BL644" i="140"/>
  <c r="BK644" i="140"/>
  <c r="BJ644" i="140"/>
  <c r="BI644" i="140"/>
  <c r="BH644" i="140"/>
  <c r="BG644" i="140"/>
  <c r="BM643" i="140"/>
  <c r="BL643" i="140"/>
  <c r="BK643" i="140"/>
  <c r="BJ643" i="140"/>
  <c r="BI643" i="140"/>
  <c r="BH643" i="140"/>
  <c r="BG643" i="140"/>
  <c r="BM642" i="140"/>
  <c r="BL642" i="140"/>
  <c r="BK642" i="140"/>
  <c r="BJ642" i="140"/>
  <c r="BI642" i="140"/>
  <c r="BH642" i="140"/>
  <c r="BG642" i="140"/>
  <c r="BM641" i="140"/>
  <c r="BL641" i="140"/>
  <c r="BK641" i="140"/>
  <c r="BJ641" i="140"/>
  <c r="BI641" i="140"/>
  <c r="BH641" i="140"/>
  <c r="BG641" i="140"/>
  <c r="BM640" i="140"/>
  <c r="BL640" i="140"/>
  <c r="BK640" i="140"/>
  <c r="BJ640" i="140"/>
  <c r="BI640" i="140"/>
  <c r="BH640" i="140"/>
  <c r="BG640" i="140"/>
  <c r="BM639" i="140"/>
  <c r="BL639" i="140"/>
  <c r="BK639" i="140"/>
  <c r="BJ639" i="140"/>
  <c r="BI639" i="140"/>
  <c r="BH639" i="140"/>
  <c r="BG639" i="140"/>
  <c r="BM638" i="140"/>
  <c r="BL638" i="140"/>
  <c r="BK638" i="140"/>
  <c r="BJ638" i="140"/>
  <c r="BI638" i="140"/>
  <c r="BH638" i="140"/>
  <c r="BG638" i="140"/>
  <c r="BM637" i="140"/>
  <c r="BL637" i="140"/>
  <c r="BK637" i="140"/>
  <c r="BJ637" i="140"/>
  <c r="BI637" i="140"/>
  <c r="BH637" i="140"/>
  <c r="BG637" i="140"/>
  <c r="BM636" i="140"/>
  <c r="BL636" i="140"/>
  <c r="BK636" i="140"/>
  <c r="BJ636" i="140"/>
  <c r="BI636" i="140"/>
  <c r="BH636" i="140"/>
  <c r="BG636" i="140"/>
  <c r="BM635" i="140"/>
  <c r="BL635" i="140"/>
  <c r="BK635" i="140"/>
  <c r="BJ635" i="140"/>
  <c r="BI635" i="140"/>
  <c r="BH635" i="140"/>
  <c r="BG635" i="140"/>
  <c r="BM634" i="140"/>
  <c r="BL634" i="140"/>
  <c r="BK634" i="140"/>
  <c r="BJ634" i="140"/>
  <c r="BI634" i="140"/>
  <c r="BH634" i="140"/>
  <c r="BG634" i="140"/>
  <c r="BM633" i="140"/>
  <c r="BL633" i="140"/>
  <c r="BK633" i="140"/>
  <c r="BJ633" i="140"/>
  <c r="BI633" i="140"/>
  <c r="BH633" i="140"/>
  <c r="BG633" i="140"/>
  <c r="BM632" i="140"/>
  <c r="BL632" i="140"/>
  <c r="BK632" i="140"/>
  <c r="BJ632" i="140"/>
  <c r="BI632" i="140"/>
  <c r="BH632" i="140"/>
  <c r="BG632" i="140"/>
  <c r="BM631" i="140"/>
  <c r="BL631" i="140"/>
  <c r="BK631" i="140"/>
  <c r="BJ631" i="140"/>
  <c r="BI631" i="140"/>
  <c r="BH631" i="140"/>
  <c r="BG631" i="140"/>
  <c r="BM630" i="140"/>
  <c r="BL630" i="140"/>
  <c r="BK630" i="140"/>
  <c r="BJ630" i="140"/>
  <c r="BI630" i="140"/>
  <c r="BH630" i="140"/>
  <c r="BG630" i="140"/>
  <c r="BM629" i="140"/>
  <c r="BL629" i="140"/>
  <c r="BK629" i="140"/>
  <c r="BJ629" i="140"/>
  <c r="BI629" i="140"/>
  <c r="BH629" i="140"/>
  <c r="BG629" i="140"/>
  <c r="BM628" i="140"/>
  <c r="BL628" i="140"/>
  <c r="BK628" i="140"/>
  <c r="BJ628" i="140"/>
  <c r="BI628" i="140"/>
  <c r="BH628" i="140"/>
  <c r="BG628" i="140"/>
  <c r="BM627" i="140"/>
  <c r="BL627" i="140"/>
  <c r="BK627" i="140"/>
  <c r="BJ627" i="140"/>
  <c r="BI627" i="140"/>
  <c r="BH627" i="140"/>
  <c r="BG627" i="140"/>
  <c r="BM626" i="140"/>
  <c r="BL626" i="140"/>
  <c r="BK626" i="140"/>
  <c r="BJ626" i="140"/>
  <c r="BI626" i="140"/>
  <c r="BH626" i="140"/>
  <c r="BG626" i="140"/>
  <c r="BM625" i="140"/>
  <c r="BL625" i="140"/>
  <c r="BK625" i="140"/>
  <c r="BJ625" i="140"/>
  <c r="BI625" i="140"/>
  <c r="BH625" i="140"/>
  <c r="BG625" i="140"/>
  <c r="BM624" i="140"/>
  <c r="BL624" i="140"/>
  <c r="BK624" i="140"/>
  <c r="BJ624" i="140"/>
  <c r="BI624" i="140"/>
  <c r="BH624" i="140"/>
  <c r="BG624" i="140"/>
  <c r="BM623" i="140"/>
  <c r="BL623" i="140"/>
  <c r="BK623" i="140"/>
  <c r="BJ623" i="140"/>
  <c r="BI623" i="140"/>
  <c r="BH623" i="140"/>
  <c r="BG623" i="140"/>
  <c r="BM622" i="140"/>
  <c r="BL622" i="140"/>
  <c r="BK622" i="140"/>
  <c r="BJ622" i="140"/>
  <c r="BI622" i="140"/>
  <c r="BH622" i="140"/>
  <c r="BG622" i="140"/>
  <c r="BM621" i="140"/>
  <c r="BL621" i="140"/>
  <c r="BK621" i="140"/>
  <c r="BJ621" i="140"/>
  <c r="BI621" i="140"/>
  <c r="BH621" i="140"/>
  <c r="BG621" i="140"/>
  <c r="BM620" i="140"/>
  <c r="BL620" i="140"/>
  <c r="BK620" i="140"/>
  <c r="BJ620" i="140"/>
  <c r="BI620" i="140"/>
  <c r="BH620" i="140"/>
  <c r="BG620" i="140"/>
  <c r="BM619" i="140"/>
  <c r="BL619" i="140"/>
  <c r="BK619" i="140"/>
  <c r="BJ619" i="140"/>
  <c r="BI619" i="140"/>
  <c r="BH619" i="140"/>
  <c r="BG619" i="140"/>
  <c r="BM618" i="140"/>
  <c r="BL618" i="140"/>
  <c r="BK618" i="140"/>
  <c r="BJ618" i="140"/>
  <c r="BI618" i="140"/>
  <c r="BH618" i="140"/>
  <c r="BG618" i="140"/>
  <c r="BM617" i="140"/>
  <c r="BL617" i="140"/>
  <c r="BK617" i="140"/>
  <c r="BJ617" i="140"/>
  <c r="BI617" i="140"/>
  <c r="BH617" i="140"/>
  <c r="BG617" i="140"/>
  <c r="BM616" i="140"/>
  <c r="BL616" i="140"/>
  <c r="BK616" i="140"/>
  <c r="BJ616" i="140"/>
  <c r="BI616" i="140"/>
  <c r="BH616" i="140"/>
  <c r="BG616" i="140"/>
  <c r="BM615" i="140"/>
  <c r="BL615" i="140"/>
  <c r="BK615" i="140"/>
  <c r="BJ615" i="140"/>
  <c r="BI615" i="140"/>
  <c r="BH615" i="140"/>
  <c r="BG615" i="140"/>
  <c r="BM614" i="140"/>
  <c r="BL614" i="140"/>
  <c r="BK614" i="140"/>
  <c r="BJ614" i="140"/>
  <c r="BI614" i="140"/>
  <c r="BH614" i="140"/>
  <c r="BG614" i="140"/>
  <c r="BM613" i="140"/>
  <c r="BL613" i="140"/>
  <c r="BK613" i="140"/>
  <c r="BJ613" i="140"/>
  <c r="BI613" i="140"/>
  <c r="BH613" i="140"/>
  <c r="BG613" i="140"/>
  <c r="BM612" i="140"/>
  <c r="BL612" i="140"/>
  <c r="BK612" i="140"/>
  <c r="BJ612" i="140"/>
  <c r="BI612" i="140"/>
  <c r="BH612" i="140"/>
  <c r="BG612" i="140"/>
  <c r="BM611" i="140"/>
  <c r="BL611" i="140"/>
  <c r="BK611" i="140"/>
  <c r="BJ611" i="140"/>
  <c r="BI611" i="140"/>
  <c r="BH611" i="140"/>
  <c r="BG611" i="140"/>
  <c r="BM610" i="140"/>
  <c r="BL610" i="140"/>
  <c r="BK610" i="140"/>
  <c r="BJ610" i="140"/>
  <c r="BI610" i="140"/>
  <c r="BH610" i="140"/>
  <c r="BG610" i="140"/>
  <c r="BM609" i="140"/>
  <c r="BL609" i="140"/>
  <c r="BK609" i="140"/>
  <c r="BJ609" i="140"/>
  <c r="BI609" i="140"/>
  <c r="BH609" i="140"/>
  <c r="BG609" i="140"/>
  <c r="BM608" i="140"/>
  <c r="BL608" i="140"/>
  <c r="BK608" i="140"/>
  <c r="BJ608" i="140"/>
  <c r="BI608" i="140"/>
  <c r="BH608" i="140"/>
  <c r="BG608" i="140"/>
  <c r="BM607" i="140"/>
  <c r="BL607" i="140"/>
  <c r="BK607" i="140"/>
  <c r="BJ607" i="140"/>
  <c r="BI607" i="140"/>
  <c r="BH607" i="140"/>
  <c r="BG607" i="140"/>
  <c r="BM606" i="140"/>
  <c r="BL606" i="140"/>
  <c r="BK606" i="140"/>
  <c r="BJ606" i="140"/>
  <c r="BI606" i="140"/>
  <c r="BH606" i="140"/>
  <c r="BG606" i="140"/>
  <c r="BM605" i="140"/>
  <c r="BL605" i="140"/>
  <c r="BK605" i="140"/>
  <c r="BJ605" i="140"/>
  <c r="BI605" i="140"/>
  <c r="BH605" i="140"/>
  <c r="BG605" i="140"/>
  <c r="BM604" i="140"/>
  <c r="BL604" i="140"/>
  <c r="BK604" i="140"/>
  <c r="BJ604" i="140"/>
  <c r="BI604" i="140"/>
  <c r="BH604" i="140"/>
  <c r="BG604" i="140"/>
  <c r="BM603" i="140"/>
  <c r="BL603" i="140"/>
  <c r="BK603" i="140"/>
  <c r="BJ603" i="140"/>
  <c r="BI603" i="140"/>
  <c r="BH603" i="140"/>
  <c r="BG603" i="140"/>
  <c r="BM602" i="140"/>
  <c r="BL602" i="140"/>
  <c r="BK602" i="140"/>
  <c r="BJ602" i="140"/>
  <c r="BI602" i="140"/>
  <c r="BH602" i="140"/>
  <c r="BG602" i="140"/>
  <c r="BM601" i="140"/>
  <c r="BL601" i="140"/>
  <c r="BK601" i="140"/>
  <c r="BJ601" i="140"/>
  <c r="BI601" i="140"/>
  <c r="BH601" i="140"/>
  <c r="BG601" i="140"/>
  <c r="BM600" i="140"/>
  <c r="BL600" i="140"/>
  <c r="BK600" i="140"/>
  <c r="BJ600" i="140"/>
  <c r="BI600" i="140"/>
  <c r="BH600" i="140"/>
  <c r="BG600" i="140"/>
  <c r="BM599" i="140"/>
  <c r="BL599" i="140"/>
  <c r="BK599" i="140"/>
  <c r="BJ599" i="140"/>
  <c r="BI599" i="140"/>
  <c r="BH599" i="140"/>
  <c r="BG599" i="140"/>
  <c r="BM598" i="140"/>
  <c r="BL598" i="140"/>
  <c r="BK598" i="140"/>
  <c r="BJ598" i="140"/>
  <c r="BI598" i="140"/>
  <c r="BH598" i="140"/>
  <c r="BG598" i="140"/>
  <c r="BM597" i="140"/>
  <c r="BL597" i="140"/>
  <c r="BK597" i="140"/>
  <c r="BJ597" i="140"/>
  <c r="BI597" i="140"/>
  <c r="BH597" i="140"/>
  <c r="BG597" i="140"/>
  <c r="BM596" i="140"/>
  <c r="BL596" i="140"/>
  <c r="BK596" i="140"/>
  <c r="BJ596" i="140"/>
  <c r="BI596" i="140"/>
  <c r="BH596" i="140"/>
  <c r="BG596" i="140"/>
  <c r="BM595" i="140"/>
  <c r="BL595" i="140"/>
  <c r="BK595" i="140"/>
  <c r="BJ595" i="140"/>
  <c r="BI595" i="140"/>
  <c r="BH595" i="140"/>
  <c r="BG595" i="140"/>
  <c r="BM594" i="140"/>
  <c r="BL594" i="140"/>
  <c r="BK594" i="140"/>
  <c r="BJ594" i="140"/>
  <c r="BI594" i="140"/>
  <c r="BH594" i="140"/>
  <c r="BG594" i="140"/>
  <c r="BM593" i="140"/>
  <c r="BL593" i="140"/>
  <c r="BK593" i="140"/>
  <c r="BJ593" i="140"/>
  <c r="BI593" i="140"/>
  <c r="BH593" i="140"/>
  <c r="BG593" i="140"/>
  <c r="BM592" i="140"/>
  <c r="BL592" i="140"/>
  <c r="BK592" i="140"/>
  <c r="BJ592" i="140"/>
  <c r="BI592" i="140"/>
  <c r="BH592" i="140"/>
  <c r="BG592" i="140"/>
  <c r="BM591" i="140"/>
  <c r="BL591" i="140"/>
  <c r="BK591" i="140"/>
  <c r="BJ591" i="140"/>
  <c r="BI591" i="140"/>
  <c r="BH591" i="140"/>
  <c r="BG591" i="140"/>
  <c r="BM590" i="140"/>
  <c r="BL590" i="140"/>
  <c r="BK590" i="140"/>
  <c r="BJ590" i="140"/>
  <c r="BI590" i="140"/>
  <c r="BH590" i="140"/>
  <c r="BG590" i="140"/>
  <c r="BM589" i="140"/>
  <c r="BL589" i="140"/>
  <c r="BK589" i="140"/>
  <c r="BJ589" i="140"/>
  <c r="BI589" i="140"/>
  <c r="BH589" i="140"/>
  <c r="BG589" i="140"/>
  <c r="BM588" i="140"/>
  <c r="BL588" i="140"/>
  <c r="BK588" i="140"/>
  <c r="BJ588" i="140"/>
  <c r="BI588" i="140"/>
  <c r="BH588" i="140"/>
  <c r="BG588" i="140"/>
  <c r="BM587" i="140"/>
  <c r="BL587" i="140"/>
  <c r="BK587" i="140"/>
  <c r="BJ587" i="140"/>
  <c r="BI587" i="140"/>
  <c r="BH587" i="140"/>
  <c r="BG587" i="140"/>
  <c r="BM586" i="140"/>
  <c r="BL586" i="140"/>
  <c r="BK586" i="140"/>
  <c r="BJ586" i="140"/>
  <c r="BI586" i="140"/>
  <c r="BH586" i="140"/>
  <c r="BG586" i="140"/>
  <c r="BM585" i="140"/>
  <c r="BL585" i="140"/>
  <c r="BK585" i="140"/>
  <c r="BJ585" i="140"/>
  <c r="BI585" i="140"/>
  <c r="BH585" i="140"/>
  <c r="BG585" i="140"/>
  <c r="BM584" i="140"/>
  <c r="BL584" i="140"/>
  <c r="BK584" i="140"/>
  <c r="BJ584" i="140"/>
  <c r="BI584" i="140"/>
  <c r="BH584" i="140"/>
  <c r="BG584" i="140"/>
  <c r="BM583" i="140"/>
  <c r="BL583" i="140"/>
  <c r="BK583" i="140"/>
  <c r="BJ583" i="140"/>
  <c r="BI583" i="140"/>
  <c r="BH583" i="140"/>
  <c r="BG583" i="140"/>
  <c r="BM582" i="140"/>
  <c r="BL582" i="140"/>
  <c r="BK582" i="140"/>
  <c r="BJ582" i="140"/>
  <c r="BI582" i="140"/>
  <c r="BH582" i="140"/>
  <c r="BG582" i="140"/>
  <c r="BM581" i="140"/>
  <c r="BL581" i="140"/>
  <c r="BK581" i="140"/>
  <c r="BJ581" i="140"/>
  <c r="BI581" i="140"/>
  <c r="BH581" i="140"/>
  <c r="BG581" i="140"/>
  <c r="BM580" i="140"/>
  <c r="BL580" i="140"/>
  <c r="BK580" i="140"/>
  <c r="BJ580" i="140"/>
  <c r="BI580" i="140"/>
  <c r="BH580" i="140"/>
  <c r="BG580" i="140"/>
  <c r="BM579" i="140"/>
  <c r="BL579" i="140"/>
  <c r="BK579" i="140"/>
  <c r="BJ579" i="140"/>
  <c r="BI579" i="140"/>
  <c r="BH579" i="140"/>
  <c r="BG579" i="140"/>
  <c r="BM578" i="140"/>
  <c r="BL578" i="140"/>
  <c r="BK578" i="140"/>
  <c r="BJ578" i="140"/>
  <c r="BI578" i="140"/>
  <c r="BH578" i="140"/>
  <c r="BG578" i="140"/>
  <c r="BM577" i="140"/>
  <c r="BL577" i="140"/>
  <c r="BK577" i="140"/>
  <c r="BJ577" i="140"/>
  <c r="BI577" i="140"/>
  <c r="BH577" i="140"/>
  <c r="BG577" i="140"/>
  <c r="BM576" i="140"/>
  <c r="BL576" i="140"/>
  <c r="BK576" i="140"/>
  <c r="BJ576" i="140"/>
  <c r="BI576" i="140"/>
  <c r="BH576" i="140"/>
  <c r="BG576" i="140"/>
  <c r="BM575" i="140"/>
  <c r="BL575" i="140"/>
  <c r="BK575" i="140"/>
  <c r="BJ575" i="140"/>
  <c r="BI575" i="140"/>
  <c r="BH575" i="140"/>
  <c r="BG575" i="140"/>
  <c r="BM574" i="140"/>
  <c r="BL574" i="140"/>
  <c r="BK574" i="140"/>
  <c r="BJ574" i="140"/>
  <c r="BI574" i="140"/>
  <c r="BH574" i="140"/>
  <c r="BG574" i="140"/>
  <c r="BM573" i="140"/>
  <c r="BL573" i="140"/>
  <c r="BK573" i="140"/>
  <c r="BJ573" i="140"/>
  <c r="BI573" i="140"/>
  <c r="BH573" i="140"/>
  <c r="BG573" i="140"/>
  <c r="BM572" i="140"/>
  <c r="BL572" i="140"/>
  <c r="BK572" i="140"/>
  <c r="BJ572" i="140"/>
  <c r="BI572" i="140"/>
  <c r="BH572" i="140"/>
  <c r="BG572" i="140"/>
  <c r="BM571" i="140"/>
  <c r="BL571" i="140"/>
  <c r="BK571" i="140"/>
  <c r="BJ571" i="140"/>
  <c r="BI571" i="140"/>
  <c r="BH571" i="140"/>
  <c r="BG571" i="140"/>
  <c r="BM570" i="140"/>
  <c r="BL570" i="140"/>
  <c r="BK570" i="140"/>
  <c r="BJ570" i="140"/>
  <c r="BI570" i="140"/>
  <c r="BH570" i="140"/>
  <c r="BG570" i="140"/>
  <c r="BM569" i="140"/>
  <c r="BL569" i="140"/>
  <c r="BK569" i="140"/>
  <c r="BJ569" i="140"/>
  <c r="BI569" i="140"/>
  <c r="BH569" i="140"/>
  <c r="BG569" i="140"/>
  <c r="BM568" i="140"/>
  <c r="BL568" i="140"/>
  <c r="BK568" i="140"/>
  <c r="BJ568" i="140"/>
  <c r="BI568" i="140"/>
  <c r="BH568" i="140"/>
  <c r="BG568" i="140"/>
  <c r="BM567" i="140"/>
  <c r="BL567" i="140"/>
  <c r="BK567" i="140"/>
  <c r="BJ567" i="140"/>
  <c r="BI567" i="140"/>
  <c r="BH567" i="140"/>
  <c r="BG567" i="140"/>
  <c r="BM566" i="140"/>
  <c r="BL566" i="140"/>
  <c r="BK566" i="140"/>
  <c r="BJ566" i="140"/>
  <c r="BI566" i="140"/>
  <c r="BH566" i="140"/>
  <c r="BG566" i="140"/>
  <c r="BM565" i="140"/>
  <c r="BL565" i="140"/>
  <c r="BK565" i="140"/>
  <c r="BJ565" i="140"/>
  <c r="BI565" i="140"/>
  <c r="BH565" i="140"/>
  <c r="BG565" i="140"/>
  <c r="BM564" i="140"/>
  <c r="BL564" i="140"/>
  <c r="BK564" i="140"/>
  <c r="BJ564" i="140"/>
  <c r="BI564" i="140"/>
  <c r="BH564" i="140"/>
  <c r="BG564" i="140"/>
  <c r="BM563" i="140"/>
  <c r="BL563" i="140"/>
  <c r="BK563" i="140"/>
  <c r="BJ563" i="140"/>
  <c r="BI563" i="140"/>
  <c r="BH563" i="140"/>
  <c r="BG563" i="140"/>
  <c r="BM562" i="140"/>
  <c r="BL562" i="140"/>
  <c r="BK562" i="140"/>
  <c r="BJ562" i="140"/>
  <c r="BI562" i="140"/>
  <c r="BH562" i="140"/>
  <c r="BG562" i="140"/>
  <c r="BM561" i="140"/>
  <c r="BL561" i="140"/>
  <c r="BK561" i="140"/>
  <c r="BJ561" i="140"/>
  <c r="BI561" i="140"/>
  <c r="BH561" i="140"/>
  <c r="BG561" i="140"/>
  <c r="BM560" i="140"/>
  <c r="BL560" i="140"/>
  <c r="BK560" i="140"/>
  <c r="BJ560" i="140"/>
  <c r="BI560" i="140"/>
  <c r="BH560" i="140"/>
  <c r="BG560" i="140"/>
  <c r="BM559" i="140"/>
  <c r="BL559" i="140"/>
  <c r="BK559" i="140"/>
  <c r="BJ559" i="140"/>
  <c r="BI559" i="140"/>
  <c r="BH559" i="140"/>
  <c r="BG559" i="140"/>
  <c r="BM558" i="140"/>
  <c r="BL558" i="140"/>
  <c r="BK558" i="140"/>
  <c r="BJ558" i="140"/>
  <c r="BI558" i="140"/>
  <c r="BH558" i="140"/>
  <c r="BG558" i="140"/>
  <c r="BM557" i="140"/>
  <c r="BL557" i="140"/>
  <c r="BK557" i="140"/>
  <c r="BJ557" i="140"/>
  <c r="BI557" i="140"/>
  <c r="BH557" i="140"/>
  <c r="BG557" i="140"/>
  <c r="BM556" i="140"/>
  <c r="BL556" i="140"/>
  <c r="BK556" i="140"/>
  <c r="BJ556" i="140"/>
  <c r="BI556" i="140"/>
  <c r="BH556" i="140"/>
  <c r="BG556" i="140"/>
  <c r="BM555" i="140"/>
  <c r="BL555" i="140"/>
  <c r="BK555" i="140"/>
  <c r="BJ555" i="140"/>
  <c r="BI555" i="140"/>
  <c r="BH555" i="140"/>
  <c r="BG555" i="140"/>
  <c r="BM554" i="140"/>
  <c r="BL554" i="140"/>
  <c r="BK554" i="140"/>
  <c r="BJ554" i="140"/>
  <c r="BI554" i="140"/>
  <c r="BH554" i="140"/>
  <c r="BG554" i="140"/>
  <c r="BM553" i="140"/>
  <c r="BL553" i="140"/>
  <c r="BK553" i="140"/>
  <c r="BJ553" i="140"/>
  <c r="BI553" i="140"/>
  <c r="BH553" i="140"/>
  <c r="BG553" i="140"/>
  <c r="BM552" i="140"/>
  <c r="BL552" i="140"/>
  <c r="BK552" i="140"/>
  <c r="BJ552" i="140"/>
  <c r="BI552" i="140"/>
  <c r="BH552" i="140"/>
  <c r="BG552" i="140"/>
  <c r="BM551" i="140"/>
  <c r="BL551" i="140"/>
  <c r="BK551" i="140"/>
  <c r="BJ551" i="140"/>
  <c r="BI551" i="140"/>
  <c r="BH551" i="140"/>
  <c r="BG551" i="140"/>
  <c r="BM550" i="140"/>
  <c r="BL550" i="140"/>
  <c r="BK550" i="140"/>
  <c r="BJ550" i="140"/>
  <c r="BI550" i="140"/>
  <c r="BH550" i="140"/>
  <c r="BG550" i="140"/>
  <c r="BM549" i="140"/>
  <c r="BL549" i="140"/>
  <c r="BK549" i="140"/>
  <c r="BJ549" i="140"/>
  <c r="BI549" i="140"/>
  <c r="BH549" i="140"/>
  <c r="BG549" i="140"/>
  <c r="BM548" i="140"/>
  <c r="BL548" i="140"/>
  <c r="BK548" i="140"/>
  <c r="BJ548" i="140"/>
  <c r="BI548" i="140"/>
  <c r="BH548" i="140"/>
  <c r="BG548" i="140"/>
  <c r="BM547" i="140"/>
  <c r="BL547" i="140"/>
  <c r="BK547" i="140"/>
  <c r="BJ547" i="140"/>
  <c r="BI547" i="140"/>
  <c r="BH547" i="140"/>
  <c r="BG547" i="140"/>
  <c r="BM546" i="140"/>
  <c r="BL546" i="140"/>
  <c r="BK546" i="140"/>
  <c r="BJ546" i="140"/>
  <c r="BI546" i="140"/>
  <c r="BH546" i="140"/>
  <c r="BG546" i="140"/>
  <c r="BM545" i="140"/>
  <c r="BL545" i="140"/>
  <c r="BK545" i="140"/>
  <c r="BJ545" i="140"/>
  <c r="BI545" i="140"/>
  <c r="BH545" i="140"/>
  <c r="BG545" i="140"/>
  <c r="BM544" i="140"/>
  <c r="BL544" i="140"/>
  <c r="BK544" i="140"/>
  <c r="BJ544" i="140"/>
  <c r="BI544" i="140"/>
  <c r="BH544" i="140"/>
  <c r="BG544" i="140"/>
  <c r="BM543" i="140"/>
  <c r="BL543" i="140"/>
  <c r="BK543" i="140"/>
  <c r="BJ543" i="140"/>
  <c r="BI543" i="140"/>
  <c r="BH543" i="140"/>
  <c r="BG543" i="140"/>
  <c r="BM542" i="140"/>
  <c r="BL542" i="140"/>
  <c r="BK542" i="140"/>
  <c r="BJ542" i="140"/>
  <c r="BI542" i="140"/>
  <c r="BH542" i="140"/>
  <c r="BG542" i="140"/>
  <c r="BM541" i="140"/>
  <c r="BL541" i="140"/>
  <c r="BK541" i="140"/>
  <c r="BJ541" i="140"/>
  <c r="BI541" i="140"/>
  <c r="BH541" i="140"/>
  <c r="BG541" i="140"/>
  <c r="BM540" i="140"/>
  <c r="BL540" i="140"/>
  <c r="BK540" i="140"/>
  <c r="BJ540" i="140"/>
  <c r="BI540" i="140"/>
  <c r="BH540" i="140"/>
  <c r="BG540" i="140"/>
  <c r="BM539" i="140"/>
  <c r="BL539" i="140"/>
  <c r="BK539" i="140"/>
  <c r="BJ539" i="140"/>
  <c r="BI539" i="140"/>
  <c r="BH539" i="140"/>
  <c r="BG539" i="140"/>
  <c r="BM538" i="140"/>
  <c r="BL538" i="140"/>
  <c r="BK538" i="140"/>
  <c r="BJ538" i="140"/>
  <c r="BI538" i="140"/>
  <c r="BH538" i="140"/>
  <c r="BG538" i="140"/>
  <c r="BM537" i="140"/>
  <c r="BL537" i="140"/>
  <c r="BK537" i="140"/>
  <c r="BJ537" i="140"/>
  <c r="BI537" i="140"/>
  <c r="BH537" i="140"/>
  <c r="BG537" i="140"/>
  <c r="BM536" i="140"/>
  <c r="BL536" i="140"/>
  <c r="BK536" i="140"/>
  <c r="BJ536" i="140"/>
  <c r="BI536" i="140"/>
  <c r="BH536" i="140"/>
  <c r="BG536" i="140"/>
  <c r="BM535" i="140"/>
  <c r="BL535" i="140"/>
  <c r="BK535" i="140"/>
  <c r="BJ535" i="140"/>
  <c r="BI535" i="140"/>
  <c r="BH535" i="140"/>
  <c r="BG535" i="140"/>
  <c r="BM534" i="140"/>
  <c r="BL534" i="140"/>
  <c r="BK534" i="140"/>
  <c r="BJ534" i="140"/>
  <c r="BI534" i="140"/>
  <c r="BH534" i="140"/>
  <c r="BG534" i="140"/>
  <c r="BM533" i="140"/>
  <c r="BL533" i="140"/>
  <c r="BK533" i="140"/>
  <c r="BJ533" i="140"/>
  <c r="BI533" i="140"/>
  <c r="BH533" i="140"/>
  <c r="BG533" i="140"/>
  <c r="BM532" i="140"/>
  <c r="BL532" i="140"/>
  <c r="BK532" i="140"/>
  <c r="BJ532" i="140"/>
  <c r="BI532" i="140"/>
  <c r="BH532" i="140"/>
  <c r="BG532" i="140"/>
  <c r="BM531" i="140"/>
  <c r="BL531" i="140"/>
  <c r="BK531" i="140"/>
  <c r="BJ531" i="140"/>
  <c r="BI531" i="140"/>
  <c r="BH531" i="140"/>
  <c r="BG531" i="140"/>
  <c r="BM530" i="140"/>
  <c r="BL530" i="140"/>
  <c r="BK530" i="140"/>
  <c r="BJ530" i="140"/>
  <c r="BI530" i="140"/>
  <c r="BH530" i="140"/>
  <c r="BG530" i="140"/>
  <c r="BM529" i="140"/>
  <c r="BL529" i="140"/>
  <c r="BK529" i="140"/>
  <c r="BJ529" i="140"/>
  <c r="BI529" i="140"/>
  <c r="BH529" i="140"/>
  <c r="BG529" i="140"/>
  <c r="BM528" i="140"/>
  <c r="BL528" i="140"/>
  <c r="BK528" i="140"/>
  <c r="BJ528" i="140"/>
  <c r="BI528" i="140"/>
  <c r="BH528" i="140"/>
  <c r="BG528" i="140"/>
  <c r="BM527" i="140"/>
  <c r="BL527" i="140"/>
  <c r="BK527" i="140"/>
  <c r="BJ527" i="140"/>
  <c r="BI527" i="140"/>
  <c r="BH527" i="140"/>
  <c r="BG527" i="140"/>
  <c r="BM526" i="140"/>
  <c r="BL526" i="140"/>
  <c r="BK526" i="140"/>
  <c r="BJ526" i="140"/>
  <c r="BI526" i="140"/>
  <c r="BH526" i="140"/>
  <c r="BG526" i="140"/>
  <c r="BM525" i="140"/>
  <c r="BL525" i="140"/>
  <c r="BK525" i="140"/>
  <c r="BJ525" i="140"/>
  <c r="BI525" i="140"/>
  <c r="BH525" i="140"/>
  <c r="BG525" i="140"/>
  <c r="BM524" i="140"/>
  <c r="BL524" i="140"/>
  <c r="BK524" i="140"/>
  <c r="BJ524" i="140"/>
  <c r="BI524" i="140"/>
  <c r="BH524" i="140"/>
  <c r="BG524" i="140"/>
  <c r="BM523" i="140"/>
  <c r="BL523" i="140"/>
  <c r="BK523" i="140"/>
  <c r="BJ523" i="140"/>
  <c r="BI523" i="140"/>
  <c r="BH523" i="140"/>
  <c r="BG523" i="140"/>
  <c r="BM522" i="140"/>
  <c r="BL522" i="140"/>
  <c r="BK522" i="140"/>
  <c r="BJ522" i="140"/>
  <c r="BI522" i="140"/>
  <c r="BH522" i="140"/>
  <c r="BG522" i="140"/>
  <c r="BM521" i="140"/>
  <c r="BL521" i="140"/>
  <c r="BK521" i="140"/>
  <c r="BJ521" i="140"/>
  <c r="BI521" i="140"/>
  <c r="BH521" i="140"/>
  <c r="BG521" i="140"/>
  <c r="BM520" i="140"/>
  <c r="BL520" i="140"/>
  <c r="BK520" i="140"/>
  <c r="BJ520" i="140"/>
  <c r="BI520" i="140"/>
  <c r="BH520" i="140"/>
  <c r="BG520" i="140"/>
  <c r="BM519" i="140"/>
  <c r="BL519" i="140"/>
  <c r="BK519" i="140"/>
  <c r="BJ519" i="140"/>
  <c r="BI519" i="140"/>
  <c r="BH519" i="140"/>
  <c r="BG519" i="140"/>
  <c r="BM518" i="140"/>
  <c r="BL518" i="140"/>
  <c r="BK518" i="140"/>
  <c r="BJ518" i="140"/>
  <c r="BI518" i="140"/>
  <c r="BH518" i="140"/>
  <c r="BG518" i="140"/>
  <c r="BM517" i="140"/>
  <c r="BL517" i="140"/>
  <c r="BK517" i="140"/>
  <c r="BJ517" i="140"/>
  <c r="BI517" i="140"/>
  <c r="BH517" i="140"/>
  <c r="BG517" i="140"/>
  <c r="BM516" i="140"/>
  <c r="BL516" i="140"/>
  <c r="BK516" i="140"/>
  <c r="BJ516" i="140"/>
  <c r="BI516" i="140"/>
  <c r="BH516" i="140"/>
  <c r="BG516" i="140"/>
  <c r="BM515" i="140"/>
  <c r="BL515" i="140"/>
  <c r="BK515" i="140"/>
  <c r="BJ515" i="140"/>
  <c r="BI515" i="140"/>
  <c r="BH515" i="140"/>
  <c r="BG515" i="140"/>
  <c r="BM514" i="140"/>
  <c r="BL514" i="140"/>
  <c r="BK514" i="140"/>
  <c r="BJ514" i="140"/>
  <c r="BI514" i="140"/>
  <c r="BH514" i="140"/>
  <c r="BG514" i="140"/>
  <c r="BM513" i="140"/>
  <c r="BL513" i="140"/>
  <c r="BK513" i="140"/>
  <c r="BJ513" i="140"/>
  <c r="BI513" i="140"/>
  <c r="BH513" i="140"/>
  <c r="BG513" i="140"/>
  <c r="BM512" i="140"/>
  <c r="BL512" i="140"/>
  <c r="BK512" i="140"/>
  <c r="BJ512" i="140"/>
  <c r="BI512" i="140"/>
  <c r="BH512" i="140"/>
  <c r="BG512" i="140"/>
  <c r="BM511" i="140"/>
  <c r="BL511" i="140"/>
  <c r="BK511" i="140"/>
  <c r="BJ511" i="140"/>
  <c r="BI511" i="140"/>
  <c r="BH511" i="140"/>
  <c r="BG511" i="140"/>
  <c r="BM510" i="140"/>
  <c r="BL510" i="140"/>
  <c r="BK510" i="140"/>
  <c r="BJ510" i="140"/>
  <c r="BI510" i="140"/>
  <c r="BH510" i="140"/>
  <c r="BG510" i="140"/>
  <c r="BM509" i="140"/>
  <c r="BL509" i="140"/>
  <c r="BK509" i="140"/>
  <c r="BJ509" i="140"/>
  <c r="BI509" i="140"/>
  <c r="BH509" i="140"/>
  <c r="BG509" i="140"/>
  <c r="BM508" i="140"/>
  <c r="BL508" i="140"/>
  <c r="BK508" i="140"/>
  <c r="BJ508" i="140"/>
  <c r="BI508" i="140"/>
  <c r="BH508" i="140"/>
  <c r="BG508" i="140"/>
  <c r="BM507" i="140"/>
  <c r="BL507" i="140"/>
  <c r="BK507" i="140"/>
  <c r="BJ507" i="140"/>
  <c r="BI507" i="140"/>
  <c r="BH507" i="140"/>
  <c r="BG507" i="140"/>
  <c r="BM506" i="140"/>
  <c r="BL506" i="140"/>
  <c r="BK506" i="140"/>
  <c r="BJ506" i="140"/>
  <c r="BI506" i="140"/>
  <c r="BH506" i="140"/>
  <c r="BG506" i="140"/>
  <c r="BM505" i="140"/>
  <c r="BL505" i="140"/>
  <c r="BK505" i="140"/>
  <c r="BJ505" i="140"/>
  <c r="BI505" i="140"/>
  <c r="BH505" i="140"/>
  <c r="BG505" i="140"/>
  <c r="BM504" i="140"/>
  <c r="BL504" i="140"/>
  <c r="BK504" i="140"/>
  <c r="BJ504" i="140"/>
  <c r="BI504" i="140"/>
  <c r="BH504" i="140"/>
  <c r="BG504" i="140"/>
  <c r="BM503" i="140"/>
  <c r="BL503" i="140"/>
  <c r="BK503" i="140"/>
  <c r="BJ503" i="140"/>
  <c r="BI503" i="140"/>
  <c r="BH503" i="140"/>
  <c r="BG503" i="140"/>
  <c r="BM502" i="140"/>
  <c r="BL502" i="140"/>
  <c r="BK502" i="140"/>
  <c r="BJ502" i="140"/>
  <c r="BI502" i="140"/>
  <c r="BH502" i="140"/>
  <c r="BG502" i="140"/>
  <c r="BM501" i="140"/>
  <c r="BL501" i="140"/>
  <c r="BK501" i="140"/>
  <c r="BJ501" i="140"/>
  <c r="BI501" i="140"/>
  <c r="BH501" i="140"/>
  <c r="BG501" i="140"/>
  <c r="BM500" i="140"/>
  <c r="BL500" i="140"/>
  <c r="BK500" i="140"/>
  <c r="BJ500" i="140"/>
  <c r="BI500" i="140"/>
  <c r="BH500" i="140"/>
  <c r="BG500" i="140"/>
  <c r="BM499" i="140"/>
  <c r="BL499" i="140"/>
  <c r="BK499" i="140"/>
  <c r="BJ499" i="140"/>
  <c r="BI499" i="140"/>
  <c r="BH499" i="140"/>
  <c r="BG499" i="140"/>
  <c r="BM498" i="140"/>
  <c r="BL498" i="140"/>
  <c r="BK498" i="140"/>
  <c r="BJ498" i="140"/>
  <c r="BI498" i="140"/>
  <c r="BH498" i="140"/>
  <c r="BG498" i="140"/>
  <c r="BM497" i="140"/>
  <c r="BL497" i="140"/>
  <c r="BK497" i="140"/>
  <c r="BJ497" i="140"/>
  <c r="BI497" i="140"/>
  <c r="BH497" i="140"/>
  <c r="BG497" i="140"/>
  <c r="BM496" i="140"/>
  <c r="BL496" i="140"/>
  <c r="BK496" i="140"/>
  <c r="BJ496" i="140"/>
  <c r="BI496" i="140"/>
  <c r="BH496" i="140"/>
  <c r="BG496" i="140"/>
  <c r="BM495" i="140"/>
  <c r="BL495" i="140"/>
  <c r="BK495" i="140"/>
  <c r="BJ495" i="140"/>
  <c r="BI495" i="140"/>
  <c r="BH495" i="140"/>
  <c r="BG495" i="140"/>
  <c r="BM494" i="140"/>
  <c r="BL494" i="140"/>
  <c r="BK494" i="140"/>
  <c r="BJ494" i="140"/>
  <c r="BI494" i="140"/>
  <c r="BH494" i="140"/>
  <c r="BG494" i="140"/>
  <c r="BM493" i="140"/>
  <c r="BL493" i="140"/>
  <c r="BK493" i="140"/>
  <c r="BJ493" i="140"/>
  <c r="BI493" i="140"/>
  <c r="BH493" i="140"/>
  <c r="BG493" i="140"/>
  <c r="BM492" i="140"/>
  <c r="BL492" i="140"/>
  <c r="BK492" i="140"/>
  <c r="BJ492" i="140"/>
  <c r="BI492" i="140"/>
  <c r="BH492" i="140"/>
  <c r="BG492" i="140"/>
  <c r="BM491" i="140"/>
  <c r="BL491" i="140"/>
  <c r="BK491" i="140"/>
  <c r="BJ491" i="140"/>
  <c r="BI491" i="140"/>
  <c r="BH491" i="140"/>
  <c r="BG491" i="140"/>
  <c r="BM490" i="140"/>
  <c r="BL490" i="140"/>
  <c r="BK490" i="140"/>
  <c r="BJ490" i="140"/>
  <c r="BI490" i="140"/>
  <c r="BH490" i="140"/>
  <c r="BG490" i="140"/>
  <c r="BM489" i="140"/>
  <c r="BL489" i="140"/>
  <c r="BK489" i="140"/>
  <c r="BJ489" i="140"/>
  <c r="BI489" i="140"/>
  <c r="BH489" i="140"/>
  <c r="BG489" i="140"/>
  <c r="BM488" i="140"/>
  <c r="BL488" i="140"/>
  <c r="BK488" i="140"/>
  <c r="BJ488" i="140"/>
  <c r="BI488" i="140"/>
  <c r="BH488" i="140"/>
  <c r="BG488" i="140"/>
  <c r="BM487" i="140"/>
  <c r="BL487" i="140"/>
  <c r="BK487" i="140"/>
  <c r="BJ487" i="140"/>
  <c r="BI487" i="140"/>
  <c r="BH487" i="140"/>
  <c r="BG487" i="140"/>
  <c r="BM486" i="140"/>
  <c r="BL486" i="140"/>
  <c r="BK486" i="140"/>
  <c r="BJ486" i="140"/>
  <c r="BI486" i="140"/>
  <c r="BH486" i="140"/>
  <c r="BG486" i="140"/>
  <c r="BM485" i="140"/>
  <c r="BL485" i="140"/>
  <c r="BK485" i="140"/>
  <c r="BJ485" i="140"/>
  <c r="BI485" i="140"/>
  <c r="BH485" i="140"/>
  <c r="BG485" i="140"/>
  <c r="BM484" i="140"/>
  <c r="BL484" i="140"/>
  <c r="BK484" i="140"/>
  <c r="BJ484" i="140"/>
  <c r="BI484" i="140"/>
  <c r="BH484" i="140"/>
  <c r="BG484" i="140"/>
  <c r="BM483" i="140"/>
  <c r="BL483" i="140"/>
  <c r="BK483" i="140"/>
  <c r="BJ483" i="140"/>
  <c r="BI483" i="140"/>
  <c r="BH483" i="140"/>
  <c r="BG483" i="140"/>
  <c r="BM482" i="140"/>
  <c r="BL482" i="140"/>
  <c r="BK482" i="140"/>
  <c r="BJ482" i="140"/>
  <c r="BI482" i="140"/>
  <c r="BH482" i="140"/>
  <c r="BG482" i="140"/>
  <c r="BM481" i="140"/>
  <c r="BL481" i="140"/>
  <c r="BK481" i="140"/>
  <c r="BJ481" i="140"/>
  <c r="BI481" i="140"/>
  <c r="BH481" i="140"/>
  <c r="BG481" i="140"/>
  <c r="BM480" i="140"/>
  <c r="BL480" i="140"/>
  <c r="BK480" i="140"/>
  <c r="BJ480" i="140"/>
  <c r="BI480" i="140"/>
  <c r="BH480" i="140"/>
  <c r="BG480" i="140"/>
  <c r="BM479" i="140"/>
  <c r="BL479" i="140"/>
  <c r="BK479" i="140"/>
  <c r="BJ479" i="140"/>
  <c r="BI479" i="140"/>
  <c r="BH479" i="140"/>
  <c r="BG479" i="140"/>
  <c r="BM478" i="140"/>
  <c r="BL478" i="140"/>
  <c r="BK478" i="140"/>
  <c r="BJ478" i="140"/>
  <c r="BI478" i="140"/>
  <c r="BH478" i="140"/>
  <c r="BG478" i="140"/>
  <c r="BM477" i="140"/>
  <c r="BL477" i="140"/>
  <c r="BK477" i="140"/>
  <c r="BJ477" i="140"/>
  <c r="BI477" i="140"/>
  <c r="BH477" i="140"/>
  <c r="BG477" i="140"/>
  <c r="BM476" i="140"/>
  <c r="BL476" i="140"/>
  <c r="BK476" i="140"/>
  <c r="BJ476" i="140"/>
  <c r="BI476" i="140"/>
  <c r="BH476" i="140"/>
  <c r="BG476" i="140"/>
  <c r="BM475" i="140"/>
  <c r="BL475" i="140"/>
  <c r="BK475" i="140"/>
  <c r="BJ475" i="140"/>
  <c r="BI475" i="140"/>
  <c r="BH475" i="140"/>
  <c r="BG475" i="140"/>
  <c r="BM474" i="140"/>
  <c r="BL474" i="140"/>
  <c r="BK474" i="140"/>
  <c r="BJ474" i="140"/>
  <c r="BI474" i="140"/>
  <c r="BH474" i="140"/>
  <c r="BG474" i="140"/>
  <c r="BM473" i="140"/>
  <c r="BL473" i="140"/>
  <c r="BK473" i="140"/>
  <c r="BJ473" i="140"/>
  <c r="BI473" i="140"/>
  <c r="BH473" i="140"/>
  <c r="BG473" i="140"/>
  <c r="BM472" i="140"/>
  <c r="BL472" i="140"/>
  <c r="BK472" i="140"/>
  <c r="BJ472" i="140"/>
  <c r="BI472" i="140"/>
  <c r="BH472" i="140"/>
  <c r="BG472" i="140"/>
  <c r="BM471" i="140"/>
  <c r="BL471" i="140"/>
  <c r="BK471" i="140"/>
  <c r="BJ471" i="140"/>
  <c r="BI471" i="140"/>
  <c r="BH471" i="140"/>
  <c r="BG471" i="140"/>
  <c r="BM470" i="140"/>
  <c r="BL470" i="140"/>
  <c r="BK470" i="140"/>
  <c r="BJ470" i="140"/>
  <c r="BI470" i="140"/>
  <c r="BH470" i="140"/>
  <c r="BG470" i="140"/>
  <c r="BM469" i="140"/>
  <c r="BL469" i="140"/>
  <c r="BK469" i="140"/>
  <c r="BJ469" i="140"/>
  <c r="BI469" i="140"/>
  <c r="BH469" i="140"/>
  <c r="BG469" i="140"/>
  <c r="BM468" i="140"/>
  <c r="BL468" i="140"/>
  <c r="BK468" i="140"/>
  <c r="BJ468" i="140"/>
  <c r="BI468" i="140"/>
  <c r="BH468" i="140"/>
  <c r="BG468" i="140"/>
  <c r="BM467" i="140"/>
  <c r="BL467" i="140"/>
  <c r="BK467" i="140"/>
  <c r="BJ467" i="140"/>
  <c r="BI467" i="140"/>
  <c r="BH467" i="140"/>
  <c r="BG467" i="140"/>
  <c r="BM466" i="140"/>
  <c r="BL466" i="140"/>
  <c r="BK466" i="140"/>
  <c r="BJ466" i="140"/>
  <c r="BI466" i="140"/>
  <c r="BH466" i="140"/>
  <c r="BG466" i="140"/>
  <c r="BM465" i="140"/>
  <c r="BL465" i="140"/>
  <c r="BK465" i="140"/>
  <c r="BJ465" i="140"/>
  <c r="BI465" i="140"/>
  <c r="BH465" i="140"/>
  <c r="BG465" i="140"/>
  <c r="BM464" i="140"/>
  <c r="BL464" i="140"/>
  <c r="BK464" i="140"/>
  <c r="BJ464" i="140"/>
  <c r="BI464" i="140"/>
  <c r="BH464" i="140"/>
  <c r="BG464" i="140"/>
  <c r="BM463" i="140"/>
  <c r="BL463" i="140"/>
  <c r="BK463" i="140"/>
  <c r="BJ463" i="140"/>
  <c r="BI463" i="140"/>
  <c r="BH463" i="140"/>
  <c r="BG463" i="140"/>
  <c r="BM462" i="140"/>
  <c r="BL462" i="140"/>
  <c r="BK462" i="140"/>
  <c r="BJ462" i="140"/>
  <c r="BI462" i="140"/>
  <c r="BH462" i="140"/>
  <c r="BG462" i="140"/>
  <c r="BM461" i="140"/>
  <c r="BL461" i="140"/>
  <c r="BK461" i="140"/>
  <c r="BJ461" i="140"/>
  <c r="BI461" i="140"/>
  <c r="BH461" i="140"/>
  <c r="BG461" i="140"/>
  <c r="BM460" i="140"/>
  <c r="BL460" i="140"/>
  <c r="BK460" i="140"/>
  <c r="BJ460" i="140"/>
  <c r="BI460" i="140"/>
  <c r="BH460" i="140"/>
  <c r="BG460" i="140"/>
  <c r="BM459" i="140"/>
  <c r="BL459" i="140"/>
  <c r="BK459" i="140"/>
  <c r="BJ459" i="140"/>
  <c r="BI459" i="140"/>
  <c r="BH459" i="140"/>
  <c r="BG459" i="140"/>
  <c r="BM458" i="140"/>
  <c r="BL458" i="140"/>
  <c r="BK458" i="140"/>
  <c r="BJ458" i="140"/>
  <c r="BI458" i="140"/>
  <c r="BH458" i="140"/>
  <c r="BG458" i="140"/>
  <c r="BM457" i="140"/>
  <c r="BL457" i="140"/>
  <c r="BK457" i="140"/>
  <c r="BJ457" i="140"/>
  <c r="BI457" i="140"/>
  <c r="BH457" i="140"/>
  <c r="BG457" i="140"/>
  <c r="BM456" i="140"/>
  <c r="BL456" i="140"/>
  <c r="BK456" i="140"/>
  <c r="BJ456" i="140"/>
  <c r="BI456" i="140"/>
  <c r="BH456" i="140"/>
  <c r="BG456" i="140"/>
  <c r="BM455" i="140"/>
  <c r="BL455" i="140"/>
  <c r="BK455" i="140"/>
  <c r="BJ455" i="140"/>
  <c r="BI455" i="140"/>
  <c r="BH455" i="140"/>
  <c r="BG455" i="140"/>
  <c r="BM454" i="140"/>
  <c r="BL454" i="140"/>
  <c r="BK454" i="140"/>
  <c r="BJ454" i="140"/>
  <c r="BI454" i="140"/>
  <c r="BH454" i="140"/>
  <c r="BG454" i="140"/>
  <c r="BM453" i="140"/>
  <c r="BL453" i="140"/>
  <c r="BK453" i="140"/>
  <c r="BJ453" i="140"/>
  <c r="BI453" i="140"/>
  <c r="BH453" i="140"/>
  <c r="BG453" i="140"/>
  <c r="BM452" i="140"/>
  <c r="BL452" i="140"/>
  <c r="BK452" i="140"/>
  <c r="BJ452" i="140"/>
  <c r="BI452" i="140"/>
  <c r="BH452" i="140"/>
  <c r="BG452" i="140"/>
  <c r="BM451" i="140"/>
  <c r="BL451" i="140"/>
  <c r="BK451" i="140"/>
  <c r="BJ451" i="140"/>
  <c r="BI451" i="140"/>
  <c r="BH451" i="140"/>
  <c r="BG451" i="140"/>
  <c r="BM450" i="140"/>
  <c r="BL450" i="140"/>
  <c r="BK450" i="140"/>
  <c r="BJ450" i="140"/>
  <c r="BI450" i="140"/>
  <c r="BH450" i="140"/>
  <c r="BG450" i="140"/>
  <c r="BM449" i="140"/>
  <c r="BL449" i="140"/>
  <c r="BK449" i="140"/>
  <c r="BJ449" i="140"/>
  <c r="BI449" i="140"/>
  <c r="BH449" i="140"/>
  <c r="BG449" i="140"/>
  <c r="BM448" i="140"/>
  <c r="BL448" i="140"/>
  <c r="BK448" i="140"/>
  <c r="BJ448" i="140"/>
  <c r="BI448" i="140"/>
  <c r="BH448" i="140"/>
  <c r="BG448" i="140"/>
  <c r="BM447" i="140"/>
  <c r="BL447" i="140"/>
  <c r="BK447" i="140"/>
  <c r="BJ447" i="140"/>
  <c r="BI447" i="140"/>
  <c r="BH447" i="140"/>
  <c r="BG447" i="140"/>
  <c r="BM446" i="140"/>
  <c r="BL446" i="140"/>
  <c r="BK446" i="140"/>
  <c r="BJ446" i="140"/>
  <c r="BI446" i="140"/>
  <c r="BH446" i="140"/>
  <c r="BG446" i="140"/>
  <c r="BM445" i="140"/>
  <c r="BL445" i="140"/>
  <c r="BK445" i="140"/>
  <c r="BJ445" i="140"/>
  <c r="BI445" i="140"/>
  <c r="BH445" i="140"/>
  <c r="BG445" i="140"/>
  <c r="BM444" i="140"/>
  <c r="BL444" i="140"/>
  <c r="BK444" i="140"/>
  <c r="BJ444" i="140"/>
  <c r="BI444" i="140"/>
  <c r="BH444" i="140"/>
  <c r="BG444" i="140"/>
  <c r="BM443" i="140"/>
  <c r="BL443" i="140"/>
  <c r="BK443" i="140"/>
  <c r="BJ443" i="140"/>
  <c r="BI443" i="140"/>
  <c r="BH443" i="140"/>
  <c r="BG443" i="140"/>
  <c r="BM442" i="140"/>
  <c r="BL442" i="140"/>
  <c r="BK442" i="140"/>
  <c r="BJ442" i="140"/>
  <c r="BI442" i="140"/>
  <c r="BH442" i="140"/>
  <c r="BG442" i="140"/>
  <c r="BM441" i="140"/>
  <c r="BL441" i="140"/>
  <c r="BK441" i="140"/>
  <c r="BJ441" i="140"/>
  <c r="BI441" i="140"/>
  <c r="BH441" i="140"/>
  <c r="BG441" i="140"/>
  <c r="BM440" i="140"/>
  <c r="BL440" i="140"/>
  <c r="BK440" i="140"/>
  <c r="BJ440" i="140"/>
  <c r="BI440" i="140"/>
  <c r="BH440" i="140"/>
  <c r="BG440" i="140"/>
  <c r="BM439" i="140"/>
  <c r="BL439" i="140"/>
  <c r="BK439" i="140"/>
  <c r="BJ439" i="140"/>
  <c r="BI439" i="140"/>
  <c r="BH439" i="140"/>
  <c r="BG439" i="140"/>
  <c r="BM438" i="140"/>
  <c r="BL438" i="140"/>
  <c r="BK438" i="140"/>
  <c r="BJ438" i="140"/>
  <c r="BI438" i="140"/>
  <c r="BH438" i="140"/>
  <c r="BG438" i="140"/>
  <c r="BM437" i="140"/>
  <c r="BL437" i="140"/>
  <c r="BK437" i="140"/>
  <c r="BJ437" i="140"/>
  <c r="BI437" i="140"/>
  <c r="BH437" i="140"/>
  <c r="BG437" i="140"/>
  <c r="BM436" i="140"/>
  <c r="BL436" i="140"/>
  <c r="BK436" i="140"/>
  <c r="BJ436" i="140"/>
  <c r="BI436" i="140"/>
  <c r="BH436" i="140"/>
  <c r="BG436" i="140"/>
  <c r="BM435" i="140"/>
  <c r="BL435" i="140"/>
  <c r="BK435" i="140"/>
  <c r="BJ435" i="140"/>
  <c r="BI435" i="140"/>
  <c r="BH435" i="140"/>
  <c r="BG435" i="140"/>
  <c r="BM434" i="140"/>
  <c r="BL434" i="140"/>
  <c r="BK434" i="140"/>
  <c r="BJ434" i="140"/>
  <c r="BI434" i="140"/>
  <c r="BH434" i="140"/>
  <c r="BG434" i="140"/>
  <c r="BM433" i="140"/>
  <c r="BL433" i="140"/>
  <c r="BK433" i="140"/>
  <c r="BJ433" i="140"/>
  <c r="BI433" i="140"/>
  <c r="BH433" i="140"/>
  <c r="BG433" i="140"/>
  <c r="BM432" i="140"/>
  <c r="BL432" i="140"/>
  <c r="BK432" i="140"/>
  <c r="BJ432" i="140"/>
  <c r="BI432" i="140"/>
  <c r="BH432" i="140"/>
  <c r="BG432" i="140"/>
  <c r="BM431" i="140"/>
  <c r="BL431" i="140"/>
  <c r="BK431" i="140"/>
  <c r="BJ431" i="140"/>
  <c r="BI431" i="140"/>
  <c r="BH431" i="140"/>
  <c r="BG431" i="140"/>
  <c r="BM430" i="140"/>
  <c r="BL430" i="140"/>
  <c r="BK430" i="140"/>
  <c r="BJ430" i="140"/>
  <c r="BI430" i="140"/>
  <c r="BH430" i="140"/>
  <c r="BG430" i="140"/>
  <c r="BM429" i="140"/>
  <c r="BL429" i="140"/>
  <c r="BK429" i="140"/>
  <c r="BJ429" i="140"/>
  <c r="BI429" i="140"/>
  <c r="BH429" i="140"/>
  <c r="BG429" i="140"/>
  <c r="BM428" i="140"/>
  <c r="BL428" i="140"/>
  <c r="BK428" i="140"/>
  <c r="BJ428" i="140"/>
  <c r="BI428" i="140"/>
  <c r="BH428" i="140"/>
  <c r="BG428" i="140"/>
  <c r="BM427" i="140"/>
  <c r="BL427" i="140"/>
  <c r="BK427" i="140"/>
  <c r="BJ427" i="140"/>
  <c r="BI427" i="140"/>
  <c r="BH427" i="140"/>
  <c r="BG427" i="140"/>
  <c r="BM426" i="140"/>
  <c r="BL426" i="140"/>
  <c r="BK426" i="140"/>
  <c r="BJ426" i="140"/>
  <c r="BI426" i="140"/>
  <c r="BH426" i="140"/>
  <c r="BG426" i="140"/>
  <c r="BM425" i="140"/>
  <c r="BL425" i="140"/>
  <c r="BK425" i="140"/>
  <c r="BJ425" i="140"/>
  <c r="BI425" i="140"/>
  <c r="BH425" i="140"/>
  <c r="BG425" i="140"/>
  <c r="BM424" i="140"/>
  <c r="BL424" i="140"/>
  <c r="BK424" i="140"/>
  <c r="BJ424" i="140"/>
  <c r="BI424" i="140"/>
  <c r="BH424" i="140"/>
  <c r="BG424" i="140"/>
  <c r="BM423" i="140"/>
  <c r="BL423" i="140"/>
  <c r="BK423" i="140"/>
  <c r="BJ423" i="140"/>
  <c r="BI423" i="140"/>
  <c r="BH423" i="140"/>
  <c r="BG423" i="140"/>
  <c r="BM422" i="140"/>
  <c r="BL422" i="140"/>
  <c r="BK422" i="140"/>
  <c r="BJ422" i="140"/>
  <c r="BI422" i="140"/>
  <c r="BH422" i="140"/>
  <c r="BG422" i="140"/>
  <c r="BM421" i="140"/>
  <c r="BL421" i="140"/>
  <c r="BK421" i="140"/>
  <c r="BJ421" i="140"/>
  <c r="BI421" i="140"/>
  <c r="BH421" i="140"/>
  <c r="BG421" i="140"/>
  <c r="BM420" i="140"/>
  <c r="BL420" i="140"/>
  <c r="BK420" i="140"/>
  <c r="BJ420" i="140"/>
  <c r="BI420" i="140"/>
  <c r="BH420" i="140"/>
  <c r="BG420" i="140"/>
  <c r="BM419" i="140"/>
  <c r="BL419" i="140"/>
  <c r="BK419" i="140"/>
  <c r="BJ419" i="140"/>
  <c r="BI419" i="140"/>
  <c r="BH419" i="140"/>
  <c r="BG419" i="140"/>
  <c r="BM418" i="140"/>
  <c r="BL418" i="140"/>
  <c r="BK418" i="140"/>
  <c r="BJ418" i="140"/>
  <c r="BI418" i="140"/>
  <c r="BH418" i="140"/>
  <c r="BG418" i="140"/>
  <c r="BM417" i="140"/>
  <c r="BL417" i="140"/>
  <c r="BK417" i="140"/>
  <c r="BJ417" i="140"/>
  <c r="BI417" i="140"/>
  <c r="BH417" i="140"/>
  <c r="BG417" i="140"/>
  <c r="BM416" i="140"/>
  <c r="BL416" i="140"/>
  <c r="BK416" i="140"/>
  <c r="BJ416" i="140"/>
  <c r="BI416" i="140"/>
  <c r="BH416" i="140"/>
  <c r="BG416" i="140"/>
  <c r="BM415" i="140"/>
  <c r="BL415" i="140"/>
  <c r="BK415" i="140"/>
  <c r="BJ415" i="140"/>
  <c r="BI415" i="140"/>
  <c r="BH415" i="140"/>
  <c r="BG415" i="140"/>
  <c r="BM414" i="140"/>
  <c r="BL414" i="140"/>
  <c r="BK414" i="140"/>
  <c r="BJ414" i="140"/>
  <c r="BI414" i="140"/>
  <c r="BH414" i="140"/>
  <c r="BG414" i="140"/>
  <c r="BM413" i="140"/>
  <c r="BL413" i="140"/>
  <c r="BK413" i="140"/>
  <c r="BJ413" i="140"/>
  <c r="BI413" i="140"/>
  <c r="BH413" i="140"/>
  <c r="BG413" i="140"/>
  <c r="BM412" i="140"/>
  <c r="BL412" i="140"/>
  <c r="BK412" i="140"/>
  <c r="BJ412" i="140"/>
  <c r="BI412" i="140"/>
  <c r="BH412" i="140"/>
  <c r="BG412" i="140"/>
  <c r="BM411" i="140"/>
  <c r="BL411" i="140"/>
  <c r="BK411" i="140"/>
  <c r="BJ411" i="140"/>
  <c r="BI411" i="140"/>
  <c r="BH411" i="140"/>
  <c r="BG411" i="140"/>
  <c r="BM410" i="140"/>
  <c r="BL410" i="140"/>
  <c r="BK410" i="140"/>
  <c r="BJ410" i="140"/>
  <c r="BI410" i="140"/>
  <c r="BH410" i="140"/>
  <c r="BG410" i="140"/>
  <c r="BM409" i="140"/>
  <c r="BL409" i="140"/>
  <c r="BK409" i="140"/>
  <c r="BJ409" i="140"/>
  <c r="BI409" i="140"/>
  <c r="BH409" i="140"/>
  <c r="BG409" i="140"/>
  <c r="BM408" i="140"/>
  <c r="BL408" i="140"/>
  <c r="BK408" i="140"/>
  <c r="BJ408" i="140"/>
  <c r="BI408" i="140"/>
  <c r="BH408" i="140"/>
  <c r="BG408" i="140"/>
  <c r="BM407" i="140"/>
  <c r="BL407" i="140"/>
  <c r="BK407" i="140"/>
  <c r="BJ407" i="140"/>
  <c r="BI407" i="140"/>
  <c r="BH407" i="140"/>
  <c r="BG407" i="140"/>
  <c r="BM406" i="140"/>
  <c r="BL406" i="140"/>
  <c r="BK406" i="140"/>
  <c r="BJ406" i="140"/>
  <c r="BI406" i="140"/>
  <c r="BH406" i="140"/>
  <c r="BG406" i="140"/>
  <c r="BM405" i="140"/>
  <c r="BL405" i="140"/>
  <c r="BK405" i="140"/>
  <c r="BJ405" i="140"/>
  <c r="BI405" i="140"/>
  <c r="BH405" i="140"/>
  <c r="BG405" i="140"/>
  <c r="BM404" i="140"/>
  <c r="BL404" i="140"/>
  <c r="BK404" i="140"/>
  <c r="BJ404" i="140"/>
  <c r="BI404" i="140"/>
  <c r="BH404" i="140"/>
  <c r="BG404" i="140"/>
  <c r="BM403" i="140"/>
  <c r="BL403" i="140"/>
  <c r="BK403" i="140"/>
  <c r="BJ403" i="140"/>
  <c r="BI403" i="140"/>
  <c r="BH403" i="140"/>
  <c r="BG403" i="140"/>
  <c r="BM402" i="140"/>
  <c r="BL402" i="140"/>
  <c r="BK402" i="140"/>
  <c r="BJ402" i="140"/>
  <c r="BI402" i="140"/>
  <c r="BH402" i="140"/>
  <c r="BG402" i="140"/>
  <c r="BM401" i="140"/>
  <c r="BL401" i="140"/>
  <c r="BK401" i="140"/>
  <c r="BJ401" i="140"/>
  <c r="BI401" i="140"/>
  <c r="BH401" i="140"/>
  <c r="BG401" i="140"/>
  <c r="BM400" i="140"/>
  <c r="BL400" i="140"/>
  <c r="BK400" i="140"/>
  <c r="BJ400" i="140"/>
  <c r="BI400" i="140"/>
  <c r="BH400" i="140"/>
  <c r="BG400" i="140"/>
  <c r="BM399" i="140"/>
  <c r="BL399" i="140"/>
  <c r="BK399" i="140"/>
  <c r="BJ399" i="140"/>
  <c r="BI399" i="140"/>
  <c r="BH399" i="140"/>
  <c r="BG399" i="140"/>
  <c r="BM398" i="140"/>
  <c r="BL398" i="140"/>
  <c r="BK398" i="140"/>
  <c r="BJ398" i="140"/>
  <c r="BI398" i="140"/>
  <c r="BH398" i="140"/>
  <c r="BG398" i="140"/>
  <c r="BM397" i="140"/>
  <c r="BL397" i="140"/>
  <c r="BK397" i="140"/>
  <c r="BJ397" i="140"/>
  <c r="BI397" i="140"/>
  <c r="BH397" i="140"/>
  <c r="BG397" i="140"/>
  <c r="BM396" i="140"/>
  <c r="BL396" i="140"/>
  <c r="BK396" i="140"/>
  <c r="BJ396" i="140"/>
  <c r="BI396" i="140"/>
  <c r="BH396" i="140"/>
  <c r="BG396" i="140"/>
  <c r="BM395" i="140"/>
  <c r="BL395" i="140"/>
  <c r="BK395" i="140"/>
  <c r="BJ395" i="140"/>
  <c r="BI395" i="140"/>
  <c r="BH395" i="140"/>
  <c r="BG395" i="140"/>
  <c r="BM394" i="140"/>
  <c r="BL394" i="140"/>
  <c r="BK394" i="140"/>
  <c r="BJ394" i="140"/>
  <c r="BI394" i="140"/>
  <c r="BH394" i="140"/>
  <c r="BG394" i="140"/>
  <c r="BM393" i="140"/>
  <c r="BL393" i="140"/>
  <c r="BK393" i="140"/>
  <c r="BJ393" i="140"/>
  <c r="BI393" i="140"/>
  <c r="BH393" i="140"/>
  <c r="BG393" i="140"/>
  <c r="BM392" i="140"/>
  <c r="BL392" i="140"/>
  <c r="BK392" i="140"/>
  <c r="BJ392" i="140"/>
  <c r="BI392" i="140"/>
  <c r="BH392" i="140"/>
  <c r="BG392" i="140"/>
  <c r="BM391" i="140"/>
  <c r="BL391" i="140"/>
  <c r="BK391" i="140"/>
  <c r="BJ391" i="140"/>
  <c r="BI391" i="140"/>
  <c r="BH391" i="140"/>
  <c r="BG391" i="140"/>
  <c r="BM390" i="140"/>
  <c r="BL390" i="140"/>
  <c r="BK390" i="140"/>
  <c r="BJ390" i="140"/>
  <c r="BI390" i="140"/>
  <c r="BH390" i="140"/>
  <c r="BG390" i="140"/>
  <c r="BM389" i="140"/>
  <c r="BL389" i="140"/>
  <c r="BK389" i="140"/>
  <c r="BJ389" i="140"/>
  <c r="BI389" i="140"/>
  <c r="BH389" i="140"/>
  <c r="BG389" i="140"/>
  <c r="BM388" i="140"/>
  <c r="BL388" i="140"/>
  <c r="BK388" i="140"/>
  <c r="BJ388" i="140"/>
  <c r="BI388" i="140"/>
  <c r="BH388" i="140"/>
  <c r="BG388" i="140"/>
  <c r="BM387" i="140"/>
  <c r="BL387" i="140"/>
  <c r="BK387" i="140"/>
  <c r="BJ387" i="140"/>
  <c r="BI387" i="140"/>
  <c r="BH387" i="140"/>
  <c r="BG387" i="140"/>
  <c r="BM386" i="140"/>
  <c r="BL386" i="140"/>
  <c r="BK386" i="140"/>
  <c r="BJ386" i="140"/>
  <c r="BI386" i="140"/>
  <c r="BH386" i="140"/>
  <c r="BG386" i="140"/>
  <c r="BM385" i="140"/>
  <c r="BL385" i="140"/>
  <c r="BK385" i="140"/>
  <c r="BJ385" i="140"/>
  <c r="BI385" i="140"/>
  <c r="BH385" i="140"/>
  <c r="BG385" i="140"/>
  <c r="BM384" i="140"/>
  <c r="BL384" i="140"/>
  <c r="BK384" i="140"/>
  <c r="BJ384" i="140"/>
  <c r="BI384" i="140"/>
  <c r="BH384" i="140"/>
  <c r="BG384" i="140"/>
  <c r="BM383" i="140"/>
  <c r="BL383" i="140"/>
  <c r="BK383" i="140"/>
  <c r="BJ383" i="140"/>
  <c r="BI383" i="140"/>
  <c r="BH383" i="140"/>
  <c r="BG383" i="140"/>
  <c r="BM382" i="140"/>
  <c r="BL382" i="140"/>
  <c r="BK382" i="140"/>
  <c r="BJ382" i="140"/>
  <c r="BI382" i="140"/>
  <c r="BH382" i="140"/>
  <c r="BG382" i="140"/>
  <c r="BM381" i="140"/>
  <c r="BL381" i="140"/>
  <c r="BK381" i="140"/>
  <c r="BJ381" i="140"/>
  <c r="BI381" i="140"/>
  <c r="BH381" i="140"/>
  <c r="BG381" i="140"/>
  <c r="BM380" i="140"/>
  <c r="BL380" i="140"/>
  <c r="BK380" i="140"/>
  <c r="BJ380" i="140"/>
  <c r="BI380" i="140"/>
  <c r="BH380" i="140"/>
  <c r="BG380" i="140"/>
  <c r="BM379" i="140"/>
  <c r="BL379" i="140"/>
  <c r="BK379" i="140"/>
  <c r="BJ379" i="140"/>
  <c r="BI379" i="140"/>
  <c r="BH379" i="140"/>
  <c r="BG379" i="140"/>
  <c r="BM378" i="140"/>
  <c r="BL378" i="140"/>
  <c r="BK378" i="140"/>
  <c r="BJ378" i="140"/>
  <c r="BI378" i="140"/>
  <c r="BH378" i="140"/>
  <c r="BG378" i="140"/>
  <c r="BM377" i="140"/>
  <c r="BL377" i="140"/>
  <c r="BK377" i="140"/>
  <c r="BJ377" i="140"/>
  <c r="BI377" i="140"/>
  <c r="BH377" i="140"/>
  <c r="BG377" i="140"/>
  <c r="BM376" i="140"/>
  <c r="BL376" i="140"/>
  <c r="BK376" i="140"/>
  <c r="BJ376" i="140"/>
  <c r="BI376" i="140"/>
  <c r="BH376" i="140"/>
  <c r="BG376" i="140"/>
  <c r="BM375" i="140"/>
  <c r="BL375" i="140"/>
  <c r="BK375" i="140"/>
  <c r="BJ375" i="140"/>
  <c r="BI375" i="140"/>
  <c r="BH375" i="140"/>
  <c r="BG375" i="140"/>
  <c r="BM374" i="140"/>
  <c r="BL374" i="140"/>
  <c r="BK374" i="140"/>
  <c r="BJ374" i="140"/>
  <c r="BI374" i="140"/>
  <c r="BH374" i="140"/>
  <c r="BG374" i="140"/>
  <c r="BM373" i="140"/>
  <c r="BL373" i="140"/>
  <c r="BK373" i="140"/>
  <c r="BJ373" i="140"/>
  <c r="BI373" i="140"/>
  <c r="BH373" i="140"/>
  <c r="BG373" i="140"/>
  <c r="BM372" i="140"/>
  <c r="BL372" i="140"/>
  <c r="BK372" i="140"/>
  <c r="BJ372" i="140"/>
  <c r="BI372" i="140"/>
  <c r="BH372" i="140"/>
  <c r="BG372" i="140"/>
  <c r="BM371" i="140"/>
  <c r="BL371" i="140"/>
  <c r="BK371" i="140"/>
  <c r="BJ371" i="140"/>
  <c r="BI371" i="140"/>
  <c r="BH371" i="140"/>
  <c r="BG371" i="140"/>
  <c r="BM370" i="140"/>
  <c r="BL370" i="140"/>
  <c r="BK370" i="140"/>
  <c r="BJ370" i="140"/>
  <c r="BI370" i="140"/>
  <c r="BH370" i="140"/>
  <c r="BG370" i="140"/>
  <c r="BM369" i="140"/>
  <c r="BL369" i="140"/>
  <c r="BK369" i="140"/>
  <c r="BJ369" i="140"/>
  <c r="BI369" i="140"/>
  <c r="BH369" i="140"/>
  <c r="BG369" i="140"/>
  <c r="BM368" i="140"/>
  <c r="BL368" i="140"/>
  <c r="BK368" i="140"/>
  <c r="BJ368" i="140"/>
  <c r="BI368" i="140"/>
  <c r="BH368" i="140"/>
  <c r="BG368" i="140"/>
  <c r="BM367" i="140"/>
  <c r="BL367" i="140"/>
  <c r="BK367" i="140"/>
  <c r="BJ367" i="140"/>
  <c r="BI367" i="140"/>
  <c r="BH367" i="140"/>
  <c r="BG367" i="140"/>
  <c r="BM366" i="140"/>
  <c r="BL366" i="140"/>
  <c r="BK366" i="140"/>
  <c r="BJ366" i="140"/>
  <c r="BI366" i="140"/>
  <c r="BH366" i="140"/>
  <c r="BG366" i="140"/>
  <c r="BM365" i="140"/>
  <c r="BL365" i="140"/>
  <c r="BK365" i="140"/>
  <c r="BJ365" i="140"/>
  <c r="BI365" i="140"/>
  <c r="BH365" i="140"/>
  <c r="BG365" i="140"/>
  <c r="BM364" i="140"/>
  <c r="BL364" i="140"/>
  <c r="BK364" i="140"/>
  <c r="BJ364" i="140"/>
  <c r="BI364" i="140"/>
  <c r="BH364" i="140"/>
  <c r="BG364" i="140"/>
  <c r="BM363" i="140"/>
  <c r="BL363" i="140"/>
  <c r="BK363" i="140"/>
  <c r="BJ363" i="140"/>
  <c r="BI363" i="140"/>
  <c r="BH363" i="140"/>
  <c r="BG363" i="140"/>
  <c r="BM362" i="140"/>
  <c r="BL362" i="140"/>
  <c r="BK362" i="140"/>
  <c r="BJ362" i="140"/>
  <c r="BI362" i="140"/>
  <c r="BH362" i="140"/>
  <c r="BG362" i="140"/>
  <c r="BM361" i="140"/>
  <c r="BL361" i="140"/>
  <c r="BK361" i="140"/>
  <c r="BJ361" i="140"/>
  <c r="BI361" i="140"/>
  <c r="BH361" i="140"/>
  <c r="BG361" i="140"/>
  <c r="BM360" i="140"/>
  <c r="BL360" i="140"/>
  <c r="BK360" i="140"/>
  <c r="BJ360" i="140"/>
  <c r="BI360" i="140"/>
  <c r="BH360" i="140"/>
  <c r="BG360" i="140"/>
  <c r="BM359" i="140"/>
  <c r="BL359" i="140"/>
  <c r="BK359" i="140"/>
  <c r="BJ359" i="140"/>
  <c r="BI359" i="140"/>
  <c r="BH359" i="140"/>
  <c r="BG359" i="140"/>
  <c r="BM358" i="140"/>
  <c r="BL358" i="140"/>
  <c r="BK358" i="140"/>
  <c r="BJ358" i="140"/>
  <c r="BI358" i="140"/>
  <c r="BH358" i="140"/>
  <c r="BG358" i="140"/>
  <c r="BM357" i="140"/>
  <c r="BL357" i="140"/>
  <c r="BK357" i="140"/>
  <c r="BJ357" i="140"/>
  <c r="BI357" i="140"/>
  <c r="BH357" i="140"/>
  <c r="BG357" i="140"/>
  <c r="BM356" i="140"/>
  <c r="BL356" i="140"/>
  <c r="BK356" i="140"/>
  <c r="BJ356" i="140"/>
  <c r="BI356" i="140"/>
  <c r="BH356" i="140"/>
  <c r="BG356" i="140"/>
  <c r="BM355" i="140"/>
  <c r="BL355" i="140"/>
  <c r="BK355" i="140"/>
  <c r="BJ355" i="140"/>
  <c r="BI355" i="140"/>
  <c r="BH355" i="140"/>
  <c r="BG355" i="140"/>
  <c r="BM354" i="140"/>
  <c r="BL354" i="140"/>
  <c r="BK354" i="140"/>
  <c r="BJ354" i="140"/>
  <c r="BI354" i="140"/>
  <c r="BH354" i="140"/>
  <c r="BG354" i="140"/>
  <c r="BM353" i="140"/>
  <c r="BL353" i="140"/>
  <c r="BK353" i="140"/>
  <c r="BJ353" i="140"/>
  <c r="BI353" i="140"/>
  <c r="BH353" i="140"/>
  <c r="BG353" i="140"/>
  <c r="BM352" i="140"/>
  <c r="BL352" i="140"/>
  <c r="BK352" i="140"/>
  <c r="BJ352" i="140"/>
  <c r="BI352" i="140"/>
  <c r="BH352" i="140"/>
  <c r="BG352" i="140"/>
  <c r="BM351" i="140"/>
  <c r="BL351" i="140"/>
  <c r="BK351" i="140"/>
  <c r="BJ351" i="140"/>
  <c r="BI351" i="140"/>
  <c r="BH351" i="140"/>
  <c r="BG351" i="140"/>
  <c r="BM350" i="140"/>
  <c r="BL350" i="140"/>
  <c r="BK350" i="140"/>
  <c r="BJ350" i="140"/>
  <c r="BI350" i="140"/>
  <c r="BH350" i="140"/>
  <c r="BG350" i="140"/>
  <c r="BM349" i="140"/>
  <c r="BL349" i="140"/>
  <c r="BK349" i="140"/>
  <c r="BJ349" i="140"/>
  <c r="BI349" i="140"/>
  <c r="BH349" i="140"/>
  <c r="BG349" i="140"/>
  <c r="BM348" i="140"/>
  <c r="BL348" i="140"/>
  <c r="BK348" i="140"/>
  <c r="BJ348" i="140"/>
  <c r="BI348" i="140"/>
  <c r="BH348" i="140"/>
  <c r="BG348" i="140"/>
  <c r="BM347" i="140"/>
  <c r="BL347" i="140"/>
  <c r="BK347" i="140"/>
  <c r="BJ347" i="140"/>
  <c r="BI347" i="140"/>
  <c r="BH347" i="140"/>
  <c r="BG347" i="140"/>
  <c r="BM346" i="140"/>
  <c r="BL346" i="140"/>
  <c r="BK346" i="140"/>
  <c r="BJ346" i="140"/>
  <c r="BI346" i="140"/>
  <c r="BH346" i="140"/>
  <c r="BG346" i="140"/>
  <c r="BM345" i="140"/>
  <c r="BL345" i="140"/>
  <c r="BK345" i="140"/>
  <c r="BJ345" i="140"/>
  <c r="BI345" i="140"/>
  <c r="BH345" i="140"/>
  <c r="BG345" i="140"/>
  <c r="BM344" i="140"/>
  <c r="BL344" i="140"/>
  <c r="BK344" i="140"/>
  <c r="BJ344" i="140"/>
  <c r="BI344" i="140"/>
  <c r="BH344" i="140"/>
  <c r="BG344" i="140"/>
  <c r="BM343" i="140"/>
  <c r="BL343" i="140"/>
  <c r="BK343" i="140"/>
  <c r="BJ343" i="140"/>
  <c r="BI343" i="140"/>
  <c r="BH343" i="140"/>
  <c r="BG343" i="140"/>
  <c r="BM342" i="140"/>
  <c r="BL342" i="140"/>
  <c r="BK342" i="140"/>
  <c r="BJ342" i="140"/>
  <c r="BI342" i="140"/>
  <c r="BH342" i="140"/>
  <c r="BG342" i="140"/>
  <c r="BM341" i="140"/>
  <c r="BL341" i="140"/>
  <c r="BK341" i="140"/>
  <c r="BJ341" i="140"/>
  <c r="BI341" i="140"/>
  <c r="BH341" i="140"/>
  <c r="BG341" i="140"/>
  <c r="BM340" i="140"/>
  <c r="BL340" i="140"/>
  <c r="BK340" i="140"/>
  <c r="BJ340" i="140"/>
  <c r="BI340" i="140"/>
  <c r="BH340" i="140"/>
  <c r="BG340" i="140"/>
  <c r="BM339" i="140"/>
  <c r="BL339" i="140"/>
  <c r="BK339" i="140"/>
  <c r="BJ339" i="140"/>
  <c r="BI339" i="140"/>
  <c r="BH339" i="140"/>
  <c r="BG339" i="140"/>
  <c r="BM338" i="140"/>
  <c r="BL338" i="140"/>
  <c r="BK338" i="140"/>
  <c r="BJ338" i="140"/>
  <c r="BI338" i="140"/>
  <c r="BH338" i="140"/>
  <c r="BG338" i="140"/>
  <c r="BM337" i="140"/>
  <c r="BL337" i="140"/>
  <c r="BK337" i="140"/>
  <c r="BJ337" i="140"/>
  <c r="BI337" i="140"/>
  <c r="BH337" i="140"/>
  <c r="BG337" i="140"/>
  <c r="BM336" i="140"/>
  <c r="BL336" i="140"/>
  <c r="BK336" i="140"/>
  <c r="BJ336" i="140"/>
  <c r="BI336" i="140"/>
  <c r="BH336" i="140"/>
  <c r="BG336" i="140"/>
  <c r="BM335" i="140"/>
  <c r="BL335" i="140"/>
  <c r="BK335" i="140"/>
  <c r="BJ335" i="140"/>
  <c r="BI335" i="140"/>
  <c r="BH335" i="140"/>
  <c r="BG335" i="140"/>
  <c r="BM334" i="140"/>
  <c r="BL334" i="140"/>
  <c r="BK334" i="140"/>
  <c r="BJ334" i="140"/>
  <c r="BI334" i="140"/>
  <c r="BH334" i="140"/>
  <c r="BG334" i="140"/>
  <c r="BM333" i="140"/>
  <c r="BL333" i="140"/>
  <c r="BK333" i="140"/>
  <c r="BJ333" i="140"/>
  <c r="BI333" i="140"/>
  <c r="BH333" i="140"/>
  <c r="BG333" i="140"/>
  <c r="BM332" i="140"/>
  <c r="BL332" i="140"/>
  <c r="BK332" i="140"/>
  <c r="BJ332" i="140"/>
  <c r="BI332" i="140"/>
  <c r="BH332" i="140"/>
  <c r="BG332" i="140"/>
  <c r="BM331" i="140"/>
  <c r="BL331" i="140"/>
  <c r="BK331" i="140"/>
  <c r="BJ331" i="140"/>
  <c r="BI331" i="140"/>
  <c r="BH331" i="140"/>
  <c r="BG331" i="140"/>
  <c r="BM330" i="140"/>
  <c r="BL330" i="140"/>
  <c r="BK330" i="140"/>
  <c r="BJ330" i="140"/>
  <c r="BI330" i="140"/>
  <c r="BH330" i="140"/>
  <c r="BG330" i="140"/>
  <c r="BM329" i="140"/>
  <c r="BL329" i="140"/>
  <c r="BK329" i="140"/>
  <c r="BJ329" i="140"/>
  <c r="BI329" i="140"/>
  <c r="BH329" i="140"/>
  <c r="BG329" i="140"/>
  <c r="BM328" i="140"/>
  <c r="BL328" i="140"/>
  <c r="BK328" i="140"/>
  <c r="BJ328" i="140"/>
  <c r="BI328" i="140"/>
  <c r="BH328" i="140"/>
  <c r="BG328" i="140"/>
  <c r="BM327" i="140"/>
  <c r="BL327" i="140"/>
  <c r="BK327" i="140"/>
  <c r="BJ327" i="140"/>
  <c r="BI327" i="140"/>
  <c r="BH327" i="140"/>
  <c r="BG327" i="140"/>
  <c r="BM326" i="140"/>
  <c r="BL326" i="140"/>
  <c r="BK326" i="140"/>
  <c r="BJ326" i="140"/>
  <c r="BI326" i="140"/>
  <c r="BH326" i="140"/>
  <c r="BG326" i="140"/>
  <c r="BM325" i="140"/>
  <c r="BL325" i="140"/>
  <c r="BK325" i="140"/>
  <c r="BJ325" i="140"/>
  <c r="BI325" i="140"/>
  <c r="BH325" i="140"/>
  <c r="BG325" i="140"/>
  <c r="BM324" i="140"/>
  <c r="BL324" i="140"/>
  <c r="BK324" i="140"/>
  <c r="BJ324" i="140"/>
  <c r="BI324" i="140"/>
  <c r="BH324" i="140"/>
  <c r="BG324" i="140"/>
  <c r="BM323" i="140"/>
  <c r="BL323" i="140"/>
  <c r="BK323" i="140"/>
  <c r="BJ323" i="140"/>
  <c r="BI323" i="140"/>
  <c r="BH323" i="140"/>
  <c r="BG323" i="140"/>
  <c r="BM322" i="140"/>
  <c r="BL322" i="140"/>
  <c r="BK322" i="140"/>
  <c r="BJ322" i="140"/>
  <c r="BI322" i="140"/>
  <c r="BH322" i="140"/>
  <c r="BG322" i="140"/>
  <c r="BM321" i="140"/>
  <c r="BL321" i="140"/>
  <c r="BK321" i="140"/>
  <c r="BJ321" i="140"/>
  <c r="BI321" i="140"/>
  <c r="BH321" i="140"/>
  <c r="BG321" i="140"/>
  <c r="BM320" i="140"/>
  <c r="BL320" i="140"/>
  <c r="BK320" i="140"/>
  <c r="BJ320" i="140"/>
  <c r="BI320" i="140"/>
  <c r="BH320" i="140"/>
  <c r="BG320" i="140"/>
  <c r="BM319" i="140"/>
  <c r="BL319" i="140"/>
  <c r="BK319" i="140"/>
  <c r="BJ319" i="140"/>
  <c r="BI319" i="140"/>
  <c r="BH319" i="140"/>
  <c r="BG319" i="140"/>
  <c r="BM318" i="140"/>
  <c r="BL318" i="140"/>
  <c r="BK318" i="140"/>
  <c r="BJ318" i="140"/>
  <c r="BI318" i="140"/>
  <c r="BH318" i="140"/>
  <c r="BG318" i="140"/>
  <c r="BM317" i="140"/>
  <c r="BL317" i="140"/>
  <c r="BK317" i="140"/>
  <c r="BJ317" i="140"/>
  <c r="BI317" i="140"/>
  <c r="BH317" i="140"/>
  <c r="BG317" i="140"/>
  <c r="BM316" i="140"/>
  <c r="BL316" i="140"/>
  <c r="BK316" i="140"/>
  <c r="BJ316" i="140"/>
  <c r="BI316" i="140"/>
  <c r="BH316" i="140"/>
  <c r="BG316" i="140"/>
  <c r="BM315" i="140"/>
  <c r="BL315" i="140"/>
  <c r="BK315" i="140"/>
  <c r="BJ315" i="140"/>
  <c r="BI315" i="140"/>
  <c r="BH315" i="140"/>
  <c r="BG315" i="140"/>
  <c r="BM314" i="140"/>
  <c r="BL314" i="140"/>
  <c r="BK314" i="140"/>
  <c r="BJ314" i="140"/>
  <c r="BI314" i="140"/>
  <c r="BH314" i="140"/>
  <c r="BG314" i="140"/>
  <c r="BM313" i="140"/>
  <c r="BL313" i="140"/>
  <c r="BK313" i="140"/>
  <c r="BJ313" i="140"/>
  <c r="BI313" i="140"/>
  <c r="BH313" i="140"/>
  <c r="BG313" i="140"/>
  <c r="BM312" i="140"/>
  <c r="BL312" i="140"/>
  <c r="BK312" i="140"/>
  <c r="BJ312" i="140"/>
  <c r="BI312" i="140"/>
  <c r="BH312" i="140"/>
  <c r="BG312" i="140"/>
  <c r="BM311" i="140"/>
  <c r="BL311" i="140"/>
  <c r="BK311" i="140"/>
  <c r="BJ311" i="140"/>
  <c r="BI311" i="140"/>
  <c r="BH311" i="140"/>
  <c r="BG311" i="140"/>
  <c r="BM310" i="140"/>
  <c r="BL310" i="140"/>
  <c r="BK310" i="140"/>
  <c r="BJ310" i="140"/>
  <c r="BI310" i="140"/>
  <c r="BH310" i="140"/>
  <c r="BG310" i="140"/>
  <c r="BM309" i="140"/>
  <c r="BL309" i="140"/>
  <c r="BK309" i="140"/>
  <c r="BJ309" i="140"/>
  <c r="BI309" i="140"/>
  <c r="BH309" i="140"/>
  <c r="BG309" i="140"/>
  <c r="BM308" i="140"/>
  <c r="BL308" i="140"/>
  <c r="BK308" i="140"/>
  <c r="BJ308" i="140"/>
  <c r="BI308" i="140"/>
  <c r="BH308" i="140"/>
  <c r="BG308" i="140"/>
  <c r="BM307" i="140"/>
  <c r="BL307" i="140"/>
  <c r="BK307" i="140"/>
  <c r="BJ307" i="140"/>
  <c r="BI307" i="140"/>
  <c r="BH307" i="140"/>
  <c r="BG307" i="140"/>
  <c r="BM306" i="140"/>
  <c r="BL306" i="140"/>
  <c r="BK306" i="140"/>
  <c r="BJ306" i="140"/>
  <c r="BI306" i="140"/>
  <c r="BH306" i="140"/>
  <c r="BG306" i="140"/>
  <c r="BM305" i="140"/>
  <c r="BL305" i="140"/>
  <c r="BK305" i="140"/>
  <c r="BJ305" i="140"/>
  <c r="BI305" i="140"/>
  <c r="BH305" i="140"/>
  <c r="BG305" i="140"/>
  <c r="BM304" i="140"/>
  <c r="BL304" i="140"/>
  <c r="BK304" i="140"/>
  <c r="BJ304" i="140"/>
  <c r="BI304" i="140"/>
  <c r="BH304" i="140"/>
  <c r="BG304" i="140"/>
  <c r="BM303" i="140"/>
  <c r="BL303" i="140"/>
  <c r="BK303" i="140"/>
  <c r="BJ303" i="140"/>
  <c r="BI303" i="140"/>
  <c r="BH303" i="140"/>
  <c r="BG303" i="140"/>
  <c r="BM302" i="140"/>
  <c r="BL302" i="140"/>
  <c r="BK302" i="140"/>
  <c r="BJ302" i="140"/>
  <c r="BI302" i="140"/>
  <c r="BH302" i="140"/>
  <c r="BG302" i="140"/>
  <c r="BM301" i="140"/>
  <c r="BL301" i="140"/>
  <c r="BK301" i="140"/>
  <c r="BJ301" i="140"/>
  <c r="BI301" i="140"/>
  <c r="BH301" i="140"/>
  <c r="BG301" i="140"/>
  <c r="BM300" i="140"/>
  <c r="BL300" i="140"/>
  <c r="BK300" i="140"/>
  <c r="BJ300" i="140"/>
  <c r="BI300" i="140"/>
  <c r="BH300" i="140"/>
  <c r="BG300" i="140"/>
  <c r="BM299" i="140"/>
  <c r="BL299" i="140"/>
  <c r="BK299" i="140"/>
  <c r="BJ299" i="140"/>
  <c r="BI299" i="140"/>
  <c r="BH299" i="140"/>
  <c r="BG299" i="140"/>
  <c r="BM298" i="140"/>
  <c r="BL298" i="140"/>
  <c r="BK298" i="140"/>
  <c r="BJ298" i="140"/>
  <c r="BI298" i="140"/>
  <c r="BH298" i="140"/>
  <c r="BG298" i="140"/>
  <c r="BM297" i="140"/>
  <c r="BL297" i="140"/>
  <c r="BK297" i="140"/>
  <c r="BJ297" i="140"/>
  <c r="BI297" i="140"/>
  <c r="BH297" i="140"/>
  <c r="BG297" i="140"/>
  <c r="BM296" i="140"/>
  <c r="BL296" i="140"/>
  <c r="BK296" i="140"/>
  <c r="BJ296" i="140"/>
  <c r="BI296" i="140"/>
  <c r="BH296" i="140"/>
  <c r="BG296" i="140"/>
  <c r="BM295" i="140"/>
  <c r="BL295" i="140"/>
  <c r="BK295" i="140"/>
  <c r="BJ295" i="140"/>
  <c r="BI295" i="140"/>
  <c r="BH295" i="140"/>
  <c r="BG295" i="140"/>
  <c r="BM294" i="140"/>
  <c r="BL294" i="140"/>
  <c r="BK294" i="140"/>
  <c r="BJ294" i="140"/>
  <c r="BI294" i="140"/>
  <c r="BH294" i="140"/>
  <c r="BG294" i="140"/>
  <c r="BM293" i="140"/>
  <c r="BL293" i="140"/>
  <c r="BK293" i="140"/>
  <c r="BJ293" i="140"/>
  <c r="BI293" i="140"/>
  <c r="BH293" i="140"/>
  <c r="BG293" i="140"/>
  <c r="BM292" i="140"/>
  <c r="BL292" i="140"/>
  <c r="BK292" i="140"/>
  <c r="BJ292" i="140"/>
  <c r="BI292" i="140"/>
  <c r="BH292" i="140"/>
  <c r="BG292" i="140"/>
  <c r="BM291" i="140"/>
  <c r="BL291" i="140"/>
  <c r="BK291" i="140"/>
  <c r="BJ291" i="140"/>
  <c r="BI291" i="140"/>
  <c r="BH291" i="140"/>
  <c r="BG291" i="140"/>
  <c r="BM290" i="140"/>
  <c r="BL290" i="140"/>
  <c r="BK290" i="140"/>
  <c r="BJ290" i="140"/>
  <c r="BI290" i="140"/>
  <c r="BH290" i="140"/>
  <c r="BG290" i="140"/>
  <c r="BM289" i="140"/>
  <c r="BL289" i="140"/>
  <c r="BK289" i="140"/>
  <c r="BJ289" i="140"/>
  <c r="BI289" i="140"/>
  <c r="BH289" i="140"/>
  <c r="BG289" i="140"/>
  <c r="BM288" i="140"/>
  <c r="BL288" i="140"/>
  <c r="BK288" i="140"/>
  <c r="BJ288" i="140"/>
  <c r="BI288" i="140"/>
  <c r="BH288" i="140"/>
  <c r="BG288" i="140"/>
  <c r="BM287" i="140"/>
  <c r="BL287" i="140"/>
  <c r="BK287" i="140"/>
  <c r="BJ287" i="140"/>
  <c r="BI287" i="140"/>
  <c r="BH287" i="140"/>
  <c r="BG287" i="140"/>
  <c r="BM286" i="140"/>
  <c r="BL286" i="140"/>
  <c r="BK286" i="140"/>
  <c r="BJ286" i="140"/>
  <c r="BI286" i="140"/>
  <c r="BH286" i="140"/>
  <c r="BG286" i="140"/>
  <c r="BM285" i="140"/>
  <c r="BL285" i="140"/>
  <c r="BK285" i="140"/>
  <c r="BJ285" i="140"/>
  <c r="BI285" i="140"/>
  <c r="BH285" i="140"/>
  <c r="BG285" i="140"/>
  <c r="BM284" i="140"/>
  <c r="BL284" i="140"/>
  <c r="BK284" i="140"/>
  <c r="BJ284" i="140"/>
  <c r="BI284" i="140"/>
  <c r="BH284" i="140"/>
  <c r="BG284" i="140"/>
  <c r="BM283" i="140"/>
  <c r="BL283" i="140"/>
  <c r="BK283" i="140"/>
  <c r="BJ283" i="140"/>
  <c r="BI283" i="140"/>
  <c r="BH283" i="140"/>
  <c r="BG283" i="140"/>
  <c r="BM282" i="140"/>
  <c r="BL282" i="140"/>
  <c r="BK282" i="140"/>
  <c r="BJ282" i="140"/>
  <c r="BI282" i="140"/>
  <c r="BH282" i="140"/>
  <c r="BG282" i="140"/>
  <c r="BM281" i="140"/>
  <c r="BL281" i="140"/>
  <c r="BK281" i="140"/>
  <c r="BJ281" i="140"/>
  <c r="BI281" i="140"/>
  <c r="BH281" i="140"/>
  <c r="BG281" i="140"/>
  <c r="BM280" i="140"/>
  <c r="BL280" i="140"/>
  <c r="BK280" i="140"/>
  <c r="BJ280" i="140"/>
  <c r="BI280" i="140"/>
  <c r="BH280" i="140"/>
  <c r="BG280" i="140"/>
  <c r="BM279" i="140"/>
  <c r="BL279" i="140"/>
  <c r="BK279" i="140"/>
  <c r="BJ279" i="140"/>
  <c r="BI279" i="140"/>
  <c r="BH279" i="140"/>
  <c r="BG279" i="140"/>
  <c r="BM278" i="140"/>
  <c r="BL278" i="140"/>
  <c r="BK278" i="140"/>
  <c r="BJ278" i="140"/>
  <c r="BI278" i="140"/>
  <c r="BH278" i="140"/>
  <c r="BG278" i="140"/>
  <c r="BM277" i="140"/>
  <c r="BL277" i="140"/>
  <c r="BK277" i="140"/>
  <c r="BJ277" i="140"/>
  <c r="BI277" i="140"/>
  <c r="BH277" i="140"/>
  <c r="BG277" i="140"/>
  <c r="BM276" i="140"/>
  <c r="BL276" i="140"/>
  <c r="BK276" i="140"/>
  <c r="BJ276" i="140"/>
  <c r="BI276" i="140"/>
  <c r="BH276" i="140"/>
  <c r="BG276" i="140"/>
  <c r="BM275" i="140"/>
  <c r="BL275" i="140"/>
  <c r="BK275" i="140"/>
  <c r="BJ275" i="140"/>
  <c r="BI275" i="140"/>
  <c r="BH275" i="140"/>
  <c r="BG275" i="140"/>
  <c r="BM274" i="140"/>
  <c r="BL274" i="140"/>
  <c r="BK274" i="140"/>
  <c r="BJ274" i="140"/>
  <c r="BI274" i="140"/>
  <c r="BH274" i="140"/>
  <c r="BG274" i="140"/>
  <c r="BM273" i="140"/>
  <c r="BL273" i="140"/>
  <c r="BK273" i="140"/>
  <c r="BJ273" i="140"/>
  <c r="BI273" i="140"/>
  <c r="BH273" i="140"/>
  <c r="BG273" i="140"/>
  <c r="BM272" i="140"/>
  <c r="BL272" i="140"/>
  <c r="BK272" i="140"/>
  <c r="BJ272" i="140"/>
  <c r="BI272" i="140"/>
  <c r="BH272" i="140"/>
  <c r="BG272" i="140"/>
  <c r="BM271" i="140"/>
  <c r="BL271" i="140"/>
  <c r="BK271" i="140"/>
  <c r="BJ271" i="140"/>
  <c r="BI271" i="140"/>
  <c r="BH271" i="140"/>
  <c r="BG271" i="140"/>
  <c r="BM270" i="140"/>
  <c r="BL270" i="140"/>
  <c r="BK270" i="140"/>
  <c r="BJ270" i="140"/>
  <c r="BI270" i="140"/>
  <c r="BH270" i="140"/>
  <c r="BG270" i="140"/>
  <c r="BM269" i="140"/>
  <c r="BL269" i="140"/>
  <c r="BK269" i="140"/>
  <c r="BJ269" i="140"/>
  <c r="BI269" i="140"/>
  <c r="BH269" i="140"/>
  <c r="BG269" i="140"/>
  <c r="BM268" i="140"/>
  <c r="BL268" i="140"/>
  <c r="BK268" i="140"/>
  <c r="BJ268" i="140"/>
  <c r="BI268" i="140"/>
  <c r="BH268" i="140"/>
  <c r="BG268" i="140"/>
  <c r="BM267" i="140"/>
  <c r="BL267" i="140"/>
  <c r="BK267" i="140"/>
  <c r="BJ267" i="140"/>
  <c r="BI267" i="140"/>
  <c r="BH267" i="140"/>
  <c r="BG267" i="140"/>
  <c r="BM266" i="140"/>
  <c r="BL266" i="140"/>
  <c r="BK266" i="140"/>
  <c r="BJ266" i="140"/>
  <c r="BI266" i="140"/>
  <c r="BH266" i="140"/>
  <c r="BG266" i="140"/>
  <c r="BM265" i="140"/>
  <c r="BL265" i="140"/>
  <c r="BK265" i="140"/>
  <c r="BJ265" i="140"/>
  <c r="BI265" i="140"/>
  <c r="BH265" i="140"/>
  <c r="BG265" i="140"/>
  <c r="BM264" i="140"/>
  <c r="BL264" i="140"/>
  <c r="BK264" i="140"/>
  <c r="BJ264" i="140"/>
  <c r="BI264" i="140"/>
  <c r="BH264" i="140"/>
  <c r="BG264" i="140"/>
  <c r="BM263" i="140"/>
  <c r="BL263" i="140"/>
  <c r="BK263" i="140"/>
  <c r="BJ263" i="140"/>
  <c r="BI263" i="140"/>
  <c r="BH263" i="140"/>
  <c r="BG263" i="140"/>
  <c r="BM262" i="140"/>
  <c r="BL262" i="140"/>
  <c r="BK262" i="140"/>
  <c r="BJ262" i="140"/>
  <c r="BI262" i="140"/>
  <c r="BH262" i="140"/>
  <c r="BG262" i="140"/>
  <c r="BM261" i="140"/>
  <c r="BL261" i="140"/>
  <c r="BK261" i="140"/>
  <c r="BJ261" i="140"/>
  <c r="BI261" i="140"/>
  <c r="BH261" i="140"/>
  <c r="BG261" i="140"/>
  <c r="BM260" i="140"/>
  <c r="BL260" i="140"/>
  <c r="BK260" i="140"/>
  <c r="BJ260" i="140"/>
  <c r="BI260" i="140"/>
  <c r="BH260" i="140"/>
  <c r="BG260" i="140"/>
  <c r="BM259" i="140"/>
  <c r="BL259" i="140"/>
  <c r="BK259" i="140"/>
  <c r="BJ259" i="140"/>
  <c r="BI259" i="140"/>
  <c r="BH259" i="140"/>
  <c r="BG259" i="140"/>
  <c r="BM258" i="140"/>
  <c r="BL258" i="140"/>
  <c r="BK258" i="140"/>
  <c r="BJ258" i="140"/>
  <c r="BI258" i="140"/>
  <c r="BH258" i="140"/>
  <c r="BG258" i="140"/>
  <c r="BM257" i="140"/>
  <c r="BL257" i="140"/>
  <c r="BK257" i="140"/>
  <c r="BJ257" i="140"/>
  <c r="BI257" i="140"/>
  <c r="BH257" i="140"/>
  <c r="BG257" i="140"/>
  <c r="BM256" i="140"/>
  <c r="BL256" i="140"/>
  <c r="BK256" i="140"/>
  <c r="BJ256" i="140"/>
  <c r="BI256" i="140"/>
  <c r="BH256" i="140"/>
  <c r="BG256" i="140"/>
  <c r="BM255" i="140"/>
  <c r="BL255" i="140"/>
  <c r="BK255" i="140"/>
  <c r="BJ255" i="140"/>
  <c r="BI255" i="140"/>
  <c r="BH255" i="140"/>
  <c r="BG255" i="140"/>
  <c r="BM254" i="140"/>
  <c r="BL254" i="140"/>
  <c r="BK254" i="140"/>
  <c r="BJ254" i="140"/>
  <c r="BI254" i="140"/>
  <c r="BH254" i="140"/>
  <c r="BG254" i="140"/>
  <c r="BM253" i="140"/>
  <c r="BL253" i="140"/>
  <c r="BK253" i="140"/>
  <c r="BJ253" i="140"/>
  <c r="BI253" i="140"/>
  <c r="BH253" i="140"/>
  <c r="BG253" i="140"/>
  <c r="BM252" i="140"/>
  <c r="BL252" i="140"/>
  <c r="BK252" i="140"/>
  <c r="BJ252" i="140"/>
  <c r="BI252" i="140"/>
  <c r="BH252" i="140"/>
  <c r="BG252" i="140"/>
  <c r="BM251" i="140"/>
  <c r="BL251" i="140"/>
  <c r="BK251" i="140"/>
  <c r="BJ251" i="140"/>
  <c r="BI251" i="140"/>
  <c r="BH251" i="140"/>
  <c r="BG251" i="140"/>
  <c r="BM250" i="140"/>
  <c r="BL250" i="140"/>
  <c r="BK250" i="140"/>
  <c r="BJ250" i="140"/>
  <c r="BI250" i="140"/>
  <c r="BH250" i="140"/>
  <c r="BG250" i="140"/>
  <c r="BM249" i="140"/>
  <c r="BL249" i="140"/>
  <c r="BK249" i="140"/>
  <c r="BJ249" i="140"/>
  <c r="BI249" i="140"/>
  <c r="BH249" i="140"/>
  <c r="BG249" i="140"/>
  <c r="BM248" i="140"/>
  <c r="BL248" i="140"/>
  <c r="BK248" i="140"/>
  <c r="BJ248" i="140"/>
  <c r="BI248" i="140"/>
  <c r="BH248" i="140"/>
  <c r="BG248" i="140"/>
  <c r="BM247" i="140"/>
  <c r="BL247" i="140"/>
  <c r="BK247" i="140"/>
  <c r="BJ247" i="140"/>
  <c r="BI247" i="140"/>
  <c r="BH247" i="140"/>
  <c r="BG247" i="140"/>
  <c r="BM246" i="140"/>
  <c r="BL246" i="140"/>
  <c r="BK246" i="140"/>
  <c r="BJ246" i="140"/>
  <c r="BI246" i="140"/>
  <c r="BH246" i="140"/>
  <c r="BG246" i="140"/>
  <c r="BM245" i="140"/>
  <c r="BL245" i="140"/>
  <c r="BK245" i="140"/>
  <c r="BJ245" i="140"/>
  <c r="BI245" i="140"/>
  <c r="BH245" i="140"/>
  <c r="BG245" i="140"/>
  <c r="BM244" i="140"/>
  <c r="BL244" i="140"/>
  <c r="BK244" i="140"/>
  <c r="BJ244" i="140"/>
  <c r="BI244" i="140"/>
  <c r="BH244" i="140"/>
  <c r="BG244" i="140"/>
  <c r="BM243" i="140"/>
  <c r="BL243" i="140"/>
  <c r="BK243" i="140"/>
  <c r="BJ243" i="140"/>
  <c r="BI243" i="140"/>
  <c r="BH243" i="140"/>
  <c r="BG243" i="140"/>
  <c r="BM242" i="140"/>
  <c r="BL242" i="140"/>
  <c r="BK242" i="140"/>
  <c r="BJ242" i="140"/>
  <c r="BI242" i="140"/>
  <c r="BH242" i="140"/>
  <c r="BG242" i="140"/>
  <c r="BM241" i="140"/>
  <c r="BL241" i="140"/>
  <c r="BK241" i="140"/>
  <c r="BJ241" i="140"/>
  <c r="BI241" i="140"/>
  <c r="BH241" i="140"/>
  <c r="BG241" i="140"/>
  <c r="BM240" i="140"/>
  <c r="BL240" i="140"/>
  <c r="BK240" i="140"/>
  <c r="BJ240" i="140"/>
  <c r="BI240" i="140"/>
  <c r="BH240" i="140"/>
  <c r="BG240" i="140"/>
  <c r="BM239" i="140"/>
  <c r="BL239" i="140"/>
  <c r="BK239" i="140"/>
  <c r="BJ239" i="140"/>
  <c r="BI239" i="140"/>
  <c r="BH239" i="140"/>
  <c r="BG239" i="140"/>
  <c r="BM238" i="140"/>
  <c r="BL238" i="140"/>
  <c r="BK238" i="140"/>
  <c r="BJ238" i="140"/>
  <c r="BI238" i="140"/>
  <c r="BH238" i="140"/>
  <c r="BG238" i="140"/>
  <c r="BM237" i="140"/>
  <c r="BL237" i="140"/>
  <c r="BK237" i="140"/>
  <c r="BJ237" i="140"/>
  <c r="BI237" i="140"/>
  <c r="BH237" i="140"/>
  <c r="BG237" i="140"/>
  <c r="BM236" i="140"/>
  <c r="BL236" i="140"/>
  <c r="BK236" i="140"/>
  <c r="BJ236" i="140"/>
  <c r="BI236" i="140"/>
  <c r="BH236" i="140"/>
  <c r="BG236" i="140"/>
  <c r="BM235" i="140"/>
  <c r="BL235" i="140"/>
  <c r="BK235" i="140"/>
  <c r="BJ235" i="140"/>
  <c r="BI235" i="140"/>
  <c r="BH235" i="140"/>
  <c r="BG235" i="140"/>
  <c r="BM234" i="140"/>
  <c r="BL234" i="140"/>
  <c r="BK234" i="140"/>
  <c r="BJ234" i="140"/>
  <c r="BI234" i="140"/>
  <c r="BH234" i="140"/>
  <c r="BG234" i="140"/>
  <c r="BM233" i="140"/>
  <c r="BL233" i="140"/>
  <c r="BK233" i="140"/>
  <c r="BJ233" i="140"/>
  <c r="BI233" i="140"/>
  <c r="BH233" i="140"/>
  <c r="BG233" i="140"/>
  <c r="BM232" i="140"/>
  <c r="BL232" i="140"/>
  <c r="BK232" i="140"/>
  <c r="BJ232" i="140"/>
  <c r="BI232" i="140"/>
  <c r="BH232" i="140"/>
  <c r="BG232" i="140"/>
  <c r="BM231" i="140"/>
  <c r="BL231" i="140"/>
  <c r="BK231" i="140"/>
  <c r="BJ231" i="140"/>
  <c r="BI231" i="140"/>
  <c r="BH231" i="140"/>
  <c r="BG231" i="140"/>
  <c r="BM230" i="140"/>
  <c r="BL230" i="140"/>
  <c r="BK230" i="140"/>
  <c r="BJ230" i="140"/>
  <c r="BI230" i="140"/>
  <c r="BH230" i="140"/>
  <c r="BG230" i="140"/>
  <c r="BM229" i="140"/>
  <c r="BL229" i="140"/>
  <c r="BK229" i="140"/>
  <c r="BJ229" i="140"/>
  <c r="BI229" i="140"/>
  <c r="BH229" i="140"/>
  <c r="BG229" i="140"/>
  <c r="BM228" i="140"/>
  <c r="BL228" i="140"/>
  <c r="BK228" i="140"/>
  <c r="BJ228" i="140"/>
  <c r="BI228" i="140"/>
  <c r="BH228" i="140"/>
  <c r="BG228" i="140"/>
  <c r="BM227" i="140"/>
  <c r="BL227" i="140"/>
  <c r="BK227" i="140"/>
  <c r="BJ227" i="140"/>
  <c r="BI227" i="140"/>
  <c r="BH227" i="140"/>
  <c r="BG227" i="140"/>
  <c r="BM226" i="140"/>
  <c r="BL226" i="140"/>
  <c r="BK226" i="140"/>
  <c r="BJ226" i="140"/>
  <c r="BI226" i="140"/>
  <c r="BH226" i="140"/>
  <c r="BG226" i="140"/>
  <c r="BM225" i="140"/>
  <c r="BL225" i="140"/>
  <c r="BK225" i="140"/>
  <c r="BJ225" i="140"/>
  <c r="BI225" i="140"/>
  <c r="BH225" i="140"/>
  <c r="BG225" i="140"/>
  <c r="BM224" i="140"/>
  <c r="BL224" i="140"/>
  <c r="BK224" i="140"/>
  <c r="BJ224" i="140"/>
  <c r="BI224" i="140"/>
  <c r="BH224" i="140"/>
  <c r="BG224" i="140"/>
  <c r="BM223" i="140"/>
  <c r="BL223" i="140"/>
  <c r="BK223" i="140"/>
  <c r="BJ223" i="140"/>
  <c r="BI223" i="140"/>
  <c r="BH223" i="140"/>
  <c r="BG223" i="140"/>
  <c r="BM222" i="140"/>
  <c r="BL222" i="140"/>
  <c r="BK222" i="140"/>
  <c r="BJ222" i="140"/>
  <c r="BI222" i="140"/>
  <c r="BH222" i="140"/>
  <c r="BG222" i="140"/>
  <c r="BM221" i="140"/>
  <c r="BL221" i="140"/>
  <c r="BK221" i="140"/>
  <c r="BJ221" i="140"/>
  <c r="BI221" i="140"/>
  <c r="BH221" i="140"/>
  <c r="BG221" i="140"/>
  <c r="BM220" i="140"/>
  <c r="BL220" i="140"/>
  <c r="BK220" i="140"/>
  <c r="BJ220" i="140"/>
  <c r="BI220" i="140"/>
  <c r="BH220" i="140"/>
  <c r="BG220" i="140"/>
  <c r="BM219" i="140"/>
  <c r="BL219" i="140"/>
  <c r="BK219" i="140"/>
  <c r="BJ219" i="140"/>
  <c r="BI219" i="140"/>
  <c r="BH219" i="140"/>
  <c r="BG219" i="140"/>
  <c r="BM218" i="140"/>
  <c r="BL218" i="140"/>
  <c r="BK218" i="140"/>
  <c r="BJ218" i="140"/>
  <c r="BI218" i="140"/>
  <c r="BH218" i="140"/>
  <c r="BG218" i="140"/>
  <c r="BM217" i="140"/>
  <c r="BL217" i="140"/>
  <c r="BK217" i="140"/>
  <c r="BJ217" i="140"/>
  <c r="BI217" i="140"/>
  <c r="BH217" i="140"/>
  <c r="BG217" i="140"/>
  <c r="BM216" i="140"/>
  <c r="BL216" i="140"/>
  <c r="BK216" i="140"/>
  <c r="BJ216" i="140"/>
  <c r="BI216" i="140"/>
  <c r="BH216" i="140"/>
  <c r="BG216" i="140"/>
  <c r="BM215" i="140"/>
  <c r="BL215" i="140"/>
  <c r="BK215" i="140"/>
  <c r="BJ215" i="140"/>
  <c r="BI215" i="140"/>
  <c r="BH215" i="140"/>
  <c r="BG215" i="140"/>
  <c r="BM214" i="140"/>
  <c r="BL214" i="140"/>
  <c r="BK214" i="140"/>
  <c r="BJ214" i="140"/>
  <c r="BI214" i="140"/>
  <c r="BH214" i="140"/>
  <c r="BG214" i="140"/>
  <c r="BM213" i="140"/>
  <c r="BL213" i="140"/>
  <c r="BK213" i="140"/>
  <c r="BJ213" i="140"/>
  <c r="BI213" i="140"/>
  <c r="BH213" i="140"/>
  <c r="BG213" i="140"/>
  <c r="BM212" i="140"/>
  <c r="BL212" i="140"/>
  <c r="BK212" i="140"/>
  <c r="BJ212" i="140"/>
  <c r="BI212" i="140"/>
  <c r="BH212" i="140"/>
  <c r="BG212" i="140"/>
  <c r="BM211" i="140"/>
  <c r="BL211" i="140"/>
  <c r="BK211" i="140"/>
  <c r="BJ211" i="140"/>
  <c r="BI211" i="140"/>
  <c r="BH211" i="140"/>
  <c r="BG211" i="140"/>
  <c r="BM210" i="140"/>
  <c r="BL210" i="140"/>
  <c r="BK210" i="140"/>
  <c r="BJ210" i="140"/>
  <c r="BI210" i="140"/>
  <c r="BH210" i="140"/>
  <c r="BG210" i="140"/>
  <c r="BM209" i="140"/>
  <c r="BL209" i="140"/>
  <c r="BK209" i="140"/>
  <c r="BJ209" i="140"/>
  <c r="BI209" i="140"/>
  <c r="BH209" i="140"/>
  <c r="BG209" i="140"/>
  <c r="BM208" i="140"/>
  <c r="BL208" i="140"/>
  <c r="BK208" i="140"/>
  <c r="BJ208" i="140"/>
  <c r="BI208" i="140"/>
  <c r="BH208" i="140"/>
  <c r="BG208" i="140"/>
  <c r="BM207" i="140"/>
  <c r="BL207" i="140"/>
  <c r="BK207" i="140"/>
  <c r="BJ207" i="140"/>
  <c r="BI207" i="140"/>
  <c r="BH207" i="140"/>
  <c r="BG207" i="140"/>
  <c r="BM206" i="140"/>
  <c r="BL206" i="140"/>
  <c r="BK206" i="140"/>
  <c r="BJ206" i="140"/>
  <c r="BI206" i="140"/>
  <c r="BH206" i="140"/>
  <c r="BG206" i="140"/>
  <c r="BM205" i="140"/>
  <c r="BL205" i="140"/>
  <c r="BK205" i="140"/>
  <c r="BJ205" i="140"/>
  <c r="BI205" i="140"/>
  <c r="BH205" i="140"/>
  <c r="BG205" i="140"/>
  <c r="BM204" i="140"/>
  <c r="BL204" i="140"/>
  <c r="BK204" i="140"/>
  <c r="BJ204" i="140"/>
  <c r="BI204" i="140"/>
  <c r="BH204" i="140"/>
  <c r="BG204" i="140"/>
  <c r="BM203" i="140"/>
  <c r="BL203" i="140"/>
  <c r="BK203" i="140"/>
  <c r="BJ203" i="140"/>
  <c r="BI203" i="140"/>
  <c r="BH203" i="140"/>
  <c r="BG203" i="140"/>
  <c r="BM202" i="140"/>
  <c r="BL202" i="140"/>
  <c r="BK202" i="140"/>
  <c r="BJ202" i="140"/>
  <c r="BI202" i="140"/>
  <c r="BH202" i="140"/>
  <c r="BG202" i="140"/>
  <c r="BM201" i="140"/>
  <c r="BL201" i="140"/>
  <c r="BK201" i="140"/>
  <c r="BJ201" i="140"/>
  <c r="BI201" i="140"/>
  <c r="BH201" i="140"/>
  <c r="BG201" i="140"/>
  <c r="BM200" i="140"/>
  <c r="BL200" i="140"/>
  <c r="BK200" i="140"/>
  <c r="BJ200" i="140"/>
  <c r="BI200" i="140"/>
  <c r="BH200" i="140"/>
  <c r="BG200" i="140"/>
  <c r="BM199" i="140"/>
  <c r="BL199" i="140"/>
  <c r="BK199" i="140"/>
  <c r="BJ199" i="140"/>
  <c r="BI199" i="140"/>
  <c r="BH199" i="140"/>
  <c r="BG199" i="140"/>
  <c r="BM198" i="140"/>
  <c r="BL198" i="140"/>
  <c r="BK198" i="140"/>
  <c r="BJ198" i="140"/>
  <c r="BI198" i="140"/>
  <c r="BH198" i="140"/>
  <c r="BG198" i="140"/>
  <c r="BM197" i="140"/>
  <c r="BL197" i="140"/>
  <c r="BK197" i="140"/>
  <c r="BJ197" i="140"/>
  <c r="BI197" i="140"/>
  <c r="BH197" i="140"/>
  <c r="BG197" i="140"/>
  <c r="BM196" i="140"/>
  <c r="BL196" i="140"/>
  <c r="BK196" i="140"/>
  <c r="BJ196" i="140"/>
  <c r="BI196" i="140"/>
  <c r="BH196" i="140"/>
  <c r="BG196" i="140"/>
  <c r="BM195" i="140"/>
  <c r="BL195" i="140"/>
  <c r="BK195" i="140"/>
  <c r="BJ195" i="140"/>
  <c r="BI195" i="140"/>
  <c r="BH195" i="140"/>
  <c r="BG195" i="140"/>
  <c r="BM194" i="140"/>
  <c r="BL194" i="140"/>
  <c r="BK194" i="140"/>
  <c r="BJ194" i="140"/>
  <c r="BI194" i="140"/>
  <c r="BH194" i="140"/>
  <c r="BG194" i="140"/>
  <c r="BM193" i="140"/>
  <c r="BL193" i="140"/>
  <c r="BK193" i="140"/>
  <c r="BJ193" i="140"/>
  <c r="BI193" i="140"/>
  <c r="BH193" i="140"/>
  <c r="BG193" i="140"/>
  <c r="BM192" i="140"/>
  <c r="BL192" i="140"/>
  <c r="BK192" i="140"/>
  <c r="BJ192" i="140"/>
  <c r="BI192" i="140"/>
  <c r="BH192" i="140"/>
  <c r="BG192" i="140"/>
  <c r="BM191" i="140"/>
  <c r="BL191" i="140"/>
  <c r="BK191" i="140"/>
  <c r="BJ191" i="140"/>
  <c r="BI191" i="140"/>
  <c r="BH191" i="140"/>
  <c r="BG191" i="140"/>
  <c r="BM190" i="140"/>
  <c r="BL190" i="140"/>
  <c r="BK190" i="140"/>
  <c r="BJ190" i="140"/>
  <c r="BI190" i="140"/>
  <c r="BH190" i="140"/>
  <c r="BG190" i="140"/>
  <c r="BM189" i="140"/>
  <c r="BL189" i="140"/>
  <c r="BK189" i="140"/>
  <c r="BJ189" i="140"/>
  <c r="BI189" i="140"/>
  <c r="BH189" i="140"/>
  <c r="BG189" i="140"/>
  <c r="BM188" i="140"/>
  <c r="BL188" i="140"/>
  <c r="BK188" i="140"/>
  <c r="BJ188" i="140"/>
  <c r="BI188" i="140"/>
  <c r="BH188" i="140"/>
  <c r="BG188" i="140"/>
  <c r="BM187" i="140"/>
  <c r="BL187" i="140"/>
  <c r="BK187" i="140"/>
  <c r="BJ187" i="140"/>
  <c r="BI187" i="140"/>
  <c r="BH187" i="140"/>
  <c r="BG187" i="140"/>
  <c r="BM186" i="140"/>
  <c r="BL186" i="140"/>
  <c r="BK186" i="140"/>
  <c r="BJ186" i="140"/>
  <c r="BI186" i="140"/>
  <c r="BH186" i="140"/>
  <c r="BG186" i="140"/>
  <c r="BM185" i="140"/>
  <c r="BL185" i="140"/>
  <c r="BK185" i="140"/>
  <c r="BJ185" i="140"/>
  <c r="BI185" i="140"/>
  <c r="BH185" i="140"/>
  <c r="BG185" i="140"/>
  <c r="BM184" i="140"/>
  <c r="BL184" i="140"/>
  <c r="BK184" i="140"/>
  <c r="BJ184" i="140"/>
  <c r="BI184" i="140"/>
  <c r="BH184" i="140"/>
  <c r="BG184" i="140"/>
  <c r="BM183" i="140"/>
  <c r="BL183" i="140"/>
  <c r="BK183" i="140"/>
  <c r="BJ183" i="140"/>
  <c r="BI183" i="140"/>
  <c r="BH183" i="140"/>
  <c r="BG183" i="140"/>
  <c r="BM182" i="140"/>
  <c r="BL182" i="140"/>
  <c r="BK182" i="140"/>
  <c r="BJ182" i="140"/>
  <c r="BI182" i="140"/>
  <c r="BH182" i="140"/>
  <c r="BG182" i="140"/>
  <c r="BM181" i="140"/>
  <c r="BL181" i="140"/>
  <c r="BK181" i="140"/>
  <c r="BJ181" i="140"/>
  <c r="BI181" i="140"/>
  <c r="BH181" i="140"/>
  <c r="BG181" i="140"/>
  <c r="BM180" i="140"/>
  <c r="BL180" i="140"/>
  <c r="BK180" i="140"/>
  <c r="BJ180" i="140"/>
  <c r="BI180" i="140"/>
  <c r="BH180" i="140"/>
  <c r="BG180" i="140"/>
  <c r="BM179" i="140"/>
  <c r="BL179" i="140"/>
  <c r="BK179" i="140"/>
  <c r="BJ179" i="140"/>
  <c r="BI179" i="140"/>
  <c r="BH179" i="140"/>
  <c r="BG179" i="140"/>
  <c r="BM178" i="140"/>
  <c r="BL178" i="140"/>
  <c r="BK178" i="140"/>
  <c r="BJ178" i="140"/>
  <c r="BI178" i="140"/>
  <c r="BH178" i="140"/>
  <c r="BG178" i="140"/>
  <c r="BM177" i="140"/>
  <c r="BL177" i="140"/>
  <c r="BK177" i="140"/>
  <c r="BJ177" i="140"/>
  <c r="BI177" i="140"/>
  <c r="BH177" i="140"/>
  <c r="BG177" i="140"/>
  <c r="BM176" i="140"/>
  <c r="BL176" i="140"/>
  <c r="BK176" i="140"/>
  <c r="BJ176" i="140"/>
  <c r="BI176" i="140"/>
  <c r="BH176" i="140"/>
  <c r="BG176" i="140"/>
  <c r="BM175" i="140"/>
  <c r="BL175" i="140"/>
  <c r="BK175" i="140"/>
  <c r="BJ175" i="140"/>
  <c r="BI175" i="140"/>
  <c r="BH175" i="140"/>
  <c r="BG175" i="140"/>
  <c r="BM174" i="140"/>
  <c r="BL174" i="140"/>
  <c r="BK174" i="140"/>
  <c r="BJ174" i="140"/>
  <c r="BI174" i="140"/>
  <c r="BH174" i="140"/>
  <c r="BG174" i="140"/>
  <c r="BM173" i="140"/>
  <c r="BL173" i="140"/>
  <c r="BK173" i="140"/>
  <c r="BJ173" i="140"/>
  <c r="BI173" i="140"/>
  <c r="BH173" i="140"/>
  <c r="BG173" i="140"/>
  <c r="BM172" i="140"/>
  <c r="BL172" i="140"/>
  <c r="BK172" i="140"/>
  <c r="BJ172" i="140"/>
  <c r="BI172" i="140"/>
  <c r="BH172" i="140"/>
  <c r="BG172" i="140"/>
  <c r="BM171" i="140"/>
  <c r="BL171" i="140"/>
  <c r="BK171" i="140"/>
  <c r="BJ171" i="140"/>
  <c r="BI171" i="140"/>
  <c r="BH171" i="140"/>
  <c r="BG171" i="140"/>
  <c r="BM170" i="140"/>
  <c r="BL170" i="140"/>
  <c r="BK170" i="140"/>
  <c r="BJ170" i="140"/>
  <c r="BI170" i="140"/>
  <c r="BH170" i="140"/>
  <c r="BG170" i="140"/>
  <c r="BM169" i="140"/>
  <c r="BL169" i="140"/>
  <c r="BK169" i="140"/>
  <c r="BJ169" i="140"/>
  <c r="BI169" i="140"/>
  <c r="BH169" i="140"/>
  <c r="BG169" i="140"/>
  <c r="BM168" i="140"/>
  <c r="BL168" i="140"/>
  <c r="BK168" i="140"/>
  <c r="BJ168" i="140"/>
  <c r="BI168" i="140"/>
  <c r="BH168" i="140"/>
  <c r="BG168" i="140"/>
  <c r="BM167" i="140"/>
  <c r="BL167" i="140"/>
  <c r="BK167" i="140"/>
  <c r="BJ167" i="140"/>
  <c r="BI167" i="140"/>
  <c r="BH167" i="140"/>
  <c r="BG167" i="140"/>
  <c r="BM166" i="140"/>
  <c r="BL166" i="140"/>
  <c r="BK166" i="140"/>
  <c r="BJ166" i="140"/>
  <c r="BI166" i="140"/>
  <c r="BH166" i="140"/>
  <c r="BG166" i="140"/>
  <c r="BM165" i="140"/>
  <c r="BL165" i="140"/>
  <c r="BK165" i="140"/>
  <c r="BJ165" i="140"/>
  <c r="BI165" i="140"/>
  <c r="BH165" i="140"/>
  <c r="BG165" i="140"/>
  <c r="BM164" i="140"/>
  <c r="BL164" i="140"/>
  <c r="BK164" i="140"/>
  <c r="BJ164" i="140"/>
  <c r="BI164" i="140"/>
  <c r="BH164" i="140"/>
  <c r="BG164" i="140"/>
  <c r="BM163" i="140"/>
  <c r="BL163" i="140"/>
  <c r="BK163" i="140"/>
  <c r="BJ163" i="140"/>
  <c r="BI163" i="140"/>
  <c r="BH163" i="140"/>
  <c r="BG163" i="140"/>
  <c r="BM162" i="140"/>
  <c r="BL162" i="140"/>
  <c r="BK162" i="140"/>
  <c r="BJ162" i="140"/>
  <c r="BI162" i="140"/>
  <c r="BH162" i="140"/>
  <c r="BG162" i="140"/>
  <c r="BM161" i="140"/>
  <c r="BL161" i="140"/>
  <c r="BK161" i="140"/>
  <c r="BJ161" i="140"/>
  <c r="BI161" i="140"/>
  <c r="BH161" i="140"/>
  <c r="BG161" i="140"/>
  <c r="BM160" i="140"/>
  <c r="BL160" i="140"/>
  <c r="BK160" i="140"/>
  <c r="BJ160" i="140"/>
  <c r="BI160" i="140"/>
  <c r="BH160" i="140"/>
  <c r="BG160" i="140"/>
  <c r="BM159" i="140"/>
  <c r="BL159" i="140"/>
  <c r="BK159" i="140"/>
  <c r="BJ159" i="140"/>
  <c r="BI159" i="140"/>
  <c r="BH159" i="140"/>
  <c r="BG159" i="140"/>
  <c r="BM158" i="140"/>
  <c r="BL158" i="140"/>
  <c r="BK158" i="140"/>
  <c r="BJ158" i="140"/>
  <c r="BI158" i="140"/>
  <c r="BH158" i="140"/>
  <c r="BG158" i="140"/>
  <c r="BM157" i="140"/>
  <c r="BL157" i="140"/>
  <c r="BK157" i="140"/>
  <c r="BJ157" i="140"/>
  <c r="BI157" i="140"/>
  <c r="BH157" i="140"/>
  <c r="BG157" i="140"/>
  <c r="BM156" i="140"/>
  <c r="BL156" i="140"/>
  <c r="BK156" i="140"/>
  <c r="BJ156" i="140"/>
  <c r="BI156" i="140"/>
  <c r="BH156" i="140"/>
  <c r="BG156" i="140"/>
  <c r="BM155" i="140"/>
  <c r="BL155" i="140"/>
  <c r="BK155" i="140"/>
  <c r="BJ155" i="140"/>
  <c r="BI155" i="140"/>
  <c r="BH155" i="140"/>
  <c r="BG155" i="140"/>
  <c r="BM154" i="140"/>
  <c r="BL154" i="140"/>
  <c r="BK154" i="140"/>
  <c r="BJ154" i="140"/>
  <c r="BI154" i="140"/>
  <c r="BH154" i="140"/>
  <c r="BG154" i="140"/>
  <c r="BM153" i="140"/>
  <c r="BL153" i="140"/>
  <c r="BK153" i="140"/>
  <c r="BJ153" i="140"/>
  <c r="BI153" i="140"/>
  <c r="BH153" i="140"/>
  <c r="BG153" i="140"/>
  <c r="BM152" i="140"/>
  <c r="BL152" i="140"/>
  <c r="BK152" i="140"/>
  <c r="BJ152" i="140"/>
  <c r="BI152" i="140"/>
  <c r="BH152" i="140"/>
  <c r="BG152" i="140"/>
  <c r="BM151" i="140"/>
  <c r="BL151" i="140"/>
  <c r="BK151" i="140"/>
  <c r="BJ151" i="140"/>
  <c r="BI151" i="140"/>
  <c r="BH151" i="140"/>
  <c r="BG151" i="140"/>
  <c r="BM150" i="140"/>
  <c r="BL150" i="140"/>
  <c r="BK150" i="140"/>
  <c r="BJ150" i="140"/>
  <c r="BI150" i="140"/>
  <c r="BH150" i="140"/>
  <c r="BG150" i="140"/>
  <c r="BM149" i="140"/>
  <c r="BL149" i="140"/>
  <c r="BK149" i="140"/>
  <c r="BJ149" i="140"/>
  <c r="BI149" i="140"/>
  <c r="BH149" i="140"/>
  <c r="BG149" i="140"/>
  <c r="BM148" i="140"/>
  <c r="BL148" i="140"/>
  <c r="BK148" i="140"/>
  <c r="BJ148" i="140"/>
  <c r="BI148" i="140"/>
  <c r="BH148" i="140"/>
  <c r="BG148" i="140"/>
  <c r="BM147" i="140"/>
  <c r="BL147" i="140"/>
  <c r="BK147" i="140"/>
  <c r="BJ147" i="140"/>
  <c r="BI147" i="140"/>
  <c r="BH147" i="140"/>
  <c r="BG147" i="140"/>
  <c r="BM146" i="140"/>
  <c r="BL146" i="140"/>
  <c r="BK146" i="140"/>
  <c r="BJ146" i="140"/>
  <c r="BI146" i="140"/>
  <c r="BH146" i="140"/>
  <c r="BG146" i="140"/>
  <c r="BM145" i="140"/>
  <c r="BL145" i="140"/>
  <c r="BK145" i="140"/>
  <c r="BJ145" i="140"/>
  <c r="BI145" i="140"/>
  <c r="BH145" i="140"/>
  <c r="BG145" i="140"/>
  <c r="BM144" i="140"/>
  <c r="BL144" i="140"/>
  <c r="BK144" i="140"/>
  <c r="BJ144" i="140"/>
  <c r="BI144" i="140"/>
  <c r="BH144" i="140"/>
  <c r="BG144" i="140"/>
  <c r="BM143" i="140"/>
  <c r="BL143" i="140"/>
  <c r="BK143" i="140"/>
  <c r="BJ143" i="140"/>
  <c r="BI143" i="140"/>
  <c r="BH143" i="140"/>
  <c r="BG143" i="140"/>
  <c r="BM142" i="140"/>
  <c r="BL142" i="140"/>
  <c r="BK142" i="140"/>
  <c r="BJ142" i="140"/>
  <c r="BI142" i="140"/>
  <c r="BH142" i="140"/>
  <c r="BG142" i="140"/>
  <c r="BM141" i="140"/>
  <c r="BL141" i="140"/>
  <c r="BK141" i="140"/>
  <c r="BJ141" i="140"/>
  <c r="BI141" i="140"/>
  <c r="BH141" i="140"/>
  <c r="BG141" i="140"/>
  <c r="BM140" i="140"/>
  <c r="BL140" i="140"/>
  <c r="BK140" i="140"/>
  <c r="BJ140" i="140"/>
  <c r="BI140" i="140"/>
  <c r="BH140" i="140"/>
  <c r="BG140" i="140"/>
  <c r="BM139" i="140"/>
  <c r="BL139" i="140"/>
  <c r="BK139" i="140"/>
  <c r="BJ139" i="140"/>
  <c r="BI139" i="140"/>
  <c r="BH139" i="140"/>
  <c r="BG139" i="140"/>
  <c r="BM138" i="140"/>
  <c r="BL138" i="140"/>
  <c r="BK138" i="140"/>
  <c r="BJ138" i="140"/>
  <c r="BI138" i="140"/>
  <c r="BH138" i="140"/>
  <c r="BG138" i="140"/>
  <c r="BM137" i="140"/>
  <c r="BL137" i="140"/>
  <c r="BK137" i="140"/>
  <c r="BJ137" i="140"/>
  <c r="BI137" i="140"/>
  <c r="BH137" i="140"/>
  <c r="BG137" i="140"/>
  <c r="BM136" i="140"/>
  <c r="BL136" i="140"/>
  <c r="BK136" i="140"/>
  <c r="BJ136" i="140"/>
  <c r="BI136" i="140"/>
  <c r="BH136" i="140"/>
  <c r="BG136" i="140"/>
  <c r="BM135" i="140"/>
  <c r="BL135" i="140"/>
  <c r="BK135" i="140"/>
  <c r="BJ135" i="140"/>
  <c r="BI135" i="140"/>
  <c r="BH135" i="140"/>
  <c r="BG135" i="140"/>
  <c r="BM134" i="140"/>
  <c r="BL134" i="140"/>
  <c r="BK134" i="140"/>
  <c r="BJ134" i="140"/>
  <c r="BI134" i="140"/>
  <c r="BH134" i="140"/>
  <c r="BG134" i="140"/>
  <c r="BM133" i="140"/>
  <c r="BL133" i="140"/>
  <c r="BK133" i="140"/>
  <c r="BJ133" i="140"/>
  <c r="BI133" i="140"/>
  <c r="BH133" i="140"/>
  <c r="BG133" i="140"/>
  <c r="BM132" i="140"/>
  <c r="BL132" i="140"/>
  <c r="BK132" i="140"/>
  <c r="BJ132" i="140"/>
  <c r="BI132" i="140"/>
  <c r="BH132" i="140"/>
  <c r="BG132" i="140"/>
  <c r="BM131" i="140"/>
  <c r="BL131" i="140"/>
  <c r="BK131" i="140"/>
  <c r="BJ131" i="140"/>
  <c r="BI131" i="140"/>
  <c r="BH131" i="140"/>
  <c r="BG131" i="140"/>
  <c r="BM130" i="140"/>
  <c r="BL130" i="140"/>
  <c r="BK130" i="140"/>
  <c r="BJ130" i="140"/>
  <c r="BI130" i="140"/>
  <c r="BH130" i="140"/>
  <c r="BG130" i="140"/>
  <c r="BM129" i="140"/>
  <c r="BL129" i="140"/>
  <c r="BK129" i="140"/>
  <c r="BJ129" i="140"/>
  <c r="BI129" i="140"/>
  <c r="BH129" i="140"/>
  <c r="BG129" i="140"/>
  <c r="BM128" i="140"/>
  <c r="BL128" i="140"/>
  <c r="BK128" i="140"/>
  <c r="BJ128" i="140"/>
  <c r="BI128" i="140"/>
  <c r="BH128" i="140"/>
  <c r="BG128" i="140"/>
  <c r="BM127" i="140"/>
  <c r="BL127" i="140"/>
  <c r="BK127" i="140"/>
  <c r="BJ127" i="140"/>
  <c r="BI127" i="140"/>
  <c r="BH127" i="140"/>
  <c r="BG127" i="140"/>
  <c r="BM126" i="140"/>
  <c r="BL126" i="140"/>
  <c r="BK126" i="140"/>
  <c r="BJ126" i="140"/>
  <c r="BI126" i="140"/>
  <c r="BH126" i="140"/>
  <c r="BG126" i="140"/>
  <c r="BM125" i="140"/>
  <c r="BL125" i="140"/>
  <c r="BK125" i="140"/>
  <c r="BJ125" i="140"/>
  <c r="BI125" i="140"/>
  <c r="BH125" i="140"/>
  <c r="BG125" i="140"/>
  <c r="BM124" i="140"/>
  <c r="BL124" i="140"/>
  <c r="BK124" i="140"/>
  <c r="BJ124" i="140"/>
  <c r="BI124" i="140"/>
  <c r="BH124" i="140"/>
  <c r="BG124" i="140"/>
  <c r="BM123" i="140"/>
  <c r="BL123" i="140"/>
  <c r="BK123" i="140"/>
  <c r="BJ123" i="140"/>
  <c r="BI123" i="140"/>
  <c r="BH123" i="140"/>
  <c r="BG123" i="140"/>
  <c r="BM122" i="140"/>
  <c r="BL122" i="140"/>
  <c r="BK122" i="140"/>
  <c r="BJ122" i="140"/>
  <c r="BI122" i="140"/>
  <c r="BH122" i="140"/>
  <c r="BG122" i="140"/>
  <c r="BM121" i="140"/>
  <c r="BL121" i="140"/>
  <c r="BK121" i="140"/>
  <c r="BJ121" i="140"/>
  <c r="BI121" i="140"/>
  <c r="BH121" i="140"/>
  <c r="BG121" i="140"/>
  <c r="BM120" i="140"/>
  <c r="BL120" i="140"/>
  <c r="BK120" i="140"/>
  <c r="BJ120" i="140"/>
  <c r="BI120" i="140"/>
  <c r="BH120" i="140"/>
  <c r="BG120" i="140"/>
  <c r="BM119" i="140"/>
  <c r="BL119" i="140"/>
  <c r="BK119" i="140"/>
  <c r="BJ119" i="140"/>
  <c r="BI119" i="140"/>
  <c r="BH119" i="140"/>
  <c r="BG119" i="140"/>
  <c r="BM118" i="140"/>
  <c r="BL118" i="140"/>
  <c r="BK118" i="140"/>
  <c r="BJ118" i="140"/>
  <c r="BI118" i="140"/>
  <c r="BH118" i="140"/>
  <c r="BG118" i="140"/>
  <c r="BM117" i="140"/>
  <c r="BL117" i="140"/>
  <c r="BK117" i="140"/>
  <c r="BJ117" i="140"/>
  <c r="BI117" i="140"/>
  <c r="BH117" i="140"/>
  <c r="BG117" i="140"/>
  <c r="BM116" i="140"/>
  <c r="BL116" i="140"/>
  <c r="BK116" i="140"/>
  <c r="BJ116" i="140"/>
  <c r="BI116" i="140"/>
  <c r="BH116" i="140"/>
  <c r="BG116" i="140"/>
  <c r="BM115" i="140"/>
  <c r="BL115" i="140"/>
  <c r="BK115" i="140"/>
  <c r="BJ115" i="140"/>
  <c r="BI115" i="140"/>
  <c r="BH115" i="140"/>
  <c r="BG115" i="140"/>
  <c r="BM114" i="140"/>
  <c r="BL114" i="140"/>
  <c r="BK114" i="140"/>
  <c r="BJ114" i="140"/>
  <c r="BI114" i="140"/>
  <c r="BH114" i="140"/>
  <c r="BG114" i="140"/>
  <c r="BM113" i="140"/>
  <c r="BL113" i="140"/>
  <c r="BK113" i="140"/>
  <c r="BJ113" i="140"/>
  <c r="BI113" i="140"/>
  <c r="BH113" i="140"/>
  <c r="BG113" i="140"/>
  <c r="BM112" i="140"/>
  <c r="BL112" i="140"/>
  <c r="BK112" i="140"/>
  <c r="BJ112" i="140"/>
  <c r="BI112" i="140"/>
  <c r="BH112" i="140"/>
  <c r="BG112" i="140"/>
  <c r="BM111" i="140"/>
  <c r="BL111" i="140"/>
  <c r="BK111" i="140"/>
  <c r="BJ111" i="140"/>
  <c r="BI111" i="140"/>
  <c r="BH111" i="140"/>
  <c r="BG111" i="140"/>
  <c r="BM110" i="140"/>
  <c r="BL110" i="140"/>
  <c r="BK110" i="140"/>
  <c r="BJ110" i="140"/>
  <c r="BI110" i="140"/>
  <c r="BH110" i="140"/>
  <c r="BG110" i="140"/>
  <c r="BM109" i="140"/>
  <c r="BL109" i="140"/>
  <c r="BK109" i="140"/>
  <c r="BJ109" i="140"/>
  <c r="BI109" i="140"/>
  <c r="BH109" i="140"/>
  <c r="BG109" i="140"/>
  <c r="BM108" i="140"/>
  <c r="BL108" i="140"/>
  <c r="BK108" i="140"/>
  <c r="BJ108" i="140"/>
  <c r="BI108" i="140"/>
  <c r="BH108" i="140"/>
  <c r="BG108" i="140"/>
  <c r="BM107" i="140"/>
  <c r="BL107" i="140"/>
  <c r="BK107" i="140"/>
  <c r="BJ107" i="140"/>
  <c r="BI107" i="140"/>
  <c r="BH107" i="140"/>
  <c r="BG107" i="140"/>
  <c r="BM106" i="140"/>
  <c r="BL106" i="140"/>
  <c r="BK106" i="140"/>
  <c r="BJ106" i="140"/>
  <c r="BI106" i="140"/>
  <c r="BH106" i="140"/>
  <c r="BG106" i="140"/>
  <c r="BM105" i="140"/>
  <c r="BL105" i="140"/>
  <c r="BK105" i="140"/>
  <c r="BJ105" i="140"/>
  <c r="BI105" i="140"/>
  <c r="BH105" i="140"/>
  <c r="BG105" i="140"/>
  <c r="BM104" i="140"/>
  <c r="BL104" i="140"/>
  <c r="BK104" i="140"/>
  <c r="BJ104" i="140"/>
  <c r="BI104" i="140"/>
  <c r="BH104" i="140"/>
  <c r="BG104" i="140"/>
  <c r="BM103" i="140"/>
  <c r="BL103" i="140"/>
  <c r="BK103" i="140"/>
  <c r="BJ103" i="140"/>
  <c r="BI103" i="140"/>
  <c r="BH103" i="140"/>
  <c r="BG103" i="140"/>
  <c r="BM102" i="140"/>
  <c r="BL102" i="140"/>
  <c r="BK102" i="140"/>
  <c r="BJ102" i="140"/>
  <c r="BI102" i="140"/>
  <c r="BH102" i="140"/>
  <c r="BG102" i="140"/>
  <c r="BM101" i="140"/>
  <c r="BL101" i="140"/>
  <c r="BK101" i="140"/>
  <c r="BJ101" i="140"/>
  <c r="BI101" i="140"/>
  <c r="BH101" i="140"/>
  <c r="BG101" i="140"/>
  <c r="BM100" i="140"/>
  <c r="BL100" i="140"/>
  <c r="BK100" i="140"/>
  <c r="BJ100" i="140"/>
  <c r="BI100" i="140"/>
  <c r="BH100" i="140"/>
  <c r="BG100" i="140"/>
  <c r="BM99" i="140"/>
  <c r="BL99" i="140"/>
  <c r="BK99" i="140"/>
  <c r="BJ99" i="140"/>
  <c r="BI99" i="140"/>
  <c r="BH99" i="140"/>
  <c r="BG99" i="140"/>
  <c r="BM98" i="140"/>
  <c r="BL98" i="140"/>
  <c r="BK98" i="140"/>
  <c r="BJ98" i="140"/>
  <c r="BI98" i="140"/>
  <c r="BH98" i="140"/>
  <c r="BG98" i="140"/>
  <c r="BM97" i="140"/>
  <c r="BL97" i="140"/>
  <c r="BK97" i="140"/>
  <c r="BJ97" i="140"/>
  <c r="BI97" i="140"/>
  <c r="BH97" i="140"/>
  <c r="BG97" i="140"/>
  <c r="BM96" i="140"/>
  <c r="BL96" i="140"/>
  <c r="BK96" i="140"/>
  <c r="BJ96" i="140"/>
  <c r="BI96" i="140"/>
  <c r="BH96" i="140"/>
  <c r="BG96" i="140"/>
  <c r="BM95" i="140"/>
  <c r="BL95" i="140"/>
  <c r="BK95" i="140"/>
  <c r="BJ95" i="140"/>
  <c r="BI95" i="140"/>
  <c r="BH95" i="140"/>
  <c r="BG95" i="140"/>
  <c r="BM94" i="140"/>
  <c r="BL94" i="140"/>
  <c r="BK94" i="140"/>
  <c r="BJ94" i="140"/>
  <c r="BI94" i="140"/>
  <c r="BH94" i="140"/>
  <c r="BG94" i="140"/>
  <c r="BM93" i="140"/>
  <c r="BL93" i="140"/>
  <c r="BK93" i="140"/>
  <c r="BJ93" i="140"/>
  <c r="BI93" i="140"/>
  <c r="BH93" i="140"/>
  <c r="BG93" i="140"/>
  <c r="BM92" i="140"/>
  <c r="BL92" i="140"/>
  <c r="BK92" i="140"/>
  <c r="BJ92" i="140"/>
  <c r="BI92" i="140"/>
  <c r="BH92" i="140"/>
  <c r="BG92" i="140"/>
  <c r="BM91" i="140"/>
  <c r="BL91" i="140"/>
  <c r="BK91" i="140"/>
  <c r="BJ91" i="140"/>
  <c r="BI91" i="140"/>
  <c r="BH91" i="140"/>
  <c r="BG91" i="140"/>
  <c r="BM90" i="140"/>
  <c r="BL90" i="140"/>
  <c r="BK90" i="140"/>
  <c r="BJ90" i="140"/>
  <c r="BI90" i="140"/>
  <c r="BH90" i="140"/>
  <c r="BG90" i="140"/>
  <c r="BM89" i="140"/>
  <c r="BL89" i="140"/>
  <c r="BK89" i="140"/>
  <c r="BJ89" i="140"/>
  <c r="BI89" i="140"/>
  <c r="BH89" i="140"/>
  <c r="BG89" i="140"/>
  <c r="BM88" i="140"/>
  <c r="BL88" i="140"/>
  <c r="BK88" i="140"/>
  <c r="BJ88" i="140"/>
  <c r="BI88" i="140"/>
  <c r="BH88" i="140"/>
  <c r="BG88" i="140"/>
  <c r="BM87" i="140"/>
  <c r="BL87" i="140"/>
  <c r="BK87" i="140"/>
  <c r="BJ87" i="140"/>
  <c r="BI87" i="140"/>
  <c r="BH87" i="140"/>
  <c r="BG87" i="140"/>
  <c r="BM86" i="140"/>
  <c r="BL86" i="140"/>
  <c r="BK86" i="140"/>
  <c r="BJ86" i="140"/>
  <c r="BI86" i="140"/>
  <c r="BH86" i="140"/>
  <c r="BG86" i="140"/>
  <c r="BM85" i="140"/>
  <c r="BL85" i="140"/>
  <c r="BK85" i="140"/>
  <c r="BJ85" i="140"/>
  <c r="BI85" i="140"/>
  <c r="BH85" i="140"/>
  <c r="BG85" i="140"/>
  <c r="BM84" i="140"/>
  <c r="BL84" i="140"/>
  <c r="BK84" i="140"/>
  <c r="BJ84" i="140"/>
  <c r="BI84" i="140"/>
  <c r="BH84" i="140"/>
  <c r="BG84" i="140"/>
  <c r="BM83" i="140"/>
  <c r="BL83" i="140"/>
  <c r="BK83" i="140"/>
  <c r="BJ83" i="140"/>
  <c r="BI83" i="140"/>
  <c r="BH83" i="140"/>
  <c r="BG83" i="140"/>
  <c r="BM82" i="140"/>
  <c r="BL82" i="140"/>
  <c r="BK82" i="140"/>
  <c r="BJ82" i="140"/>
  <c r="BI82" i="140"/>
  <c r="BH82" i="140"/>
  <c r="BG82" i="140"/>
  <c r="BM81" i="140"/>
  <c r="BL81" i="140"/>
  <c r="BK81" i="140"/>
  <c r="BJ81" i="140"/>
  <c r="BI81" i="140"/>
  <c r="BH81" i="140"/>
  <c r="BG81" i="140"/>
  <c r="BM80" i="140"/>
  <c r="BL80" i="140"/>
  <c r="BK80" i="140"/>
  <c r="BJ80" i="140"/>
  <c r="BI80" i="140"/>
  <c r="BH80" i="140"/>
  <c r="BG80" i="140"/>
  <c r="BM79" i="140"/>
  <c r="BL79" i="140"/>
  <c r="BK79" i="140"/>
  <c r="BJ79" i="140"/>
  <c r="BI79" i="140"/>
  <c r="BH79" i="140"/>
  <c r="BG79" i="140"/>
  <c r="BM78" i="140"/>
  <c r="BL78" i="140"/>
  <c r="BK78" i="140"/>
  <c r="BJ78" i="140"/>
  <c r="BI78" i="140"/>
  <c r="BH78" i="140"/>
  <c r="BG78" i="140"/>
  <c r="BM77" i="140"/>
  <c r="BL77" i="140"/>
  <c r="BK77" i="140"/>
  <c r="BJ77" i="140"/>
  <c r="BI77" i="140"/>
  <c r="BH77" i="140"/>
  <c r="BG77" i="140"/>
  <c r="BM76" i="140"/>
  <c r="BL76" i="140"/>
  <c r="BK76" i="140"/>
  <c r="BJ76" i="140"/>
  <c r="BI76" i="140"/>
  <c r="BH76" i="140"/>
  <c r="BG76" i="140"/>
  <c r="BM75" i="140"/>
  <c r="BL75" i="140"/>
  <c r="BK75" i="140"/>
  <c r="BJ75" i="140"/>
  <c r="BI75" i="140"/>
  <c r="BH75" i="140"/>
  <c r="BG75" i="140"/>
  <c r="BM74" i="140"/>
  <c r="BL74" i="140"/>
  <c r="BK74" i="140"/>
  <c r="BJ74" i="140"/>
  <c r="BI74" i="140"/>
  <c r="BH74" i="140"/>
  <c r="BG74" i="140"/>
  <c r="BM73" i="140"/>
  <c r="BL73" i="140"/>
  <c r="BK73" i="140"/>
  <c r="BJ73" i="140"/>
  <c r="BI73" i="140"/>
  <c r="BH73" i="140"/>
  <c r="BG73" i="140"/>
  <c r="BM72" i="140"/>
  <c r="BL72" i="140"/>
  <c r="BK72" i="140"/>
  <c r="BJ72" i="140"/>
  <c r="BI72" i="140"/>
  <c r="BH72" i="140"/>
  <c r="BG72" i="140"/>
  <c r="BM71" i="140"/>
  <c r="BL71" i="140"/>
  <c r="BK71" i="140"/>
  <c r="BJ71" i="140"/>
  <c r="BI71" i="140"/>
  <c r="BH71" i="140"/>
  <c r="BG71" i="140"/>
  <c r="BM70" i="140"/>
  <c r="BL70" i="140"/>
  <c r="BK70" i="140"/>
  <c r="BJ70" i="140"/>
  <c r="BI70" i="140"/>
  <c r="BH70" i="140"/>
  <c r="BG70" i="140"/>
  <c r="BM69" i="140"/>
  <c r="BL69" i="140"/>
  <c r="BK69" i="140"/>
  <c r="BJ69" i="140"/>
  <c r="BI69" i="140"/>
  <c r="BH69" i="140"/>
  <c r="BG69" i="140"/>
  <c r="BM68" i="140"/>
  <c r="BL68" i="140"/>
  <c r="BK68" i="140"/>
  <c r="BJ68" i="140"/>
  <c r="BI68" i="140"/>
  <c r="BH68" i="140"/>
  <c r="BG68" i="140"/>
  <c r="BM67" i="140"/>
  <c r="BL67" i="140"/>
  <c r="BK67" i="140"/>
  <c r="BJ67" i="140"/>
  <c r="BI67" i="140"/>
  <c r="BH67" i="140"/>
  <c r="BG67" i="140"/>
  <c r="BM66" i="140"/>
  <c r="BL66" i="140"/>
  <c r="BK66" i="140"/>
  <c r="BJ66" i="140"/>
  <c r="BI66" i="140"/>
  <c r="BH66" i="140"/>
  <c r="BG66" i="140"/>
  <c r="BM65" i="140"/>
  <c r="BL65" i="140"/>
  <c r="BK65" i="140"/>
  <c r="BJ65" i="140"/>
  <c r="BI65" i="140"/>
  <c r="BH65" i="140"/>
  <c r="BG65" i="140"/>
  <c r="BM64" i="140"/>
  <c r="BL64" i="140"/>
  <c r="BK64" i="140"/>
  <c r="BJ64" i="140"/>
  <c r="BI64" i="140"/>
  <c r="BH64" i="140"/>
  <c r="BG64" i="140"/>
  <c r="BM63" i="140"/>
  <c r="BL63" i="140"/>
  <c r="BK63" i="140"/>
  <c r="BJ63" i="140"/>
  <c r="BI63" i="140"/>
  <c r="BH63" i="140"/>
  <c r="BG63" i="140"/>
  <c r="BM62" i="140"/>
  <c r="BL62" i="140"/>
  <c r="BK62" i="140"/>
  <c r="BJ62" i="140"/>
  <c r="BI62" i="140"/>
  <c r="BH62" i="140"/>
  <c r="BG62" i="140"/>
  <c r="BM61" i="140"/>
  <c r="BL61" i="140"/>
  <c r="BK61" i="140"/>
  <c r="BJ61" i="140"/>
  <c r="BI61" i="140"/>
  <c r="BH61" i="140"/>
  <c r="BG61" i="140"/>
  <c r="BM60" i="140"/>
  <c r="BL60" i="140"/>
  <c r="BK60" i="140"/>
  <c r="BJ60" i="140"/>
  <c r="BI60" i="140"/>
  <c r="BH60" i="140"/>
  <c r="BG60" i="140"/>
  <c r="BM59" i="140"/>
  <c r="BL59" i="140"/>
  <c r="BK59" i="140"/>
  <c r="BJ59" i="140"/>
  <c r="BI59" i="140"/>
  <c r="BH59" i="140"/>
  <c r="BG59" i="140"/>
  <c r="BM58" i="140"/>
  <c r="BL58" i="140"/>
  <c r="BK58" i="140"/>
  <c r="BJ58" i="140"/>
  <c r="BI58" i="140"/>
  <c r="BH58" i="140"/>
  <c r="BG58" i="140"/>
  <c r="BM57" i="140"/>
  <c r="BL57" i="140"/>
  <c r="BK57" i="140"/>
  <c r="BJ57" i="140"/>
  <c r="BI57" i="140"/>
  <c r="BH57" i="140"/>
  <c r="BG57" i="140"/>
  <c r="BM56" i="140"/>
  <c r="BL56" i="140"/>
  <c r="BK56" i="140"/>
  <c r="BJ56" i="140"/>
  <c r="BI56" i="140"/>
  <c r="BH56" i="140"/>
  <c r="BG56" i="140"/>
  <c r="BM55" i="140"/>
  <c r="BL55" i="140"/>
  <c r="BK55" i="140"/>
  <c r="BJ55" i="140"/>
  <c r="BI55" i="140"/>
  <c r="BH55" i="140"/>
  <c r="BG55" i="140"/>
  <c r="BM54" i="140"/>
  <c r="BL54" i="140"/>
  <c r="BK54" i="140"/>
  <c r="BJ54" i="140"/>
  <c r="BI54" i="140"/>
  <c r="BH54" i="140"/>
  <c r="BG54" i="140"/>
  <c r="BM53" i="140"/>
  <c r="BL53" i="140"/>
  <c r="BK53" i="140"/>
  <c r="BJ53" i="140"/>
  <c r="BI53" i="140"/>
  <c r="BH53" i="140"/>
  <c r="BG53" i="140"/>
  <c r="BM52" i="140"/>
  <c r="BL52" i="140"/>
  <c r="BK52" i="140"/>
  <c r="BJ52" i="140"/>
  <c r="BI52" i="140"/>
  <c r="BH52" i="140"/>
  <c r="BG52" i="140"/>
  <c r="BM51" i="140"/>
  <c r="BL51" i="140"/>
  <c r="BK51" i="140"/>
  <c r="BJ51" i="140"/>
  <c r="BI51" i="140"/>
  <c r="BH51" i="140"/>
  <c r="BG51" i="140"/>
  <c r="BM50" i="140"/>
  <c r="BL50" i="140"/>
  <c r="BK50" i="140"/>
  <c r="BJ50" i="140"/>
  <c r="BI50" i="140"/>
  <c r="BH50" i="140"/>
  <c r="BG50" i="140"/>
  <c r="BM49" i="140"/>
  <c r="BL49" i="140"/>
  <c r="BK49" i="140"/>
  <c r="BJ49" i="140"/>
  <c r="BI49" i="140"/>
  <c r="BH49" i="140"/>
  <c r="BG49" i="140"/>
  <c r="BM48" i="140"/>
  <c r="BL48" i="140"/>
  <c r="BK48" i="140"/>
  <c r="BJ48" i="140"/>
  <c r="BI48" i="140"/>
  <c r="BH48" i="140"/>
  <c r="BG48" i="140"/>
  <c r="BM47" i="140"/>
  <c r="BL47" i="140"/>
  <c r="BK47" i="140"/>
  <c r="BJ47" i="140"/>
  <c r="BI47" i="140"/>
  <c r="BH47" i="140"/>
  <c r="BG47" i="140"/>
  <c r="BM46" i="140"/>
  <c r="BL46" i="140"/>
  <c r="BK46" i="140"/>
  <c r="BJ46" i="140"/>
  <c r="BI46" i="140"/>
  <c r="BH46" i="140"/>
  <c r="BG46" i="140"/>
  <c r="BM45" i="140"/>
  <c r="BL45" i="140"/>
  <c r="BK45" i="140"/>
  <c r="BJ45" i="140"/>
  <c r="BI45" i="140"/>
  <c r="BH45" i="140"/>
  <c r="BG45" i="140"/>
  <c r="BM44" i="140"/>
  <c r="BL44" i="140"/>
  <c r="BK44" i="140"/>
  <c r="BJ44" i="140"/>
  <c r="BI44" i="140"/>
  <c r="BH44" i="140"/>
  <c r="BG44" i="140"/>
  <c r="BM43" i="140"/>
  <c r="BL43" i="140"/>
  <c r="BK43" i="140"/>
  <c r="BJ43" i="140"/>
  <c r="BI43" i="140"/>
  <c r="BH43" i="140"/>
  <c r="BG43" i="140"/>
  <c r="BM42" i="140"/>
  <c r="BL42" i="140"/>
  <c r="BK42" i="140"/>
  <c r="BJ42" i="140"/>
  <c r="BI42" i="140"/>
  <c r="BH42" i="140"/>
  <c r="BG42" i="140"/>
  <c r="BM41" i="140"/>
  <c r="BL41" i="140"/>
  <c r="BK41" i="140"/>
  <c r="BJ41" i="140"/>
  <c r="BI41" i="140"/>
  <c r="BH41" i="140"/>
  <c r="BG41" i="140"/>
  <c r="BM40" i="140"/>
  <c r="BL40" i="140"/>
  <c r="BK40" i="140"/>
  <c r="BJ40" i="140"/>
  <c r="BI40" i="140"/>
  <c r="BH40" i="140"/>
  <c r="BG40" i="140"/>
  <c r="BM39" i="140"/>
  <c r="BL39" i="140"/>
  <c r="BK39" i="140"/>
  <c r="BJ39" i="140"/>
  <c r="BI39" i="140"/>
  <c r="BH39" i="140"/>
  <c r="BG39" i="140"/>
  <c r="BM38" i="140"/>
  <c r="BL38" i="140"/>
  <c r="BK38" i="140"/>
  <c r="BJ38" i="140"/>
  <c r="BI38" i="140"/>
  <c r="BH38" i="140"/>
  <c r="BG38" i="140"/>
  <c r="BM37" i="140"/>
  <c r="BL37" i="140"/>
  <c r="BK37" i="140"/>
  <c r="BJ37" i="140"/>
  <c r="BI37" i="140"/>
  <c r="BH37" i="140"/>
  <c r="BG37" i="140"/>
  <c r="BM36" i="140"/>
  <c r="BL36" i="140"/>
  <c r="BK36" i="140"/>
  <c r="BJ36" i="140"/>
  <c r="BI36" i="140"/>
  <c r="BH36" i="140"/>
  <c r="BG36" i="140"/>
  <c r="BM35" i="140"/>
  <c r="BL35" i="140"/>
  <c r="BK35" i="140"/>
  <c r="BJ35" i="140"/>
  <c r="BI35" i="140"/>
  <c r="BH35" i="140"/>
  <c r="BG35" i="140"/>
  <c r="BM34" i="140"/>
  <c r="BL34" i="140"/>
  <c r="BK34" i="140"/>
  <c r="BJ34" i="140"/>
  <c r="BI34" i="140"/>
  <c r="BH34" i="140"/>
  <c r="BG34" i="140"/>
  <c r="BM33" i="140"/>
  <c r="BL33" i="140"/>
  <c r="BK33" i="140"/>
  <c r="BJ33" i="140"/>
  <c r="BI33" i="140"/>
  <c r="BH33" i="140"/>
  <c r="BG33" i="140"/>
  <c r="BM32" i="140"/>
  <c r="BL32" i="140"/>
  <c r="BK32" i="140"/>
  <c r="BJ32" i="140"/>
  <c r="BI32" i="140"/>
  <c r="BH32" i="140"/>
  <c r="BG32" i="140"/>
  <c r="BM31" i="140"/>
  <c r="BL31" i="140"/>
  <c r="BK31" i="140"/>
  <c r="BJ31" i="140"/>
  <c r="BI31" i="140"/>
  <c r="BH31" i="140"/>
  <c r="BG31" i="140"/>
  <c r="BM30" i="140"/>
  <c r="BL30" i="140"/>
  <c r="BK30" i="140"/>
  <c r="BJ30" i="140"/>
  <c r="BI30" i="140"/>
  <c r="BH30" i="140"/>
  <c r="BG30" i="140"/>
  <c r="BM29" i="140"/>
  <c r="BL29" i="140"/>
  <c r="BK29" i="140"/>
  <c r="BJ29" i="140"/>
  <c r="BI29" i="140"/>
  <c r="BH29" i="140"/>
  <c r="BG29" i="140"/>
  <c r="BM28" i="140"/>
  <c r="BL28" i="140"/>
  <c r="BK28" i="140"/>
  <c r="BJ28" i="140"/>
  <c r="BI28" i="140"/>
  <c r="BH28" i="140"/>
  <c r="BG28" i="140"/>
  <c r="BM27" i="140"/>
  <c r="BL27" i="140"/>
  <c r="BK27" i="140"/>
  <c r="BJ27" i="140"/>
  <c r="BI27" i="140"/>
  <c r="BH27" i="140"/>
  <c r="BG27" i="140"/>
  <c r="BM26" i="140"/>
  <c r="BL26" i="140"/>
  <c r="BK26" i="140"/>
  <c r="BJ26" i="140"/>
  <c r="BI26" i="140"/>
  <c r="BH26" i="140"/>
  <c r="BG26" i="140"/>
  <c r="BM25" i="140"/>
  <c r="BL25" i="140"/>
  <c r="BK25" i="140"/>
  <c r="BJ25" i="140"/>
  <c r="BI25" i="140"/>
  <c r="BH25" i="140"/>
  <c r="BG25" i="140"/>
  <c r="BM24" i="140"/>
  <c r="BL24" i="140"/>
  <c r="BK24" i="140"/>
  <c r="BJ24" i="140"/>
  <c r="BI24" i="140"/>
  <c r="BH24" i="140"/>
  <c r="BG24" i="140"/>
  <c r="BM23" i="140"/>
  <c r="BL23" i="140"/>
  <c r="BK23" i="140"/>
  <c r="BJ23" i="140"/>
  <c r="BI23" i="140"/>
  <c r="BH23" i="140"/>
  <c r="BG23" i="140"/>
  <c r="BM22" i="140"/>
  <c r="BL22" i="140"/>
  <c r="BK22" i="140"/>
  <c r="BJ22" i="140"/>
  <c r="BI22" i="140"/>
  <c r="BH22" i="140"/>
  <c r="BG22" i="140"/>
  <c r="BM21" i="140"/>
  <c r="BL21" i="140"/>
  <c r="BK21" i="140"/>
  <c r="BJ21" i="140"/>
  <c r="BI21" i="140"/>
  <c r="BH21" i="140"/>
  <c r="BG21" i="140"/>
  <c r="BM20" i="140"/>
  <c r="BL20" i="140"/>
  <c r="BK20" i="140"/>
  <c r="BJ20" i="140"/>
  <c r="BI20" i="140"/>
  <c r="BH20" i="140"/>
  <c r="BG20" i="140"/>
  <c r="BM19" i="140"/>
  <c r="BL19" i="140"/>
  <c r="BK19" i="140"/>
  <c r="BJ19" i="140"/>
  <c r="BI19" i="140"/>
  <c r="BH19" i="140"/>
  <c r="BG19" i="140"/>
  <c r="BM18" i="140"/>
  <c r="BL18" i="140"/>
  <c r="BK18" i="140"/>
  <c r="BJ18" i="140"/>
  <c r="BI18" i="140"/>
  <c r="BH18" i="140"/>
  <c r="BG18" i="140"/>
  <c r="BM17" i="140"/>
  <c r="BL17" i="140"/>
  <c r="BK17" i="140"/>
  <c r="BJ17" i="140"/>
  <c r="BI17" i="140"/>
  <c r="BH17" i="140"/>
  <c r="BG17" i="140"/>
  <c r="BM16" i="140"/>
  <c r="BL16" i="140"/>
  <c r="BK16" i="140"/>
  <c r="BJ16" i="140"/>
  <c r="BI16" i="140"/>
  <c r="BH16" i="140"/>
  <c r="BG16" i="140"/>
  <c r="BM15" i="140"/>
  <c r="BL15" i="140"/>
  <c r="BK15" i="140"/>
  <c r="BJ15" i="140"/>
  <c r="BI15" i="140"/>
  <c r="BH15" i="140"/>
  <c r="BG15" i="140"/>
  <c r="BM14" i="140"/>
  <c r="BL14" i="140"/>
  <c r="BK14" i="140"/>
  <c r="BJ14" i="140"/>
  <c r="BI14" i="140"/>
  <c r="BH14" i="140"/>
  <c r="BG14" i="140"/>
  <c r="BM13" i="140"/>
  <c r="BL13" i="140"/>
  <c r="BK13" i="140"/>
  <c r="BJ13" i="140"/>
  <c r="BI13" i="140"/>
  <c r="BH13" i="140"/>
  <c r="BG13" i="140"/>
  <c r="BM12" i="140"/>
  <c r="BL12" i="140"/>
  <c r="BK12" i="140"/>
  <c r="BJ12" i="140"/>
  <c r="BI12" i="140"/>
  <c r="BH12" i="140"/>
  <c r="BG12" i="140"/>
  <c r="BM11" i="140"/>
  <c r="BL11" i="140"/>
  <c r="BK11" i="140"/>
  <c r="BJ11" i="140"/>
  <c r="BI11" i="140"/>
  <c r="BH11" i="140"/>
  <c r="BG11" i="140"/>
  <c r="BM10" i="140"/>
  <c r="BL10" i="140"/>
  <c r="BK10" i="140"/>
  <c r="BJ10" i="140"/>
  <c r="BI10" i="140"/>
  <c r="BH10" i="140"/>
  <c r="BG10" i="140"/>
  <c r="BM9" i="140"/>
  <c r="BL9" i="140"/>
  <c r="BK9" i="140"/>
  <c r="BJ9" i="140"/>
  <c r="BI9" i="140"/>
  <c r="BH9" i="140"/>
  <c r="BG9" i="140"/>
  <c r="BM8" i="140"/>
  <c r="BL8" i="140"/>
  <c r="BK8" i="140"/>
  <c r="BJ8" i="140"/>
  <c r="BI8" i="140"/>
  <c r="BH8" i="140"/>
  <c r="BG8" i="140"/>
  <c r="BM7" i="140"/>
  <c r="BL7" i="140"/>
  <c r="BK7" i="140"/>
  <c r="BJ7" i="140"/>
  <c r="BI7" i="140"/>
  <c r="BH7" i="140"/>
  <c r="BG7" i="140"/>
  <c r="BM6" i="140"/>
  <c r="BL6" i="140"/>
  <c r="BK6" i="140"/>
  <c r="BJ6" i="140"/>
  <c r="BI6" i="140"/>
  <c r="BH6" i="140"/>
  <c r="BG6" i="140"/>
  <c r="BM5" i="140"/>
  <c r="BL5" i="140"/>
  <c r="BK5" i="140"/>
  <c r="BJ5" i="140"/>
  <c r="BI5" i="140"/>
  <c r="BH5" i="140"/>
  <c r="BG5" i="140"/>
  <c r="BM4" i="140"/>
  <c r="BL4" i="140"/>
  <c r="BK4" i="140"/>
  <c r="BJ4" i="140"/>
  <c r="BI4" i="140"/>
  <c r="BH4" i="140"/>
  <c r="BG4" i="140"/>
  <c r="BM3" i="140"/>
  <c r="BL3" i="140"/>
  <c r="BK3" i="140"/>
  <c r="BJ3" i="140"/>
  <c r="BI3" i="140"/>
  <c r="BH3" i="140"/>
  <c r="BG3" i="140"/>
  <c r="BM2" i="140"/>
  <c r="BL2" i="140"/>
  <c r="BK2" i="140"/>
  <c r="BJ2" i="140"/>
  <c r="BI2" i="140"/>
  <c r="BH2" i="140"/>
  <c r="BG2" i="140"/>
  <c r="T346" i="5" l="1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H53" i="4"/>
  <c r="G52" i="4"/>
  <c r="G51" i="4"/>
  <c r="G50" i="4"/>
  <c r="G48" i="4"/>
  <c r="G47" i="4"/>
  <c r="G46" i="4"/>
  <c r="G45" i="4"/>
  <c r="G44" i="4"/>
  <c r="G43" i="4"/>
  <c r="G42" i="4"/>
  <c r="G40" i="4"/>
  <c r="G39" i="4"/>
  <c r="G36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3" i="4"/>
  <c r="G12" i="4"/>
  <c r="G11" i="4"/>
  <c r="G10" i="4"/>
  <c r="G9" i="4"/>
  <c r="G8" i="4"/>
  <c r="G7" i="4"/>
  <c r="H28" i="17"/>
  <c r="G28" i="17"/>
  <c r="G27" i="17"/>
  <c r="G26" i="17"/>
  <c r="G25" i="17"/>
  <c r="G24" i="17"/>
  <c r="G23" i="17"/>
  <c r="G22" i="17"/>
  <c r="H21" i="17"/>
  <c r="G21" i="17"/>
  <c r="G20" i="17"/>
  <c r="G19" i="17"/>
  <c r="G18" i="17"/>
  <c r="G17" i="17"/>
  <c r="H16" i="17"/>
  <c r="G16" i="17"/>
  <c r="G15" i="17"/>
  <c r="G14" i="17"/>
  <c r="G13" i="17"/>
  <c r="G12" i="17"/>
  <c r="G11" i="17"/>
  <c r="G10" i="17"/>
  <c r="G9" i="17"/>
  <c r="G8" i="17"/>
  <c r="G7" i="17"/>
  <c r="H53" i="6"/>
  <c r="G52" i="6"/>
  <c r="G51" i="6"/>
  <c r="G50" i="6"/>
  <c r="G49" i="6"/>
  <c r="G48" i="6"/>
  <c r="G47" i="6"/>
  <c r="G46" i="6"/>
  <c r="G45" i="6"/>
  <c r="G44" i="6"/>
  <c r="G43" i="6"/>
  <c r="G42" i="6"/>
  <c r="G41" i="6"/>
  <c r="G38" i="6"/>
  <c r="G36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4" i="6"/>
  <c r="G12" i="6"/>
  <c r="G11" i="6"/>
  <c r="G10" i="6"/>
  <c r="G9" i="6"/>
  <c r="G8" i="6"/>
  <c r="G7" i="6"/>
  <c r="H53" i="7"/>
  <c r="G52" i="7"/>
  <c r="G51" i="7"/>
  <c r="G50" i="7"/>
  <c r="G49" i="7"/>
  <c r="G48" i="7"/>
  <c r="G47" i="7"/>
  <c r="G46" i="7"/>
  <c r="G45" i="7"/>
  <c r="G44" i="7"/>
  <c r="G43" i="7"/>
  <c r="G42" i="7"/>
  <c r="G41" i="7"/>
  <c r="G38" i="7"/>
  <c r="G36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4" i="7"/>
  <c r="G12" i="7"/>
  <c r="G11" i="7"/>
  <c r="G10" i="7"/>
  <c r="G9" i="7"/>
  <c r="G8" i="7"/>
  <c r="G7" i="7"/>
  <c r="H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51" i="10"/>
  <c r="H49" i="10"/>
  <c r="G49" i="10"/>
  <c r="G48" i="10"/>
  <c r="G47" i="10"/>
  <c r="H46" i="10"/>
  <c r="G46" i="10"/>
  <c r="H45" i="10"/>
  <c r="G45" i="10"/>
  <c r="G44" i="10"/>
  <c r="G42" i="10"/>
  <c r="G41" i="10"/>
  <c r="G40" i="10"/>
  <c r="G39" i="10"/>
  <c r="G38" i="10"/>
  <c r="G37" i="10"/>
  <c r="G36" i="10"/>
  <c r="G35" i="10"/>
  <c r="G34" i="10"/>
  <c r="G33" i="10"/>
  <c r="H31" i="10"/>
  <c r="G31" i="10"/>
  <c r="H28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H47" i="11"/>
  <c r="E46" i="11"/>
  <c r="G45" i="11"/>
  <c r="E45" i="11"/>
  <c r="G44" i="11"/>
  <c r="E44" i="11"/>
  <c r="G43" i="11"/>
  <c r="E43" i="11"/>
  <c r="G42" i="11"/>
  <c r="E42" i="11"/>
  <c r="G41" i="11"/>
  <c r="E41" i="11"/>
  <c r="G40" i="11"/>
  <c r="E40" i="11"/>
  <c r="G39" i="11"/>
  <c r="E39" i="11"/>
  <c r="G38" i="11"/>
  <c r="E38" i="11"/>
  <c r="G37" i="11"/>
  <c r="E37" i="11"/>
  <c r="G36" i="11"/>
  <c r="E36" i="11"/>
  <c r="G35" i="11"/>
  <c r="E35" i="11"/>
  <c r="G34" i="11"/>
  <c r="E34" i="11"/>
  <c r="G33" i="11"/>
  <c r="E33" i="11"/>
  <c r="G32" i="11"/>
  <c r="E32" i="11"/>
  <c r="G31" i="11"/>
  <c r="E31" i="11"/>
  <c r="G30" i="11"/>
  <c r="E30" i="11"/>
  <c r="G29" i="11"/>
  <c r="E29" i="11"/>
  <c r="G28" i="11"/>
  <c r="E28" i="11"/>
  <c r="G27" i="11"/>
  <c r="E27" i="11"/>
  <c r="G26" i="11"/>
  <c r="E26" i="11"/>
  <c r="G25" i="11"/>
  <c r="E25" i="11"/>
  <c r="G24" i="11"/>
  <c r="E24" i="11"/>
  <c r="G23" i="11"/>
  <c r="E23" i="11"/>
  <c r="G22" i="11"/>
  <c r="E22" i="11"/>
  <c r="G21" i="11"/>
  <c r="E21" i="11"/>
  <c r="G20" i="11"/>
  <c r="E20" i="11"/>
  <c r="G19" i="11"/>
  <c r="E19" i="11"/>
  <c r="G18" i="11"/>
  <c r="E18" i="11"/>
  <c r="G17" i="11"/>
  <c r="E17" i="11"/>
  <c r="G16" i="11"/>
  <c r="E16" i="11"/>
  <c r="G15" i="11"/>
  <c r="E15" i="11"/>
  <c r="G14" i="11"/>
  <c r="E14" i="11"/>
  <c r="G13" i="11"/>
  <c r="E13" i="11"/>
  <c r="G12" i="11"/>
  <c r="E12" i="11"/>
  <c r="G11" i="11"/>
  <c r="E11" i="11"/>
  <c r="G10" i="11"/>
  <c r="E10" i="11"/>
  <c r="G9" i="11"/>
  <c r="E9" i="11"/>
  <c r="G8" i="11"/>
  <c r="E8" i="11"/>
  <c r="G7" i="11"/>
  <c r="E7" i="11"/>
  <c r="G47" i="12"/>
  <c r="G46" i="12"/>
  <c r="G45" i="12"/>
  <c r="H44" i="12"/>
  <c r="G44" i="12"/>
  <c r="G43" i="12"/>
  <c r="G42" i="12"/>
  <c r="G41" i="12"/>
  <c r="G40" i="12"/>
  <c r="H39" i="12"/>
  <c r="G39" i="12"/>
  <c r="H38" i="12"/>
  <c r="G38" i="12"/>
  <c r="G37" i="12"/>
  <c r="G36" i="12"/>
  <c r="G35" i="12"/>
  <c r="G34" i="12"/>
  <c r="G33" i="12"/>
  <c r="G32" i="12"/>
  <c r="G31" i="12"/>
  <c r="G30" i="12"/>
  <c r="H29" i="12"/>
  <c r="G29" i="12"/>
  <c r="G28" i="12"/>
  <c r="G27" i="12"/>
  <c r="H26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53" i="13"/>
  <c r="E49" i="13"/>
  <c r="G46" i="13"/>
  <c r="G45" i="13"/>
  <c r="H44" i="13"/>
  <c r="G44" i="13"/>
  <c r="G43" i="13"/>
  <c r="G42" i="13"/>
  <c r="E42" i="13"/>
  <c r="G41" i="13"/>
  <c r="G40" i="13"/>
  <c r="H39" i="13"/>
  <c r="G39" i="13"/>
  <c r="H38" i="13"/>
  <c r="G38" i="13"/>
  <c r="G37" i="13"/>
  <c r="G36" i="13"/>
  <c r="G35" i="13"/>
  <c r="G34" i="13"/>
  <c r="G33" i="13"/>
  <c r="E33" i="13"/>
  <c r="G32" i="13"/>
  <c r="E32" i="13"/>
  <c r="G31" i="13"/>
  <c r="G30" i="13"/>
  <c r="H29" i="13"/>
  <c r="G29" i="13"/>
  <c r="G28" i="13"/>
  <c r="G27" i="13"/>
  <c r="H26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55" i="14"/>
  <c r="E49" i="14"/>
  <c r="G46" i="14"/>
  <c r="G45" i="14"/>
  <c r="H44" i="14"/>
  <c r="G44" i="14"/>
  <c r="G43" i="14"/>
  <c r="G42" i="14"/>
  <c r="E42" i="14"/>
  <c r="G41" i="14"/>
  <c r="G40" i="14"/>
  <c r="H39" i="14"/>
  <c r="G39" i="14"/>
  <c r="H38" i="14"/>
  <c r="G38" i="14"/>
  <c r="G37" i="14"/>
  <c r="G36" i="14"/>
  <c r="G35" i="14"/>
  <c r="G34" i="14"/>
  <c r="G33" i="14"/>
  <c r="E33" i="14"/>
  <c r="G32" i="14"/>
  <c r="E32" i="14"/>
  <c r="G31" i="14"/>
  <c r="G30" i="14"/>
  <c r="H29" i="14"/>
  <c r="G29" i="14"/>
  <c r="G28" i="14"/>
  <c r="G27" i="14"/>
  <c r="H26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H28" i="16"/>
  <c r="G28" i="16"/>
  <c r="G27" i="16"/>
  <c r="G26" i="16"/>
  <c r="G25" i="16"/>
  <c r="G24" i="16"/>
  <c r="G23" i="16"/>
  <c r="G22" i="16"/>
  <c r="H21" i="16"/>
  <c r="G21" i="16"/>
  <c r="G20" i="16"/>
  <c r="G19" i="16"/>
  <c r="G18" i="16"/>
  <c r="G17" i="16"/>
  <c r="H16" i="16"/>
  <c r="G16" i="16"/>
  <c r="G15" i="16"/>
  <c r="G14" i="16"/>
  <c r="G13" i="16"/>
  <c r="G12" i="16"/>
  <c r="G11" i="16"/>
  <c r="G10" i="16"/>
  <c r="G9" i="16"/>
  <c r="G8" i="16"/>
  <c r="G7" i="16"/>
  <c r="H37" i="15"/>
  <c r="H29" i="15"/>
  <c r="H23" i="15"/>
  <c r="H17" i="15"/>
  <c r="E38" i="18"/>
  <c r="H37" i="18"/>
  <c r="E33" i="18"/>
  <c r="H29" i="18"/>
  <c r="E26" i="18"/>
  <c r="H23" i="18"/>
  <c r="E21" i="18"/>
  <c r="H17" i="18"/>
  <c r="E16" i="18"/>
  <c r="G51" i="19"/>
  <c r="H50" i="19"/>
  <c r="G50" i="19"/>
  <c r="G49" i="19"/>
  <c r="G48" i="19"/>
  <c r="G47" i="19"/>
  <c r="H46" i="19"/>
  <c r="G46" i="19"/>
  <c r="G45" i="19"/>
  <c r="G44" i="19"/>
  <c r="G43" i="19"/>
  <c r="H42" i="19"/>
  <c r="G42" i="19"/>
  <c r="G41" i="19"/>
  <c r="H40" i="19"/>
  <c r="G40" i="19"/>
  <c r="G39" i="19"/>
  <c r="H38" i="19"/>
  <c r="G38" i="19"/>
  <c r="G37" i="19"/>
  <c r="G36" i="19"/>
  <c r="G35" i="19"/>
  <c r="H34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H18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52" i="20"/>
  <c r="H51" i="20"/>
  <c r="G51" i="20"/>
  <c r="G50" i="20"/>
  <c r="G49" i="20"/>
  <c r="G48" i="20"/>
  <c r="G47" i="20"/>
  <c r="G46" i="20"/>
  <c r="G45" i="20"/>
  <c r="G44" i="20"/>
  <c r="G43" i="20"/>
  <c r="H42" i="20"/>
  <c r="G42" i="20"/>
  <c r="G41" i="20"/>
  <c r="H40" i="20"/>
  <c r="G40" i="20"/>
  <c r="G39" i="20"/>
  <c r="H38" i="20"/>
  <c r="G38" i="20"/>
  <c r="G37" i="20"/>
  <c r="G36" i="20"/>
  <c r="G35" i="20"/>
  <c r="G34" i="20"/>
  <c r="H33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H16" i="20"/>
  <c r="G16" i="20"/>
  <c r="G15" i="20"/>
  <c r="G14" i="20"/>
  <c r="G13" i="20"/>
  <c r="G12" i="20"/>
  <c r="G11" i="20"/>
  <c r="G10" i="20"/>
  <c r="G9" i="20"/>
  <c r="G8" i="20"/>
  <c r="G7" i="20"/>
  <c r="G46" i="21"/>
  <c r="H45" i="21"/>
  <c r="G45" i="21"/>
  <c r="G44" i="21"/>
  <c r="G43" i="21"/>
  <c r="G42" i="21"/>
  <c r="H41" i="21"/>
  <c r="G41" i="21"/>
  <c r="G40" i="21"/>
  <c r="G39" i="21"/>
  <c r="G38" i="21"/>
  <c r="H37" i="21"/>
  <c r="G37" i="21"/>
  <c r="G36" i="21"/>
  <c r="G35" i="21"/>
  <c r="G34" i="21"/>
  <c r="H33" i="21"/>
  <c r="G33" i="21"/>
  <c r="G32" i="21"/>
  <c r="G31" i="21"/>
  <c r="G30" i="21"/>
  <c r="H29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H15" i="21"/>
  <c r="G15" i="21"/>
  <c r="G14" i="21"/>
  <c r="G13" i="21"/>
  <c r="G12" i="21"/>
  <c r="G11" i="21"/>
  <c r="G10" i="21"/>
  <c r="G9" i="21"/>
  <c r="G8" i="21"/>
  <c r="G7" i="21"/>
  <c r="G52" i="22"/>
  <c r="E50" i="22"/>
  <c r="E47" i="22"/>
  <c r="H45" i="22"/>
  <c r="G45" i="22"/>
  <c r="G44" i="22"/>
  <c r="G43" i="22"/>
  <c r="G42" i="22"/>
  <c r="H41" i="22"/>
  <c r="G41" i="22"/>
  <c r="G40" i="22"/>
  <c r="G39" i="22"/>
  <c r="E39" i="22"/>
  <c r="G38" i="22"/>
  <c r="H37" i="22"/>
  <c r="G37" i="22"/>
  <c r="G36" i="22"/>
  <c r="G35" i="22"/>
  <c r="E35" i="22"/>
  <c r="G34" i="22"/>
  <c r="H33" i="22"/>
  <c r="G33" i="22"/>
  <c r="G32" i="22"/>
  <c r="G31" i="22"/>
  <c r="G30" i="22"/>
  <c r="H29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E18" i="22"/>
  <c r="G17" i="22"/>
  <c r="E17" i="22"/>
  <c r="G16" i="22"/>
  <c r="H15" i="22"/>
  <c r="G15" i="22"/>
  <c r="G14" i="22"/>
  <c r="G13" i="22"/>
  <c r="G12" i="22"/>
  <c r="G11" i="22"/>
  <c r="G10" i="22"/>
  <c r="G9" i="22"/>
  <c r="G8" i="22"/>
  <c r="G7" i="22"/>
  <c r="G49" i="23"/>
  <c r="H48" i="23"/>
  <c r="G48" i="23"/>
  <c r="G47" i="23"/>
  <c r="G46" i="23"/>
  <c r="H45" i="23"/>
  <c r="G45" i="23"/>
  <c r="H44" i="23"/>
  <c r="G44" i="23"/>
  <c r="G43" i="23"/>
  <c r="G42" i="23"/>
  <c r="G41" i="23"/>
  <c r="G40" i="23"/>
  <c r="G39" i="23"/>
  <c r="G38" i="23"/>
  <c r="G37" i="23"/>
  <c r="H36" i="23"/>
  <c r="G36" i="23"/>
  <c r="G35" i="23"/>
  <c r="G34" i="23"/>
  <c r="G33" i="23"/>
  <c r="G32" i="23"/>
  <c r="G31" i="23"/>
  <c r="H30" i="23"/>
  <c r="G30" i="23"/>
  <c r="G29" i="23"/>
  <c r="H28" i="23"/>
  <c r="G28" i="23"/>
  <c r="G27" i="23"/>
  <c r="H26" i="23"/>
  <c r="G26" i="23"/>
  <c r="G25" i="23"/>
  <c r="G24" i="23"/>
  <c r="G23" i="23"/>
  <c r="G22" i="23"/>
  <c r="G21" i="23"/>
  <c r="G20" i="23"/>
  <c r="G19" i="23"/>
  <c r="G18" i="23"/>
  <c r="G17" i="23"/>
  <c r="H16" i="23"/>
  <c r="G16" i="23"/>
  <c r="H15" i="23"/>
  <c r="G15" i="23"/>
  <c r="G14" i="23"/>
  <c r="G13" i="23"/>
  <c r="G12" i="23"/>
  <c r="G11" i="23"/>
  <c r="G10" i="23"/>
  <c r="G9" i="23"/>
  <c r="G8" i="23"/>
  <c r="G7" i="23"/>
  <c r="G47" i="25"/>
  <c r="G46" i="25"/>
  <c r="G45" i="25"/>
  <c r="H44" i="25"/>
  <c r="G44" i="25"/>
  <c r="E44" i="25"/>
  <c r="G43" i="25"/>
  <c r="H42" i="25"/>
  <c r="G42" i="25"/>
  <c r="E42" i="25"/>
  <c r="G41" i="25"/>
  <c r="G40" i="25"/>
  <c r="G39" i="25"/>
  <c r="G38" i="25"/>
  <c r="G37" i="25"/>
  <c r="H36" i="25"/>
  <c r="G36" i="25"/>
  <c r="E36" i="25"/>
  <c r="G35" i="25"/>
  <c r="G34" i="25"/>
  <c r="G33" i="25"/>
  <c r="G32" i="25"/>
  <c r="H31" i="25"/>
  <c r="G31" i="25"/>
  <c r="E31" i="25"/>
  <c r="G30" i="25"/>
  <c r="G29" i="25"/>
  <c r="H28" i="25"/>
  <c r="G28" i="25"/>
  <c r="E28" i="25"/>
  <c r="G27" i="25"/>
  <c r="E27" i="25"/>
  <c r="G26" i="25"/>
  <c r="E26" i="25"/>
  <c r="G25" i="25"/>
  <c r="G24" i="25"/>
  <c r="G23" i="25"/>
  <c r="G22" i="25"/>
  <c r="G21" i="25"/>
  <c r="G20" i="25"/>
  <c r="G19" i="25"/>
  <c r="G18" i="25"/>
  <c r="G17" i="25"/>
  <c r="G16" i="25"/>
  <c r="H15" i="25"/>
  <c r="G15" i="25"/>
  <c r="E15" i="25"/>
  <c r="G14" i="25"/>
  <c r="G13" i="25"/>
  <c r="G12" i="25"/>
  <c r="G11" i="25"/>
  <c r="G10" i="25"/>
  <c r="G9" i="25"/>
  <c r="G8" i="25"/>
  <c r="G7" i="25"/>
  <c r="G49" i="27"/>
  <c r="G48" i="27"/>
  <c r="G47" i="27"/>
  <c r="G46" i="27"/>
  <c r="G45" i="27"/>
  <c r="G44" i="27"/>
  <c r="G43" i="27"/>
  <c r="G42" i="27"/>
  <c r="G41" i="27"/>
  <c r="G40" i="27"/>
  <c r="H39" i="27"/>
  <c r="G39" i="27"/>
  <c r="E39" i="27"/>
  <c r="H38" i="27"/>
  <c r="G38" i="27"/>
  <c r="E38" i="27"/>
  <c r="G37" i="27"/>
  <c r="G36" i="27"/>
  <c r="G35" i="27"/>
  <c r="G34" i="27"/>
  <c r="G33" i="27"/>
  <c r="G32" i="27"/>
  <c r="G31" i="27"/>
  <c r="H30" i="27"/>
  <c r="G30" i="27"/>
  <c r="E30" i="27"/>
  <c r="H29" i="27"/>
  <c r="G29" i="27"/>
  <c r="E29" i="27"/>
  <c r="H28" i="27"/>
  <c r="G28" i="27"/>
  <c r="E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49" i="28"/>
  <c r="G48" i="28"/>
  <c r="G47" i="28"/>
  <c r="G46" i="28"/>
  <c r="G45" i="28"/>
  <c r="G44" i="28"/>
  <c r="G43" i="28"/>
  <c r="G42" i="28"/>
  <c r="G41" i="28"/>
  <c r="G40" i="28"/>
  <c r="H39" i="28"/>
  <c r="G39" i="28"/>
  <c r="H38" i="28"/>
  <c r="G38" i="28"/>
  <c r="G37" i="28"/>
  <c r="G36" i="28"/>
  <c r="G35" i="28"/>
  <c r="E35" i="28"/>
  <c r="G34" i="28"/>
  <c r="G33" i="28"/>
  <c r="E33" i="28"/>
  <c r="G32" i="28"/>
  <c r="E32" i="28"/>
  <c r="G31" i="28"/>
  <c r="E31" i="28"/>
  <c r="H30" i="28"/>
  <c r="G30" i="28"/>
  <c r="H29" i="28"/>
  <c r="G29" i="28"/>
  <c r="H28" i="28"/>
  <c r="G28" i="28"/>
  <c r="E28" i="28"/>
  <c r="G27" i="28"/>
  <c r="G26" i="28"/>
  <c r="E26" i="28"/>
  <c r="G25" i="28"/>
  <c r="E25" i="28"/>
  <c r="G24" i="28"/>
  <c r="E24" i="28"/>
  <c r="G23" i="28"/>
  <c r="G22" i="28"/>
  <c r="G21" i="28"/>
  <c r="G20" i="28"/>
  <c r="G19" i="28"/>
  <c r="G18" i="28"/>
  <c r="G17" i="28"/>
  <c r="G16" i="28"/>
  <c r="G15" i="28"/>
  <c r="E15" i="28"/>
  <c r="G14" i="28"/>
  <c r="G13" i="28"/>
  <c r="G12" i="28"/>
  <c r="G11" i="28"/>
  <c r="G10" i="28"/>
  <c r="G9" i="28"/>
  <c r="G8" i="28"/>
  <c r="G7" i="28"/>
  <c r="G38" i="29"/>
  <c r="G35" i="29"/>
  <c r="G34" i="29"/>
  <c r="G33" i="29"/>
  <c r="G32" i="29"/>
  <c r="H31" i="29"/>
  <c r="G31" i="29"/>
  <c r="H30" i="29"/>
  <c r="G30" i="29"/>
  <c r="H29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4" i="29"/>
  <c r="G13" i="29"/>
  <c r="G12" i="29"/>
  <c r="G11" i="29"/>
  <c r="G10" i="29"/>
  <c r="G9" i="29"/>
  <c r="G8" i="29"/>
  <c r="G7" i="29"/>
  <c r="O72" i="8"/>
  <c r="K72" i="8"/>
  <c r="K71" i="8"/>
  <c r="K70" i="8"/>
  <c r="K69" i="8"/>
  <c r="K68" i="8"/>
  <c r="O67" i="8"/>
  <c r="K67" i="8"/>
  <c r="K66" i="8"/>
  <c r="K65" i="8"/>
  <c r="K64" i="8"/>
  <c r="K63" i="8"/>
  <c r="K62" i="8"/>
  <c r="K61" i="8"/>
  <c r="K60" i="8"/>
  <c r="O59" i="8"/>
  <c r="K59" i="8"/>
  <c r="K58" i="8"/>
  <c r="O57" i="8"/>
  <c r="K57" i="8"/>
  <c r="K56" i="8"/>
  <c r="K55" i="8"/>
  <c r="O54" i="8"/>
  <c r="K54" i="8"/>
  <c r="K53" i="8"/>
  <c r="K52" i="8"/>
  <c r="K51" i="8"/>
  <c r="K50" i="8"/>
  <c r="K49" i="8"/>
  <c r="K48" i="8"/>
  <c r="K47" i="8"/>
  <c r="K46" i="8"/>
  <c r="K45" i="8"/>
  <c r="K44" i="8"/>
  <c r="O43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O29" i="8"/>
  <c r="K29" i="8"/>
  <c r="O28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A3" i="8"/>
  <c r="O444" i="216"/>
  <c r="N444" i="216"/>
  <c r="O443" i="216"/>
  <c r="N443" i="216"/>
  <c r="O442" i="216"/>
  <c r="N442" i="216"/>
  <c r="O441" i="216"/>
  <c r="N441" i="216"/>
  <c r="O440" i="216"/>
  <c r="N440" i="216"/>
  <c r="O439" i="216"/>
  <c r="N439" i="216"/>
  <c r="O438" i="216"/>
  <c r="N438" i="216"/>
  <c r="O437" i="216"/>
  <c r="N437" i="216"/>
  <c r="O436" i="216"/>
  <c r="N436" i="216"/>
  <c r="O435" i="216"/>
  <c r="N435" i="216"/>
  <c r="O434" i="216"/>
  <c r="N434" i="216"/>
  <c r="O433" i="216"/>
  <c r="N433" i="216"/>
  <c r="O432" i="216"/>
  <c r="N432" i="216"/>
  <c r="O431" i="216"/>
  <c r="N431" i="216"/>
  <c r="O430" i="216"/>
  <c r="N430" i="216"/>
  <c r="O429" i="216"/>
  <c r="N429" i="216"/>
  <c r="O428" i="216"/>
  <c r="N428" i="216"/>
  <c r="O427" i="216"/>
  <c r="N427" i="216"/>
  <c r="O426" i="216"/>
  <c r="N426" i="216"/>
  <c r="O425" i="216"/>
  <c r="N425" i="216"/>
  <c r="O424" i="216"/>
  <c r="N424" i="216"/>
  <c r="O423" i="216"/>
  <c r="N423" i="216"/>
  <c r="O422" i="216"/>
  <c r="N422" i="216"/>
  <c r="O421" i="216"/>
  <c r="N421" i="216"/>
  <c r="O420" i="216"/>
  <c r="N420" i="216"/>
  <c r="O419" i="216"/>
  <c r="N419" i="216"/>
  <c r="O418" i="216"/>
  <c r="N418" i="216"/>
  <c r="O417" i="216"/>
  <c r="N417" i="216"/>
  <c r="O416" i="216"/>
  <c r="N416" i="216"/>
  <c r="O415" i="216"/>
  <c r="N415" i="216"/>
  <c r="O414" i="216"/>
  <c r="N414" i="216"/>
  <c r="O413" i="216"/>
  <c r="N413" i="216"/>
  <c r="O412" i="216"/>
  <c r="N412" i="216"/>
  <c r="O411" i="216"/>
  <c r="N411" i="216"/>
  <c r="O410" i="216"/>
  <c r="N410" i="216"/>
  <c r="O409" i="216"/>
  <c r="N409" i="216"/>
  <c r="O408" i="216"/>
  <c r="N408" i="216"/>
  <c r="O407" i="216"/>
  <c r="N407" i="216"/>
  <c r="O406" i="216"/>
  <c r="N406" i="216"/>
  <c r="O405" i="216"/>
  <c r="N405" i="216"/>
  <c r="O404" i="216"/>
  <c r="N404" i="216"/>
  <c r="O403" i="216"/>
  <c r="N403" i="216"/>
  <c r="O402" i="216"/>
  <c r="N402" i="216"/>
  <c r="O401" i="216"/>
  <c r="N401" i="216"/>
  <c r="O400" i="216"/>
  <c r="N400" i="216"/>
  <c r="O399" i="216"/>
  <c r="N399" i="216"/>
  <c r="O398" i="216"/>
  <c r="N398" i="216"/>
  <c r="O397" i="216"/>
  <c r="N397" i="216"/>
  <c r="O396" i="216"/>
  <c r="N396" i="216"/>
  <c r="O395" i="216"/>
  <c r="N395" i="216"/>
  <c r="O394" i="216"/>
  <c r="N394" i="216"/>
  <c r="O393" i="216"/>
  <c r="N393" i="216"/>
  <c r="O392" i="216"/>
  <c r="N392" i="216"/>
  <c r="O391" i="216"/>
  <c r="N391" i="216"/>
  <c r="O390" i="216"/>
  <c r="N390" i="216"/>
  <c r="O389" i="216"/>
  <c r="N389" i="216"/>
  <c r="O388" i="216"/>
  <c r="N388" i="216"/>
  <c r="O387" i="216"/>
  <c r="N387" i="216"/>
  <c r="O386" i="216"/>
  <c r="N386" i="216"/>
  <c r="O385" i="216"/>
  <c r="N385" i="216"/>
  <c r="O384" i="216"/>
  <c r="N384" i="216"/>
  <c r="O383" i="216"/>
  <c r="N383" i="216"/>
  <c r="O382" i="216"/>
  <c r="N382" i="216"/>
  <c r="O381" i="216"/>
  <c r="N381" i="216"/>
  <c r="O380" i="216"/>
  <c r="N380" i="216"/>
  <c r="O379" i="216"/>
  <c r="N379" i="216"/>
  <c r="O378" i="216"/>
  <c r="N378" i="216"/>
  <c r="O377" i="216"/>
  <c r="N377" i="216"/>
  <c r="O376" i="216"/>
  <c r="N376" i="216"/>
  <c r="O375" i="216"/>
  <c r="N375" i="216"/>
  <c r="O374" i="216"/>
  <c r="N374" i="216"/>
  <c r="O373" i="216"/>
  <c r="N373" i="216"/>
  <c r="O372" i="216"/>
  <c r="N372" i="216"/>
  <c r="O371" i="216"/>
  <c r="N371" i="216"/>
  <c r="O370" i="216"/>
  <c r="N370" i="216"/>
  <c r="O369" i="216"/>
  <c r="N369" i="216"/>
  <c r="O368" i="216"/>
  <c r="N368" i="216"/>
  <c r="O367" i="216"/>
  <c r="N367" i="216"/>
  <c r="O366" i="216"/>
  <c r="N366" i="216"/>
  <c r="O365" i="216"/>
  <c r="N365" i="216"/>
  <c r="O364" i="216"/>
  <c r="N364" i="216"/>
  <c r="O363" i="216"/>
  <c r="N363" i="216"/>
  <c r="O362" i="216"/>
  <c r="N362" i="216"/>
  <c r="O361" i="216"/>
  <c r="N361" i="216"/>
  <c r="O360" i="216"/>
  <c r="N360" i="216"/>
  <c r="O359" i="216"/>
  <c r="N359" i="216"/>
  <c r="O358" i="216"/>
  <c r="N358" i="216"/>
  <c r="O357" i="216"/>
  <c r="N357" i="216"/>
  <c r="O356" i="216"/>
  <c r="N356" i="216"/>
  <c r="O355" i="216"/>
  <c r="N355" i="216"/>
  <c r="O354" i="216"/>
  <c r="N354" i="216"/>
  <c r="O353" i="216"/>
  <c r="N353" i="216"/>
  <c r="O352" i="216"/>
  <c r="N352" i="216"/>
  <c r="O351" i="216"/>
  <c r="N351" i="216"/>
  <c r="O350" i="216"/>
  <c r="N350" i="216"/>
  <c r="O349" i="216"/>
  <c r="N349" i="216"/>
  <c r="O348" i="216"/>
  <c r="N348" i="216"/>
  <c r="O347" i="216"/>
  <c r="N347" i="216"/>
  <c r="O346" i="216"/>
  <c r="N346" i="216"/>
  <c r="O345" i="216"/>
  <c r="N345" i="216"/>
  <c r="O344" i="216"/>
  <c r="N344" i="216"/>
  <c r="O343" i="216"/>
  <c r="N343" i="216"/>
  <c r="O342" i="216"/>
  <c r="N342" i="216"/>
  <c r="O341" i="216"/>
  <c r="N341" i="216"/>
  <c r="O340" i="216"/>
  <c r="N340" i="216"/>
  <c r="O339" i="216"/>
  <c r="N339" i="216"/>
  <c r="O338" i="216"/>
  <c r="N338" i="216"/>
  <c r="O337" i="216"/>
  <c r="N337" i="216"/>
  <c r="O336" i="216"/>
  <c r="N336" i="216"/>
  <c r="O335" i="216"/>
  <c r="N335" i="216"/>
  <c r="O334" i="216"/>
  <c r="N334" i="216"/>
  <c r="O333" i="216"/>
  <c r="N333" i="216"/>
  <c r="O332" i="216"/>
  <c r="N332" i="216"/>
  <c r="O331" i="216"/>
  <c r="N331" i="216"/>
  <c r="O330" i="216"/>
  <c r="N330" i="216"/>
  <c r="O329" i="216"/>
  <c r="N329" i="216"/>
  <c r="O328" i="216"/>
  <c r="N328" i="216"/>
  <c r="O327" i="216"/>
  <c r="N327" i="216"/>
  <c r="O326" i="216"/>
  <c r="N326" i="216"/>
  <c r="O325" i="216"/>
  <c r="N325" i="216"/>
  <c r="O324" i="216"/>
  <c r="N324" i="216"/>
  <c r="O323" i="216"/>
  <c r="N323" i="216"/>
  <c r="O322" i="216"/>
  <c r="N322" i="216"/>
  <c r="O321" i="216"/>
  <c r="N321" i="216"/>
  <c r="O320" i="216"/>
  <c r="N320" i="216"/>
  <c r="O319" i="216"/>
  <c r="N319" i="216"/>
  <c r="O318" i="216"/>
  <c r="N318" i="216"/>
  <c r="O317" i="216"/>
  <c r="N317" i="216"/>
  <c r="O316" i="216"/>
  <c r="N316" i="216"/>
  <c r="O315" i="216"/>
  <c r="N315" i="216"/>
  <c r="O314" i="216"/>
  <c r="N314" i="216"/>
  <c r="O313" i="216"/>
  <c r="N313" i="216"/>
  <c r="O312" i="216"/>
  <c r="N312" i="216"/>
  <c r="O311" i="216"/>
  <c r="N311" i="216"/>
  <c r="O310" i="216"/>
  <c r="N310" i="216"/>
  <c r="O309" i="216"/>
  <c r="N309" i="216"/>
  <c r="O308" i="216"/>
  <c r="N308" i="216"/>
  <c r="O307" i="216"/>
  <c r="N307" i="216"/>
  <c r="O306" i="216"/>
  <c r="N306" i="216"/>
  <c r="O305" i="216"/>
  <c r="N305" i="216"/>
  <c r="O304" i="216"/>
  <c r="N304" i="216"/>
  <c r="O303" i="216"/>
  <c r="N303" i="216"/>
  <c r="O302" i="216"/>
  <c r="N302" i="216"/>
  <c r="O301" i="216"/>
  <c r="N301" i="216"/>
  <c r="O300" i="216"/>
  <c r="N300" i="216"/>
  <c r="O299" i="216"/>
  <c r="N299" i="216"/>
  <c r="O298" i="216"/>
  <c r="N298" i="216"/>
  <c r="O297" i="216"/>
  <c r="N297" i="216"/>
  <c r="O296" i="216"/>
  <c r="N296" i="216"/>
  <c r="O295" i="216"/>
  <c r="N295" i="216"/>
  <c r="O294" i="216"/>
  <c r="N294" i="216"/>
  <c r="O293" i="216"/>
  <c r="N293" i="216"/>
  <c r="O292" i="216"/>
  <c r="N292" i="216"/>
  <c r="O291" i="216"/>
  <c r="N291" i="216"/>
  <c r="O290" i="216"/>
  <c r="N290" i="216"/>
  <c r="O289" i="216"/>
  <c r="N289" i="216"/>
  <c r="O288" i="216"/>
  <c r="N288" i="216"/>
  <c r="O287" i="216"/>
  <c r="N287" i="216"/>
  <c r="O286" i="216"/>
  <c r="N286" i="216"/>
  <c r="O285" i="216"/>
  <c r="N285" i="216"/>
  <c r="O284" i="216"/>
  <c r="N284" i="216"/>
  <c r="O283" i="216"/>
  <c r="N283" i="216"/>
  <c r="O282" i="216"/>
  <c r="N282" i="216"/>
  <c r="O281" i="216"/>
  <c r="N281" i="216"/>
  <c r="O280" i="216"/>
  <c r="N280" i="216"/>
  <c r="O279" i="216"/>
  <c r="N279" i="216"/>
  <c r="O278" i="216"/>
  <c r="N278" i="216"/>
  <c r="O277" i="216"/>
  <c r="N277" i="216"/>
  <c r="O276" i="216"/>
  <c r="N276" i="216"/>
  <c r="O275" i="216"/>
  <c r="N275" i="216"/>
  <c r="O274" i="216"/>
  <c r="N274" i="216"/>
  <c r="O273" i="216"/>
  <c r="N273" i="216"/>
  <c r="O272" i="216"/>
  <c r="N272" i="216"/>
  <c r="O271" i="216"/>
  <c r="N271" i="216"/>
  <c r="O270" i="216"/>
  <c r="N270" i="216"/>
  <c r="O269" i="216"/>
  <c r="N269" i="216"/>
  <c r="O268" i="216"/>
  <c r="N268" i="216"/>
  <c r="O267" i="216"/>
  <c r="N267" i="216"/>
  <c r="O266" i="216"/>
  <c r="N266" i="216"/>
  <c r="O265" i="216"/>
  <c r="N265" i="216"/>
  <c r="O264" i="216"/>
  <c r="N264" i="216"/>
  <c r="O263" i="216"/>
  <c r="N263" i="216"/>
  <c r="O262" i="216"/>
  <c r="N262" i="216"/>
  <c r="O261" i="216"/>
  <c r="N261" i="216"/>
  <c r="O260" i="216"/>
  <c r="N260" i="216"/>
  <c r="O259" i="216"/>
  <c r="N259" i="216"/>
  <c r="O258" i="216"/>
  <c r="N258" i="216"/>
  <c r="O257" i="216"/>
  <c r="N257" i="216"/>
  <c r="O256" i="216"/>
  <c r="N256" i="216"/>
  <c r="O255" i="216"/>
  <c r="N255" i="216"/>
  <c r="O254" i="216"/>
  <c r="N254" i="216"/>
  <c r="O253" i="216"/>
  <c r="N253" i="216"/>
  <c r="O252" i="216"/>
  <c r="N252" i="216"/>
  <c r="O251" i="216"/>
  <c r="N251" i="216"/>
  <c r="O250" i="216"/>
  <c r="N250" i="216"/>
  <c r="O249" i="216"/>
  <c r="N249" i="216"/>
  <c r="O248" i="216"/>
  <c r="N248" i="216"/>
  <c r="O247" i="216"/>
  <c r="N247" i="216"/>
  <c r="O246" i="216"/>
  <c r="N246" i="216"/>
  <c r="O245" i="216"/>
  <c r="N245" i="216"/>
  <c r="O244" i="216"/>
  <c r="N244" i="216"/>
  <c r="O243" i="216"/>
  <c r="N243" i="216"/>
  <c r="O242" i="216"/>
  <c r="N242" i="216"/>
  <c r="O241" i="216"/>
  <c r="N241" i="216"/>
  <c r="O240" i="216"/>
  <c r="N240" i="216"/>
  <c r="O239" i="216"/>
  <c r="N239" i="216"/>
  <c r="O238" i="216"/>
  <c r="N238" i="216"/>
  <c r="O237" i="216"/>
  <c r="N237" i="216"/>
  <c r="O236" i="216"/>
  <c r="N236" i="216"/>
  <c r="O235" i="216"/>
  <c r="N235" i="216"/>
  <c r="O234" i="216"/>
  <c r="N234" i="216"/>
  <c r="O233" i="216"/>
  <c r="N233" i="216"/>
  <c r="O232" i="216"/>
  <c r="N232" i="216"/>
  <c r="O231" i="216"/>
  <c r="N231" i="216"/>
  <c r="O230" i="216"/>
  <c r="N230" i="216"/>
  <c r="O229" i="216"/>
  <c r="N229" i="216"/>
  <c r="O228" i="216"/>
  <c r="N228" i="216"/>
  <c r="O227" i="216"/>
  <c r="N227" i="216"/>
  <c r="O226" i="216"/>
  <c r="N226" i="216"/>
  <c r="O225" i="216"/>
  <c r="N225" i="216"/>
  <c r="O224" i="216"/>
  <c r="N224" i="216"/>
  <c r="O223" i="216"/>
  <c r="N223" i="216"/>
  <c r="O222" i="216"/>
  <c r="N222" i="216"/>
  <c r="O221" i="216"/>
  <c r="N221" i="216"/>
  <c r="O220" i="216"/>
  <c r="N220" i="216"/>
  <c r="O219" i="216"/>
  <c r="N219" i="216"/>
  <c r="O218" i="216"/>
  <c r="N218" i="216"/>
  <c r="O217" i="216"/>
  <c r="N217" i="216"/>
  <c r="O216" i="216"/>
  <c r="N216" i="216"/>
  <c r="O215" i="216"/>
  <c r="N215" i="216"/>
  <c r="O214" i="216"/>
  <c r="N214" i="216"/>
  <c r="O213" i="216"/>
  <c r="N213" i="216"/>
  <c r="O212" i="216"/>
  <c r="N212" i="216"/>
  <c r="O211" i="216"/>
  <c r="N211" i="216"/>
  <c r="O210" i="216"/>
  <c r="N210" i="216"/>
  <c r="O209" i="216"/>
  <c r="N209" i="216"/>
  <c r="O208" i="216"/>
  <c r="N208" i="216"/>
  <c r="O207" i="216"/>
  <c r="N207" i="216"/>
  <c r="O206" i="216"/>
  <c r="N206" i="216"/>
  <c r="O205" i="216"/>
  <c r="N205" i="216"/>
  <c r="O204" i="216"/>
  <c r="N204" i="216"/>
  <c r="O203" i="216"/>
  <c r="N203" i="216"/>
  <c r="O202" i="216"/>
  <c r="N202" i="216"/>
  <c r="O201" i="216"/>
  <c r="N201" i="216"/>
  <c r="O200" i="216"/>
  <c r="N200" i="216"/>
  <c r="O199" i="216"/>
  <c r="N199" i="216"/>
  <c r="O198" i="216"/>
  <c r="N198" i="216"/>
  <c r="O197" i="216"/>
  <c r="N197" i="216"/>
  <c r="O196" i="216"/>
  <c r="N196" i="216"/>
  <c r="O195" i="216"/>
  <c r="N195" i="216"/>
  <c r="O194" i="216"/>
  <c r="N194" i="216"/>
  <c r="O193" i="216"/>
  <c r="N193" i="216"/>
  <c r="O192" i="216"/>
  <c r="N192" i="216"/>
  <c r="O191" i="216"/>
  <c r="N191" i="216"/>
  <c r="O190" i="216"/>
  <c r="N190" i="216"/>
  <c r="O189" i="216"/>
  <c r="N189" i="216"/>
  <c r="O188" i="216"/>
  <c r="N188" i="216"/>
  <c r="O187" i="216"/>
  <c r="N187" i="216"/>
  <c r="O186" i="216"/>
  <c r="N186" i="216"/>
  <c r="O185" i="216"/>
  <c r="N185" i="216"/>
  <c r="O184" i="216"/>
  <c r="N184" i="216"/>
  <c r="O183" i="216"/>
  <c r="N183" i="216"/>
  <c r="O182" i="216"/>
  <c r="N182" i="216"/>
  <c r="O181" i="216"/>
  <c r="N181" i="216"/>
  <c r="O180" i="216"/>
  <c r="N180" i="216"/>
  <c r="O179" i="216"/>
  <c r="N179" i="216"/>
  <c r="O178" i="216"/>
  <c r="N178" i="216"/>
  <c r="O177" i="216"/>
  <c r="N177" i="216"/>
  <c r="O176" i="216"/>
  <c r="N176" i="216"/>
  <c r="O175" i="216"/>
  <c r="N175" i="216"/>
  <c r="O174" i="216"/>
  <c r="N174" i="216"/>
  <c r="O173" i="216"/>
  <c r="N173" i="216"/>
  <c r="O172" i="216"/>
  <c r="N172" i="216"/>
  <c r="O171" i="216"/>
  <c r="N171" i="216"/>
  <c r="O170" i="216"/>
  <c r="N170" i="216"/>
  <c r="O169" i="216"/>
  <c r="N169" i="216"/>
  <c r="O168" i="216"/>
  <c r="N168" i="216"/>
  <c r="O167" i="216"/>
  <c r="N167" i="216"/>
  <c r="O166" i="216"/>
  <c r="N166" i="216"/>
  <c r="O165" i="216"/>
  <c r="N165" i="216"/>
  <c r="O164" i="216"/>
  <c r="N164" i="216"/>
  <c r="O163" i="216"/>
  <c r="N163" i="216"/>
  <c r="O162" i="216"/>
  <c r="N162" i="216"/>
  <c r="O161" i="216"/>
  <c r="N161" i="216"/>
  <c r="O160" i="216"/>
  <c r="N160" i="216"/>
  <c r="O159" i="216"/>
  <c r="N159" i="216"/>
  <c r="O158" i="216"/>
  <c r="N158" i="216"/>
  <c r="O157" i="216"/>
  <c r="N157" i="216"/>
  <c r="O156" i="216"/>
  <c r="N156" i="216"/>
  <c r="O155" i="216"/>
  <c r="N155" i="216"/>
  <c r="O154" i="216"/>
  <c r="N154" i="216"/>
  <c r="O153" i="216"/>
  <c r="N153" i="216"/>
  <c r="O152" i="216"/>
  <c r="N152" i="216"/>
  <c r="O151" i="216"/>
  <c r="N151" i="216"/>
  <c r="O150" i="216"/>
  <c r="N150" i="216"/>
  <c r="O149" i="216"/>
  <c r="N149" i="216"/>
  <c r="O148" i="216"/>
  <c r="N148" i="216"/>
  <c r="O147" i="216"/>
  <c r="N147" i="216"/>
  <c r="O146" i="216"/>
  <c r="N146" i="216"/>
  <c r="O145" i="216"/>
  <c r="N145" i="216"/>
  <c r="O144" i="216"/>
  <c r="N144" i="216"/>
  <c r="O143" i="216"/>
  <c r="N143" i="216"/>
  <c r="O142" i="216"/>
  <c r="N142" i="216"/>
  <c r="O141" i="216"/>
  <c r="N141" i="216"/>
  <c r="O140" i="216"/>
  <c r="N140" i="216"/>
  <c r="O139" i="216"/>
  <c r="N139" i="216"/>
  <c r="O138" i="216"/>
  <c r="N138" i="216"/>
  <c r="O137" i="216"/>
  <c r="N137" i="216"/>
  <c r="O136" i="216"/>
  <c r="N136" i="216"/>
  <c r="O135" i="216"/>
  <c r="N135" i="216"/>
  <c r="O134" i="216"/>
  <c r="N134" i="216"/>
  <c r="O133" i="216"/>
  <c r="N133" i="216"/>
  <c r="O132" i="216"/>
  <c r="N132" i="216"/>
  <c r="O131" i="216"/>
  <c r="N131" i="216"/>
  <c r="O130" i="216"/>
  <c r="N130" i="216"/>
  <c r="O129" i="216"/>
  <c r="N129" i="216"/>
  <c r="O128" i="216"/>
  <c r="N128" i="216"/>
  <c r="O127" i="216"/>
  <c r="N127" i="216"/>
  <c r="O126" i="216"/>
  <c r="N126" i="216"/>
  <c r="O125" i="216"/>
  <c r="N125" i="216"/>
  <c r="O124" i="216"/>
  <c r="N124" i="216"/>
  <c r="O123" i="216"/>
  <c r="N123" i="216"/>
  <c r="O122" i="216"/>
  <c r="N122" i="216"/>
  <c r="O121" i="216"/>
  <c r="N121" i="216"/>
  <c r="O120" i="216"/>
  <c r="N120" i="216"/>
  <c r="O119" i="216"/>
  <c r="N119" i="216"/>
  <c r="O118" i="216"/>
  <c r="N118" i="216"/>
  <c r="O117" i="216"/>
  <c r="N117" i="216"/>
  <c r="O116" i="216"/>
  <c r="N116" i="216"/>
  <c r="O115" i="216"/>
  <c r="N115" i="216"/>
  <c r="O114" i="216"/>
  <c r="N114" i="216"/>
  <c r="O113" i="216"/>
  <c r="N113" i="216"/>
  <c r="O112" i="216"/>
  <c r="N112" i="216"/>
  <c r="O111" i="216"/>
  <c r="N111" i="216"/>
  <c r="O110" i="216"/>
  <c r="N110" i="216"/>
  <c r="O109" i="216"/>
  <c r="N109" i="216"/>
  <c r="O108" i="216"/>
  <c r="N108" i="216"/>
  <c r="O107" i="216"/>
  <c r="N107" i="216"/>
  <c r="O106" i="216"/>
  <c r="N106" i="216"/>
  <c r="O105" i="216"/>
  <c r="N105" i="216"/>
  <c r="O104" i="216"/>
  <c r="N104" i="216"/>
  <c r="O103" i="216"/>
  <c r="N103" i="216"/>
  <c r="O102" i="216"/>
  <c r="N102" i="216"/>
  <c r="O101" i="216"/>
  <c r="N101" i="216"/>
  <c r="O100" i="216"/>
  <c r="N100" i="216"/>
  <c r="O99" i="216"/>
  <c r="N99" i="216"/>
  <c r="O98" i="216"/>
  <c r="N98" i="216"/>
  <c r="O97" i="216"/>
  <c r="N97" i="216"/>
  <c r="O96" i="216"/>
  <c r="N96" i="216"/>
  <c r="O95" i="216"/>
  <c r="N95" i="216"/>
  <c r="O94" i="216"/>
  <c r="N94" i="216"/>
  <c r="O93" i="216"/>
  <c r="N93" i="216"/>
  <c r="O92" i="216"/>
  <c r="N92" i="216"/>
  <c r="O91" i="216"/>
  <c r="N91" i="216"/>
  <c r="O90" i="216"/>
  <c r="N90" i="216"/>
  <c r="O89" i="216"/>
  <c r="N89" i="216"/>
  <c r="O88" i="216"/>
  <c r="N88" i="216"/>
  <c r="O87" i="216"/>
  <c r="N87" i="216"/>
  <c r="O86" i="216"/>
  <c r="N86" i="216"/>
  <c r="O85" i="216"/>
  <c r="N85" i="216"/>
  <c r="O84" i="216"/>
  <c r="N84" i="216"/>
  <c r="O83" i="216"/>
  <c r="N83" i="216"/>
  <c r="O82" i="216"/>
  <c r="N82" i="216"/>
  <c r="O81" i="216"/>
  <c r="N81" i="216"/>
  <c r="O80" i="216"/>
  <c r="N80" i="216"/>
  <c r="O79" i="216"/>
  <c r="N79" i="216"/>
  <c r="O78" i="216"/>
  <c r="N78" i="216"/>
  <c r="O77" i="216"/>
  <c r="N77" i="216"/>
  <c r="O76" i="216"/>
  <c r="N76" i="216"/>
  <c r="O75" i="216"/>
  <c r="N75" i="216"/>
  <c r="O74" i="216"/>
  <c r="N74" i="216"/>
  <c r="O73" i="216"/>
  <c r="N73" i="216"/>
  <c r="O72" i="216"/>
  <c r="N72" i="216"/>
  <c r="O71" i="216"/>
  <c r="N71" i="216"/>
  <c r="O70" i="216"/>
  <c r="N70" i="216"/>
  <c r="O69" i="216"/>
  <c r="N69" i="216"/>
  <c r="O68" i="216"/>
  <c r="N68" i="216"/>
  <c r="O67" i="216"/>
  <c r="N67" i="216"/>
  <c r="O66" i="216"/>
  <c r="N66" i="216"/>
  <c r="O65" i="216"/>
  <c r="N65" i="216"/>
  <c r="O64" i="216"/>
  <c r="N64" i="216"/>
  <c r="O63" i="216"/>
  <c r="N63" i="216"/>
  <c r="O62" i="216"/>
  <c r="N62" i="216"/>
  <c r="O61" i="216"/>
  <c r="N61" i="216"/>
  <c r="O60" i="216"/>
  <c r="N60" i="216"/>
  <c r="O59" i="216"/>
  <c r="N59" i="216"/>
  <c r="O58" i="216"/>
  <c r="N58" i="216"/>
  <c r="O57" i="216"/>
  <c r="N57" i="216"/>
  <c r="O56" i="216"/>
  <c r="N56" i="216"/>
  <c r="O55" i="216"/>
  <c r="N55" i="216"/>
  <c r="O54" i="216"/>
  <c r="N54" i="216"/>
  <c r="O53" i="216"/>
  <c r="N53" i="216"/>
  <c r="O52" i="216"/>
  <c r="N52" i="216"/>
  <c r="O51" i="216"/>
  <c r="N51" i="216"/>
  <c r="O50" i="216"/>
  <c r="N50" i="216"/>
  <c r="O49" i="216"/>
  <c r="N49" i="216"/>
  <c r="O48" i="216"/>
  <c r="N48" i="216"/>
  <c r="O47" i="216"/>
  <c r="N47" i="216"/>
  <c r="O46" i="216"/>
  <c r="N46" i="216"/>
  <c r="O45" i="216"/>
  <c r="N45" i="216"/>
  <c r="O44" i="216"/>
  <c r="N44" i="216"/>
  <c r="O43" i="216"/>
  <c r="N43" i="216"/>
  <c r="O42" i="216"/>
  <c r="N42" i="216"/>
  <c r="O41" i="216"/>
  <c r="N41" i="216"/>
  <c r="O40" i="216"/>
  <c r="N40" i="216"/>
  <c r="O39" i="216"/>
  <c r="N39" i="216"/>
  <c r="O38" i="216"/>
  <c r="N38" i="216"/>
  <c r="O37" i="216"/>
  <c r="N37" i="216"/>
  <c r="O36" i="216"/>
  <c r="N36" i="216"/>
  <c r="O35" i="216"/>
  <c r="N35" i="216"/>
  <c r="O34" i="216"/>
  <c r="N34" i="216"/>
  <c r="O33" i="216"/>
  <c r="N33" i="216"/>
  <c r="O32" i="216"/>
  <c r="N32" i="216"/>
  <c r="O31" i="216"/>
  <c r="N31" i="216"/>
  <c r="O30" i="216"/>
  <c r="N30" i="216"/>
  <c r="O29" i="216"/>
  <c r="N29" i="216"/>
  <c r="O28" i="216"/>
  <c r="N28" i="216"/>
  <c r="O27" i="216"/>
  <c r="N27" i="216"/>
  <c r="O26" i="216"/>
  <c r="N26" i="216"/>
  <c r="O25" i="216"/>
  <c r="N25" i="216"/>
  <c r="O24" i="216"/>
  <c r="N24" i="216"/>
  <c r="O23" i="216"/>
  <c r="N23" i="216"/>
  <c r="O22" i="216"/>
  <c r="N22" i="216"/>
  <c r="O21" i="216"/>
  <c r="N21" i="216"/>
  <c r="O20" i="216"/>
  <c r="N20" i="216"/>
  <c r="O19" i="216"/>
  <c r="N19" i="216"/>
  <c r="O18" i="216"/>
  <c r="N18" i="216"/>
  <c r="O17" i="216"/>
  <c r="N17" i="216"/>
  <c r="O16" i="216"/>
  <c r="N16" i="216"/>
  <c r="O15" i="216"/>
  <c r="N15" i="216"/>
  <c r="O14" i="216"/>
  <c r="N14" i="216"/>
  <c r="O13" i="216"/>
  <c r="N13" i="216"/>
  <c r="O12" i="216"/>
  <c r="N12" i="216"/>
  <c r="O11" i="216"/>
  <c r="N11" i="216"/>
  <c r="O10" i="216"/>
  <c r="N10" i="216"/>
  <c r="O9" i="216"/>
  <c r="N9" i="216"/>
  <c r="O8" i="216"/>
  <c r="N8" i="216"/>
  <c r="O7" i="216"/>
  <c r="N7" i="216"/>
  <c r="O6" i="216"/>
  <c r="N6" i="216"/>
  <c r="O5" i="216"/>
  <c r="N5" i="216"/>
  <c r="O4" i="216"/>
  <c r="N4" i="216"/>
  <c r="O3" i="216"/>
  <c r="N3" i="216"/>
  <c r="O2" i="216"/>
  <c r="N2" i="216"/>
  <c r="H56" i="14" l="1"/>
  <c r="H48" i="12"/>
  <c r="H53" i="22"/>
  <c r="H29" i="16"/>
  <c r="H49" i="27"/>
  <c r="H53" i="20"/>
  <c r="H52" i="19"/>
  <c r="H49" i="28"/>
  <c r="H47" i="21"/>
  <c r="H52" i="18"/>
  <c r="H52" i="15"/>
  <c r="H38" i="29"/>
  <c r="H29" i="17"/>
  <c r="O73" i="8"/>
  <c r="H50" i="23"/>
  <c r="H48" i="25"/>
  <c r="H54" i="13"/>
  <c r="H5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11" authorId="0" shapeId="0" xr:uid="{00000000-0006-0000-3000-000001000000}">
      <text>
        <r>
          <rPr>
            <b/>
            <sz val="9"/>
            <rFont val="Tahoma"/>
            <family val="2"/>
          </rPr>
          <t>8*28: HD7,8
8*31.5: HD3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<sst xmlns="http://schemas.openxmlformats.org/spreadsheetml/2006/main" count="18451" uniqueCount="3545">
  <si>
    <t>Phê Duyệt</t>
  </si>
  <si>
    <t>Mã tài liệu</t>
  </si>
  <si>
    <t>Ngày ban hành</t>
  </si>
  <si>
    <t>Lần ban hành</t>
  </si>
  <si>
    <t>STT</t>
  </si>
  <si>
    <t>Phụ Trách</t>
  </si>
  <si>
    <t>KẾ HOẠCH SẢN XUẤT HÀNG NGÀY</t>
  </si>
  <si>
    <t>SỐ MÁY</t>
  </si>
  <si>
    <t>SỐ CHỈ 
THỊ THƯ</t>
  </si>
  <si>
    <t>TÊN SẢN PHẨM</t>
  </si>
  <si>
    <t>QUY 
CÁCH</t>
  </si>
  <si>
    <t>SỐ LƯỢNG 
ĐẶT HÀNG</t>
  </si>
  <si>
    <t>SẢN XUẤT
THỰC TẾ</t>
  </si>
  <si>
    <t>SẢN LƯỢNG 
CÒN LẠI</t>
  </si>
  <si>
    <t>NGÀY BẮT ĐẦU SX</t>
  </si>
  <si>
    <t>NGÀY HOÀN THÀNH 
( DỰ KIẾN)</t>
  </si>
  <si>
    <t>GHI CHÚ</t>
  </si>
  <si>
    <t>Kiểm tra</t>
  </si>
  <si>
    <t>Q401-2</t>
  </si>
  <si>
    <t>2018.06.06</t>
  </si>
  <si>
    <t>02</t>
  </si>
  <si>
    <t>907-072</t>
  </si>
  <si>
    <t>907-071</t>
  </si>
  <si>
    <t>101443-F14W-AB</t>
  </si>
  <si>
    <t>100550-YM1W-Z</t>
  </si>
  <si>
    <t>080620-U51A-2A</t>
  </si>
  <si>
    <t>080300-F35L-S</t>
  </si>
  <si>
    <t>650320-F62W-SP</t>
  </si>
  <si>
    <t>550160-T65H</t>
  </si>
  <si>
    <t>050160-FS2W-APZ</t>
  </si>
  <si>
    <t>060600-U34W-4</t>
  </si>
  <si>
    <t>040120-T65H</t>
  </si>
  <si>
    <t>040160-T15H</t>
  </si>
  <si>
    <t>040160-T12W</t>
  </si>
  <si>
    <t>040160-PP2W</t>
  </si>
  <si>
    <t>030080-P22W</t>
  </si>
  <si>
    <t>BOLT FIXER</t>
  </si>
  <si>
    <t>LEG BOLT</t>
  </si>
  <si>
    <t>HEX BOLT P/W B=13</t>
  </si>
  <si>
    <t>FL M/S SE(STS430)</t>
  </si>
  <si>
    <t>BASE</t>
  </si>
  <si>
    <t>TH T/S-2 (STS430)</t>
  </si>
  <si>
    <t>FL + TTS-S 3P SLOT</t>
  </si>
  <si>
    <t>HEX(UPSET) S,P/W</t>
  </si>
  <si>
    <t>TH T/S-2(STS430)</t>
  </si>
  <si>
    <t>TH T/S-1</t>
  </si>
  <si>
    <t>PH TTS-P</t>
  </si>
  <si>
    <t>PH T/S-2S</t>
  </si>
  <si>
    <t>10*144.3</t>
  </si>
  <si>
    <t>10*55</t>
  </si>
  <si>
    <t>8*62</t>
  </si>
  <si>
    <t>8*30</t>
  </si>
  <si>
    <t>6.5*32</t>
  </si>
  <si>
    <t>5.5*16</t>
  </si>
  <si>
    <t>5*16</t>
  </si>
  <si>
    <t>6*60</t>
  </si>
  <si>
    <t>4*12</t>
  </si>
  <si>
    <t>4*14</t>
  </si>
  <si>
    <t>4*16</t>
  </si>
  <si>
    <t>4*10</t>
  </si>
  <si>
    <t>4*8</t>
  </si>
  <si>
    <t>3*8</t>
  </si>
  <si>
    <t>01</t>
  </si>
  <si>
    <t>03</t>
  </si>
  <si>
    <t>04</t>
  </si>
  <si>
    <t>05</t>
  </si>
  <si>
    <t>7A</t>
  </si>
  <si>
    <t>08</t>
  </si>
  <si>
    <t>19</t>
  </si>
  <si>
    <t>22</t>
  </si>
  <si>
    <t>TÊN SẢN XUẤT</t>
  </si>
  <si>
    <t>040120-T16H</t>
  </si>
  <si>
    <t>TH T/S-1(STS304)</t>
  </si>
  <si>
    <t>7*42</t>
  </si>
  <si>
    <t>070420-ZM6H-D</t>
  </si>
  <si>
    <t>EYE BOLT M/S STEP</t>
  </si>
  <si>
    <t>040120-P12Z</t>
  </si>
  <si>
    <t>PH T/S-1</t>
  </si>
  <si>
    <t>26,27</t>
  </si>
  <si>
    <t>NO PLAN</t>
  </si>
  <si>
    <t>040080-T22W</t>
  </si>
  <si>
    <t>TH T/S-2S</t>
  </si>
  <si>
    <t>040100-T56H</t>
  </si>
  <si>
    <t>TH M/S (STS304)</t>
  </si>
  <si>
    <t>908-037</t>
  </si>
  <si>
    <t>040180-T65H</t>
  </si>
  <si>
    <t>4*18</t>
  </si>
  <si>
    <t>050160-T22W</t>
  </si>
  <si>
    <t>040140-J12W-B</t>
  </si>
  <si>
    <t>FH( SMALL HEAD)T/S-1</t>
  </si>
  <si>
    <t>100350-F51A-D</t>
  </si>
  <si>
    <t>F/L BOLT Ph? m?</t>
  </si>
  <si>
    <t>100160-U51W</t>
  </si>
  <si>
    <t>BOLT HEX 10*16</t>
  </si>
  <si>
    <t>10*16</t>
  </si>
  <si>
    <t>907-064</t>
  </si>
  <si>
    <t>907-070</t>
  </si>
  <si>
    <t>907-059</t>
  </si>
  <si>
    <t>071145-F14W</t>
  </si>
  <si>
    <t>7*114.5</t>
  </si>
  <si>
    <t>06,8A</t>
  </si>
  <si>
    <t>907-063</t>
  </si>
  <si>
    <t>903-051</t>
  </si>
  <si>
    <t>050120-Y52A-DPZ</t>
  </si>
  <si>
    <t>ADJUST SCREW</t>
  </si>
  <si>
    <t>5*12</t>
  </si>
  <si>
    <t>11.07.19</t>
  </si>
  <si>
    <t>907-075</t>
  </si>
  <si>
    <t>09,12,14</t>
  </si>
  <si>
    <t>907-051</t>
  </si>
  <si>
    <t>907-041</t>
  </si>
  <si>
    <t>907-079</t>
  </si>
  <si>
    <t>050150-PM6H-3</t>
  </si>
  <si>
    <t>PH M/S S/W</t>
  </si>
  <si>
    <t>5*15</t>
  </si>
  <si>
    <t>OTO</t>
  </si>
  <si>
    <t>907-053</t>
  </si>
  <si>
    <t>907-042</t>
  </si>
  <si>
    <t>040120-K15H</t>
  </si>
  <si>
    <t>TH /W T/S-1 (STS304)</t>
  </si>
  <si>
    <t>4 * 12</t>
  </si>
  <si>
    <t>907-078</t>
  </si>
  <si>
    <t>040120-T15H</t>
  </si>
  <si>
    <t>SPECIAL SCREW</t>
  </si>
  <si>
    <t>907-044</t>
  </si>
  <si>
    <t>040140-T65H</t>
  </si>
  <si>
    <t>907-045</t>
  </si>
  <si>
    <t>907-047</t>
  </si>
  <si>
    <t>040100-TC2W-1</t>
  </si>
  <si>
    <t>TH TTS-C T/W</t>
  </si>
  <si>
    <t>20,24,</t>
  </si>
  <si>
    <t>NGUYÊN VẬT LIỆU</t>
  </si>
  <si>
    <t>SIZE</t>
  </si>
  <si>
    <t>S10A HD</t>
  </si>
  <si>
    <t>SCM435 (S)AIP</t>
  </si>
  <si>
    <t>STS304CU WSA</t>
  </si>
  <si>
    <t>S18A SAIP</t>
  </si>
  <si>
    <t>STS430 WSB</t>
  </si>
  <si>
    <t>2019.09.20</t>
  </si>
  <si>
    <t>060351-FMFW-DP</t>
  </si>
  <si>
    <t>FL + BOLT</t>
  </si>
  <si>
    <t>S25K SAIP</t>
  </si>
  <si>
    <t>6*35.1</t>
  </si>
  <si>
    <t>080620-UM1A-2A</t>
  </si>
  <si>
    <t>120300-UM1A-4AC</t>
  </si>
  <si>
    <t>HEX(UP)S,P/W (Ø 38)</t>
  </si>
  <si>
    <t>12*30</t>
  </si>
  <si>
    <t>09.07.19</t>
  </si>
  <si>
    <t>BH TTS-B</t>
  </si>
  <si>
    <t>040120-TP2W-S</t>
  </si>
  <si>
    <t>TH TTS-P SE(2line)</t>
  </si>
  <si>
    <t>080315-JM6R-DH</t>
  </si>
  <si>
    <t>SPIDER BOLT</t>
  </si>
  <si>
    <t>3*6.3</t>
  </si>
  <si>
    <t>080140-ZM6L-D</t>
  </si>
  <si>
    <t>BOLT OF MOTOR</t>
  </si>
  <si>
    <t>STS304 CU WSA (XM7)</t>
  </si>
  <si>
    <t>8*14</t>
  </si>
  <si>
    <t>S 18A (S)AIP</t>
  </si>
  <si>
    <t>040900-J121-D</t>
  </si>
  <si>
    <t>FH T/S-1 STEP (NANO)</t>
  </si>
  <si>
    <t>4*90</t>
  </si>
  <si>
    <t>040120-T12W</t>
  </si>
  <si>
    <t>TH T/S-1(Y)</t>
  </si>
  <si>
    <t>040120-T22W-1</t>
  </si>
  <si>
    <t>SCREW A</t>
  </si>
  <si>
    <t>030080-PB2B</t>
  </si>
  <si>
    <t>PH TTS-B</t>
  </si>
  <si>
    <t>081490-F641-D</t>
  </si>
  <si>
    <t>FL T/S-2 STEP(2line)</t>
  </si>
  <si>
    <t>8*149</t>
  </si>
  <si>
    <t>780420-F64W-2</t>
  </si>
  <si>
    <t>FL T/S-2 P/W (Wait)</t>
  </si>
  <si>
    <t>081100-F641-D</t>
  </si>
  <si>
    <t>FL T/S-2 STEP(2LINE)</t>
  </si>
  <si>
    <t>8*110</t>
  </si>
  <si>
    <t>030060-BB2W</t>
  </si>
  <si>
    <t>7.8*42</t>
  </si>
  <si>
    <t>060430-U51W-DP</t>
  </si>
  <si>
    <t>HEX(UP) + BOLTDAMPER</t>
  </si>
  <si>
    <t>6*43</t>
  </si>
  <si>
    <t>030100-B51W</t>
  </si>
  <si>
    <t>BH M/S</t>
  </si>
  <si>
    <t>3*10</t>
  </si>
  <si>
    <t>SCM435 PASAIP</t>
  </si>
  <si>
    <t>STS430 WSA</t>
  </si>
  <si>
    <t>007-097</t>
  </si>
  <si>
    <t>560300-FY1W-DP</t>
  </si>
  <si>
    <t>FL + T/S (P.T)</t>
  </si>
  <si>
    <t>5.6*30</t>
  </si>
  <si>
    <t>040180-P62W</t>
  </si>
  <si>
    <t>PH T/S -2</t>
  </si>
  <si>
    <t>030060-B51B-MQ</t>
  </si>
  <si>
    <t>BH ± M/S</t>
  </si>
  <si>
    <t>3*6</t>
  </si>
  <si>
    <t>040100-PB2B</t>
  </si>
  <si>
    <t>040080-TS2W</t>
  </si>
  <si>
    <t>TH TTS-S</t>
  </si>
  <si>
    <t>050160-U62W-P</t>
  </si>
  <si>
    <t>HEX(UP)+BOLT T/S-2</t>
  </si>
  <si>
    <t>030070-P62W-D</t>
  </si>
  <si>
    <t>PH T/S-2(NO CUTTING)</t>
  </si>
  <si>
    <t>3*7</t>
  </si>
  <si>
    <t>040140-B62W</t>
  </si>
  <si>
    <t>BH T/S-2(NO CUTTING)</t>
  </si>
  <si>
    <t>10*35</t>
  </si>
  <si>
    <t>071245-F14W</t>
  </si>
  <si>
    <t>7*124.5</t>
  </si>
  <si>
    <t>030060-PB2W-A</t>
  </si>
  <si>
    <t>PH (LARGE) TTS-B</t>
  </si>
  <si>
    <t>8*31.5</t>
  </si>
  <si>
    <t>006-112</t>
  </si>
  <si>
    <t>007-145</t>
  </si>
  <si>
    <t>TH/W T/S-1(STS430)</t>
  </si>
  <si>
    <t>040120-PP2W</t>
  </si>
  <si>
    <t>100346-Z01B</t>
  </si>
  <si>
    <t>SHAFT WHEEL</t>
  </si>
  <si>
    <t>10*34.6</t>
  </si>
  <si>
    <t>8A</t>
  </si>
  <si>
    <t>030100-P51W</t>
  </si>
  <si>
    <t>PH M/S</t>
  </si>
  <si>
    <t>040120-B62W-2</t>
  </si>
  <si>
    <t>040100-P62W</t>
  </si>
  <si>
    <t>050195-T62W-DZ</t>
  </si>
  <si>
    <t>SCREW TOP COVER</t>
  </si>
  <si>
    <t>5*19.5</t>
  </si>
  <si>
    <t>050160-TM5R</t>
  </si>
  <si>
    <t>TH M/S(STS430)</t>
  </si>
  <si>
    <t>9</t>
  </si>
  <si>
    <t>080160-P51W</t>
  </si>
  <si>
    <t>8*16</t>
  </si>
  <si>
    <t>030100-B62W</t>
  </si>
  <si>
    <t>060500-P56H</t>
  </si>
  <si>
    <t>6*50</t>
  </si>
  <si>
    <t>050550-U12B-P</t>
  </si>
  <si>
    <t xml:space="preserve">HEX(UP) + T/S-1 </t>
  </si>
  <si>
    <t>5*55</t>
  </si>
  <si>
    <t>030180-P211-Q</t>
  </si>
  <si>
    <t>PH T/S -2S</t>
  </si>
  <si>
    <t>040160-J16H</t>
  </si>
  <si>
    <t>FH T/S-1(STS304)</t>
  </si>
  <si>
    <t>080260-U51W-D</t>
  </si>
  <si>
    <t xml:space="preserve">Ði?u ch?nhchân BOLT </t>
  </si>
  <si>
    <t>8*26</t>
  </si>
  <si>
    <t>27</t>
  </si>
  <si>
    <t>SẢN LƯỢNG
DỰ KIẾN</t>
  </si>
  <si>
    <t>SẢN LƯỢNG 
ĐẠT ĐƯỢC</t>
  </si>
  <si>
    <t>TỶ LỆ 
ĐẠT ĐƯỢC</t>
  </si>
  <si>
    <t>050120-F12W-PS</t>
  </si>
  <si>
    <t>FL + T/S-1 SE</t>
  </si>
  <si>
    <t>NGÀY CÀI ĐẶT
( DỰ KIẾN)</t>
  </si>
  <si>
    <t>Total</t>
  </si>
  <si>
    <t>030120-P611-Q</t>
  </si>
  <si>
    <t>3*12</t>
  </si>
  <si>
    <t>030080-P62W</t>
  </si>
  <si>
    <t>PH T/S-2</t>
  </si>
  <si>
    <t>waiting setting</t>
  </si>
  <si>
    <t>Item Code</t>
  </si>
  <si>
    <t>Item</t>
  </si>
  <si>
    <t>Spec</t>
  </si>
  <si>
    <t>M/C</t>
  </si>
  <si>
    <t>17</t>
  </si>
  <si>
    <t>18</t>
  </si>
  <si>
    <t>작업시간</t>
  </si>
  <si>
    <t>Remark</t>
  </si>
  <si>
    <t>생산실적</t>
  </si>
  <si>
    <t>생산계획</t>
  </si>
  <si>
    <t>Waiting
H/D</t>
  </si>
  <si>
    <t>Work time
 production</t>
  </si>
  <si>
    <t>Planing
production</t>
  </si>
  <si>
    <t>29</t>
  </si>
  <si>
    <t>SETTING PUNCH , MOLD</t>
  </si>
  <si>
    <t xml:space="preserve">SETTING </t>
  </si>
  <si>
    <t>Broken Mold</t>
  </si>
  <si>
    <t>Setting Mold</t>
  </si>
  <si>
    <t>Machine maintenance</t>
  </si>
  <si>
    <t xml:space="preserve">Production performance </t>
  </si>
  <si>
    <t>Sample 2*13(Pin)</t>
  </si>
  <si>
    <t>Chờ sửa máy</t>
  </si>
  <si>
    <t>Đợi nguyên liệu 13.08.20</t>
  </si>
  <si>
    <t>Broken Mold (RPM 100)</t>
  </si>
  <si>
    <t>Product Spec</t>
  </si>
  <si>
    <t>Raw Material</t>
  </si>
  <si>
    <t>FORCASE</t>
  </si>
  <si>
    <r>
      <t xml:space="preserve">Max 8,9,10/2020
</t>
    </r>
    <r>
      <rPr>
        <sz val="8"/>
        <color rgb="FFFF0000"/>
        <rFont val="Calibri"/>
        <family val="2"/>
        <scheme val="minor"/>
      </rPr>
      <t>(Update: 2020.07.28)</t>
    </r>
  </si>
  <si>
    <t>Management Code</t>
  </si>
  <si>
    <t>Code materials</t>
  </si>
  <si>
    <t>Sort</t>
  </si>
  <si>
    <t>Notes</t>
  </si>
  <si>
    <t>Part No</t>
  </si>
  <si>
    <t>Description</t>
  </si>
  <si>
    <t>Washer
Spec</t>
    <phoneticPr fontId="0" type="noConversion"/>
  </si>
  <si>
    <t>Material</t>
  </si>
  <si>
    <t>Size (Ø)</t>
  </si>
  <si>
    <t>Trọng Lượng
đơn vị H/D(g)</t>
  </si>
  <si>
    <t>Quota</t>
  </si>
  <si>
    <t>GS W/M</t>
  </si>
  <si>
    <r>
      <t xml:space="preserve">2019
(Max 12,1,2) + GS W/M
* </t>
    </r>
    <r>
      <rPr>
        <b/>
        <sz val="8"/>
        <rFont val="Calibri"/>
        <family val="2"/>
        <scheme val="minor"/>
      </rPr>
      <t xml:space="preserve">Quota </t>
    </r>
    <r>
      <rPr>
        <b/>
        <sz val="8"/>
        <color rgb="FFFF0000"/>
        <rFont val="Calibri"/>
        <family val="2"/>
        <scheme val="minor"/>
      </rPr>
      <t>(New)</t>
    </r>
  </si>
  <si>
    <r>
      <t xml:space="preserve">2020.01
* </t>
    </r>
    <r>
      <rPr>
        <b/>
        <sz val="8"/>
        <rFont val="Calibri"/>
        <family val="2"/>
        <scheme val="minor"/>
      </rPr>
      <t xml:space="preserve">Quota </t>
    </r>
    <r>
      <rPr>
        <b/>
        <sz val="8"/>
        <color rgb="FFFF0000"/>
        <rFont val="Calibri"/>
        <family val="2"/>
        <scheme val="minor"/>
      </rPr>
      <t>(New)
Update: 2019.12.17</t>
    </r>
  </si>
  <si>
    <t>작업
승인
수량</t>
  </si>
  <si>
    <t>햇딩
대기</t>
  </si>
  <si>
    <t>S/W
T/W
Nut</t>
    <phoneticPr fontId="0" type="noConversion"/>
  </si>
  <si>
    <t>P/W</t>
    <phoneticPr fontId="0" type="noConversion"/>
  </si>
  <si>
    <t>KẾ HOẠCH SX
(Chỉ dùng tính toán)</t>
  </si>
  <si>
    <t>Waiting
HD</t>
  </si>
  <si>
    <t>030030-P51N</t>
  </si>
  <si>
    <t>New</t>
  </si>
  <si>
    <t>SCW-3003P (NI)</t>
  </si>
  <si>
    <t>3x3</t>
  </si>
  <si>
    <t>030060-J51N</t>
  </si>
  <si>
    <t>SCW-3006F/H (NI)</t>
  </si>
  <si>
    <t>FH M/S</t>
  </si>
  <si>
    <t>3x6</t>
  </si>
  <si>
    <t>030040-P51N</t>
  </si>
  <si>
    <t>SCW-3004P (NI)</t>
  </si>
  <si>
    <t>3x4</t>
  </si>
  <si>
    <t>030040-B51N-S</t>
  </si>
  <si>
    <t>SCW-3004BH (NI)</t>
  </si>
  <si>
    <t>BH M/S SE</t>
  </si>
  <si>
    <t>030050-P51Z</t>
  </si>
  <si>
    <t>SCON-T33002</t>
  </si>
  <si>
    <t>3*5</t>
  </si>
  <si>
    <t>030060-P51N-4</t>
  </si>
  <si>
    <t>SCW-3006RW (NI)</t>
  </si>
  <si>
    <t>PH M/S S,P/W</t>
  </si>
  <si>
    <t>S</t>
  </si>
  <si>
    <t>P</t>
  </si>
  <si>
    <t>030060-P51N</t>
  </si>
  <si>
    <t>SCW-3006P (NI)</t>
  </si>
  <si>
    <t>030080-P511-3</t>
  </si>
  <si>
    <t>FAB33458602</t>
  </si>
  <si>
    <t>3x8</t>
  </si>
  <si>
    <t>030040-C51N</t>
  </si>
  <si>
    <t>SCW-3004FL (NI)</t>
  </si>
  <si>
    <t>PH/W M/S</t>
  </si>
  <si>
    <t>030080-P51N-4</t>
  </si>
  <si>
    <t>SCW-3008RW (NI)</t>
  </si>
  <si>
    <t>030060-C51N</t>
  </si>
  <si>
    <t>SCW-3006FL (NI)</t>
  </si>
  <si>
    <t>030080-B51N</t>
  </si>
  <si>
    <t>SCW-3008B (NI)</t>
  </si>
  <si>
    <t>3X8</t>
  </si>
  <si>
    <t>030100-P51N-4</t>
  </si>
  <si>
    <t>SCW-3010RW (NI)</t>
  </si>
  <si>
    <t>3x10</t>
  </si>
  <si>
    <t>6001-000516</t>
  </si>
  <si>
    <t>030120-P51N-4</t>
  </si>
  <si>
    <t>SCW-3012RW (NI)</t>
  </si>
  <si>
    <t>3x12</t>
  </si>
  <si>
    <t>6001-000115</t>
  </si>
  <si>
    <t>030140-P51N-4</t>
  </si>
  <si>
    <t>SCW-3014RW (NI)</t>
  </si>
  <si>
    <t>3x14</t>
  </si>
  <si>
    <t>030050-P51W-4</t>
  </si>
  <si>
    <t>LS4903-001</t>
  </si>
  <si>
    <t>3x5</t>
  </si>
  <si>
    <t>030100-B51W-M</t>
  </si>
  <si>
    <t>120300-UM1A-4A</t>
  </si>
  <si>
    <t>HSBK</t>
  </si>
  <si>
    <t>DC97-06080C</t>
  </si>
  <si>
    <t>HEX BOLT S,P/W Ph?m?</t>
  </si>
  <si>
    <t>12 X 30 ¤38</t>
  </si>
  <si>
    <t>S</t>
    <phoneticPr fontId="0" type="noConversion"/>
  </si>
  <si>
    <t>P</t>
    <phoneticPr fontId="0" type="noConversion"/>
  </si>
  <si>
    <t>10.72</t>
  </si>
  <si>
    <t>*</t>
  </si>
  <si>
    <t>DC97-06080F</t>
  </si>
  <si>
    <t>M12X30</t>
  </si>
  <si>
    <t>U40500-U51W-4A</t>
  </si>
  <si>
    <t>AQUA</t>
  </si>
  <si>
    <t>75577N12L1</t>
  </si>
  <si>
    <t>1/2"x50</t>
  </si>
  <si>
    <t>11.35</t>
  </si>
  <si>
    <t>100280-YM1W</t>
  </si>
  <si>
    <t>305660D990S</t>
  </si>
  <si>
    <t>10*28</t>
  </si>
  <si>
    <t>12.20</t>
  </si>
  <si>
    <t>100430-YM1W</t>
  </si>
  <si>
    <t>304380D990S</t>
  </si>
  <si>
    <t>10*43</t>
  </si>
  <si>
    <t>HSBT</t>
  </si>
  <si>
    <t>DC61-01959C</t>
  </si>
  <si>
    <t>030080-P611-Q</t>
  </si>
  <si>
    <t>1TPL0302416</t>
  </si>
  <si>
    <t>2.46</t>
  </si>
  <si>
    <t>030100-P611-Q</t>
  </si>
  <si>
    <t>1TPL0302616</t>
  </si>
  <si>
    <t>1TPL0302816</t>
  </si>
  <si>
    <t>FAB33400001</t>
  </si>
  <si>
    <t>3x18</t>
  </si>
  <si>
    <t>040080-P211-Q</t>
  </si>
  <si>
    <t>1TPL0402418</t>
  </si>
  <si>
    <t>4x8</t>
  </si>
  <si>
    <t>3.20</t>
  </si>
  <si>
    <t>040040-P51N</t>
  </si>
  <si>
    <t>SCW-4004P (NI)</t>
  </si>
  <si>
    <t>4x4</t>
  </si>
  <si>
    <t>3.45</t>
  </si>
  <si>
    <t>040060-J51N</t>
  </si>
  <si>
    <t>SCW-4006F/H (NI)</t>
  </si>
  <si>
    <t>4x6</t>
  </si>
  <si>
    <t>040050-P51N</t>
  </si>
  <si>
    <t>SCW-4005P (NI)</t>
  </si>
  <si>
    <t>4x5</t>
  </si>
  <si>
    <t>040060-P51N-4</t>
  </si>
  <si>
    <t>SCW-4006RW (NI)</t>
  </si>
  <si>
    <t>040050-B51N-S</t>
  </si>
  <si>
    <t>SCW-4005BH (NI)</t>
  </si>
  <si>
    <t>040080-P51N</t>
  </si>
  <si>
    <t>SCW-4008P (NI)</t>
  </si>
  <si>
    <t>040080-P51N-4</t>
  </si>
  <si>
    <t>SCW-4008RW (NI)</t>
  </si>
  <si>
    <t>040100-P51N-4</t>
  </si>
  <si>
    <t>SCW-4010RW (NI)</t>
  </si>
  <si>
    <t>4x10</t>
  </si>
  <si>
    <t>040095-PM1W-3</t>
  </si>
  <si>
    <t>CP-21116-2X01</t>
  </si>
  <si>
    <t>4x9.5</t>
  </si>
  <si>
    <t>040120-P51N-4</t>
  </si>
  <si>
    <t>SCW-4012RW (NI)</t>
  </si>
  <si>
    <t>4x12</t>
  </si>
  <si>
    <t>040600-U51W-PQ</t>
  </si>
  <si>
    <t>YCVN-T20706</t>
  </si>
  <si>
    <t>HEX(UP)+M/S</t>
  </si>
  <si>
    <t>4*60</t>
  </si>
  <si>
    <t>050250-T51W</t>
  </si>
  <si>
    <t>6001-001377</t>
  </si>
  <si>
    <t>TH M/S</t>
  </si>
  <si>
    <t>5 x 25</t>
  </si>
  <si>
    <t>4.36</t>
  </si>
  <si>
    <t>050100-J51B</t>
  </si>
  <si>
    <t>5x10</t>
  </si>
  <si>
    <t>050100-J51N</t>
  </si>
  <si>
    <t>050160-J51W</t>
  </si>
  <si>
    <t>5x16</t>
  </si>
  <si>
    <t>050160-T51W</t>
  </si>
  <si>
    <t>060350-U51W-DP</t>
  </si>
  <si>
    <t>YCVN-T20701</t>
  </si>
  <si>
    <t>HEX(UP)+BOLT DAMPER</t>
  </si>
  <si>
    <t>6 x 35</t>
  </si>
  <si>
    <t>5.25</t>
  </si>
  <si>
    <t>060350-UM1W-4</t>
  </si>
  <si>
    <t>HEX(UPSET)S,P/W</t>
  </si>
  <si>
    <t>6x35</t>
  </si>
  <si>
    <t>YCVN-T20707</t>
  </si>
  <si>
    <t>6x43</t>
  </si>
  <si>
    <t>060430-U31W-4</t>
  </si>
  <si>
    <t>YCVN-T20700</t>
  </si>
  <si>
    <t>5.6 x 30</t>
  </si>
  <si>
    <t>6.05</t>
  </si>
  <si>
    <t>560380-FY1W-DP</t>
  </si>
  <si>
    <t>YCVN-T20709</t>
  </si>
  <si>
    <t>5.6*38</t>
  </si>
  <si>
    <t>060184-Y010-D</t>
  </si>
  <si>
    <t>DA66-01005A</t>
  </si>
  <si>
    <t>SHAFT-HINGE MID</t>
  </si>
  <si>
    <t>6.05*18.4</t>
  </si>
  <si>
    <t>6.76</t>
  </si>
  <si>
    <t>080470-FM1T-4D</t>
  </si>
  <si>
    <t>4011EN4013A</t>
  </si>
  <si>
    <t>BOLT ASSY</t>
  </si>
  <si>
    <t>8 x47</t>
  </si>
  <si>
    <t>7.05</t>
  </si>
  <si>
    <t>DC97-02412A</t>
  </si>
  <si>
    <t>DA61-00805E</t>
  </si>
  <si>
    <t>M8*26 (UPSET)</t>
  </si>
  <si>
    <t>7.80</t>
  </si>
  <si>
    <t>080450-U51W-D</t>
  </si>
  <si>
    <t>DA88-00001A</t>
  </si>
  <si>
    <t>HEX(UP) DAMPER</t>
  </si>
  <si>
    <t>8*45</t>
  </si>
  <si>
    <t>790270-Y010-D</t>
  </si>
  <si>
    <t>DA66-01106A</t>
  </si>
  <si>
    <t>SHAFT HINGE MID</t>
  </si>
  <si>
    <t>7.9*27</t>
  </si>
  <si>
    <t>081050-HM1W-D</t>
  </si>
  <si>
    <t>M8X105S-HB</t>
  </si>
  <si>
    <t>HEX (T/M) M/S</t>
  </si>
  <si>
    <t>8*105</t>
  </si>
  <si>
    <t>060375-F61W-D</t>
  </si>
  <si>
    <t>NEW</t>
  </si>
  <si>
    <t>FAA30153701</t>
  </si>
  <si>
    <t>BOLT,PUMP-TRITON/PJT</t>
  </si>
  <si>
    <t>6 x 37.5</t>
  </si>
  <si>
    <t>8.78</t>
  </si>
  <si>
    <t>8.85</t>
  </si>
  <si>
    <t>100230-U51W</t>
  </si>
  <si>
    <t>BOLT HEX 10*23</t>
  </si>
  <si>
    <t>10*23</t>
  </si>
  <si>
    <t>790210-Y010-R</t>
  </si>
  <si>
    <t>DA66-01332A</t>
  </si>
  <si>
    <t>HINGE LOW</t>
  </si>
  <si>
    <t>7.9*21</t>
  </si>
  <si>
    <t>9.65</t>
  </si>
  <si>
    <t>6011-001644</t>
  </si>
  <si>
    <t>9.96</t>
  </si>
  <si>
    <t>080660-U51A-2D</t>
  </si>
  <si>
    <t>DC60-00113A</t>
  </si>
  <si>
    <t>BOLT DAMPER P/W</t>
  </si>
  <si>
    <t>8*66</t>
  </si>
  <si>
    <t>020075-PB2B</t>
  </si>
  <si>
    <t>OC 2X8 BNDP</t>
  </si>
  <si>
    <t>2x7.5</t>
  </si>
  <si>
    <t>020060-B62W</t>
  </si>
  <si>
    <t>XUBS720P06000</t>
  </si>
  <si>
    <t>2x6</t>
  </si>
  <si>
    <t>030080-J621</t>
  </si>
  <si>
    <t>1TPL0302018</t>
  </si>
  <si>
    <t>FH T/S-2(NO CUTTING)</t>
  </si>
  <si>
    <t>030060-PB2N</t>
  </si>
  <si>
    <t>SCW-3006PT(NI)</t>
  </si>
  <si>
    <t>030100-JP2N</t>
  </si>
  <si>
    <t>SCW-3010FT (NI)</t>
  </si>
  <si>
    <t>FH TTS-P</t>
  </si>
  <si>
    <t>030060-BB2N</t>
  </si>
  <si>
    <t>SCW-3006BT(NI)</t>
  </si>
  <si>
    <t>6003-000167</t>
  </si>
  <si>
    <t>6002-000630</t>
  </si>
  <si>
    <t>OC 3X6 BNJMP(MS)</t>
  </si>
  <si>
    <t>3x6.3</t>
  </si>
  <si>
    <t>6002-000630-1</t>
  </si>
  <si>
    <t>030080-PB2N</t>
  </si>
  <si>
    <t>SCW-3008F/L/NI (TAP</t>
  </si>
  <si>
    <t>030080-B22W</t>
  </si>
  <si>
    <t>BH T/S - 2S</t>
  </si>
  <si>
    <t>030100-PB2N</t>
  </si>
  <si>
    <t>SCW-3010PT (NI)</t>
  </si>
  <si>
    <t>030080-BB2N</t>
  </si>
  <si>
    <t>SCW-3008BT (NI)</t>
  </si>
  <si>
    <t>030060-CP2N</t>
  </si>
  <si>
    <t>SCW-3006FL/NI (TAP)</t>
  </si>
  <si>
    <t>PH /W TTS-P</t>
  </si>
  <si>
    <t>3x7</t>
  </si>
  <si>
    <t>030080-T22W</t>
  </si>
  <si>
    <t>HANA-T50150</t>
  </si>
  <si>
    <t>TH T/S-2</t>
  </si>
  <si>
    <t>030120-P621</t>
  </si>
  <si>
    <t>1TPL0302818</t>
  </si>
  <si>
    <t>Ốc 3x7 BNDPT (MS)</t>
  </si>
  <si>
    <t>PH T/S-2 ( NO CUTTING ) STEP</t>
  </si>
  <si>
    <t>030045-B62W</t>
  </si>
  <si>
    <t>Ốc 3x4.5 BNJMP (MS)</t>
  </si>
  <si>
    <t>BH T/S-2 ( NO CUTTING )</t>
  </si>
  <si>
    <t>3x4.5</t>
  </si>
  <si>
    <t>030045-CB2W</t>
  </si>
  <si>
    <t>OC 3X4.5 BNDPLD (MS)</t>
  </si>
  <si>
    <t>PH/W TTS-B</t>
  </si>
  <si>
    <t>030046-B62W</t>
  </si>
  <si>
    <t>OC3X4.5BNJMP (DB-MS)</t>
  </si>
  <si>
    <t>3x4.6</t>
  </si>
  <si>
    <t>030060-BB2B</t>
  </si>
  <si>
    <t>OC 3X6 BNAMP (DEN)</t>
  </si>
  <si>
    <t>030060-YB2N-P</t>
  </si>
  <si>
    <t>OC 3X6 BNDBP (NI)</t>
  </si>
  <si>
    <t>FLAT TTS-B</t>
  </si>
  <si>
    <t>030080-J62B</t>
  </si>
  <si>
    <t>OC 3X8 BNDC (DEN)</t>
  </si>
  <si>
    <t>030080-J62N</t>
  </si>
  <si>
    <t>OC 3X8 BNDC (NI)</t>
  </si>
  <si>
    <t>030140-B12W</t>
  </si>
  <si>
    <t>OC 3X14 BNJMP (MS)</t>
  </si>
  <si>
    <t>BH T/S-1</t>
  </si>
  <si>
    <t>030145-Y52W-DP</t>
  </si>
  <si>
    <t>PUSH KNOB SCREW</t>
  </si>
  <si>
    <t>FLAT M/S STEP</t>
  </si>
  <si>
    <t>3x14.5</t>
  </si>
  <si>
    <t>030160-JB2W</t>
  </si>
  <si>
    <t>OC 3X16 BNDC (MS)</t>
  </si>
  <si>
    <t>FH TTS-B</t>
  </si>
  <si>
    <t>3x16</t>
  </si>
  <si>
    <t>040070-PB2W</t>
  </si>
  <si>
    <t>OC 4X7 BNDPT (MS)</t>
  </si>
  <si>
    <t>4x7</t>
  </si>
  <si>
    <t>050127-TC2N-D</t>
  </si>
  <si>
    <t>OC 5X12.7 KLDD (NI)</t>
  </si>
  <si>
    <t>TH TTS-C STEP</t>
  </si>
  <si>
    <t>5x12.7</t>
  </si>
  <si>
    <t>030060-B62W-D</t>
  </si>
  <si>
    <t>Ốc 3x6 BNJMP (bậc) (MS)</t>
  </si>
  <si>
    <t>BH T/S-2 ( NO CUTTING ) STEP</t>
  </si>
  <si>
    <t>Ốc 3x6 BNDPT (MS)</t>
  </si>
  <si>
    <t>PH ( LARGE ) TTS-B</t>
  </si>
  <si>
    <t>030070-P62B-D</t>
  </si>
  <si>
    <t>Ốc 3x7 BNDPT(Đen)</t>
  </si>
  <si>
    <t>PH T/S-2 (NO CUTTING) STEP</t>
  </si>
  <si>
    <t>XZBS730P10000</t>
  </si>
  <si>
    <t>BH T/S-2 (NO CUTTING)</t>
  </si>
  <si>
    <t>030080-PB2W</t>
  </si>
  <si>
    <t>BSVN-11</t>
  </si>
  <si>
    <t>030060-P52W</t>
  </si>
  <si>
    <t>6001-001761</t>
  </si>
  <si>
    <t>030060-C52B-N</t>
  </si>
  <si>
    <t>D002BC-001</t>
  </si>
  <si>
    <t>030080-BB2B</t>
  </si>
  <si>
    <t>BH TTS-S</t>
  </si>
  <si>
    <t>#60400-P12W</t>
  </si>
  <si>
    <t>BSVN-013</t>
  </si>
  <si>
    <t>PH DWS-SS (2Line)</t>
  </si>
  <si>
    <t>#6x40</t>
  </si>
  <si>
    <t>040100-P621</t>
  </si>
  <si>
    <t>1TPL0402634</t>
  </si>
  <si>
    <t>PH T/S-2 ( NO CUTTING )</t>
  </si>
  <si>
    <t>XZBS740P14000</t>
  </si>
  <si>
    <t>4x14</t>
  </si>
  <si>
    <t>040060-T22W</t>
  </si>
  <si>
    <t>STATN406R0SZ</t>
  </si>
  <si>
    <t>SCR TPG TRS 4x6</t>
  </si>
  <si>
    <t>040080-P22W</t>
  </si>
  <si>
    <t>6002-000536</t>
  </si>
  <si>
    <t>040080-P62W-1</t>
  </si>
  <si>
    <t>CP-80452-2</t>
  </si>
  <si>
    <t>PH T/S-2 T/W</t>
  </si>
  <si>
    <t>040120-J42B</t>
  </si>
  <si>
    <t>SCR TPG FLT 4*12T1BL</t>
  </si>
  <si>
    <t>040120-J42W</t>
  </si>
  <si>
    <t>SCR TPG FLT 4*12 T1</t>
  </si>
  <si>
    <t>6003-000170</t>
  </si>
  <si>
    <t>6002-000239</t>
  </si>
  <si>
    <t>040090-B22W</t>
  </si>
  <si>
    <t>BH T/S-2S</t>
  </si>
  <si>
    <t>4x9</t>
  </si>
  <si>
    <t>040080-T42B</t>
  </si>
  <si>
    <t>ZEAB0408SBT</t>
  </si>
  <si>
    <t>THT/S-4</t>
  </si>
  <si>
    <t>040080-T42W</t>
  </si>
  <si>
    <t>ZEAB0408SWT</t>
  </si>
  <si>
    <t>TH T/S-4</t>
  </si>
  <si>
    <t>040100-T22W</t>
  </si>
  <si>
    <t>STATN40100SZ-D</t>
  </si>
  <si>
    <t>SCR TPG TRS 4x10</t>
  </si>
  <si>
    <t>040100-TB2Y-S</t>
  </si>
  <si>
    <t>6002-000432</t>
  </si>
  <si>
    <t>TH TTS-B SE</t>
  </si>
  <si>
    <t>040120-B22W</t>
  </si>
  <si>
    <t>6003-000171</t>
  </si>
  <si>
    <t>6002-000520</t>
  </si>
  <si>
    <t>6006-001174</t>
  </si>
  <si>
    <t>040120-T22W</t>
  </si>
  <si>
    <t>6002-000231</t>
  </si>
  <si>
    <t>040120-T22Z</t>
  </si>
  <si>
    <t>HOMN 
REEN</t>
  </si>
  <si>
    <t>6002-001149</t>
  </si>
  <si>
    <t>TH T/S-2S (ZnNi)</t>
  </si>
  <si>
    <t>6002-001436</t>
  </si>
  <si>
    <t>040160-B22W</t>
  </si>
  <si>
    <t>4x16</t>
  </si>
  <si>
    <t>040200-P22W</t>
  </si>
  <si>
    <t>4x20</t>
  </si>
  <si>
    <t>040140-T22W</t>
  </si>
  <si>
    <t>STATN40140SZ</t>
  </si>
  <si>
    <t>SCR TPG TRS 4x14</t>
  </si>
  <si>
    <t>040200-T22W</t>
  </si>
  <si>
    <t>6002-000524</t>
  </si>
  <si>
    <t>4*20</t>
  </si>
  <si>
    <t>040220-T22W</t>
  </si>
  <si>
    <t>STATN40220SZ</t>
  </si>
  <si>
    <t>SCR TPG TRS 4x22</t>
  </si>
  <si>
    <t>4x22</t>
  </si>
  <si>
    <t>040060-B22W-A</t>
  </si>
  <si>
    <t>BH(LARGE) T/S-2S</t>
  </si>
  <si>
    <t>040090-P22W-A</t>
  </si>
  <si>
    <t>PH(LARGE) T/S-2S</t>
  </si>
  <si>
    <t>040090-V42W</t>
  </si>
  <si>
    <t>OC 4X9 BNDD (MS)</t>
  </si>
  <si>
    <t>RH (#8) T/S-4</t>
  </si>
  <si>
    <t>4X9</t>
  </si>
  <si>
    <t>XUPS740P10000</t>
  </si>
  <si>
    <t>LX-UZA031KKEZ</t>
  </si>
  <si>
    <t>040090-T12W-B</t>
  </si>
  <si>
    <t>Ốc 4x9 BNDD (MS)</t>
  </si>
  <si>
    <t>TH ( SMALL) T/S-1</t>
  </si>
  <si>
    <t>040060-P62W</t>
  </si>
  <si>
    <t>ZEAB0406SC</t>
  </si>
  <si>
    <t>4*6</t>
  </si>
  <si>
    <t>040100-J12W</t>
  </si>
  <si>
    <t>ST1TN40100SE</t>
  </si>
  <si>
    <t>SCR TPG TRS 4x10 T1</t>
  </si>
  <si>
    <t>040120-J12W</t>
  </si>
  <si>
    <t>ST1TN40120SE</t>
  </si>
  <si>
    <t>SCR TPG TRS 4x12 T1</t>
  </si>
  <si>
    <t>W/M</t>
  </si>
  <si>
    <t>6002-001218</t>
  </si>
  <si>
    <t>040140-J12W</t>
  </si>
  <si>
    <t>6002-001122</t>
  </si>
  <si>
    <t>Ð?c Thù ?c Vít</t>
  </si>
  <si>
    <t>040100-T12W</t>
  </si>
  <si>
    <t>6002-000470</t>
  </si>
  <si>
    <t>SCR TPG PAN 4*10 T1</t>
  </si>
  <si>
    <t>6002-000213</t>
  </si>
  <si>
    <t>040120-P12W</t>
  </si>
  <si>
    <t>Assy</t>
  </si>
  <si>
    <t>SCR TPG PAN 4*12 T1</t>
  </si>
  <si>
    <t>PH(#8) T/S-1</t>
  </si>
  <si>
    <t>040120-T12W-6D</t>
  </si>
  <si>
    <t>ASSY SCREW F/W</t>
  </si>
  <si>
    <t>040140-T12W</t>
  </si>
  <si>
    <t>6002-001306</t>
  </si>
  <si>
    <t>040090-T12W-6D</t>
  </si>
  <si>
    <t>4004Q75204</t>
  </si>
  <si>
    <t>040160-J12W</t>
  </si>
  <si>
    <t>ST1CN40160SZ</t>
  </si>
  <si>
    <t>SCR TPG CYL 4*16 T1</t>
  </si>
  <si>
    <t>040160-T12P</t>
  </si>
  <si>
    <t>6002-001515</t>
  </si>
  <si>
    <t xml:space="preserve">TH T/S-1 </t>
  </si>
  <si>
    <t>6002-000215</t>
  </si>
  <si>
    <t>040160-T12W-6</t>
  </si>
  <si>
    <t>040500-J121</t>
  </si>
  <si>
    <t>FAB33519601</t>
  </si>
  <si>
    <t>FH T/S-1 (NANO)</t>
  </si>
  <si>
    <t>4x50</t>
  </si>
  <si>
    <t>040140-CP2W</t>
  </si>
  <si>
    <t>874014000000</t>
  </si>
  <si>
    <t>040100-PB20</t>
  </si>
  <si>
    <t>Head
C/O</t>
  </si>
  <si>
    <t>LTPS-T60000</t>
  </si>
  <si>
    <t>PH TTS - B</t>
  </si>
  <si>
    <t>6003-001286</t>
  </si>
  <si>
    <t>SET-002</t>
  </si>
  <si>
    <t>DJ98-01147A</t>
  </si>
  <si>
    <t>ASSY ACCESSORY</t>
  </si>
  <si>
    <t>#80180-F12Z-5P</t>
  </si>
  <si>
    <t>FL + T/S-1 PVC/W</t>
  </si>
  <si>
    <t>#8 x18</t>
  </si>
  <si>
    <t>590059-Y02W-DNZ</t>
  </si>
  <si>
    <t>Rivet 4.2*7.2</t>
  </si>
  <si>
    <t>RIVET A</t>
  </si>
  <si>
    <t>5.9x5.7</t>
  </si>
  <si>
    <t>6002-000613</t>
  </si>
  <si>
    <t>6002-001431</t>
  </si>
  <si>
    <t>590048-Y02W-DNZ</t>
  </si>
  <si>
    <t>SHORT RIVET</t>
  </si>
  <si>
    <t>RIVET B</t>
  </si>
  <si>
    <t>5.9x4.8</t>
  </si>
  <si>
    <t>040080-PC2W-1R</t>
  </si>
  <si>
    <t>SHCV</t>
  </si>
  <si>
    <t>PH TTS-C T/W</t>
  </si>
  <si>
    <t>040080-T52W-1B</t>
  </si>
  <si>
    <t>REF</t>
  </si>
  <si>
    <t>TH (SMALL) M/S T/W</t>
  </si>
  <si>
    <t>6006-001170</t>
  </si>
  <si>
    <t>040120-BC2W</t>
  </si>
  <si>
    <t>BH TTS-C</t>
  </si>
  <si>
    <t>040150-BC2W</t>
  </si>
  <si>
    <t>ZBA0414SZ</t>
  </si>
  <si>
    <t>4*15</t>
  </si>
  <si>
    <t>040200-P52W</t>
  </si>
  <si>
    <t>6001-000595</t>
  </si>
  <si>
    <t>040045-PS2W</t>
  </si>
  <si>
    <t>TURBO</t>
  </si>
  <si>
    <t>6003-000269</t>
  </si>
  <si>
    <t>PH TTS-S</t>
  </si>
  <si>
    <t>M4*4.5</t>
  </si>
  <si>
    <t>3.55</t>
  </si>
  <si>
    <t>Add PL</t>
  </si>
  <si>
    <t>6003-000226</t>
  </si>
  <si>
    <t>050160-P12N</t>
  </si>
  <si>
    <t>SCW-5016PT (NI)</t>
  </si>
  <si>
    <t>3.95</t>
  </si>
  <si>
    <t>050160-T12W</t>
  </si>
  <si>
    <t>DC60-20057A</t>
  </si>
  <si>
    <t>FAB33519701</t>
  </si>
  <si>
    <t>4x90</t>
  </si>
  <si>
    <t>XA4688021</t>
  </si>
  <si>
    <t>050146-JM2W-AB</t>
  </si>
  <si>
    <t>DA81-01532A</t>
  </si>
  <si>
    <t>FH M/S CHAMFER</t>
  </si>
  <si>
    <t>5*14.6</t>
  </si>
  <si>
    <t>050127-FC2W-P</t>
  </si>
  <si>
    <t>6003-001435</t>
  </si>
  <si>
    <t>FL TTS-C</t>
  </si>
  <si>
    <t>6002-001438</t>
  </si>
  <si>
    <t>6011-001546</t>
  </si>
  <si>
    <t>050160-FM2W-P</t>
  </si>
  <si>
    <t>FL + M/S</t>
  </si>
  <si>
    <t>050200-FS2W-P</t>
  </si>
  <si>
    <t>6011-008075</t>
  </si>
  <si>
    <t>FL + TTS-S</t>
  </si>
  <si>
    <t>5x20</t>
  </si>
  <si>
    <t>6002-001644</t>
  </si>
  <si>
    <t>040120-Z12W-T</t>
  </si>
  <si>
    <t>PC</t>
  </si>
  <si>
    <t>6009-001343</t>
  </si>
  <si>
    <t>TORX SCREW</t>
  </si>
  <si>
    <t>4.67</t>
  </si>
  <si>
    <t>6009-001367</t>
  </si>
  <si>
    <t>5.45</t>
  </si>
  <si>
    <t>050145-F52W-DPS</t>
  </si>
  <si>
    <t>5*14.5</t>
  </si>
  <si>
    <t>6.25</t>
  </si>
  <si>
    <t>080220-UM2W-4P</t>
  </si>
  <si>
    <t>3012912227055DC</t>
  </si>
  <si>
    <t>SPECICAL SCREW</t>
  </si>
  <si>
    <t xml:space="preserve"> 8*22</t>
  </si>
  <si>
    <t>6009-001740</t>
  </si>
  <si>
    <t>050195-T62W-D</t>
  </si>
  <si>
    <t>6009-001240</t>
  </si>
  <si>
    <t>120320-HMFW-D</t>
  </si>
  <si>
    <t>A/B</t>
  </si>
  <si>
    <t>K9459013P002-F00K</t>
  </si>
  <si>
    <t>12*32</t>
  </si>
  <si>
    <t>11.85</t>
  </si>
  <si>
    <t>6011-001565</t>
  </si>
  <si>
    <t>100280-HMFW-D</t>
  </si>
  <si>
    <t>K9459013P001-F00K</t>
  </si>
  <si>
    <t>HEX(T/M) M/S</t>
  </si>
  <si>
    <t>9.85</t>
  </si>
  <si>
    <t>060140-U53W-P</t>
  </si>
  <si>
    <t>TBV001</t>
  </si>
  <si>
    <t>HEX(UPSET)M/S</t>
  </si>
  <si>
    <t>6x14</t>
  </si>
  <si>
    <t>S45F SAIP</t>
  </si>
  <si>
    <t>050250-HM3W</t>
  </si>
  <si>
    <t>M5*25S--8.8HS-HB</t>
  </si>
  <si>
    <t>5x25</t>
  </si>
  <si>
    <t>S45K (S)AIP</t>
  </si>
  <si>
    <t>4.25</t>
  </si>
  <si>
    <t>080160-HM3W</t>
  </si>
  <si>
    <t>M8*16S-8.8HS-HB</t>
  </si>
  <si>
    <t>8x16</t>
  </si>
  <si>
    <t>7.95</t>
  </si>
  <si>
    <t>050140-U53W-P</t>
  </si>
  <si>
    <t>HW-007</t>
  </si>
  <si>
    <t>HEX (UPSET) + M/S</t>
  </si>
  <si>
    <t>5x14</t>
  </si>
  <si>
    <t>S45K SAIP</t>
  </si>
  <si>
    <t>100200-Y03O-C</t>
  </si>
  <si>
    <t>V0149A0010</t>
  </si>
  <si>
    <t>SHAFT HINGE</t>
  </si>
  <si>
    <t>10x20</t>
  </si>
  <si>
    <t>100350-HM3W</t>
  </si>
  <si>
    <t>M10*35S-8.8HS-HB</t>
  </si>
  <si>
    <t>10x35</t>
  </si>
  <si>
    <t>060300-U34W-4</t>
  </si>
  <si>
    <t>6011-006805</t>
  </si>
  <si>
    <t>6*30</t>
  </si>
  <si>
    <t>6011-004782</t>
  </si>
  <si>
    <t>M6*60</t>
  </si>
  <si>
    <t>6011-001571</t>
  </si>
  <si>
    <t>6011-007676</t>
  </si>
  <si>
    <t>DC97-14263A</t>
  </si>
  <si>
    <t>5.65</t>
  </si>
  <si>
    <t>1SZZFR4170F</t>
  </si>
  <si>
    <t>8x110</t>
  </si>
  <si>
    <t>1SZZFR4170D</t>
  </si>
  <si>
    <t>101343-F14W-AB</t>
  </si>
  <si>
    <t>6011-006498</t>
  </si>
  <si>
    <t>10X134.3</t>
  </si>
  <si>
    <t>9.30</t>
  </si>
  <si>
    <t>6011-001666</t>
  </si>
  <si>
    <t>101653-F14W-AB</t>
  </si>
  <si>
    <t>6011-006814</t>
  </si>
  <si>
    <t>10*165.3</t>
  </si>
  <si>
    <t>101703-F14W-AB</t>
  </si>
  <si>
    <t>6011-006815</t>
  </si>
  <si>
    <t>BOLT PIXER</t>
  </si>
  <si>
    <t>10*170.3</t>
  </si>
  <si>
    <t>DJ66-00144A</t>
  </si>
  <si>
    <t>SEA1010  HD</t>
  </si>
  <si>
    <t>9.88</t>
  </si>
  <si>
    <t>EYE BOLT</t>
  </si>
  <si>
    <t>7x42</t>
  </si>
  <si>
    <t>STS 304 J3S WSB</t>
  </si>
  <si>
    <t>450230-Z06H</t>
  </si>
  <si>
    <t>DA66-00664B</t>
  </si>
  <si>
    <t>SHAFT HANDLE</t>
  </si>
  <si>
    <t>4.5 x 23</t>
  </si>
  <si>
    <t xml:space="preserve">STS 304J3 - S </t>
  </si>
  <si>
    <t>4.50</t>
  </si>
  <si>
    <t>6011-006813</t>
  </si>
  <si>
    <t>M8*14</t>
  </si>
  <si>
    <t>9.80</t>
  </si>
  <si>
    <t>030060-J56H</t>
  </si>
  <si>
    <t>HW-006</t>
  </si>
  <si>
    <t>FH M/S (SUS304)</t>
  </si>
  <si>
    <t>2.60</t>
  </si>
  <si>
    <t>030200-T56H</t>
  </si>
  <si>
    <t>HW-005</t>
  </si>
  <si>
    <t>TH M/S (SUS304)</t>
  </si>
  <si>
    <t xml:space="preserve"> 3x20</t>
  </si>
  <si>
    <t>040100-J26H</t>
  </si>
  <si>
    <t>STATN40100UL</t>
  </si>
  <si>
    <t>SCR TPG TRS 4x10 UA</t>
  </si>
  <si>
    <t>040120-J26H</t>
  </si>
  <si>
    <t>STATN40120UL</t>
  </si>
  <si>
    <t>SCR TPG TRS 4x12 UA</t>
  </si>
  <si>
    <t>040080-T26H</t>
  </si>
  <si>
    <t>6002-001320</t>
  </si>
  <si>
    <t>TH T/S-2S(STS304)</t>
  </si>
  <si>
    <t>4 x 8</t>
  </si>
  <si>
    <t>040080-T46H-5</t>
  </si>
  <si>
    <t>SCREW M4x8(PVC)</t>
  </si>
  <si>
    <t>040100-T66H</t>
  </si>
  <si>
    <t>STATN40100UK</t>
  </si>
  <si>
    <t>040120-T66H</t>
  </si>
  <si>
    <t>STATN40120UK</t>
  </si>
  <si>
    <t>SCR TPG TRS 4x12</t>
  </si>
  <si>
    <t>040120-T46H-5</t>
  </si>
  <si>
    <t>SCREW M4x12(PVC)</t>
  </si>
  <si>
    <t>040120-T26H</t>
  </si>
  <si>
    <t>040220-J26H</t>
  </si>
  <si>
    <t>1TCL0403432</t>
  </si>
  <si>
    <t>FH T/S-2S (STS304)</t>
  </si>
  <si>
    <t>040120-J16H</t>
  </si>
  <si>
    <t>6002-000525</t>
  </si>
  <si>
    <t>3.25</t>
  </si>
  <si>
    <t>040100-T16H</t>
  </si>
  <si>
    <t>6002-001615</t>
  </si>
  <si>
    <t>6002-000471</t>
  </si>
  <si>
    <t>040120-T16H-5</t>
  </si>
  <si>
    <t>TH T/S-1 PE/W</t>
  </si>
  <si>
    <t>040140-T16H</t>
  </si>
  <si>
    <t>6002-000473</t>
  </si>
  <si>
    <t>TH T/S-1 (STS304)</t>
  </si>
  <si>
    <t>040160-T16H</t>
  </si>
  <si>
    <t>ST1TN40160UK</t>
  </si>
  <si>
    <t>SCR TPG TRS 4x16</t>
  </si>
  <si>
    <t>040120-J56H</t>
  </si>
  <si>
    <t>6001-002750</t>
  </si>
  <si>
    <t>FH M/S(304CU)</t>
  </si>
  <si>
    <t>040080-T56H</t>
  </si>
  <si>
    <t>TH M/S (STS304CU)</t>
  </si>
  <si>
    <t>6001-000033</t>
  </si>
  <si>
    <t>040100-T56H-R</t>
  </si>
  <si>
    <t>DA60-00018A</t>
  </si>
  <si>
    <t>TH M/S P,R/W</t>
  </si>
  <si>
    <t>050220-T16H</t>
  </si>
  <si>
    <t>SCR TPG TRS 5*22</t>
  </si>
  <si>
    <t>5*22</t>
  </si>
  <si>
    <t>050080-T56H-M</t>
  </si>
  <si>
    <t>N98-5-0580</t>
  </si>
  <si>
    <t>5*8</t>
  </si>
  <si>
    <t>4.38</t>
  </si>
  <si>
    <t>050160-J56H</t>
  </si>
  <si>
    <t>HW-002</t>
  </si>
  <si>
    <t>050100-T56H</t>
  </si>
  <si>
    <t>HW-001</t>
  </si>
  <si>
    <t>DJVN-34005</t>
  </si>
  <si>
    <t>050230-J56H-B</t>
  </si>
  <si>
    <t>HW-003</t>
  </si>
  <si>
    <t>FH (SMALL) M/S</t>
  </si>
  <si>
    <t>5x23</t>
  </si>
  <si>
    <t>040120-Y56H-Z</t>
  </si>
  <si>
    <t>BT4T000101</t>
  </si>
  <si>
    <t>Platness M/S(STS304)</t>
  </si>
  <si>
    <t>050160-H56H-4P</t>
  </si>
  <si>
    <t>HW-010</t>
  </si>
  <si>
    <t>HEX(T/M) M/S S,P/W</t>
  </si>
  <si>
    <t>060100-P56H</t>
  </si>
  <si>
    <t>M6X10SU-PMS</t>
  </si>
  <si>
    <t>6 x 10</t>
  </si>
  <si>
    <t>060160-P56H</t>
  </si>
  <si>
    <t>M6X16SU-PMS</t>
  </si>
  <si>
    <t>6 x 16</t>
  </si>
  <si>
    <t>060255-J56H-MZ</t>
  </si>
  <si>
    <t>PULSATOR SCREW</t>
  </si>
  <si>
    <t>6*25.5</t>
  </si>
  <si>
    <t>M6X50SU-PMS</t>
  </si>
  <si>
    <t>6 x 50</t>
  </si>
  <si>
    <t>050250-P56H</t>
  </si>
  <si>
    <t>HW-009</t>
  </si>
  <si>
    <t>PH M/S (SUS304)</t>
  </si>
  <si>
    <t>060060-Y56H-B</t>
  </si>
  <si>
    <t>CYLINDER M/S</t>
  </si>
  <si>
    <t>6x6</t>
  </si>
  <si>
    <t>4000FR4031C</t>
  </si>
  <si>
    <t>8x31.5</t>
  </si>
  <si>
    <t>7.02</t>
  </si>
  <si>
    <t>080290-FM6R-D</t>
  </si>
  <si>
    <t>4000FR4031B</t>
  </si>
  <si>
    <t>8x29</t>
  </si>
  <si>
    <t>080280-FM6R-1B</t>
  </si>
  <si>
    <t>FAB30598601</t>
  </si>
  <si>
    <t>FL FH M/S-T/W,O-RING</t>
  </si>
  <si>
    <t>8x28</t>
  </si>
  <si>
    <t>040140-T25H</t>
  </si>
  <si>
    <t>XCTUZ40P1400</t>
  </si>
  <si>
    <t>TH T/S-2S (STS430)</t>
  </si>
  <si>
    <t>6002-001006</t>
  </si>
  <si>
    <t>6002-000444</t>
  </si>
  <si>
    <t>TH /S-2 (STS430)</t>
  </si>
  <si>
    <t>6002-000445</t>
  </si>
  <si>
    <t>040120-T65H-2</t>
  </si>
  <si>
    <t>FX-BZA014KKEZ</t>
  </si>
  <si>
    <t>TH T/S-2(NO CUTTING)</t>
  </si>
  <si>
    <t>0030600670A</t>
  </si>
  <si>
    <t>6002-001279</t>
  </si>
  <si>
    <t>6001-001668</t>
  </si>
  <si>
    <t>050160-FM5R-P</t>
  </si>
  <si>
    <t>6009-001522</t>
  </si>
  <si>
    <t>FL BOLT (STS430)</t>
  </si>
  <si>
    <t>050160-T65H-B</t>
  </si>
  <si>
    <t>6002-001160</t>
  </si>
  <si>
    <t>4.05</t>
  </si>
  <si>
    <t>6002-001186</t>
  </si>
  <si>
    <t>4.30</t>
  </si>
  <si>
    <t>DC60-40137A</t>
  </si>
  <si>
    <t>040200-Y12W-DP</t>
  </si>
  <si>
    <t>6009-001252</t>
  </si>
  <si>
    <t>FLATNESS T/S-1</t>
  </si>
  <si>
    <t>SWCH18A SAIP</t>
  </si>
  <si>
    <t>060160-U32W-PK</t>
  </si>
  <si>
    <t>HEX(UPSET)M/SCUTTING</t>
  </si>
  <si>
    <t>6x16</t>
  </si>
  <si>
    <t>050100-PM7H-2</t>
  </si>
  <si>
    <t>K9459078G001-E-T2</t>
  </si>
  <si>
    <t>PH M/S P/W</t>
  </si>
  <si>
    <t>5 x 10</t>
  </si>
  <si>
    <t>C2700 W ???</t>
  </si>
  <si>
    <t>4.35</t>
  </si>
  <si>
    <t>050080-HM7H</t>
  </si>
  <si>
    <t>K9459098P001-SLHB</t>
  </si>
  <si>
    <t>HEX(T/M)-(DATE)M/S</t>
  </si>
  <si>
    <t>060100-PM7H-2</t>
  </si>
  <si>
    <t>K9459079G001-E-T2</t>
  </si>
  <si>
    <t>060120-HM7H</t>
  </si>
  <si>
    <t>K9459099P001-SLHB</t>
  </si>
  <si>
    <t>6*12</t>
  </si>
  <si>
    <t>050095-Z51N-DP</t>
  </si>
  <si>
    <t>CYLINDER SQUARE M/S</t>
  </si>
  <si>
    <t>5x9.5</t>
  </si>
  <si>
    <t>080400-HM7H-4</t>
  </si>
  <si>
    <t>HEX(T/M) (DATE) M/S</t>
  </si>
  <si>
    <t>8*40</t>
  </si>
  <si>
    <t>C2700 ???</t>
  </si>
  <si>
    <t>040100-T52W-S</t>
  </si>
  <si>
    <t>6001-002674</t>
  </si>
  <si>
    <t>TH M/S SE</t>
  </si>
  <si>
    <t>3.48</t>
  </si>
  <si>
    <t>230080-P51N</t>
  </si>
  <si>
    <t>p</t>
  </si>
  <si>
    <t>SCW-2308P (NI)</t>
  </si>
  <si>
    <t>2.3x8</t>
  </si>
  <si>
    <t>OD</t>
    <phoneticPr fontId="0" type="noConversion"/>
  </si>
  <si>
    <t>037150-20N0-B</t>
  </si>
  <si>
    <t>DA60-00015A</t>
  </si>
  <si>
    <t>NBR WASHER</t>
  </si>
  <si>
    <t>3.7*15*2.0</t>
  </si>
  <si>
    <t>NBR EPDM</t>
  </si>
  <si>
    <t>W</t>
  </si>
  <si>
    <t>051092-136H-3F</t>
  </si>
  <si>
    <t>M5SU-SW-2</t>
  </si>
  <si>
    <t>SPRING WASHER</t>
  </si>
  <si>
    <t>5.1*9.2*1.3T</t>
  </si>
  <si>
    <t>S/W SUS304</t>
  </si>
  <si>
    <t>W</t>
    <phoneticPr fontId="0" type="noConversion"/>
  </si>
  <si>
    <t>051092-138W-3F</t>
  </si>
  <si>
    <t>M5S-SW-2</t>
  </si>
  <si>
    <t xml:space="preserve">SPRING WASHER </t>
  </si>
  <si>
    <t>5.1x9.2x1.3T</t>
  </si>
  <si>
    <t>S/W SWRH62B</t>
  </si>
  <si>
    <t>260060-P51N-4</t>
  </si>
  <si>
    <t>SCW-2606RW (NI)</t>
  </si>
  <si>
    <t>2.6x6</t>
  </si>
  <si>
    <t>055120-086H-2</t>
  </si>
  <si>
    <t>M5SU-W-M</t>
  </si>
  <si>
    <t>PLAIN WASHER</t>
  </si>
  <si>
    <t>5.5*12*0.8T</t>
  </si>
  <si>
    <t>P/W SUS304</t>
  </si>
  <si>
    <t>W</t>
    <phoneticPr fontId="0" type="noConversion"/>
  </si>
  <si>
    <t>065114-120W-2</t>
  </si>
  <si>
    <t>6031-003061</t>
  </si>
  <si>
    <t xml:space="preserve">WASHER PLAIN </t>
  </si>
  <si>
    <t>6.5*11.4*1.2T</t>
  </si>
  <si>
    <t>P/W</t>
  </si>
  <si>
    <t>04P070-251W</t>
  </si>
  <si>
    <t>6021-000265</t>
  </si>
  <si>
    <t>HEX NUT TYPE 2</t>
  </si>
  <si>
    <t>M4</t>
  </si>
  <si>
    <t>N</t>
    <phoneticPr fontId="0" type="noConversion"/>
  </si>
  <si>
    <t>605270-200W-2F</t>
  </si>
  <si>
    <t>PPLT-A038KKWZ</t>
  </si>
  <si>
    <t>6.05*27*2.0T</t>
  </si>
  <si>
    <t>SPHC</t>
  </si>
  <si>
    <t>061122-156H-3F</t>
  </si>
  <si>
    <t>M6SU-SW-2</t>
  </si>
  <si>
    <t>6.1x12.2x1.5T</t>
  </si>
  <si>
    <t>061122-158W-3F</t>
  </si>
  <si>
    <t>M6S-SW-2</t>
  </si>
  <si>
    <t>6.1*12.2*1.5T</t>
  </si>
  <si>
    <t>080120-005P-Z</t>
  </si>
  <si>
    <t>6902-003043</t>
  </si>
  <si>
    <t>BAG PE</t>
  </si>
  <si>
    <t>80*120*0.05T</t>
  </si>
  <si>
    <t>????</t>
  </si>
  <si>
    <t>060400-Z0P0</t>
  </si>
  <si>
    <t>DJ61-02601A</t>
  </si>
  <si>
    <t>HOLDER LOCK</t>
  </si>
  <si>
    <t>6x40</t>
  </si>
  <si>
    <t>PE</t>
  </si>
  <si>
    <t>OD</t>
  </si>
  <si>
    <t>042160-086H-2</t>
  </si>
  <si>
    <t>DA60-40104J</t>
  </si>
  <si>
    <t>4.2*17*1.0</t>
  </si>
  <si>
    <t>065127-140W-2F</t>
  </si>
  <si>
    <t>HNVN-005</t>
  </si>
  <si>
    <t>6.5*12.7*1.4T</t>
  </si>
  <si>
    <t>P</t>
    <phoneticPr fontId="0" type="noConversion"/>
  </si>
  <si>
    <t>P/W SPCC</t>
  </si>
  <si>
    <t>082154-206H-3F</t>
  </si>
  <si>
    <t>M8SU-SW-2</t>
  </si>
  <si>
    <t>8.2*15.4*2T</t>
  </si>
  <si>
    <t>085180-166H-2</t>
  </si>
  <si>
    <t>M8SU-W-M</t>
  </si>
  <si>
    <t>8.5*18*1.6T</t>
  </si>
  <si>
    <t>082154-208W-3F</t>
  </si>
  <si>
    <t>M8S-SW-2</t>
  </si>
  <si>
    <t>112225-129Z-DF</t>
  </si>
  <si>
    <t>6031-002861</t>
  </si>
  <si>
    <t>DISK SPRING</t>
  </si>
  <si>
    <t>11.2*22.5*1.2T</t>
  </si>
  <si>
    <t>065186-160W-2F</t>
  </si>
  <si>
    <t>HNVN-006</t>
  </si>
  <si>
    <t>6.5*18.6*1.6T</t>
  </si>
  <si>
    <t>102184-258W-3F</t>
  </si>
  <si>
    <t>M10S-SW-2</t>
  </si>
  <si>
    <t>10.2*18.4*2.5T</t>
  </si>
  <si>
    <t>08P125-351W-B</t>
  </si>
  <si>
    <t>6021-001125</t>
  </si>
  <si>
    <t>HEX NUT 3??(B12)</t>
  </si>
  <si>
    <t>M8*1.25P</t>
  </si>
  <si>
    <t>08P125-251W-A</t>
  </si>
  <si>
    <t>DC60-50153A</t>
  </si>
  <si>
    <t>NUT HEX 8</t>
  </si>
  <si>
    <t>M8×1.25P</t>
  </si>
  <si>
    <t>065254-160W-2F</t>
  </si>
  <si>
    <t>HNVN-007</t>
  </si>
  <si>
    <t>6.5*25.4*1.6T</t>
  </si>
  <si>
    <t>10P150-451W</t>
  </si>
  <si>
    <t>6021-001253</t>
  </si>
  <si>
    <t>NYLON NUT</t>
  </si>
  <si>
    <t>M10*1.5P</t>
  </si>
  <si>
    <t>N</t>
    <phoneticPr fontId="0" type="noConversion"/>
  </si>
  <si>
    <t>085300-200W-2</t>
  </si>
  <si>
    <t>PC ASSY</t>
  </si>
  <si>
    <t>DC60-60044B</t>
  </si>
  <si>
    <t>8.5 x 30 x 2.0T</t>
  </si>
  <si>
    <t>162280-408W-3F</t>
  </si>
  <si>
    <t>M16S-SW-2</t>
  </si>
  <si>
    <t>16.2*28*4T</t>
  </si>
  <si>
    <t>08P125-Z510</t>
  </si>
  <si>
    <t>DA66-01138A</t>
  </si>
  <si>
    <t>M8 TAP</t>
  </si>
  <si>
    <t>8*28.5</t>
  </si>
  <si>
    <t>210600-600W-2</t>
  </si>
  <si>
    <t>K7614063P003-F-P</t>
  </si>
  <si>
    <t>21*60*6.0T</t>
  </si>
  <si>
    <t>P/W S45C</t>
  </si>
  <si>
    <t>064145-056H-1F</t>
  </si>
  <si>
    <t>PULSATORSCREW WASHER</t>
  </si>
  <si>
    <t>6.4*14.5*0.5T</t>
  </si>
  <si>
    <t>320080-Z0AH</t>
  </si>
  <si>
    <t>DA60-90005A</t>
  </si>
  <si>
    <t>B/RIVET AL</t>
  </si>
  <si>
    <t>3.2X8</t>
  </si>
  <si>
    <t>AL A3003</t>
  </si>
  <si>
    <t>040100-Z0AH</t>
  </si>
  <si>
    <t>6041-001035</t>
  </si>
  <si>
    <t>B/RIVET</t>
  </si>
  <si>
    <t>045100-120W-2F</t>
  </si>
  <si>
    <t>HNVN-001</t>
  </si>
  <si>
    <t>4.5*10*1.2T</t>
  </si>
  <si>
    <t>SPCC</t>
  </si>
  <si>
    <t>055130-250W-2F</t>
  </si>
  <si>
    <t>PWS2613550</t>
  </si>
  <si>
    <t>5.5x13x2.5T</t>
  </si>
  <si>
    <t>056115-158W-3F</t>
  </si>
  <si>
    <t>M6SW5611515</t>
  </si>
  <si>
    <t>5.6x11.5x1.5T</t>
  </si>
  <si>
    <t>SWRH62B</t>
  </si>
  <si>
    <t>240048-PM2W-DM</t>
  </si>
  <si>
    <t>X53053052</t>
  </si>
  <si>
    <t>PH ± M/S</t>
  </si>
  <si>
    <t>SM 2.38x5</t>
  </si>
  <si>
    <t>045110-170W-2F</t>
  </si>
  <si>
    <t>HNVN-002</t>
  </si>
  <si>
    <t>4.5*11*1.7T</t>
  </si>
  <si>
    <t>08P125-256H-A</t>
  </si>
  <si>
    <t>6021-001830</t>
  </si>
  <si>
    <t>HEX NUT 2? STS304</t>
  </si>
  <si>
    <t>STS304HC WSB</t>
  </si>
  <si>
    <t>10P150-Z5BW</t>
  </si>
  <si>
    <t>DC61-01552A</t>
  </si>
  <si>
    <t>HEX(B13) POP NUT</t>
  </si>
  <si>
    <t>M10x22</t>
  </si>
  <si>
    <t>SWCH6A</t>
  </si>
  <si>
    <t>173150-Y010</t>
  </si>
  <si>
    <t>DA66-01004A</t>
  </si>
  <si>
    <t>HINGE LOW SHAFT</t>
  </si>
  <si>
    <t>17.3*15</t>
  </si>
  <si>
    <t>15.60</t>
  </si>
  <si>
    <t>260041-Y52W-DT</t>
  </si>
  <si>
    <t>XZ5106-201</t>
  </si>
  <si>
    <t>SCREW (M2.6)</t>
  </si>
  <si>
    <t>M2.6x4.1</t>
  </si>
  <si>
    <t>2.25</t>
  </si>
  <si>
    <t>#80130-PDEW-S</t>
  </si>
  <si>
    <t>PH SDS SE</t>
  </si>
  <si>
    <t>#8x13</t>
  </si>
  <si>
    <t>S22A SAIP</t>
  </si>
  <si>
    <t>#80160-PDEW</t>
  </si>
  <si>
    <t>6009-001512</t>
  </si>
  <si>
    <t>PH SelfDrillingScrew</t>
  </si>
  <si>
    <t>#8x16</t>
  </si>
  <si>
    <t>SET-001</t>
  </si>
  <si>
    <t>DJ98-01138A</t>
  </si>
  <si>
    <t>020050-P56H</t>
  </si>
  <si>
    <t>SCON-T33001</t>
  </si>
  <si>
    <t>M2*5</t>
  </si>
  <si>
    <t>STS304 WSA</t>
  </si>
  <si>
    <t>40.16</t>
  </si>
  <si>
    <t>040250-T12W</t>
  </si>
  <si>
    <t>4x25</t>
  </si>
  <si>
    <t>055100-086H-2</t>
  </si>
  <si>
    <t>M5SU-W-S</t>
  </si>
  <si>
    <t>5.5x10x0.8T</t>
  </si>
  <si>
    <t>SW</t>
  </si>
  <si>
    <t>05P080-Z5BW</t>
  </si>
  <si>
    <t>AVEN-T16</t>
  </si>
  <si>
    <t>HEX(B7) POP NUT</t>
  </si>
  <si>
    <t>M5x0.8P</t>
  </si>
  <si>
    <t>N</t>
  </si>
  <si>
    <t>060500-H56H</t>
  </si>
  <si>
    <t>HIEP-T52600</t>
  </si>
  <si>
    <t>HEX(T/M)M/S</t>
  </si>
  <si>
    <t>M6x50</t>
  </si>
  <si>
    <t>06P100-Z5BW</t>
  </si>
  <si>
    <t>AVEN-T17</t>
  </si>
  <si>
    <t>HEX (B9) POP NUT</t>
  </si>
  <si>
    <t>M6x1.0P</t>
  </si>
  <si>
    <t>080090-ZE1W-C</t>
  </si>
  <si>
    <t>DOWEL08150</t>
  </si>
  <si>
    <t>DOWER PIN</t>
  </si>
  <si>
    <t>8x9</t>
  </si>
  <si>
    <t>08P125-Z5BW</t>
  </si>
  <si>
    <t>AVEN-T18</t>
  </si>
  <si>
    <t>HEX (B11) POP NUT</t>
  </si>
  <si>
    <t>M8x1.25P</t>
  </si>
  <si>
    <t>120150-ZE1W-C</t>
  </si>
  <si>
    <t>DOWEL12150</t>
  </si>
  <si>
    <t>12x15</t>
  </si>
  <si>
    <t>060090-ZE1W-C</t>
  </si>
  <si>
    <t>DOWEL06100</t>
  </si>
  <si>
    <t>6x9</t>
  </si>
  <si>
    <t>202338-518W-3F</t>
  </si>
  <si>
    <t>M20S-SW-2</t>
  </si>
  <si>
    <t>20.2x33.8x5.1T</t>
  </si>
  <si>
    <t>350064-ZR6H-DZ</t>
  </si>
  <si>
    <t>RIVET32635</t>
  </si>
  <si>
    <t>PARKER TACK</t>
  </si>
  <si>
    <t>3.5x6.4</t>
  </si>
  <si>
    <t>STS 304 J3S WSA</t>
  </si>
  <si>
    <t>045150-200W-2F</t>
  </si>
  <si>
    <t>HNVN-003</t>
  </si>
  <si>
    <t>4.5*15*2.0T</t>
  </si>
  <si>
    <t>045250-200W-2F</t>
  </si>
  <si>
    <t>HNVN-004</t>
  </si>
  <si>
    <t>4.5*25*2.0T</t>
  </si>
  <si>
    <t>065300-200W-2F</t>
  </si>
  <si>
    <t>HNVN-008</t>
  </si>
  <si>
    <t>6.5*30*2.0T</t>
  </si>
  <si>
    <t>W</t>
    <phoneticPr fontId="0" type="noConversion"/>
  </si>
  <si>
    <t>#80160-CD5H</t>
  </si>
  <si>
    <t>HW-011</t>
  </si>
  <si>
    <t>PH/W SDS</t>
  </si>
  <si>
    <t>STS410 WSA</t>
  </si>
  <si>
    <t>#80160-JD5H</t>
  </si>
  <si>
    <t>HW-012</t>
  </si>
  <si>
    <t>FH SDS</t>
  </si>
  <si>
    <t>030100-ZM4B-H</t>
  </si>
  <si>
    <t>SCW-S.3010</t>
  </si>
  <si>
    <t>HEX WRENCH (NO HEAD)</t>
  </si>
  <si>
    <t>03P050-451N</t>
  </si>
  <si>
    <t>M3-CAP/NUT</t>
  </si>
  <si>
    <t>CAP NUT</t>
  </si>
  <si>
    <t>M3x0.5P</t>
  </si>
  <si>
    <t>03P050-551N-S</t>
  </si>
  <si>
    <t>M3-FL/NUT</t>
  </si>
  <si>
    <t>FL / NUT SE</t>
  </si>
  <si>
    <t>040040-ZM4B-H</t>
  </si>
  <si>
    <t>SCW-S.4004</t>
  </si>
  <si>
    <t>042160-106H-2F</t>
  </si>
  <si>
    <t>4.2*16*1.0T</t>
  </si>
  <si>
    <t>030063-Z57H</t>
  </si>
  <si>
    <t>C04561</t>
  </si>
  <si>
    <t>ZH M/S</t>
  </si>
  <si>
    <t xml:space="preserve"> BRASS C2700 ???</t>
  </si>
  <si>
    <t>0</t>
  </si>
  <si>
    <t>008-064</t>
  </si>
  <si>
    <t>S18A (S)AIP</t>
  </si>
  <si>
    <t>4*9</t>
  </si>
  <si>
    <t>Date: 2020.08.13</t>
  </si>
  <si>
    <t>Hết nguyên liệu</t>
  </si>
  <si>
    <t>Tốc độ chậm</t>
  </si>
  <si>
    <t>Đủ đơn</t>
  </si>
  <si>
    <t>cài đặt sản phẩm khác</t>
  </si>
  <si>
    <t>햇딩대기
12.08.20</t>
  </si>
  <si>
    <t>setting</t>
  </si>
  <si>
    <t>008-090</t>
  </si>
  <si>
    <t>8*29</t>
  </si>
  <si>
    <t>햇딩대기
13.08.20</t>
  </si>
  <si>
    <t>햇딩대기
17.08.20</t>
  </si>
  <si>
    <t>Date: 2020.08.15</t>
  </si>
  <si>
    <t>Máy hư trục</t>
  </si>
  <si>
    <t>Máy hư ổ khuôn</t>
  </si>
  <si>
    <t>Mr.Vũ  (Off)</t>
  </si>
  <si>
    <t>thay liệu 10', khuôn hư 2h20'</t>
  </si>
  <si>
    <t>thay liệu 10',thay punch 10'</t>
  </si>
  <si>
    <t>Đổi đơn cài đặt 6h</t>
  </si>
  <si>
    <t>Chỉnh méo đầu 2h</t>
  </si>
  <si>
    <t>Bể búa 2,+Punch 2h20'</t>
  </si>
  <si>
    <t>HƯ Khuôn 2 , 3h30'</t>
  </si>
  <si>
    <t>rpm 100 ea /thay punch 20'</t>
  </si>
  <si>
    <t>Cài  đặt 15', gãy chắn liệu 1'30'</t>
  </si>
  <si>
    <t>cài đặt mới</t>
  </si>
  <si>
    <t xml:space="preserve">Cài  đặt mới </t>
  </si>
  <si>
    <t>Hết nguyên liệu 1h30'</t>
  </si>
  <si>
    <t>Cài  đặt mới  1H30</t>
  </si>
  <si>
    <t>Thay punch 10'</t>
  </si>
  <si>
    <t>hết liệu 2h</t>
  </si>
  <si>
    <t>Gãy chốt tống 2h30'</t>
  </si>
  <si>
    <t>Không có người 1h</t>
  </si>
  <si>
    <t>chỉnh dao,búa 20',ép punch 20'</t>
  </si>
  <si>
    <t>hết nguyên liệu 4h</t>
  </si>
  <si>
    <t>thay punch,chỉnh kẹp 20'</t>
  </si>
  <si>
    <t>thay punch,chỉnh méo 20'</t>
  </si>
  <si>
    <t>thay punch,chỉnh méo 1h20'</t>
  </si>
  <si>
    <t>Staff</t>
  </si>
  <si>
    <t>Kha</t>
  </si>
  <si>
    <t>Dũng</t>
  </si>
  <si>
    <t>Khang</t>
  </si>
  <si>
    <t>Quang</t>
  </si>
  <si>
    <t>Tuấn ,Linh</t>
  </si>
  <si>
    <t>thay liệu 10',thay búa 2 h35'</t>
  </si>
  <si>
    <t>Thiên</t>
  </si>
  <si>
    <t>Thịnh</t>
  </si>
  <si>
    <t>Tài</t>
  </si>
  <si>
    <t>Phú</t>
  </si>
  <si>
    <t>N.Anh</t>
  </si>
  <si>
    <t>5*20</t>
  </si>
  <si>
    <t>thay liệu 10',thay búa 35'</t>
  </si>
  <si>
    <t xml:space="preserve"> </t>
  </si>
  <si>
    <t>008-105</t>
  </si>
  <si>
    <t>햇딩대기
18.08.20</t>
  </si>
  <si>
    <t>Đợi khuôn 7h, cài đặt 30'</t>
  </si>
  <si>
    <t>Cài đặt mới 3h45',chỉnh lệch tâm 
búa 2- 30',vệ sinh lọc dầu 10'</t>
  </si>
  <si>
    <t>thay nguyên liệu 10' , thay punch 5'</t>
  </si>
  <si>
    <t xml:space="preserve">Cài đặt mới </t>
  </si>
  <si>
    <t>thay nguyên liệu 10'</t>
  </si>
  <si>
    <t>rpm 100 ea /</t>
  </si>
  <si>
    <t>Gãy pin búa 2h</t>
  </si>
  <si>
    <t>Thay dấu 30' thay pin búa 2 -1h10'</t>
  </si>
  <si>
    <t>VŨ</t>
  </si>
  <si>
    <t>SETTING SAMPLE AVENA</t>
  </si>
  <si>
    <t>Cài đặt mới 2h</t>
  </si>
  <si>
    <t>thay liệu 10', thay bake 15', 
setting mẫu 1h30'</t>
  </si>
  <si>
    <t>cài đặt mới 2h,chờ sửa búa 1  - 2h
chờ rolling 2h</t>
  </si>
  <si>
    <t>kẹt ống dẫn liệu 30'</t>
  </si>
  <si>
    <t>thay bake 10'</t>
  </si>
  <si>
    <t>thay bake 20'</t>
  </si>
  <si>
    <t>Tâm</t>
  </si>
  <si>
    <t>đợi nguyên liệu 2h40'
 cài đặt mới1h55</t>
  </si>
  <si>
    <t>hết nguyên liệu 4h30'</t>
  </si>
  <si>
    <t>N.anh</t>
  </si>
  <si>
    <t>Thay liệu 10', bảo trì sửa 10'
thay punch 20'</t>
  </si>
  <si>
    <t>Chỉnh méo 2h, Thay punch 20'</t>
  </si>
  <si>
    <t>Chỉnh méo 30', Thay punch 20'
vệ sinh lọc dầu 10'</t>
  </si>
  <si>
    <t>Thay punch 20'</t>
  </si>
  <si>
    <t>Thay punch 10' , chỉnh méo 1h
chỉnh khuôn 50'</t>
  </si>
  <si>
    <t>Date: 2020.08.19</t>
  </si>
  <si>
    <t>햇딩대기
19.08.20</t>
  </si>
  <si>
    <t>thay nguyên liệu 20'</t>
  </si>
  <si>
    <t>MẺ DIE2 -A ĐƠị phòng khuôn 7h45'</t>
  </si>
  <si>
    <t>thay nguyên liệu 10' , thay punch 10'</t>
  </si>
  <si>
    <t xml:space="preserve">thay nguyên liệu 10' </t>
  </si>
  <si>
    <t>thay nliệu 10', thay bake 15'
thay pin 15' ,vệ sinh lọc dầu 15'</t>
  </si>
  <si>
    <t>chờ bảo trì máy bơm dầu 30'
gãy bake 1h, pin búa 1 - 30'</t>
  </si>
  <si>
    <t xml:space="preserve">chờ sửa máy 8a ,30'
sửa búa 2/ 1h, </t>
  </si>
  <si>
    <t>thay bake chỉnh máy 1h</t>
  </si>
  <si>
    <t xml:space="preserve">thay liệu 15', thay bake 15', </t>
  </si>
  <si>
    <t xml:space="preserve">thay liệu 5', thay bake 10', </t>
  </si>
  <si>
    <t xml:space="preserve">thay liệu 5', thay bake 5', </t>
  </si>
  <si>
    <t>thay ốc ổ khuôn 30'</t>
  </si>
  <si>
    <t>tâm</t>
  </si>
  <si>
    <t>Thay punch 10' bin búa15'</t>
  </si>
  <si>
    <t>bảo trì sửa 4h</t>
  </si>
  <si>
    <t>Thay punch 20' , chỉnh méo 1h30</t>
  </si>
  <si>
    <t>Thay punch 10' , thay lò xo,,
mài lại búa 2h</t>
  </si>
  <si>
    <t>Thay punch 20' , chỉnh kẹp1h</t>
  </si>
  <si>
    <t>6*35</t>
  </si>
  <si>
    <t>008-107</t>
  </si>
  <si>
    <t>STS304 J3S WSA</t>
  </si>
  <si>
    <t>10.*144.3</t>
  </si>
  <si>
    <t>008-108</t>
  </si>
  <si>
    <t>030150-P66H-ADS</t>
  </si>
  <si>
    <t>PH T/S-2 STEP SE</t>
  </si>
  <si>
    <t>3*15</t>
  </si>
  <si>
    <t>007-070</t>
  </si>
  <si>
    <t>6*16</t>
  </si>
  <si>
    <t>030120-P26H</t>
  </si>
  <si>
    <t>PH T/S-2S(STS304)</t>
  </si>
  <si>
    <t>030862-Z06H</t>
  </si>
  <si>
    <t>3*86.2</t>
  </si>
  <si>
    <t>4X12</t>
  </si>
  <si>
    <t>009-080</t>
  </si>
  <si>
    <t>7*114</t>
  </si>
  <si>
    <t>009-009</t>
  </si>
  <si>
    <t>Slượng hàng ngày</t>
  </si>
  <si>
    <t>8H</t>
  </si>
  <si>
    <t>10H30'</t>
  </si>
  <si>
    <t>008-113</t>
  </si>
  <si>
    <t>TUẤN</t>
  </si>
  <si>
    <t>THIÊN</t>
  </si>
  <si>
    <t xml:space="preserve">KHANG </t>
  </si>
  <si>
    <t>QUANG</t>
  </si>
  <si>
    <t>THỊNH</t>
  </si>
  <si>
    <t>ĐIỆP</t>
  </si>
  <si>
    <t>Khang xin về  11h30</t>
  </si>
  <si>
    <t>Change Item</t>
  </si>
  <si>
    <t>Date: 2020.09.13</t>
  </si>
  <si>
    <t>Rpm 90 Test MOLD</t>
  </si>
  <si>
    <t>Setting ITEM new</t>
  </si>
  <si>
    <t>햇딩대기
14.09.20</t>
  </si>
  <si>
    <t>Chờ sửa búa 3 ,30',thay bake 10'</t>
  </si>
  <si>
    <t>Thay nguyên liệu 20'</t>
  </si>
  <si>
    <t>Khang xin về  11h30 -Tuấn SX</t>
  </si>
  <si>
    <t>Thay nguyên liệu 10' Thay bake 10'</t>
  </si>
  <si>
    <t>13h Hết nguyên liệu</t>
  </si>
  <si>
    <t>Thay nguyên liệu 10'</t>
  </si>
  <si>
    <t>3.5*6.4</t>
  </si>
  <si>
    <t>Date: 2020.09.14</t>
  </si>
  <si>
    <t>009-018</t>
  </si>
  <si>
    <t>3*18</t>
  </si>
  <si>
    <t>009-108</t>
  </si>
  <si>
    <t>12*15</t>
  </si>
  <si>
    <t>008-094</t>
  </si>
  <si>
    <t>009-120</t>
  </si>
  <si>
    <t>STS304 J3S WSB</t>
  </si>
  <si>
    <t>009-070</t>
  </si>
  <si>
    <t>009-091</t>
  </si>
  <si>
    <t>009-110</t>
  </si>
  <si>
    <t>040200-J11N</t>
  </si>
  <si>
    <t>FH T/S-1</t>
  </si>
  <si>
    <t>010-039</t>
  </si>
  <si>
    <t>010-070</t>
  </si>
  <si>
    <t>010-003</t>
  </si>
  <si>
    <t>010-035</t>
  </si>
  <si>
    <t>010-010</t>
  </si>
  <si>
    <t>010-036</t>
  </si>
  <si>
    <t>010-073</t>
  </si>
  <si>
    <t>590048-Y01W-DZ</t>
  </si>
  <si>
    <t>5.9*4.8</t>
  </si>
  <si>
    <t>010-086</t>
  </si>
  <si>
    <t>009-066</t>
  </si>
  <si>
    <t>16,17</t>
  </si>
  <si>
    <t>008-086</t>
  </si>
  <si>
    <t>010-071</t>
  </si>
  <si>
    <t>009-027</t>
  </si>
  <si>
    <t>008-097</t>
  </si>
  <si>
    <t>7*124</t>
  </si>
  <si>
    <t>010-068</t>
  </si>
  <si>
    <t>009-087</t>
  </si>
  <si>
    <t>50,55</t>
  </si>
  <si>
    <t>51,54</t>
  </si>
  <si>
    <t>18,20,28</t>
  </si>
  <si>
    <t>010-025</t>
  </si>
  <si>
    <t>009-055</t>
  </si>
  <si>
    <t>008-123</t>
  </si>
  <si>
    <t>010-004</t>
  </si>
  <si>
    <t>010-028</t>
  </si>
  <si>
    <t>010-087</t>
  </si>
  <si>
    <t>010-040</t>
  </si>
  <si>
    <t>009-126</t>
  </si>
  <si>
    <t>030140-PB1W-4</t>
  </si>
  <si>
    <t>PH TTS-B S,P/W</t>
  </si>
  <si>
    <t>010-030</t>
  </si>
  <si>
    <t>3*14</t>
  </si>
  <si>
    <t>008-115</t>
  </si>
  <si>
    <t>12.10.20</t>
  </si>
  <si>
    <t>010-009</t>
  </si>
  <si>
    <t>010-002</t>
  </si>
  <si>
    <t>9A</t>
  </si>
  <si>
    <t>햇딩대기
09.10.20</t>
  </si>
  <si>
    <t>OFF</t>
  </si>
  <si>
    <t>Thay NL 20'</t>
  </si>
  <si>
    <t>Không có thùng 40'</t>
  </si>
  <si>
    <t>Đơi khuôn Setting</t>
  </si>
  <si>
    <t xml:space="preserve">Setting </t>
  </si>
  <si>
    <t>Thay pin búa 2 + vệ sinh lọc dầu 2H</t>
  </si>
  <si>
    <t>Tuấn</t>
  </si>
  <si>
    <t>Thay khuôn búa phi thân nhỏ 2H
Máy báo lỗi tắt Setting máy 12</t>
  </si>
  <si>
    <t>Vũ</t>
  </si>
  <si>
    <t>Setting 2H30' Thay bake 10'</t>
  </si>
  <si>
    <t>9H</t>
  </si>
  <si>
    <t>Thay bake 10'</t>
  </si>
  <si>
    <t>Điệp</t>
  </si>
  <si>
    <t>Rút khuôn 30', Setting 2H50'</t>
  </si>
  <si>
    <t>Đợi thùng sắt 45'</t>
  </si>
  <si>
    <t>Máy hư ổ khuôn đợi phòng khuôn</t>
  </si>
  <si>
    <t>Rút búa 1, 30' Thay bake +NVL 20'</t>
  </si>
  <si>
    <t>Rút búa 1  + mài búa 50' 
thay bake 10'</t>
  </si>
  <si>
    <t>Thay bake 20' + NVL 10'</t>
  </si>
  <si>
    <t>Đơiị setting</t>
  </si>
  <si>
    <t>Hết liệu tự dừng 1h
Chỉnh méo tháy Punch 1h</t>
  </si>
  <si>
    <t>Setting 7H</t>
  </si>
  <si>
    <t>Thay Punch 20' 
Dính búa 1H</t>
  </si>
  <si>
    <t>Hư kẹp đang sửa 1H</t>
  </si>
  <si>
    <t>Chỉnh méo tháy Punch 40'</t>
  </si>
  <si>
    <t>Thay búa 1  4H</t>
  </si>
  <si>
    <t>Date: 2020.10.12</t>
  </si>
  <si>
    <t>19,26,</t>
  </si>
  <si>
    <t>Date: 2020.10.13</t>
  </si>
  <si>
    <t>Thay liệu 10', thay lót K3 65'
kiểm tra bơm dầu 30'</t>
  </si>
  <si>
    <t>cài đặt khuôn 5h30'</t>
  </si>
  <si>
    <t>Đổi chỉ thị công việc</t>
  </si>
  <si>
    <t>Đổi đơn setting</t>
  </si>
  <si>
    <t>Hư búa 3 , 1H</t>
  </si>
  <si>
    <t>Thay Bake 20'</t>
  </si>
  <si>
    <t>cài đặt khuôn 4h30'</t>
  </si>
  <si>
    <t>Thay búa 2 + Thay bake 2H</t>
  </si>
  <si>
    <t>SETING 8H</t>
  </si>
  <si>
    <t>Thay NL 10'</t>
  </si>
  <si>
    <t>Thay BAKE 15'</t>
  </si>
  <si>
    <t>Thay van ống hơi 2H30'
Gãy pin bể lót PIN khuôn 2H40'</t>
  </si>
  <si>
    <t>Kiểm tra RPM</t>
  </si>
  <si>
    <t>11H30'</t>
  </si>
  <si>
    <t>12H</t>
  </si>
  <si>
    <t>Bể lót búa  2 4H</t>
  </si>
  <si>
    <t>Vệ sinh ,chỉnh méo 20'</t>
  </si>
  <si>
    <t>Đối đơn</t>
  </si>
  <si>
    <t>HƯ Ổ Búa đợi phòng khuôn</t>
  </si>
  <si>
    <t>Gãy tống 1H30',Thay bake 10'</t>
  </si>
  <si>
    <t>Rút búa 1,30' thay bake 10'
thay NL 10'</t>
  </si>
  <si>
    <t>Thay bake 20'</t>
  </si>
  <si>
    <t xml:space="preserve">SETING </t>
  </si>
  <si>
    <t xml:space="preserve">10H20' Đổi đơn </t>
  </si>
  <si>
    <t>Thay PUNCH 20' , Chỉnh méo 30'</t>
  </si>
  <si>
    <t>Thay PUNCH ' , Chỉnh méo 30'</t>
  </si>
  <si>
    <t>Thay PUNCH ' , Chỉnh méo 1H</t>
  </si>
  <si>
    <t>Thay lò xo , Chỉnh méo 2H
thay punch ,mài kẹp 1H</t>
  </si>
  <si>
    <t>Đơợi phòng khuôn làm búa 1 -5H
Chỉnh méo 1H</t>
  </si>
  <si>
    <t>햇딩대기
12.10.20</t>
  </si>
  <si>
    <t>14.10.20</t>
  </si>
  <si>
    <t>010-104</t>
  </si>
  <si>
    <t>009-028</t>
  </si>
  <si>
    <t>010-019</t>
  </si>
  <si>
    <t>010-111</t>
  </si>
  <si>
    <t>010-110</t>
  </si>
  <si>
    <t>010-047</t>
  </si>
  <si>
    <t>009-122</t>
  </si>
  <si>
    <t>TH T/S-1 PVC/W</t>
  </si>
  <si>
    <t>010-027</t>
  </si>
  <si>
    <t>010-043</t>
  </si>
  <si>
    <t>햇딩대기
13.10.20</t>
  </si>
  <si>
    <t>Thay liệu 10', thay lót K3 2H30'
Thay liệu 10'</t>
  </si>
  <si>
    <t>Sửa khuôn 3H'</t>
  </si>
  <si>
    <t>Thay NL 10'
Thay pin 3 , 10'</t>
  </si>
  <si>
    <t>Cài đặt khuôn 2H</t>
  </si>
  <si>
    <t>Thay khuôn 2,Thay dấu 1H</t>
  </si>
  <si>
    <t>Cài đặt khuôn 3H. Thay NL 10'</t>
  </si>
  <si>
    <t>Chờ búa 2 TỪ phòng khuôn 4H</t>
  </si>
  <si>
    <t>9H30'</t>
  </si>
  <si>
    <t>Cài đặt khuôn 1H30',Sửa búa 2 1H15
HƯ lót chờ phòng khuôn 30''</t>
  </si>
  <si>
    <t>Chờ khuôn từ phòng khuôn</t>
  </si>
  <si>
    <t>Đợi khuôn từ phòng khuôn</t>
  </si>
  <si>
    <t>Thay PIN khuôn 35'
Thay bake 10'</t>
  </si>
  <si>
    <t>N.G khuôn đợi 45 '</t>
  </si>
  <si>
    <t>Cài đặt khuôn</t>
  </si>
  <si>
    <t>Thay bake 20'
Thay Nl 10'</t>
  </si>
  <si>
    <t>11H</t>
  </si>
  <si>
    <t>Thay bake 10'
Thay Nl 10'</t>
  </si>
  <si>
    <t>N.G khuôn đợi phòng khuôn</t>
  </si>
  <si>
    <t>Thay bake 10''</t>
  </si>
  <si>
    <t>Đợi cụm búa từ  phòng khuôn</t>
  </si>
  <si>
    <t>Setting 4H , Chỉnh méo 50'</t>
  </si>
  <si>
    <t>Thay PUNCH ' , búa 1 , 3H</t>
  </si>
  <si>
    <t>Thay lò xo , Chỉnh méo 2H
Trưa tự tắt  1H</t>
  </si>
  <si>
    <t>Chỉnh dao' , Chỉnh méo 3H'
Đợi mài dao 2H</t>
  </si>
  <si>
    <t>Thay PUNCH , Chỉnh méo 20'</t>
  </si>
  <si>
    <t>Thay PUNCH , Chỉnh méo 50'</t>
  </si>
  <si>
    <t>Date: 2020.10.14</t>
  </si>
  <si>
    <t>Cài đặt khuôn 3H</t>
  </si>
  <si>
    <t>15.10.20</t>
  </si>
  <si>
    <t>6*31.5</t>
  </si>
  <si>
    <t>010-099</t>
  </si>
  <si>
    <t>009-076</t>
  </si>
  <si>
    <t>H/D - S/R - H/T - P/T - ST/PK - P/K</t>
  </si>
  <si>
    <t>010-013</t>
  </si>
  <si>
    <t>24,31</t>
  </si>
  <si>
    <t>7,9A</t>
  </si>
  <si>
    <t>010-094</t>
  </si>
  <si>
    <t>16.10.20</t>
  </si>
  <si>
    <t>009-037</t>
  </si>
  <si>
    <t>009-102</t>
  </si>
  <si>
    <t>16.10.20.</t>
  </si>
  <si>
    <t>010-108</t>
  </si>
  <si>
    <t>010-006</t>
  </si>
  <si>
    <t>7</t>
  </si>
  <si>
    <t>Thay liệu 10', thay lót K3 1H30'
Vệ sinh lọc dầu 35'</t>
  </si>
  <si>
    <t>Không có thùng 1H</t>
  </si>
  <si>
    <t>Thay NL 10'Sửa búa 1 ,2H
Thay pin 3 , 10'</t>
  </si>
  <si>
    <t>Sửa  khuôn 2, 30' 
Không có thùng 2H30'</t>
  </si>
  <si>
    <t>Đợi bảo trì sửa máy</t>
  </si>
  <si>
    <t>Change item</t>
  </si>
  <si>
    <t>Thay khuôn 4H</t>
  </si>
  <si>
    <t>Không có thùng 4H. Thay NL 10'</t>
  </si>
  <si>
    <t>Không có thùng 1H
Thay NL 10'</t>
  </si>
  <si>
    <t>Không có thùng 1H30'
Thay sửa búa 1,2H</t>
  </si>
  <si>
    <t>Không có thùng 1H20'
Thay NL 10'</t>
  </si>
  <si>
    <t>Thay bake ,chờ thao tác 30'
thay khuôn,g/c búa 1, nứt bake1H 55'</t>
  </si>
  <si>
    <t>Thay PIN búa 1 ,15'</t>
  </si>
  <si>
    <t>Thay bake 10' Gãy chốt búa 1, 25'
Vệ sinh lọc dầu , thay bake 40'</t>
  </si>
  <si>
    <t>Bể khuôn 1H40'
Sửa máy 16, 50'</t>
  </si>
  <si>
    <t>Hư búa , dao 1H</t>
  </si>
  <si>
    <t>Thay Nl 10'</t>
  </si>
  <si>
    <t>Rút khuôn  20' Tăng ca giờ cơm 
tự tắt</t>
  </si>
  <si>
    <t>Đổi Đơn mới</t>
  </si>
  <si>
    <t xml:space="preserve">Setting 4H </t>
  </si>
  <si>
    <t>Thay bake chỉnh méo 30'</t>
  </si>
  <si>
    <t>Cài đặt 1H30', Không thùng sắt 2H15
Chỉnh méo nứt đầu  2H50'</t>
  </si>
  <si>
    <t>Thay bake 15'
Chỉnh méo 40'</t>
  </si>
  <si>
    <t>Setting 6H  change Item</t>
  </si>
  <si>
    <t>Hết thùng 1H50',Thay bake 10'
Thay NVL 10'</t>
  </si>
  <si>
    <t>Hết thùng 1H40',Thay bake 10'
Thay NVL 10'</t>
  </si>
  <si>
    <t>Máy hư chốt tống đợi bảo trì</t>
  </si>
  <si>
    <t>Hết thùng 3H20',Thay bake 10'
Thay NVL 10'</t>
  </si>
  <si>
    <t>Thay PUNCH 40' , 
Thay ốc đầu búa 10''</t>
  </si>
  <si>
    <t>Thay PUNCH chỉnh méo 3h' , 
đợi công nhân thao tác 5h''</t>
  </si>
  <si>
    <t>Chỉnh dao chỉnh méo 5H10'</t>
  </si>
  <si>
    <t xml:space="preserve">Thay PUNCH chỉnh méo 40' , </t>
  </si>
  <si>
    <t xml:space="preserve">Thay PUNCH Lò xo búa  1H30' , </t>
  </si>
  <si>
    <t xml:space="preserve">Thay PUNCH chỉnh méo 1H20' , </t>
  </si>
  <si>
    <t>Date: 2020.10.15</t>
  </si>
  <si>
    <t>Date: 2020.10.16</t>
  </si>
  <si>
    <t>Date: 2020.10.17</t>
  </si>
  <si>
    <t>Máy báo lỗi bảo trì sửa 6H30'</t>
  </si>
  <si>
    <t>Đợi bảo trì sửa máy 8H</t>
  </si>
  <si>
    <t>Thay dấu 20'. Thay NL 20'</t>
  </si>
  <si>
    <t>Thay bake 10'
Thay Nl 20'</t>
  </si>
  <si>
    <t>Chỉnh kẹp  30'</t>
  </si>
  <si>
    <t>Chỉnh méo, mài búa 1, 3H'
Thay Punch 10'</t>
  </si>
  <si>
    <t>Chỉnh Dao, Thay PUNCH 1H'
Thay Punch 30'</t>
  </si>
  <si>
    <t>Thay Punch 60'</t>
  </si>
  <si>
    <t>Thay PIN'
Vệ sinh lọc dầu , 30'</t>
  </si>
  <si>
    <t>Rút khuôn, thay khuôn 2H10'
Sang máy 15 sửa 30'</t>
  </si>
  <si>
    <t>Thay bake chỉnh méo 35'
Chỉnh chiều cao đầu 25'</t>
  </si>
  <si>
    <t>Đợi  Nl 35' Thay bake 20'
chỉnh méo 20'</t>
  </si>
  <si>
    <t>Thay bake 10'
Chỉnh méo 25'</t>
  </si>
  <si>
    <t>Chỉnh Nứt đầu 5H30'</t>
  </si>
  <si>
    <t>8H30</t>
  </si>
  <si>
    <t>Không có thùng 30'</t>
  </si>
  <si>
    <t>Hư búa 1, chờ thao tác,
không có thùng 4H</t>
  </si>
  <si>
    <t>Hư ốc xiết Bake ,búa 2,30'</t>
  </si>
  <si>
    <t>Đợi thao tác 30''</t>
  </si>
  <si>
    <t>Thiếu liệu 30'</t>
  </si>
  <si>
    <t>Thiếu liệu 30'
Nghỉ trưa N.G tắt máy 1H</t>
  </si>
  <si>
    <t>Thay bake 10'
Giảm lot búa 1 , 20'</t>
  </si>
  <si>
    <t>Máy hư đợi bảo trì 
Mr. Kha off</t>
  </si>
  <si>
    <t>10H</t>
  </si>
  <si>
    <t>Không có thùng 5H</t>
  </si>
  <si>
    <t>TOTAL</t>
  </si>
  <si>
    <t>Cài đặt  3H
Không có thùng 2H</t>
  </si>
  <si>
    <t>Không có thùng 6H. '</t>
  </si>
  <si>
    <t>Không có thùng 8H. '</t>
  </si>
  <si>
    <t>Thay NL 10' Đổi đơn</t>
  </si>
  <si>
    <t>Ngưng máy 3H Hết liệu
Thay Nl 10'</t>
  </si>
  <si>
    <t>Thay NL 10'
Hết thùng sắt 3H40'</t>
  </si>
  <si>
    <t>040100-B66H</t>
  </si>
  <si>
    <t>9,10</t>
  </si>
  <si>
    <t>040060-P51W-3</t>
  </si>
  <si>
    <t>TOTAL M/C PRODUCTION 23</t>
  </si>
  <si>
    <t>TOTAL M/C CAN'T PRODUCTION 16</t>
  </si>
  <si>
    <t>햇딩대기
03.11.20</t>
  </si>
  <si>
    <t>Diep</t>
  </si>
  <si>
    <t>040250-T22W</t>
  </si>
  <si>
    <t>M3</t>
  </si>
  <si>
    <t>050160-FM5R-AP</t>
  </si>
  <si>
    <t>040250-T22W-B</t>
  </si>
  <si>
    <t>480150-Y01Z-Z</t>
  </si>
  <si>
    <t>030080-P26H</t>
  </si>
  <si>
    <t>Stock RM</t>
  </si>
  <si>
    <t>6S</t>
  </si>
  <si>
    <t>U40500-UM1W-4A</t>
  </si>
  <si>
    <t>030100-P22W</t>
  </si>
  <si>
    <t>040200-T26H</t>
  </si>
  <si>
    <t>650270-F62J-S</t>
  </si>
  <si>
    <t>650390-H62J-4D</t>
  </si>
  <si>
    <t>H2</t>
  </si>
  <si>
    <t>030180-P611-Q</t>
  </si>
  <si>
    <t>030100-PB6H</t>
  </si>
  <si>
    <t>030120-PB2W</t>
  </si>
  <si>
    <t>040060-P57H-3</t>
  </si>
  <si>
    <t>040060-T66H</t>
  </si>
  <si>
    <t>040080-PB2W</t>
  </si>
  <si>
    <t>040100-PB6H</t>
  </si>
  <si>
    <t>040100-T62W</t>
  </si>
  <si>
    <t>040120-T62W</t>
  </si>
  <si>
    <t>040140-PB2W</t>
  </si>
  <si>
    <t>040140-PB6H</t>
  </si>
  <si>
    <t>040200-C62W-A</t>
  </si>
  <si>
    <t>040250-P22W</t>
  </si>
  <si>
    <t>040300-C66H-BT</t>
  </si>
  <si>
    <t>590059-Y01W-DZ</t>
  </si>
  <si>
    <t>S18A SAIP (F)</t>
  </si>
  <si>
    <t>S18A (S)AIP (F)</t>
  </si>
  <si>
    <t>550230-F66H-P</t>
  </si>
  <si>
    <t>6L</t>
  </si>
  <si>
    <t>100346-Y01B</t>
  </si>
  <si>
    <t>040120-Z12W-DT</t>
  </si>
  <si>
    <t>020075-PP2B</t>
  </si>
  <si>
    <t>030080-P62G</t>
  </si>
  <si>
    <t>040600-UM1W-PQ</t>
  </si>
  <si>
    <t>071245-F14W-A</t>
  </si>
  <si>
    <t>4A</t>
  </si>
  <si>
    <t>060500-U34W-4</t>
  </si>
  <si>
    <t>030060-J51W</t>
  </si>
  <si>
    <t>040100-T51W</t>
  </si>
  <si>
    <t>040140-TC2W-1</t>
  </si>
  <si>
    <t>040160-T31W-3K</t>
  </si>
  <si>
    <t>030060-B59B-MQ</t>
  </si>
  <si>
    <t>S12A HD</t>
  </si>
  <si>
    <t>030060-PB2W</t>
  </si>
  <si>
    <t>030270-T62W-AD</t>
  </si>
  <si>
    <t>260050-P51A</t>
  </si>
  <si>
    <t>071600-F14W</t>
  </si>
  <si>
    <t>Q401-02</t>
  </si>
  <si>
    <t>2022.10.01</t>
  </si>
  <si>
    <t>S18A HD</t>
  </si>
  <si>
    <t>030070-Z01B-AZ</t>
  </si>
  <si>
    <t>050100-P57H-2</t>
  </si>
  <si>
    <t>STS304CU WSA (XM7)</t>
  </si>
  <si>
    <t>C2700 W BRASS 1/4H</t>
  </si>
  <si>
    <t>080220-U51W-3</t>
  </si>
  <si>
    <t>040300-P66H</t>
  </si>
  <si>
    <t>030060-Y52B</t>
  </si>
  <si>
    <t>040120-Y12W-P</t>
  </si>
  <si>
    <t>020130-Z06H</t>
  </si>
  <si>
    <t>030080-JB2B</t>
  </si>
  <si>
    <t>040080-T66H</t>
  </si>
  <si>
    <t>040180-T12W</t>
  </si>
  <si>
    <t>050120-Y52W-DP</t>
  </si>
  <si>
    <t>060100-U22W-P</t>
  </si>
  <si>
    <t>Master Code</t>
  </si>
  <si>
    <t>Ch?t li?u</t>
  </si>
  <si>
    <t>Heading, Foaming</t>
  </si>
  <si>
    <t>Rolling, Sem`s, Tapping</t>
  </si>
  <si>
    <t xml:space="preserve">M? </t>
  </si>
  <si>
    <t>Sub GdCode1</t>
  </si>
  <si>
    <t>Sub GdCode2</t>
  </si>
  <si>
    <t>Sub GdCode3</t>
  </si>
  <si>
    <t>Sub GdCode4</t>
  </si>
  <si>
    <t>Sub GdCode5</t>
  </si>
  <si>
    <t>BSVN</t>
  </si>
  <si>
    <t>EA</t>
  </si>
  <si>
    <t>10[H/D],30[R/L],70[&amp;gt;H/T],80[&amp;gt;P/T],85[ST/ PK],99[P/K]</t>
  </si>
  <si>
    <t>TBVN</t>
  </si>
  <si>
    <t>Z</t>
  </si>
  <si>
    <t>E</t>
  </si>
  <si>
    <t>P02200325</t>
  </si>
  <si>
    <t>98[PUR],70[&amp;gt;H/T],80[&amp;gt;P/T],85[ST/ PK],99[P/K]</t>
  </si>
  <si>
    <t>HPW</t>
  </si>
  <si>
    <t>H</t>
  </si>
  <si>
    <t>98[PUR],85[ST/ PK],99[P/K]</t>
  </si>
  <si>
    <t>SEHC-R</t>
  </si>
  <si>
    <t>#80160-PSEW</t>
  </si>
  <si>
    <t>JGPP</t>
  </si>
  <si>
    <t>#8 x 16</t>
  </si>
  <si>
    <t>P11810000</t>
  </si>
  <si>
    <t>10[H/D],30[R/L],70[&amp;gt;H/T],80[&amp;gt;P/T],84[&amp;gt;A/B],85[ST/ PK],99[P/K]</t>
  </si>
  <si>
    <t>038100-1050-5F</t>
  </si>
  <si>
    <t>SCON</t>
  </si>
  <si>
    <t>SHARP</t>
  </si>
  <si>
    <t>NAMI</t>
  </si>
  <si>
    <t>B</t>
  </si>
  <si>
    <t>SEHC</t>
  </si>
  <si>
    <t>2x13</t>
  </si>
  <si>
    <t>STS304J3S WSB</t>
  </si>
  <si>
    <t>10[H/D],68[&amp;gt;BF/PT],85[ST/ PK],99[P/K]</t>
  </si>
  <si>
    <t>020170-P51W</t>
  </si>
  <si>
    <t>2x17</t>
  </si>
  <si>
    <t>10[H/D],30[R/L],80[&amp;gt;P/T],85[ST/ PK],99[P/K]</t>
  </si>
  <si>
    <t>026080-0500-2F</t>
  </si>
  <si>
    <t>HSV</t>
  </si>
  <si>
    <t>2.6x8.0x0.5T</t>
  </si>
  <si>
    <t>P15500001</t>
  </si>
  <si>
    <t>0.5T</t>
  </si>
  <si>
    <t>98[PUR],45[S/R]</t>
  </si>
  <si>
    <t>027055-0780-3</t>
  </si>
  <si>
    <t>2.7x5.5x0.7T</t>
  </si>
  <si>
    <t>P15400001</t>
  </si>
  <si>
    <t>S/W SWCH62</t>
  </si>
  <si>
    <t>0.7T</t>
  </si>
  <si>
    <t>027060-0600-2F</t>
  </si>
  <si>
    <t>2.7x6.0x0.6T</t>
  </si>
  <si>
    <t>P15500002</t>
  </si>
  <si>
    <t>0.6T</t>
  </si>
  <si>
    <t>HANM</t>
  </si>
  <si>
    <t>030045-B62B</t>
  </si>
  <si>
    <t>030045-CB2B</t>
  </si>
  <si>
    <t>BISG</t>
  </si>
  <si>
    <t>10[H/D],45[S/R],80[&amp;gt;P/T],85[ST/ PK],99[P/K]</t>
  </si>
  <si>
    <t>030055-ZM2W-DS</t>
  </si>
  <si>
    <t>VH/W SE M/S STEP</t>
  </si>
  <si>
    <t>LGS</t>
  </si>
  <si>
    <t>3x5.5</t>
  </si>
  <si>
    <t>030060-B54W-ASZ</t>
  </si>
  <si>
    <t>BH(LARGE-ISO)SE M/S</t>
  </si>
  <si>
    <t>VEST</t>
  </si>
  <si>
    <t>M3*6</t>
  </si>
  <si>
    <t>030060-BM4B-A</t>
  </si>
  <si>
    <t>BH(LARGE-ISO)M/S</t>
  </si>
  <si>
    <t>030060-C66H</t>
  </si>
  <si>
    <t>PH/W T/S-2 (NO CT)</t>
  </si>
  <si>
    <t>DYEV</t>
  </si>
  <si>
    <t>030060-P51W-3</t>
  </si>
  <si>
    <t>PAVCV</t>
  </si>
  <si>
    <t>SEHC-V</t>
  </si>
  <si>
    <t>030060-P56H</t>
  </si>
  <si>
    <t>030060-PB2B-A</t>
  </si>
  <si>
    <t>INUS</t>
  </si>
  <si>
    <t>FLATNESS M/S</t>
  </si>
  <si>
    <t>BOEV</t>
  </si>
  <si>
    <t>YJKV</t>
  </si>
  <si>
    <t>030070-P62B-AD</t>
  </si>
  <si>
    <t>PH(LARGE) T/S-2 STEP</t>
  </si>
  <si>
    <t>030070-P62W-AD</t>
  </si>
  <si>
    <t>RIVET</t>
  </si>
  <si>
    <t>VEXO</t>
  </si>
  <si>
    <t>10[H/D],80[&amp;gt;P/T],85[ST/ PK],99[P/K]</t>
  </si>
  <si>
    <t>AQAC</t>
  </si>
  <si>
    <t>10[H/D],30[R/L],60[C/T],70[&amp;gt;H/T],80[&amp;gt;P/T],85[ST/ PK],99[P/K]</t>
  </si>
  <si>
    <t>030080-C52W</t>
  </si>
  <si>
    <t>PH/W(LARGE)M/S</t>
  </si>
  <si>
    <t>M3*8</t>
  </si>
  <si>
    <t>Nano / 168hr</t>
  </si>
  <si>
    <t>TIGE</t>
  </si>
  <si>
    <t>10[H/D],30[R/L],60[C/T],80[&amp;gt;P/T],85[ST/ PK],99[P/K]</t>
  </si>
  <si>
    <t>Nano 168h</t>
  </si>
  <si>
    <t>Black, Baking, Nano/168hr</t>
  </si>
  <si>
    <t>SEHC-W</t>
  </si>
  <si>
    <t>SGVN</t>
  </si>
  <si>
    <t>NHVN</t>
  </si>
  <si>
    <t>030080-YM1W-A</t>
  </si>
  <si>
    <t>M3x8</t>
  </si>
  <si>
    <t>M3x10</t>
  </si>
  <si>
    <t>030100-BB2N</t>
  </si>
  <si>
    <t>030100-BB2W</t>
  </si>
  <si>
    <t>M3*10</t>
  </si>
  <si>
    <t>030100-P26H</t>
  </si>
  <si>
    <t>030100-P51W-4</t>
  </si>
  <si>
    <t>Black, Baking, Nano/ 168hr</t>
  </si>
  <si>
    <t>030100-PB2W</t>
  </si>
  <si>
    <t>STS304 WSB</t>
  </si>
  <si>
    <t>030110-P12B-AD</t>
  </si>
  <si>
    <t>PH(LARGE) T/S-1 STEP</t>
  </si>
  <si>
    <t>3x11</t>
  </si>
  <si>
    <t>030110-P12W-AD</t>
  </si>
  <si>
    <t>030120-J111</t>
  </si>
  <si>
    <t>MGVN</t>
  </si>
  <si>
    <t xml:space="preserve"> Nano/ 168h</t>
  </si>
  <si>
    <t>3x15</t>
  </si>
  <si>
    <t>M3*16</t>
  </si>
  <si>
    <t xml:space="preserve">TH(LARGE)T/S-2NO CT </t>
  </si>
  <si>
    <t>3*27</t>
  </si>
  <si>
    <t>3X86.2</t>
  </si>
  <si>
    <t>STS304J3S WSA</t>
  </si>
  <si>
    <t>10[H/D],67[&amp;gt;B/F],80[&amp;gt;P/T],85[ST/ PK],99[P/K]</t>
  </si>
  <si>
    <t>ELEN</t>
  </si>
  <si>
    <t>3.3x6.0x0.5T</t>
  </si>
  <si>
    <t>P15900001</t>
  </si>
  <si>
    <t>P/W STS304</t>
  </si>
  <si>
    <t>033085-0600-1</t>
  </si>
  <si>
    <t>TOOTH WASHER</t>
  </si>
  <si>
    <t>3.3x8.5x0.6T</t>
  </si>
  <si>
    <t>P16100001</t>
  </si>
  <si>
    <t>T/W SPCC</t>
  </si>
  <si>
    <t>033140-0800-2F</t>
  </si>
  <si>
    <t>3.3x14.0x0.8T</t>
  </si>
  <si>
    <t>P5500003</t>
  </si>
  <si>
    <t>0.8T</t>
  </si>
  <si>
    <t>034070-1050-2F</t>
  </si>
  <si>
    <t>3.4x7.0x1.0T</t>
  </si>
  <si>
    <t>P15700001</t>
  </si>
  <si>
    <t>P/W STS430</t>
  </si>
  <si>
    <t>1.0T</t>
  </si>
  <si>
    <t>034150-1000-2F</t>
  </si>
  <si>
    <t>3.4*15.0*1.0T</t>
  </si>
  <si>
    <t>P16700006</t>
  </si>
  <si>
    <t>034160-0850-2F</t>
  </si>
  <si>
    <t>3.4x16.0x0.8T</t>
  </si>
  <si>
    <t>P15700002</t>
  </si>
  <si>
    <t>036070-1070-3</t>
  </si>
  <si>
    <t>3.6x7.0x1.0T</t>
  </si>
  <si>
    <t>P16300001</t>
  </si>
  <si>
    <t>S/W C2700</t>
  </si>
  <si>
    <t>036070-1080-3</t>
  </si>
  <si>
    <t>P15400002</t>
  </si>
  <si>
    <t>036080-0800-2F</t>
  </si>
  <si>
    <t>3.6x8.0x0.8T</t>
  </si>
  <si>
    <t>036085-0600-1</t>
  </si>
  <si>
    <t>3.6x8.5x0.6T</t>
  </si>
  <si>
    <t>037100-1050-5F</t>
  </si>
  <si>
    <t>PVC WASHER</t>
  </si>
  <si>
    <t>3.7x10.0x1.0T</t>
  </si>
  <si>
    <t>P19910001</t>
  </si>
  <si>
    <t>PVC</t>
  </si>
  <si>
    <t>P03071520</t>
  </si>
  <si>
    <t>2.0T</t>
  </si>
  <si>
    <t>3.8x10.0x1.0T</t>
  </si>
  <si>
    <t>P01000050</t>
  </si>
  <si>
    <t>040041-Y52W-T</t>
  </si>
  <si>
    <t>SCREW (M4)</t>
  </si>
  <si>
    <t>M4*4.1</t>
  </si>
  <si>
    <t>ea</t>
  </si>
  <si>
    <t>040060-B56H-D</t>
  </si>
  <si>
    <t xml:space="preserve">BH M/S STEP </t>
  </si>
  <si>
    <t>040060-F56H-P</t>
  </si>
  <si>
    <t>FL+BOLT M/S (STS304)</t>
  </si>
  <si>
    <t>RNVN</t>
  </si>
  <si>
    <t>040060-P51W</t>
  </si>
  <si>
    <t>040060-P62B</t>
  </si>
  <si>
    <t>AQWM</t>
  </si>
  <si>
    <t>040060-T62B</t>
  </si>
  <si>
    <t>040060-T62W</t>
  </si>
  <si>
    <t>040060-U56H-P</t>
  </si>
  <si>
    <t>HEX(UP) M/S(STS304)</t>
  </si>
  <si>
    <t>040080-BC2W</t>
  </si>
  <si>
    <t>040080-J56H-B</t>
  </si>
  <si>
    <t>FH M/S (STS304)</t>
  </si>
  <si>
    <t>M4*8</t>
  </si>
  <si>
    <t>040080-KY4W-BZ</t>
  </si>
  <si>
    <t>TH/W(SMALLISO)T/S-PT</t>
  </si>
  <si>
    <t>White,Baking,Nano/ 168hr</t>
  </si>
  <si>
    <t>040080-P51W-3</t>
  </si>
  <si>
    <t>M4x8</t>
  </si>
  <si>
    <t>040080-P51W-M</t>
  </si>
  <si>
    <t>040080-P61W</t>
  </si>
  <si>
    <t>DKSS</t>
  </si>
  <si>
    <t>040080-P62G</t>
  </si>
  <si>
    <t>10[H/D],45[S/R],70[&amp;gt;H/T],80[&amp;gt;P/T],85[ST/ PK],99[P/K]</t>
  </si>
  <si>
    <t>040080-PC2W</t>
  </si>
  <si>
    <t>PH TTS-C</t>
  </si>
  <si>
    <t>040080-T12W</t>
  </si>
  <si>
    <t>LGSO2</t>
  </si>
  <si>
    <t>040080-T221</t>
  </si>
  <si>
    <t>10[H/D],30[R/L],80[&amp;gt;P/T],84[&amp;gt;A/B],85[ST/ PK],99[P/K]</t>
  </si>
  <si>
    <t>040080-T51W</t>
  </si>
  <si>
    <t>040080-T62G</t>
  </si>
  <si>
    <t>040080-Y62W</t>
  </si>
  <si>
    <t>FLAT BOLT T/S-2</t>
  </si>
  <si>
    <t>353080-1060-6F</t>
  </si>
  <si>
    <t>040100-BC2W</t>
  </si>
  <si>
    <t>040100-FS21-PS</t>
  </si>
  <si>
    <t>FL+TTS-S SE</t>
  </si>
  <si>
    <t>AQRE</t>
  </si>
  <si>
    <t>Black / Baking / Nano</t>
  </si>
  <si>
    <t>LTPS</t>
  </si>
  <si>
    <t>10[H/D],30[R/L],70[&amp;gt;H/T],85[ST/ PK],99[P/K]</t>
  </si>
  <si>
    <t>040100-PB2W</t>
  </si>
  <si>
    <t>040100-T121</t>
  </si>
  <si>
    <t>White, Baking, Nano</t>
  </si>
  <si>
    <t>040100-T121-S</t>
  </si>
  <si>
    <t>TH T/S-1 SE</t>
  </si>
  <si>
    <t>White/ Baking/ Nano</t>
  </si>
  <si>
    <t>10[H/D],30[R/L],85[ST/ PK],99[P/K]</t>
  </si>
  <si>
    <t>040100-TC2J</t>
  </si>
  <si>
    <t>TH TTS-C</t>
  </si>
  <si>
    <t>J</t>
  </si>
  <si>
    <t xml:space="preserve">4-2, 4-3 </t>
  </si>
  <si>
    <t>040100-TT2W</t>
  </si>
  <si>
    <t>040100-Z010-Z</t>
  </si>
  <si>
    <t>JWON</t>
  </si>
  <si>
    <t>10[H/D],85[ST/ PK],99[P/K]</t>
  </si>
  <si>
    <t>IPCV</t>
  </si>
  <si>
    <t>PAL3003</t>
  </si>
  <si>
    <t>040110-J12P-A</t>
  </si>
  <si>
    <t>FH (LAGER) T/S-1 CO</t>
  </si>
  <si>
    <t>4*11</t>
  </si>
  <si>
    <t>10[H/D],30[R/L],70[&amp;gt;H/T],80[&amp;gt;P/T],85[ST/ PK],89[&amp;gt;H/CO],99[P/K]</t>
  </si>
  <si>
    <t>BH T/S-2(NO CT) P/W</t>
  </si>
  <si>
    <t>040120-B66H</t>
  </si>
  <si>
    <t>040120-C42W</t>
  </si>
  <si>
    <t>PH/W T/S-4</t>
  </si>
  <si>
    <t>040120-C54W-Z</t>
  </si>
  <si>
    <t>PH/W (ISO) M/S</t>
  </si>
  <si>
    <t>M4*12</t>
  </si>
  <si>
    <t>040120-K15H-2</t>
  </si>
  <si>
    <t>TH/W T/S-1 P/W</t>
  </si>
  <si>
    <t>040120-K54B-DZ</t>
  </si>
  <si>
    <t>TH/W(ISO) M/S STEP</t>
  </si>
  <si>
    <t>040120-P62W</t>
  </si>
  <si>
    <t>040120-PC2W</t>
  </si>
  <si>
    <t>A</t>
  </si>
  <si>
    <t>040120-T12B</t>
  </si>
  <si>
    <t>HV</t>
  </si>
  <si>
    <t>450-750</t>
  </si>
  <si>
    <t>200-400</t>
  </si>
  <si>
    <t>353130-1050-5F</t>
  </si>
  <si>
    <t>LGSO3</t>
  </si>
  <si>
    <t>10[H/D],45[S/R],60[C/T],70[&amp;gt;H/T],80[&amp;gt;P/T],85[ST/ PK],99[P/K]</t>
  </si>
  <si>
    <t>033085-0900-1</t>
  </si>
  <si>
    <t>DYVN</t>
  </si>
  <si>
    <t>FLAT BOLT T/S-1</t>
  </si>
  <si>
    <t>10[H/D],15[PRO],30[R/L],80[&amp;gt;P/T],85[ST/ PK],99[P/K]</t>
  </si>
  <si>
    <t>040140-BC2W</t>
  </si>
  <si>
    <t>PH/W TTS-P</t>
  </si>
  <si>
    <t>450~650HV</t>
  </si>
  <si>
    <t>040140-T42W-AD</t>
  </si>
  <si>
    <t xml:space="preserve">TH (SPECIAL)T/S-4 </t>
  </si>
  <si>
    <t>TH TTS-C CHAMPER T/W</t>
  </si>
  <si>
    <t xml:space="preserve">EA </t>
  </si>
  <si>
    <t>040160-T121</t>
  </si>
  <si>
    <t>040160-T12G</t>
  </si>
  <si>
    <t>PAINT</t>
  </si>
  <si>
    <t>040160-T12W-2</t>
  </si>
  <si>
    <t>TH T/S-1 P/W</t>
  </si>
  <si>
    <t>040160-T12W-2A</t>
  </si>
  <si>
    <t>040160-T22W</t>
  </si>
  <si>
    <t>TH M/S (S/W) CUTTING</t>
  </si>
  <si>
    <t>10[H/D],60[C/T],45[S/R],80[&amp;gt;P/T],85[ST/ PK],99[P/K]</t>
  </si>
  <si>
    <t>040160-Y12W</t>
  </si>
  <si>
    <t>4x18</t>
  </si>
  <si>
    <t>PH/W T/S-2</t>
  </si>
  <si>
    <t>040220-P51W-3</t>
  </si>
  <si>
    <t>DJVN</t>
  </si>
  <si>
    <t>M4x22</t>
  </si>
  <si>
    <t>040230-B52B</t>
  </si>
  <si>
    <t>4x23</t>
  </si>
  <si>
    <t>040240-T12G</t>
  </si>
  <si>
    <t>DEVN</t>
  </si>
  <si>
    <t>4*24</t>
  </si>
  <si>
    <t>TH (SMALL) T/S-2S</t>
  </si>
  <si>
    <t>PH/W(TORX) T/S-2</t>
  </si>
  <si>
    <t>4x30</t>
  </si>
  <si>
    <t>PH T/S-2 (NO CT)</t>
  </si>
  <si>
    <t>4*30</t>
  </si>
  <si>
    <t>040300-Z51W</t>
  </si>
  <si>
    <t>STUD BOLT</t>
  </si>
  <si>
    <t>LUVN</t>
  </si>
  <si>
    <t>M4x30</t>
  </si>
  <si>
    <t>10[H/D],15[PRO],80[&amp;gt;P/T],85[ST/ PK],99[P/K]</t>
  </si>
  <si>
    <t>040360-T62G</t>
  </si>
  <si>
    <t>4x36</t>
  </si>
  <si>
    <t>YCVN</t>
  </si>
  <si>
    <t>Nano168h</t>
  </si>
  <si>
    <t>P15900002</t>
  </si>
  <si>
    <t>P03020000</t>
  </si>
  <si>
    <t>HNVN</t>
  </si>
  <si>
    <t>4.5*10.0*1.2T</t>
  </si>
  <si>
    <t>P15500003</t>
  </si>
  <si>
    <t>1.2T</t>
  </si>
  <si>
    <t>98[PUR],80[&amp;gt;P/T],85[ST/ PK],99[P/K]</t>
  </si>
  <si>
    <t>4.5*15.0*2.0T</t>
  </si>
  <si>
    <t>P16400001</t>
  </si>
  <si>
    <t>P/W SPHC</t>
  </si>
  <si>
    <t>046085-1380-3</t>
  </si>
  <si>
    <t>4.6x8.5x1.3T</t>
  </si>
  <si>
    <t>1.3T</t>
  </si>
  <si>
    <t>046100-1060-2F</t>
  </si>
  <si>
    <t>4.6x10.0x1.0T</t>
  </si>
  <si>
    <t>046120-0870-2F</t>
  </si>
  <si>
    <t>TIPA</t>
  </si>
  <si>
    <t>P16500001</t>
  </si>
  <si>
    <t>P/W C2680P</t>
  </si>
  <si>
    <t>P01000000</t>
  </si>
  <si>
    <t>050095-Y51N-DP</t>
  </si>
  <si>
    <t>5*10</t>
  </si>
  <si>
    <t>050100-C62W</t>
  </si>
  <si>
    <t>050100-P51W</t>
  </si>
  <si>
    <t>AVEN</t>
  </si>
  <si>
    <t>050120-C62W</t>
  </si>
  <si>
    <t>050120-T62W-B</t>
  </si>
  <si>
    <t>10[H/D],30[R/L],80[&amp;gt;P/T],86[CO/ST/PK],99[P/K]</t>
  </si>
  <si>
    <t>5x12</t>
  </si>
  <si>
    <t>050127-FC2W</t>
  </si>
  <si>
    <t>HTVN</t>
  </si>
  <si>
    <t>M5*12.7</t>
  </si>
  <si>
    <t>5*14</t>
  </si>
  <si>
    <t>050140-FS2W-ACP</t>
  </si>
  <si>
    <t>R</t>
  </si>
  <si>
    <t>98[PUR],45[S/R],80[&amp;gt;P/T],85[ST/ PK],99[P/K]</t>
  </si>
  <si>
    <t>050160-TC2N</t>
  </si>
  <si>
    <t>050180-K54A-AZ</t>
  </si>
  <si>
    <t>TH/W(ISO)M/S COATING</t>
  </si>
  <si>
    <t>M5*18</t>
  </si>
  <si>
    <t>10[H/D],30[R/L],70[&amp;gt;H/T],80[&amp;gt;P/T],86[CO/ST/PK],99[P/K]</t>
  </si>
  <si>
    <t>5x19.5</t>
  </si>
  <si>
    <t>050200-UC2W-P</t>
  </si>
  <si>
    <t>HEX(UP) TTS-C</t>
  </si>
  <si>
    <t>050300-P51W</t>
  </si>
  <si>
    <t>5x30</t>
  </si>
  <si>
    <t>050400-BS2W-D</t>
  </si>
  <si>
    <t>BH TTS-S STEP</t>
  </si>
  <si>
    <t>M5*40</t>
  </si>
  <si>
    <t>P16000001</t>
  </si>
  <si>
    <t>S/W STS304</t>
  </si>
  <si>
    <t>P16600001</t>
  </si>
  <si>
    <t>S/W SWRH62</t>
  </si>
  <si>
    <t>P15900003</t>
  </si>
  <si>
    <t>5.5*13.0*2.5T</t>
  </si>
  <si>
    <t>P16700001</t>
  </si>
  <si>
    <t>2.5T</t>
  </si>
  <si>
    <t>055170-2000-2F</t>
  </si>
  <si>
    <t>5.5x17.0x2.0T</t>
  </si>
  <si>
    <t>P16700002</t>
  </si>
  <si>
    <t>055200-1000-2F</t>
  </si>
  <si>
    <t>5.5x20.0x1.0T</t>
  </si>
  <si>
    <t>P16700003</t>
  </si>
  <si>
    <t>055200-1500-2F</t>
  </si>
  <si>
    <t>5.5x20.0x1.5T</t>
  </si>
  <si>
    <t>P15500005</t>
  </si>
  <si>
    <t>1.5T</t>
  </si>
  <si>
    <t>055200-2060-2F</t>
  </si>
  <si>
    <t>5.5*20.0*2.0T</t>
  </si>
  <si>
    <t>P15900005</t>
  </si>
  <si>
    <t>056115-1560-3</t>
  </si>
  <si>
    <t>5.6*11.5*1.5T</t>
  </si>
  <si>
    <t>P16000002</t>
  </si>
  <si>
    <t>056115-1580-3</t>
  </si>
  <si>
    <t>P15400004</t>
  </si>
  <si>
    <t>P05600700</t>
  </si>
  <si>
    <t>060080-TM6H</t>
  </si>
  <si>
    <t>6x8</t>
  </si>
  <si>
    <t>060100-B51B-Z</t>
  </si>
  <si>
    <t>BH (ISO) M/S</t>
  </si>
  <si>
    <t>M6*10</t>
  </si>
  <si>
    <t>10[H/D],30[R/L],80[&amp;gt;P/T],99[P/K]</t>
  </si>
  <si>
    <t>6x10</t>
  </si>
  <si>
    <t>H1</t>
  </si>
  <si>
    <t>545130-1070-2F</t>
  </si>
  <si>
    <t xml:space="preserve">HEX(UPSET)+BOLT </t>
  </si>
  <si>
    <t>10[H/D],60[C/T],30[R/L],70[&amp;gt;H/T],80[&amp;gt;P/T],85[ST/ PK],99[P/K]</t>
  </si>
  <si>
    <t>060160-U56H-4P</t>
  </si>
  <si>
    <t>HEX(UPSET)S,P/W(STS)</t>
  </si>
  <si>
    <t>M6*16</t>
  </si>
  <si>
    <t>060160-W54H-Z</t>
  </si>
  <si>
    <t>M/S 3P SLOT</t>
  </si>
  <si>
    <t>PKVN</t>
  </si>
  <si>
    <t>060200-FS2W-PS</t>
  </si>
  <si>
    <t>6x20</t>
  </si>
  <si>
    <t>OVAL HEX TTS-S</t>
  </si>
  <si>
    <t>060280-2000-2F</t>
  </si>
  <si>
    <t>6.0x28.0x2.0T</t>
  </si>
  <si>
    <t>10[H/D],70[&amp;gt;H/T],45[S/R],80[&amp;gt;P/T],85[ST/ PK],99[P/K]</t>
  </si>
  <si>
    <t>060350-UM1W-DP</t>
  </si>
  <si>
    <t>HEX(UP)+BOLT STEP</t>
  </si>
  <si>
    <t>P19900060</t>
  </si>
  <si>
    <t>060500-C14W-BZ</t>
  </si>
  <si>
    <t>PH/W (ISO) T/S-1</t>
  </si>
  <si>
    <t>HIEP</t>
  </si>
  <si>
    <t>10[H/D],20[&amp;gt;T/M],30[R/L],80[&amp;gt;P/T],82[S/T],83[PK/O],99[P/K]</t>
  </si>
  <si>
    <t>HEX(UPSET) S.P/W</t>
  </si>
  <si>
    <t>P16600002</t>
  </si>
  <si>
    <t>064100-050W-2F</t>
  </si>
  <si>
    <t>6.4x10x0.5T</t>
  </si>
  <si>
    <t>P15500007</t>
  </si>
  <si>
    <t>1.6T</t>
  </si>
  <si>
    <t>6.5*30.0*2.0T</t>
  </si>
  <si>
    <t>066246-2000-2F</t>
  </si>
  <si>
    <t>6.6x24.6x2.0T</t>
  </si>
  <si>
    <t>P15500008</t>
  </si>
  <si>
    <t>P05600900</t>
  </si>
  <si>
    <t>ASFL</t>
  </si>
  <si>
    <t>10[H/D],30[R/L],50[PRE],51[DR],80[&amp;gt;P/T],85[ST/ PK],99[P/K]</t>
  </si>
  <si>
    <t>HrC</t>
  </si>
  <si>
    <t>7x160</t>
  </si>
  <si>
    <t>074145-2080-3</t>
  </si>
  <si>
    <t>7.4x14.5x2.0T</t>
  </si>
  <si>
    <t>P15400005</t>
  </si>
  <si>
    <t>074220-1500-2F</t>
  </si>
  <si>
    <t>7.4x22.0x1.5T</t>
  </si>
  <si>
    <t>075140-2080-3</t>
  </si>
  <si>
    <t>7.5x14.0x2.0T</t>
  </si>
  <si>
    <t>EEVN</t>
  </si>
  <si>
    <t>P000S0000</t>
  </si>
  <si>
    <t>L</t>
  </si>
  <si>
    <t>10[H/D],20[&amp;gt;T/M],67[&amp;gt;B/F],30[R/L],80[&amp;gt;P/T],86[CO/ST/PK],99[P/K]</t>
  </si>
  <si>
    <t>080150-ZE1W-C</t>
  </si>
  <si>
    <t>8*15</t>
  </si>
  <si>
    <t>HEX(UPSET) M/S S/W</t>
  </si>
  <si>
    <t>IKED</t>
  </si>
  <si>
    <t>M8*22</t>
  </si>
  <si>
    <t>10[H/D],30[R/L],80[&amp;gt;P/T],81[CO/O],84[&amp;gt;A/B],85[ST/ PK],99[P/K]</t>
  </si>
  <si>
    <t>BLUE</t>
  </si>
  <si>
    <t>080315-JM6H-DH</t>
  </si>
  <si>
    <t xml:space="preserve">SPIDER BOLT </t>
  </si>
  <si>
    <t>M8x31.5</t>
  </si>
  <si>
    <t>C2700 W BRASS 1/2H</t>
  </si>
  <si>
    <t>735180-1670-2F</t>
  </si>
  <si>
    <t>White+Nano/168hr</t>
  </si>
  <si>
    <t>HEX(T/M) M/S STEP</t>
  </si>
  <si>
    <t>VPIC</t>
  </si>
  <si>
    <t>M8*50</t>
  </si>
  <si>
    <t>10[H/D],45[S/R],70[&amp;gt;H/T],80[&amp;gt;P/T],86[CO/ST/PK],99[P/K]</t>
  </si>
  <si>
    <t>735300-3000-2F</t>
  </si>
  <si>
    <t>10[H/D],45[S/R],80[&amp;gt;P/T],86[CO/ST/PK],99[P/K]</t>
  </si>
  <si>
    <t>104300-3000-2F</t>
  </si>
  <si>
    <t>081570-F62W-P</t>
  </si>
  <si>
    <t>8x157</t>
  </si>
  <si>
    <t>P16000003</t>
  </si>
  <si>
    <t>P16600003</t>
  </si>
  <si>
    <t>P15900004</t>
  </si>
  <si>
    <t>JYVN</t>
  </si>
  <si>
    <t>8.5*30.0*2.0T</t>
  </si>
  <si>
    <t>P01001230</t>
  </si>
  <si>
    <t>P0100113</t>
  </si>
  <si>
    <t>P05600110</t>
  </si>
  <si>
    <t>z</t>
  </si>
  <si>
    <t>P16600004</t>
  </si>
  <si>
    <t>10.4x30.0x3.0T</t>
  </si>
  <si>
    <t>P16400002</t>
  </si>
  <si>
    <t>3.0T</t>
  </si>
  <si>
    <t>P01001600</t>
  </si>
  <si>
    <t>P05601255</t>
  </si>
  <si>
    <t>110380-4000-2F</t>
  </si>
  <si>
    <t>11.0x38.0x4.0T</t>
  </si>
  <si>
    <t>P16400003</t>
  </si>
  <si>
    <t>4.0T</t>
  </si>
  <si>
    <t>115205-3080-3</t>
  </si>
  <si>
    <t>11.5x20.5x3.0T</t>
  </si>
  <si>
    <t>P15400006</t>
  </si>
  <si>
    <t>120140-005P-Z</t>
  </si>
  <si>
    <t>120x140x0.05T</t>
  </si>
  <si>
    <t>120500-3000-2F</t>
  </si>
  <si>
    <t>12.0x50.0x3.0T</t>
  </si>
  <si>
    <t>123215-3080-3</t>
  </si>
  <si>
    <t>12.3x21.5x3.0T</t>
  </si>
  <si>
    <t>16.2*28.0*4.0T</t>
  </si>
  <si>
    <t>P16600005</t>
  </si>
  <si>
    <t>20.2*33.8*5.1T</t>
  </si>
  <si>
    <t>P16600006</t>
  </si>
  <si>
    <t>5.1T</t>
  </si>
  <si>
    <t>P16800001</t>
  </si>
  <si>
    <t>6.0T</t>
  </si>
  <si>
    <t>SM 2.38x4.8</t>
  </si>
  <si>
    <t>260040-P51N</t>
  </si>
  <si>
    <t>260040-Y52W-DT</t>
  </si>
  <si>
    <t>M2.6*5</t>
  </si>
  <si>
    <t>265080-0800-2F</t>
  </si>
  <si>
    <t>2.65x8.0x0.8T</t>
  </si>
  <si>
    <t>BRIND RIVET</t>
  </si>
  <si>
    <t>PAL1100</t>
  </si>
  <si>
    <t>AL A1100</t>
  </si>
  <si>
    <t>340060-Z01Z</t>
  </si>
  <si>
    <t>RIVET M</t>
  </si>
  <si>
    <t>3.4x6</t>
  </si>
  <si>
    <t>350090-JY4B</t>
  </si>
  <si>
    <t>FH (ISO) T/S-(P.T)</t>
  </si>
  <si>
    <t>3.5*9</t>
  </si>
  <si>
    <t>350100-CB2B-RT</t>
  </si>
  <si>
    <t>PH/W (TORX) TTS-B</t>
  </si>
  <si>
    <t>3.5x10</t>
  </si>
  <si>
    <t>350115-JY4B-A</t>
  </si>
  <si>
    <t>3.5*11.5</t>
  </si>
  <si>
    <t>350155-Z06H</t>
  </si>
  <si>
    <t>RIVET HINGE</t>
  </si>
  <si>
    <t>3.5x15.5</t>
  </si>
  <si>
    <t>FIVER WASHER</t>
  </si>
  <si>
    <t>3.53x8.0x1.0T</t>
  </si>
  <si>
    <t>P16900001</t>
  </si>
  <si>
    <t>P/W FIBER</t>
  </si>
  <si>
    <t>3.53x13.0x1.0T</t>
  </si>
  <si>
    <t>370170-Z06H</t>
  </si>
  <si>
    <t xml:space="preserve">RIVET HINGE </t>
  </si>
  <si>
    <t>3.7x17</t>
  </si>
  <si>
    <t xml:space="preserve">RIVET F </t>
  </si>
  <si>
    <t>4.8x15</t>
  </si>
  <si>
    <t>540170-F66H-P</t>
  </si>
  <si>
    <t xml:space="preserve">FL + T/S -2 </t>
  </si>
  <si>
    <t>540186-F66H</t>
  </si>
  <si>
    <t>5.4x18.6</t>
  </si>
  <si>
    <t>P16500002</t>
  </si>
  <si>
    <t>5.5x23</t>
  </si>
  <si>
    <t>5.9*5.9</t>
  </si>
  <si>
    <t>PUR</t>
  </si>
  <si>
    <t>6.05*27.0*2.0T</t>
  </si>
  <si>
    <t>650270-F62J-BS</t>
  </si>
  <si>
    <t>BASE SE</t>
  </si>
  <si>
    <t>6.5x27</t>
  </si>
  <si>
    <t>650390-H620-D</t>
  </si>
  <si>
    <t>HEX T/S-2 SE</t>
  </si>
  <si>
    <t>6.5x39</t>
  </si>
  <si>
    <t>HEX T/S-2 SE S,P/W</t>
  </si>
  <si>
    <t>7.35x18.0x1.6T</t>
  </si>
  <si>
    <t>P16500003</t>
  </si>
  <si>
    <t>7.35x30.0x3.0T</t>
  </si>
  <si>
    <t>.</t>
  </si>
  <si>
    <t>593S Blue</t>
  </si>
  <si>
    <t>P0000</t>
  </si>
  <si>
    <t>98[PUR],86[CO/ST/PK]</t>
  </si>
  <si>
    <t>Bolt test ERP</t>
  </si>
  <si>
    <t>10[H/D],45[S/R],85[ST/ PK],99[P/K]</t>
  </si>
  <si>
    <t>PW TEST ERP</t>
  </si>
  <si>
    <t>SET</t>
  </si>
  <si>
    <t>83[PK/O],99[P/K]</t>
  </si>
  <si>
    <t>Set</t>
  </si>
  <si>
    <t>85[ST/ PK],99[P/K]</t>
  </si>
  <si>
    <t>SET-003</t>
  </si>
  <si>
    <t>SET-004</t>
  </si>
  <si>
    <t>TS1</t>
  </si>
  <si>
    <t>S6</t>
  </si>
  <si>
    <t>CT</t>
  </si>
  <si>
    <t>S4</t>
  </si>
  <si>
    <t>M6</t>
  </si>
  <si>
    <t>S3</t>
  </si>
  <si>
    <t>S2</t>
  </si>
  <si>
    <t>R2</t>
  </si>
  <si>
    <t>R4</t>
  </si>
  <si>
    <t>S1</t>
  </si>
  <si>
    <t>R3</t>
  </si>
  <si>
    <t>TH T/S-2(NOCT)STS430</t>
  </si>
  <si>
    <t>PH/WT/S-2(S.P SCREW)</t>
  </si>
  <si>
    <t>050100-C62W-B</t>
  </si>
  <si>
    <t>050140-C62W-B</t>
  </si>
  <si>
    <t>050160-C62W-B</t>
  </si>
  <si>
    <t>080500-HM4J-D</t>
  </si>
  <si>
    <t>J01</t>
  </si>
  <si>
    <t>040100-P51W-3</t>
  </si>
  <si>
    <t>M4*10</t>
  </si>
  <si>
    <t>080300-FM5L-DS</t>
  </si>
  <si>
    <t>080080-005P-Z</t>
  </si>
  <si>
    <t>80*80*0.05T</t>
  </si>
  <si>
    <t>030030-Z54B-H</t>
  </si>
  <si>
    <t>LOWHEADBOLTSOCKET M3</t>
  </si>
  <si>
    <t>BRSG</t>
  </si>
  <si>
    <t>M3*3</t>
  </si>
  <si>
    <t>036070-1060-3</t>
  </si>
  <si>
    <t>3.6*7.0*1.0T</t>
  </si>
  <si>
    <t>P15900006</t>
  </si>
  <si>
    <t>036080-0860-2F</t>
  </si>
  <si>
    <t>3.6*8.0*0.8T</t>
  </si>
  <si>
    <t>040120-P56H-4</t>
  </si>
  <si>
    <t>M5*25</t>
  </si>
  <si>
    <t>030100-KS4W-ASZ</t>
  </si>
  <si>
    <t>450-650</t>
  </si>
  <si>
    <t>TH/W(ISO)TTS-S SE</t>
  </si>
  <si>
    <t>040081-Y52W-T</t>
  </si>
  <si>
    <t>SCREW M4*8</t>
  </si>
  <si>
    <t>M4*8.1</t>
  </si>
  <si>
    <t>040100-B59B-ADM</t>
  </si>
  <si>
    <t>STUD SCREW M4</t>
  </si>
  <si>
    <t>060240-FS2W-PS</t>
  </si>
  <si>
    <t>FL TTS-S CHAMFER SE</t>
  </si>
  <si>
    <t>M6*24</t>
  </si>
  <si>
    <t>4.2x14</t>
  </si>
  <si>
    <t>S22A SAIP (F)</t>
  </si>
  <si>
    <t>10B33 PASAIP (F)</t>
  </si>
  <si>
    <t>Stock</t>
  </si>
  <si>
    <t>030080-JP2B</t>
  </si>
  <si>
    <t>030080-PP2B</t>
  </si>
  <si>
    <t>030095-P12B-AD</t>
  </si>
  <si>
    <t>030095-P12W-AD</t>
  </si>
  <si>
    <t>3*9.5</t>
  </si>
  <si>
    <t>030100-PP2B</t>
  </si>
  <si>
    <t>033060-056H-2F</t>
  </si>
  <si>
    <t>040140-T26H</t>
  </si>
  <si>
    <t>TH T/S-2S (STS304)</t>
  </si>
  <si>
    <t>040200-T12W-M</t>
  </si>
  <si>
    <t>420140-JDEZ-B</t>
  </si>
  <si>
    <t>P16000008</t>
  </si>
  <si>
    <t>030090-J51W-B</t>
  </si>
  <si>
    <t>030100-J51N</t>
  </si>
  <si>
    <t>030100-J51W-B</t>
  </si>
  <si>
    <t>030100-P51N</t>
  </si>
  <si>
    <t>030100-P51N-A</t>
  </si>
  <si>
    <t>030120-P51N-A</t>
  </si>
  <si>
    <t>030120-P6EW-Z</t>
  </si>
  <si>
    <t>050160-ZY4W-T</t>
  </si>
  <si>
    <t>260635-B62W</t>
  </si>
  <si>
    <t>350190-P12W-B</t>
  </si>
  <si>
    <t>390082-P62W-B</t>
  </si>
  <si>
    <t>020030-YB2B</t>
  </si>
  <si>
    <t>FLATNESS TTS-B</t>
  </si>
  <si>
    <t>2*3</t>
  </si>
  <si>
    <t>FH(DIN 965) M/S</t>
  </si>
  <si>
    <t>FRIW</t>
  </si>
  <si>
    <t>M3*9</t>
  </si>
  <si>
    <t>PH/W(TORX)T/S-2(SP..</t>
  </si>
  <si>
    <t>PH(ISO 7045) M/S</t>
  </si>
  <si>
    <t>M3*12</t>
  </si>
  <si>
    <t>E2</t>
  </si>
  <si>
    <t>055180-1560-2F</t>
  </si>
  <si>
    <t>5.5*18.0*1.5T</t>
  </si>
  <si>
    <t>BH T/S-2(NOCUTTING)</t>
  </si>
  <si>
    <t>2.6*6.35</t>
  </si>
  <si>
    <t>PH(DIN 7981) ST3.5..</t>
  </si>
  <si>
    <t>3.5*19</t>
  </si>
  <si>
    <t>PH(DIN7981)ST3.9(ISO</t>
  </si>
  <si>
    <t>3.9*8.2</t>
  </si>
  <si>
    <t>7x124.5</t>
  </si>
  <si>
    <t>025051-0780-3</t>
  </si>
  <si>
    <t>2.5*5.1*0.7T</t>
  </si>
  <si>
    <t>030100-C66H-T</t>
  </si>
  <si>
    <t>030120-J62G</t>
  </si>
  <si>
    <t>FH T/S-2 (NOCUTTING)</t>
  </si>
  <si>
    <t>PH T/S-2(NO CT) S/W</t>
  </si>
  <si>
    <t>NEXT</t>
  </si>
  <si>
    <t>3*37</t>
  </si>
  <si>
    <t>TH(TORX)M/S COSTS304</t>
  </si>
  <si>
    <t>040120-TY6H-T</t>
  </si>
  <si>
    <t>TH(TORX)T/S-P.T STS</t>
  </si>
  <si>
    <t>040180-T12P</t>
  </si>
  <si>
    <t>TH(COATING) T/S-1</t>
  </si>
  <si>
    <t>4*20.3</t>
  </si>
  <si>
    <t>050140-T56R-T</t>
  </si>
  <si>
    <t>M5*14</t>
  </si>
  <si>
    <t>050160-TY6H-BT</t>
  </si>
  <si>
    <t>M5*20</t>
  </si>
  <si>
    <t>HEX(UPSET)+BOLTT/S-4</t>
  </si>
  <si>
    <t>6*15</t>
  </si>
  <si>
    <t>060160-T56R-T</t>
  </si>
  <si>
    <t>060180-YC2G-D</t>
  </si>
  <si>
    <t>FLAT STEP TTS-C</t>
  </si>
  <si>
    <t>M6*18</t>
  </si>
  <si>
    <t>060350-ZM6H-T</t>
  </si>
  <si>
    <t>PF(TORX)M/S (STS304)</t>
  </si>
  <si>
    <t>M6*35</t>
  </si>
  <si>
    <t>080160-TM6R-T</t>
  </si>
  <si>
    <t>M8*16</t>
  </si>
  <si>
    <t>PH M/S (SPECIAL)</t>
  </si>
  <si>
    <t>2.5*20</t>
  </si>
  <si>
    <t>PH(POZI)T/S-2(SP NO.</t>
  </si>
  <si>
    <t>060200-HM6R-2</t>
  </si>
  <si>
    <t>HEX(T/M)M/S CO P/W..</t>
  </si>
  <si>
    <t>M6*20</t>
  </si>
  <si>
    <t>Code s?n ph?m</t>
  </si>
  <si>
    <t xml:space="preserve">code li?u </t>
  </si>
  <si>
    <t>d?ng</t>
  </si>
  <si>
    <t xml:space="preserve">nh?p </t>
  </si>
  <si>
    <t xml:space="preserve">xu?t </t>
  </si>
  <si>
    <t>t?n</t>
  </si>
  <si>
    <t xml:space="preserve">ti?n t?n </t>
  </si>
  <si>
    <t>*N80160-CD5H*</t>
  </si>
  <si>
    <t>*N80160-JD5H*</t>
  </si>
  <si>
    <t>*N80180-F12Z-5P*</t>
  </si>
  <si>
    <t>*020050-P56H*</t>
  </si>
  <si>
    <t>*026080-0500-2F*</t>
  </si>
  <si>
    <t>*030040-P51N*</t>
  </si>
  <si>
    <t>*030055-ZM2W-DS*</t>
  </si>
  <si>
    <t>*030060-BB2B*</t>
  </si>
  <si>
    <t>*030060-BB2N*</t>
  </si>
  <si>
    <t>*030060-C51N*</t>
  </si>
  <si>
    <t>*030060-C66H*</t>
  </si>
  <si>
    <t>*030060-CP2N*</t>
  </si>
  <si>
    <t>*030060-J51N*</t>
  </si>
  <si>
    <t>*030060-J51W*</t>
  </si>
  <si>
    <t>*030060-J56H*</t>
  </si>
  <si>
    <t>*030060-P51N*</t>
  </si>
  <si>
    <t>*030060-P56H*</t>
  </si>
  <si>
    <t>*030080-B22W*</t>
  </si>
  <si>
    <t>*030080-P62G*</t>
  </si>
  <si>
    <t>*030080-P62W*</t>
  </si>
  <si>
    <t>*030080-PB2B*</t>
  </si>
  <si>
    <t>*030080-YM1W-A*</t>
  </si>
  <si>
    <t>*030100-P22W*</t>
  </si>
  <si>
    <t>*030100-P611-Q*</t>
  </si>
  <si>
    <t>*030100-PB2N*</t>
  </si>
  <si>
    <t>*030120-J111*</t>
  </si>
  <si>
    <t>*030120-P51N-4*</t>
  </si>
  <si>
    <t>*030140-P51N-4*</t>
  </si>
  <si>
    <t>*030145-Y52W-DP*</t>
  </si>
  <si>
    <t>*030150-P66H-ADS*</t>
  </si>
  <si>
    <t>*030200-T56H*</t>
  </si>
  <si>
    <t>*030270-T62W-AD*</t>
  </si>
  <si>
    <t>*033060-056H-2F*</t>
  </si>
  <si>
    <t>*040045-PS2W*</t>
  </si>
  <si>
    <t>*040060-B22W-A*</t>
  </si>
  <si>
    <t>*040060-B56H-D*</t>
  </si>
  <si>
    <t>*040060-P51W*</t>
  </si>
  <si>
    <t>*040060-T62W*</t>
  </si>
  <si>
    <t>*040080-P51W-3*</t>
  </si>
  <si>
    <t>*040080-P61W*</t>
  </si>
  <si>
    <t>*040080-P62G*</t>
  </si>
  <si>
    <t>*040080-PB2W*</t>
  </si>
  <si>
    <t>*040080-T26H*</t>
  </si>
  <si>
    <t>*040080-T46H-5*</t>
  </si>
  <si>
    <t>*040080-T52W-1B*</t>
  </si>
  <si>
    <t>*040080-T62G*</t>
  </si>
  <si>
    <t>*040080-T66H*</t>
  </si>
  <si>
    <t>*040080-Y62W*</t>
  </si>
  <si>
    <t>*040090-B22W*</t>
  </si>
  <si>
    <t>*040090-P22W-A*</t>
  </si>
  <si>
    <t>*040100-B66H*</t>
  </si>
  <si>
    <t>*040100-BC2W*</t>
  </si>
  <si>
    <t>*040100-T12W*</t>
  </si>
  <si>
    <t>*040100-T51W*</t>
  </si>
  <si>
    <t>*040100-T52W-S*</t>
  </si>
  <si>
    <t>*040100-T66H*</t>
  </si>
  <si>
    <t>*040120-B22W*</t>
  </si>
  <si>
    <t>*040120-B66H*</t>
  </si>
  <si>
    <t>*040120-J56H*</t>
  </si>
  <si>
    <t>*040120-P12W*</t>
  </si>
  <si>
    <t>*040120-T16H*</t>
  </si>
  <si>
    <t>*040120-T16H-5*</t>
  </si>
  <si>
    <t>*040120-T46H-5*</t>
  </si>
  <si>
    <t>*040120-T65H*</t>
  </si>
  <si>
    <t>*040120-Y56H-Z*</t>
  </si>
  <si>
    <t>*040140-PB2W*</t>
  </si>
  <si>
    <t>*040160-B22W*</t>
  </si>
  <si>
    <t>*040160-J16H*</t>
  </si>
  <si>
    <t>*040160-PP2W*</t>
  </si>
  <si>
    <t>*040160-T12W-2A*</t>
  </si>
  <si>
    <t>*040160-T12W-6*</t>
  </si>
  <si>
    <t>*040160-T22W*</t>
  </si>
  <si>
    <t>*040200-J11N*</t>
  </si>
  <si>
    <t>*040200-P22W*</t>
  </si>
  <si>
    <t>*040220-P51W-3*</t>
  </si>
  <si>
    <t>*040230-B52B*</t>
  </si>
  <si>
    <t>*040240-T12G*</t>
  </si>
  <si>
    <t>*040250-P22W*</t>
  </si>
  <si>
    <t>*040360-T62G*</t>
  </si>
  <si>
    <t>*050080-HM7H*</t>
  </si>
  <si>
    <t>*050100-J51B*</t>
  </si>
  <si>
    <t>*050120-F12W-PS*</t>
  </si>
  <si>
    <t>*050120-Y52A-DPZ*</t>
  </si>
  <si>
    <t>*050140-U53W-P*</t>
  </si>
  <si>
    <t>*050146-JM2W-AB*</t>
  </si>
  <si>
    <t>*050160-J51W*</t>
  </si>
  <si>
    <t>*050160-T51W*</t>
  </si>
  <si>
    <t>*050160-T65H-B*</t>
  </si>
  <si>
    <t>*050230-J56H-B*</t>
  </si>
  <si>
    <t>*050250-HM3W*</t>
  </si>
  <si>
    <t>*050250-P56H*</t>
  </si>
  <si>
    <t>*055100-086H-2*</t>
  </si>
  <si>
    <t>*055130-250W-2F*</t>
  </si>
  <si>
    <t>*05P080-Z5BW*</t>
  </si>
  <si>
    <t>*060080-TM6H*</t>
  </si>
  <si>
    <t>*060120-HM7H*</t>
  </si>
  <si>
    <t>*060160-U32W-PK*</t>
  </si>
  <si>
    <t>*060240-FS2W-PS*</t>
  </si>
  <si>
    <t>*060300-U34W-4*</t>
  </si>
  <si>
    <t>*060351-FMFW-DP*</t>
  </si>
  <si>
    <t>*060500-P56H*</t>
  </si>
  <si>
    <t>*066246-2000-2F*</t>
  </si>
  <si>
    <t>*06P100-Z5BW*</t>
  </si>
  <si>
    <t>*070420-ZM6H-D*</t>
  </si>
  <si>
    <t>*080160-P51W*</t>
  </si>
  <si>
    <t>*080500-HM4J-D*</t>
  </si>
  <si>
    <t>*081050-HM1W-D*</t>
  </si>
  <si>
    <t>*081570-F62W-P*</t>
  </si>
  <si>
    <t>*08P125-256H-A*</t>
  </si>
  <si>
    <t>*08P125-Z5BW*</t>
  </si>
  <si>
    <t>*100280-HMFW-D*</t>
  </si>
  <si>
    <t>*100280-YM1W*</t>
  </si>
  <si>
    <t>*100350-HM3W*</t>
  </si>
  <si>
    <t>*100430-YM1W*</t>
  </si>
  <si>
    <t>*101343-F14W-AB*</t>
  </si>
  <si>
    <t>*101653-F14W-AB*</t>
  </si>
  <si>
    <t>*10P150-451W*</t>
  </si>
  <si>
    <t>*120150-ZE1W-C*</t>
  </si>
  <si>
    <t>*120320-HMFW-D*</t>
  </si>
  <si>
    <t>*162280-408W-3F*</t>
  </si>
  <si>
    <t>*202338-518W-3F*</t>
  </si>
  <si>
    <t>*240048-PM2W-DM*</t>
  </si>
  <si>
    <t>*260050-P51A*</t>
  </si>
  <si>
    <t>*350155-Z06H*</t>
  </si>
  <si>
    <t>*353130-1050-5F*</t>
  </si>
  <si>
    <t>*370170-Z06H*</t>
  </si>
  <si>
    <t>*450230-Z06H*</t>
  </si>
  <si>
    <t>*540170-F66H-P*</t>
  </si>
  <si>
    <t>*540186-F66H*</t>
  </si>
  <si>
    <t>*590048-Y01W-DZ*</t>
  </si>
  <si>
    <t>**</t>
  </si>
  <si>
    <t>*040140-J12W-B*</t>
  </si>
  <si>
    <t>040080-T22P-1</t>
  </si>
  <si>
    <t>TH(CO)T/S-2S T/W</t>
  </si>
  <si>
    <t>SP TORXT/S-1(P.T)STS</t>
  </si>
  <si>
    <t>050350-ZM6H-H</t>
  </si>
  <si>
    <t>HEX SOCKETM/S STS304</t>
  </si>
  <si>
    <t>M5*35</t>
  </si>
  <si>
    <t>PLAIN WASHER(STS304)</t>
  </si>
  <si>
    <t>080130-ZM6R-D</t>
  </si>
  <si>
    <t>BOLTCOMMOM CO(STS304</t>
  </si>
  <si>
    <t>M8*13</t>
  </si>
  <si>
    <t>080280-W54O-D</t>
  </si>
  <si>
    <t>SP.SCREW M/S 3P SLOT</t>
  </si>
  <si>
    <t>M8*28</t>
  </si>
  <si>
    <t>080400-HM4J-D</t>
  </si>
  <si>
    <t>M8*40</t>
  </si>
  <si>
    <t>10[H/D],60[C/T],45[S/R],70[&amp;gt;H/T],80[&amp;gt;P/T],89[&amp;gt;H/CO],85[ST/ PK],99[P/K]</t>
  </si>
  <si>
    <t>040080-T56R-BT</t>
  </si>
  <si>
    <t>TH SMALL(TORX)M/S CO</t>
  </si>
  <si>
    <t>O1</t>
  </si>
  <si>
    <t>064180-166H-2F</t>
  </si>
  <si>
    <t>PLAIN WASHER (STS304</t>
  </si>
  <si>
    <t>6.4*18.0*1.6T</t>
  </si>
  <si>
    <t>086239-206H-2F</t>
  </si>
  <si>
    <t>8.6*23.9*2.0T</t>
  </si>
  <si>
    <t>390095-P12K</t>
  </si>
  <si>
    <t>PH(DIN7981)T/S-1(ISO</t>
  </si>
  <si>
    <t>3.9x9.5</t>
  </si>
  <si>
    <t>K</t>
  </si>
  <si>
    <t>*050120-T62W-B*</t>
  </si>
  <si>
    <t>TH(TORX)SMALLTAP STS</t>
  </si>
  <si>
    <t>12.7x24.5</t>
  </si>
  <si>
    <t>121035-T06H-BTG</t>
  </si>
  <si>
    <t>12.7x103.5</t>
  </si>
  <si>
    <t>*030046-B62W*</t>
  </si>
  <si>
    <t>*060100-P56H*</t>
  </si>
  <si>
    <t>*020030-YB2B*</t>
  </si>
  <si>
    <t>*036085-0600-1*</t>
  </si>
  <si>
    <t>480110-T92W-S</t>
  </si>
  <si>
    <t>3x9.5</t>
  </si>
  <si>
    <t>030120-P51W</t>
  </si>
  <si>
    <t>WOOR</t>
  </si>
  <si>
    <t>M3x12</t>
  </si>
  <si>
    <t>040120-Z52K-H</t>
  </si>
  <si>
    <t>HEX SOCKET M/S</t>
  </si>
  <si>
    <t>M4x12</t>
  </si>
  <si>
    <t>FH(TORX)T/S(P.T)</t>
  </si>
  <si>
    <t>120475-T06H-BTG</t>
  </si>
  <si>
    <t xml:space="preserve">TH(TORX) SMALL TAP </t>
  </si>
  <si>
    <t>12.7x47.5</t>
  </si>
  <si>
    <t>TH SE HI LOW</t>
  </si>
  <si>
    <t>4.8x11</t>
  </si>
  <si>
    <t>*060200-HM6R-2*</t>
  </si>
  <si>
    <t>*030080-PP2B*</t>
  </si>
  <si>
    <t>*036070-1060-3*</t>
  </si>
  <si>
    <t>PVBC 20HS RL</t>
  </si>
  <si>
    <t>D?u VBC FINEFORM 20HS</t>
  </si>
  <si>
    <t>PVBC 46HS HD</t>
  </si>
  <si>
    <t>D?u VBC FINEFORM 46HS</t>
  </si>
  <si>
    <t>*080140-ZM6L-D*</t>
  </si>
  <si>
    <t>*040120-P56H-4*</t>
  </si>
  <si>
    <t>055545-DFF255</t>
  </si>
  <si>
    <t>sddv</t>
  </si>
  <si>
    <t>220100-PY6H</t>
  </si>
  <si>
    <t>PH T/S-P.T(STS304)</t>
  </si>
  <si>
    <t>2.2*10</t>
  </si>
  <si>
    <t>STS304CU WSB</t>
  </si>
  <si>
    <t>*040081-Y52W-T*</t>
  </si>
  <si>
    <t>10B21 SAIP (F)</t>
  </si>
  <si>
    <t>030370-P62W-3N</t>
  </si>
  <si>
    <t>250200-P5JW</t>
  </si>
  <si>
    <t>030100-C62K-T</t>
  </si>
  <si>
    <t>PH/W(TOR)T/S-2(NOCT)</t>
  </si>
  <si>
    <t>W1</t>
  </si>
  <si>
    <t>590058-Y01W-DZ</t>
  </si>
  <si>
    <t xml:space="preserve">RIVET </t>
  </si>
  <si>
    <t>5.9x5.8</t>
  </si>
  <si>
    <t>590073-Y01W-DZ</t>
  </si>
  <si>
    <t>5.9x7.3</t>
  </si>
  <si>
    <t>*030100-JP2N*</t>
  </si>
  <si>
    <t>*040200-C62W-A*</t>
  </si>
  <si>
    <t>*650320-F62W-SP*</t>
  </si>
  <si>
    <t>STS304CU WSB A2-70</t>
  </si>
  <si>
    <t>*036070-1070-3*</t>
  </si>
  <si>
    <t>*040060-F56H-P*</t>
  </si>
  <si>
    <t>*040100-B59B-ADM*</t>
  </si>
  <si>
    <t>*040200-Y12W-DP*</t>
  </si>
  <si>
    <t>*04P070-251W*</t>
  </si>
  <si>
    <t>*050120-Y52W-DP*</t>
  </si>
  <si>
    <t>040100-Z01O-AZ</t>
  </si>
  <si>
    <t>O</t>
  </si>
  <si>
    <t>060500-JM6R-DT</t>
  </si>
  <si>
    <t>FH(TX)M/S(CO)(A2-70)</t>
  </si>
  <si>
    <t>*030040-B51N-S*</t>
  </si>
  <si>
    <t>010B210215</t>
  </si>
  <si>
    <t>010B330545</t>
  </si>
  <si>
    <t>*104300-3000-2F*</t>
  </si>
  <si>
    <t>*030080-PB2N*</t>
  </si>
  <si>
    <t>*040080-T56R-BT*</t>
  </si>
  <si>
    <t>120362-UM1A-4A</t>
  </si>
  <si>
    <t>060350-UM1W-4P</t>
  </si>
  <si>
    <t>060430-UM1W-4P</t>
  </si>
  <si>
    <t>HEX(UP) S, P/W CO</t>
  </si>
  <si>
    <t>M12x36.2</t>
  </si>
  <si>
    <t>110380-3200-2F</t>
  </si>
  <si>
    <t>11.0x38.0x3.2T</t>
  </si>
  <si>
    <t>TTF527V</t>
  </si>
  <si>
    <t>D?u tectyl form 527V</t>
  </si>
  <si>
    <t>*320080-Z0AH*</t>
  </si>
  <si>
    <t>040065-TS2N</t>
  </si>
  <si>
    <t>SPECIAL TH TTS-S</t>
  </si>
  <si>
    <t>M4x6.5</t>
  </si>
  <si>
    <t>Ghi chú</t>
  </si>
  <si>
    <t>*060500-C14W-BZ*</t>
  </si>
  <si>
    <t>*030060-B54W-ASZ*</t>
  </si>
  <si>
    <t>*030100-KS4W-ASZ*</t>
  </si>
  <si>
    <t>*350115-JY4B-A*</t>
  </si>
  <si>
    <t>040140-Z12P-B</t>
  </si>
  <si>
    <t>040320-T12P</t>
  </si>
  <si>
    <t>060200-F12W-P</t>
  </si>
  <si>
    <t>040080-T22P</t>
  </si>
  <si>
    <t>TH(CO) T/S-2S</t>
  </si>
  <si>
    <t>040080-T22W-Z</t>
  </si>
  <si>
    <t>SPECIAL T/S-1</t>
  </si>
  <si>
    <t>040203-JS2W-C</t>
  </si>
  <si>
    <t>TH(CO) T/S-1</t>
  </si>
  <si>
    <t>4x32</t>
  </si>
  <si>
    <t>FL T/S-1</t>
  </si>
  <si>
    <t>*590073-Y01W-DZ*</t>
  </si>
  <si>
    <t>*040120-J42W*</t>
  </si>
  <si>
    <t>*040140-T25H*</t>
  </si>
  <si>
    <t>055180-1000-2F</t>
  </si>
  <si>
    <t>5.5*18.0*1.0T</t>
  </si>
  <si>
    <t>*040100-T62W*</t>
  </si>
  <si>
    <t>*210600-600W-2*</t>
  </si>
  <si>
    <t>W2</t>
  </si>
  <si>
    <t>FH TTS-S (CHAMFER)</t>
  </si>
  <si>
    <t>O2</t>
  </si>
  <si>
    <t>*101443-F14W-AB*</t>
  </si>
  <si>
    <t>*030110-P12B-AD*</t>
  </si>
  <si>
    <t>*040180-P62W*</t>
  </si>
  <si>
    <t>*030030-Z54B-H*</t>
  </si>
  <si>
    <t>030080-P32W-AD</t>
  </si>
  <si>
    <t>PH(LARGE) T/S-3 STEP</t>
  </si>
  <si>
    <t>030080-P32B-AD</t>
  </si>
  <si>
    <t>N1</t>
  </si>
  <si>
    <t>*030080-J62B*</t>
  </si>
  <si>
    <t>*050200-FS2W-P*</t>
  </si>
  <si>
    <t>*060200-FS2W-PS*</t>
  </si>
  <si>
    <t>*040120-T22W-1*</t>
  </si>
  <si>
    <t>*040080-PC2W-1R*</t>
  </si>
  <si>
    <t>030100-P52W</t>
  </si>
  <si>
    <t>030050-P52W-3N</t>
  </si>
  <si>
    <t>M3x5</t>
  </si>
  <si>
    <t>040120-PB6H</t>
  </si>
  <si>
    <t>PH TTS-B (STS304)</t>
  </si>
  <si>
    <t>*100346-Y01B*</t>
  </si>
  <si>
    <t>*051092-138W-3F*</t>
  </si>
  <si>
    <t>060200-T56R-T</t>
  </si>
  <si>
    <t>*040120-J16H*</t>
  </si>
  <si>
    <t>*040120-T12W*</t>
  </si>
  <si>
    <t>*050160-C62W-B*</t>
  </si>
  <si>
    <t>*790210-Y010-R*</t>
  </si>
  <si>
    <t>D?u tectyl form 322</t>
  </si>
  <si>
    <t>*040120-P51N-4*</t>
  </si>
  <si>
    <t>*060350-UM1W-4P*</t>
  </si>
  <si>
    <t>020060-PB2W</t>
  </si>
  <si>
    <t>030080-CP5W</t>
  </si>
  <si>
    <t>030080-JP2W</t>
  </si>
  <si>
    <t>030100-CP2W</t>
  </si>
  <si>
    <t>030100-PP2W</t>
  </si>
  <si>
    <t>030100-PP5B</t>
  </si>
  <si>
    <t>PH TTS-P (STS430)</t>
  </si>
  <si>
    <t>040100-PP2B</t>
  </si>
  <si>
    <t>TH(TORX)MSCO(STS304)</t>
  </si>
  <si>
    <t>M6x20</t>
  </si>
  <si>
    <t>260060-PB2W</t>
  </si>
  <si>
    <t>*040080-T42B*</t>
  </si>
  <si>
    <t>*071600-F14W*</t>
  </si>
  <si>
    <t>TTF322N</t>
  </si>
  <si>
    <t>*030100-P51N-4*</t>
  </si>
  <si>
    <t>*040080-T22W*</t>
  </si>
  <si>
    <t>*040160-TY6H-TZ*</t>
  </si>
  <si>
    <t>040160-TY6H-TZ</t>
  </si>
  <si>
    <t>TH(TORX)SP P.T(STS)</t>
  </si>
  <si>
    <t>*082154-206H-3F*</t>
  </si>
  <si>
    <t>030080-P65G</t>
  </si>
  <si>
    <t>040080-B65G</t>
  </si>
  <si>
    <t>040120-B65G</t>
  </si>
  <si>
    <t>W3</t>
  </si>
  <si>
    <t>PH T/S-2(NO CT)(STS)</t>
  </si>
  <si>
    <t>G1</t>
  </si>
  <si>
    <t>B1</t>
  </si>
  <si>
    <t>BH T/S-2(NO CT)(STS)</t>
  </si>
  <si>
    <t>060160-FS2W-PS</t>
  </si>
  <si>
    <t>260190-PM11-Q</t>
  </si>
  <si>
    <t>PH M/S CHAMFER (CO)</t>
  </si>
  <si>
    <t>M2.6x19</t>
  </si>
  <si>
    <t>4S</t>
  </si>
  <si>
    <t>*040120-TP2W-S*</t>
  </si>
  <si>
    <t>*040150-BC2W*</t>
  </si>
  <si>
    <t>*260040-Y52W-DT*</t>
  </si>
  <si>
    <t>040100-TB2W-S</t>
  </si>
  <si>
    <t>*040250-T12W*</t>
  </si>
  <si>
    <t>*064180-166H-2F*</t>
  </si>
  <si>
    <t>*086239-206H-2F*</t>
  </si>
  <si>
    <t>120245-T06H-ZTG</t>
  </si>
  <si>
    <t>*040100-PB6H*</t>
  </si>
  <si>
    <t>*040060-P51W-3*</t>
  </si>
  <si>
    <t>*040120-PB6H*</t>
  </si>
  <si>
    <t>#80130-PDEZ-S</t>
  </si>
  <si>
    <t>*030050-P52W-3N*</t>
  </si>
  <si>
    <t>*040120-Y12W-P*</t>
  </si>
  <si>
    <t>*060500-U34W-4*</t>
  </si>
  <si>
    <t>*040040-P51N*</t>
  </si>
  <si>
    <t>*040140-CP2W*</t>
  </si>
  <si>
    <t>*550160-T65H*</t>
  </si>
  <si>
    <t>*080315-JM6R-DH*</t>
  </si>
  <si>
    <t>*030040-C51N*</t>
  </si>
  <si>
    <t>P15400008</t>
  </si>
  <si>
    <t>*040060-P51N-4*</t>
  </si>
  <si>
    <t>030100-P62B</t>
  </si>
  <si>
    <t>260080-P52A-3PN</t>
  </si>
  <si>
    <t>PH T/S-2(NOCT)</t>
  </si>
  <si>
    <t>K?m tr?ng, kh? Hidro 2h</t>
  </si>
  <si>
    <t>043080-056H-2F</t>
  </si>
  <si>
    <t>4.3x8.0x0.5T</t>
  </si>
  <si>
    <t>232048-0680-3</t>
  </si>
  <si>
    <t>2.32x4.8x0.6T</t>
  </si>
  <si>
    <t>M2.6x8</t>
  </si>
  <si>
    <t>*040100-T56H*</t>
  </si>
  <si>
    <t>*040100-TC2J*</t>
  </si>
  <si>
    <t>*040300-C66H-BT*</t>
  </si>
  <si>
    <t>*080620-UM1A-2A*</t>
  </si>
  <si>
    <t>GAP</t>
  </si>
  <si>
    <t>*020060-PB2W*</t>
  </si>
  <si>
    <t>*040140-TC2W-1*</t>
  </si>
  <si>
    <t>*060430-UM1W-4P*</t>
  </si>
  <si>
    <t>030140-PP2W</t>
  </si>
  <si>
    <t>040100-PP2W</t>
  </si>
  <si>
    <t>PH/W TTS-P (STS430)</t>
  </si>
  <si>
    <t>*061122-158W-3F*</t>
  </si>
  <si>
    <t>*060160-W54H-Z*</t>
  </si>
  <si>
    <t>060200-FS2B</t>
  </si>
  <si>
    <t>FL TTS-S</t>
  </si>
  <si>
    <t>*030080-BB2B*</t>
  </si>
  <si>
    <t>*030080-CP5W*</t>
  </si>
  <si>
    <t>*030100-P62B*</t>
  </si>
  <si>
    <t>*030100-PP2B*</t>
  </si>
  <si>
    <t>*030100-PP5B*</t>
  </si>
  <si>
    <t>*U40500-UM1W-4A*</t>
  </si>
  <si>
    <t>NO</t>
  </si>
  <si>
    <t>Code</t>
  </si>
  <si>
    <t>SL c?n(A)</t>
  </si>
  <si>
    <t>Pending(B)</t>
  </si>
  <si>
    <t>Main Stock(C)</t>
  </si>
  <si>
    <t>Line Stock(D)</t>
  </si>
  <si>
    <t>RMA Stock(E)</t>
  </si>
  <si>
    <t>Total Stock(C+D+E)</t>
  </si>
  <si>
    <t>Available(C+D)</t>
  </si>
  <si>
    <t>C?n mua(A-(B+C+D))</t>
  </si>
  <si>
    <t>*030080-JP2W*</t>
  </si>
  <si>
    <t>*030100-CP2W*</t>
  </si>
  <si>
    <t>*420140-JDEZ-B*</t>
  </si>
  <si>
    <t>045100-160W-2F</t>
  </si>
  <si>
    <t>*045240-200W-2F*</t>
  </si>
  <si>
    <t>045240-200W-2F</t>
  </si>
  <si>
    <t>4.5*24.0*2.0T</t>
  </si>
  <si>
    <t>065130-160W-2F</t>
  </si>
  <si>
    <t>6.5*13.0*1.6T</t>
  </si>
  <si>
    <t>065180-160W-2F</t>
  </si>
  <si>
    <t>6.5*18.0*1.6T</t>
  </si>
  <si>
    <t>*034070-1050-2F*</t>
  </si>
  <si>
    <t>*040100-PP2B*</t>
  </si>
  <si>
    <t>*040100-PP2W*</t>
  </si>
  <si>
    <t>050160-P62W</t>
  </si>
  <si>
    <t>SOCKET SET M/S</t>
  </si>
  <si>
    <t>M5x12.5</t>
  </si>
  <si>
    <t>050145-T62W-DZ</t>
  </si>
  <si>
    <t>TH STEP T/S-2 STEP</t>
  </si>
  <si>
    <t>5x14.5</t>
  </si>
  <si>
    <t>PH T/S-2 (SP SCREW)</t>
  </si>
  <si>
    <t>455120-0870-2F</t>
  </si>
  <si>
    <t>4.55x12.0x0.8T</t>
  </si>
  <si>
    <t>*060100-PM7H-2*</t>
  </si>
  <si>
    <t>050120-T12W-R</t>
  </si>
  <si>
    <t xml:space="preserve"> TH T/S-1 POINT</t>
  </si>
  <si>
    <t>PAREF</t>
  </si>
  <si>
    <t>050140-FM2W-P</t>
  </si>
  <si>
    <t>FL M/S</t>
  </si>
  <si>
    <t>M5x14</t>
  </si>
  <si>
    <t>*030090-J51W-B*</t>
  </si>
  <si>
    <t>*060200-FS2B*</t>
  </si>
  <si>
    <t>S16A SAIP</t>
  </si>
  <si>
    <t>030060-C62W</t>
  </si>
  <si>
    <t>*040080-B65G*</t>
  </si>
  <si>
    <t>*040100-TC2W-1*</t>
  </si>
  <si>
    <t>4.5*10.0*1.6T</t>
  </si>
  <si>
    <t>*060060-Y56H-B*</t>
  </si>
  <si>
    <t>TTF330</t>
  </si>
  <si>
    <t>D?u tectyl form RL 330</t>
  </si>
  <si>
    <t>*030060-BM4B-A*</t>
  </si>
  <si>
    <t>R2 &amp; TS-1</t>
  </si>
  <si>
    <t>*056115-1560-3*</t>
  </si>
  <si>
    <t>030100-B66H</t>
  </si>
  <si>
    <t>BHT/S-2 NO CT-STS304</t>
  </si>
  <si>
    <t>PW BOLT TEST</t>
  </si>
  <si>
    <t>*040120-B65G*</t>
  </si>
  <si>
    <t>RL</t>
  </si>
  <si>
    <t>250045-B52A-T</t>
  </si>
  <si>
    <t>BH(TORX) M/S CO</t>
  </si>
  <si>
    <t>M2.5x4.5</t>
  </si>
  <si>
    <t>*033140-0800-2F*</t>
  </si>
  <si>
    <t>*030060-CB2W*</t>
  </si>
  <si>
    <t>030060-CB2W</t>
  </si>
  <si>
    <t>*030100-PP2W*</t>
  </si>
  <si>
    <t>*064100-050W-2F*</t>
  </si>
  <si>
    <t>*040140-T42W-AD*</t>
  </si>
  <si>
    <t>050125-AM1Z-H</t>
  </si>
  <si>
    <t>*055200-2060-2F*</t>
  </si>
  <si>
    <t>*056115-158W-3F*</t>
  </si>
  <si>
    <t>*065114-120W-2*</t>
  </si>
  <si>
    <t>*040160-T12W-2*</t>
  </si>
  <si>
    <t>*050100-J51N*</t>
  </si>
  <si>
    <t>*030060-C62W*</t>
  </si>
  <si>
    <t>*030080-P65G*</t>
  </si>
  <si>
    <t>*030100-B66H*</t>
  </si>
  <si>
    <t>*030140-PP2W*</t>
  </si>
  <si>
    <t>*050160-P62W*</t>
  </si>
  <si>
    <t>040160-K16H-S</t>
  </si>
  <si>
    <t>030080-CY6H-T</t>
  </si>
  <si>
    <t>PH/W P.T (STS304)</t>
  </si>
  <si>
    <t>030080-PP2W</t>
  </si>
  <si>
    <t>TH/W T/S-1(STS304)SE</t>
  </si>
  <si>
    <t>290190-P12W</t>
  </si>
  <si>
    <t>2.9x19</t>
  </si>
  <si>
    <t>020050-P51K</t>
  </si>
  <si>
    <t>PH(ISO 7045) M/S(6g)</t>
  </si>
  <si>
    <t>M2x5</t>
  </si>
  <si>
    <t>030080-J52N</t>
  </si>
  <si>
    <t>FH(100) M/S</t>
  </si>
  <si>
    <t>030080-P51N</t>
  </si>
  <si>
    <t>PH M/S(6g)</t>
  </si>
  <si>
    <t>FH(100º) M/S</t>
  </si>
  <si>
    <t>030120-J51W</t>
  </si>
  <si>
    <t>030180-TY2W-T</t>
  </si>
  <si>
    <t>TH(TORX) P.T</t>
  </si>
  <si>
    <t>TH T/S-1 (P/WØ15)</t>
  </si>
  <si>
    <t>040180-PYEW-T</t>
  </si>
  <si>
    <t>PH(TORX-ANSI) P.T</t>
  </si>
  <si>
    <t>TH (±) T/S-1</t>
  </si>
  <si>
    <r>
      <t>Lo</t>
    </r>
    <r>
      <rPr>
        <b/>
        <sz val="11"/>
        <color theme="1"/>
        <rFont val="맑은 고딕"/>
        <family val="2"/>
      </rPr>
      <t>ạ</t>
    </r>
    <r>
      <rPr>
        <b/>
        <sz val="11"/>
        <color theme="1"/>
        <rFont val="Calibri"/>
        <family val="2"/>
      </rPr>
      <t>i NVL</t>
    </r>
  </si>
  <si>
    <t>*055120-086H-2*</t>
  </si>
  <si>
    <t>Mã s?n ph?m</t>
  </si>
  <si>
    <t>Tên s?n ph?m</t>
  </si>
  <si>
    <t>Mã s? công ty</t>
  </si>
  <si>
    <t>Ðánh giá</t>
  </si>
  <si>
    <t>Ngày dang ký</t>
  </si>
  <si>
    <t>Mã s? ch?nh lý</t>
  </si>
  <si>
    <t>Quy cách</t>
  </si>
  <si>
    <t>Ðon v?</t>
  </si>
  <si>
    <t>Ðon v? dóng gói</t>
  </si>
  <si>
    <t>H/D Ðon v? tr?ng lu?ng</t>
  </si>
  <si>
    <t>Ðon v? tr?ng lu?ng</t>
  </si>
  <si>
    <t>Quãng du?ng c?t</t>
  </si>
  <si>
    <t>Chi?u dài</t>
  </si>
  <si>
    <t>X? lý nhi?t</t>
  </si>
  <si>
    <t>Ðon v? d? c?ng</t>
  </si>
  <si>
    <t>Ð? c?ng b? m?t</t>
  </si>
  <si>
    <t>Ð? c?ng lõi</t>
  </si>
  <si>
    <t>X? lý b? m?t</t>
  </si>
  <si>
    <t>Ð? dày chính</t>
  </si>
  <si>
    <t>Ð? dày th? 2</t>
  </si>
  <si>
    <t>Lo?i gia công</t>
  </si>
  <si>
    <t>Mã B?n v? quy trình</t>
  </si>
  <si>
    <t>Nguyên v?t li?u</t>
  </si>
  <si>
    <t>T?n kho an toàn</t>
  </si>
  <si>
    <t>Phân lo?i ph?</t>
  </si>
  <si>
    <t>Ngày ph?</t>
  </si>
  <si>
    <t>Gia công, c?t t?a, c?t</t>
  </si>
  <si>
    <t>Son ph?</t>
  </si>
  <si>
    <t>Ðóng gói</t>
  </si>
  <si>
    <t>Hàng còn hay h?t</t>
  </si>
  <si>
    <t>PH ????</t>
  </si>
  <si>
    <t>X? lông d?n - cán ren</t>
  </si>
  <si>
    <t>CUTTING (C?t duôi)</t>
  </si>
  <si>
    <t>K?m Vàng</t>
  </si>
  <si>
    <t>72h Không r? d?</t>
  </si>
  <si>
    <t>Coating màu xanh 120°x8MIN</t>
  </si>
  <si>
    <t>Gia công CNC chích rãnh</t>
  </si>
  <si>
    <t xml:space="preserve">công ty </t>
  </si>
  <si>
    <t>mã code</t>
  </si>
  <si>
    <t xml:space="preserve">tên s?n ph?m </t>
  </si>
  <si>
    <t>quy cách</t>
  </si>
  <si>
    <t>t?n tháng tru?c</t>
  </si>
  <si>
    <t>di?u ch?nh</t>
  </si>
  <si>
    <t>s? lu?ng ch? dóng gói</t>
  </si>
  <si>
    <t>giá</t>
  </si>
  <si>
    <t>*123215-3080-3*</t>
  </si>
  <si>
    <t>*046085-1360-3*</t>
  </si>
  <si>
    <t>046085-1360-3</t>
  </si>
  <si>
    <t>*030120-PB2W*</t>
  </si>
  <si>
    <t>*046100-1060-2F*</t>
  </si>
  <si>
    <t>E3</t>
  </si>
  <si>
    <t>*060350-UM1W-DP*</t>
  </si>
  <si>
    <t>*030080-PP2W*</t>
  </si>
  <si>
    <t>*036080-0800-2F*</t>
  </si>
  <si>
    <t>*040160-T15H*</t>
  </si>
  <si>
    <t>*120500-3000-2F*</t>
  </si>
  <si>
    <t>9B</t>
  </si>
  <si>
    <t>050150-FS2W-P</t>
  </si>
  <si>
    <t>M5*15</t>
  </si>
  <si>
    <t>48H không g? tr?ng</t>
  </si>
  <si>
    <t>48h không r? tr?ng</t>
  </si>
  <si>
    <t xml:space="preserve"> PLAIN WASHER </t>
  </si>
  <si>
    <t>06P100-586H-S</t>
  </si>
  <si>
    <t>FL NUT SE (STS304)</t>
  </si>
  <si>
    <t>P0001</t>
  </si>
  <si>
    <t>STS304</t>
  </si>
  <si>
    <t>5*25</t>
  </si>
  <si>
    <t>*050160-ZY4W-T*</t>
  </si>
  <si>
    <t>*060160-U56H-4P*</t>
  </si>
  <si>
    <t>*040060-P62W*</t>
  </si>
  <si>
    <t>*050100-C62W-B*</t>
  </si>
  <si>
    <t>*040100-P62W*</t>
  </si>
  <si>
    <t>*040120-B62W-2*</t>
  </si>
  <si>
    <t>*040120-Z12W-DT*</t>
  </si>
  <si>
    <t>*040200-P52W*</t>
  </si>
  <si>
    <t>030080-V62W</t>
  </si>
  <si>
    <t>040120-Y12W-BP</t>
  </si>
  <si>
    <t>050200-T22W</t>
  </si>
  <si>
    <t>VH T/S-2 (NO CT)</t>
  </si>
  <si>
    <t>CUTTING</t>
  </si>
  <si>
    <t>*040065-TS2N*</t>
  </si>
  <si>
    <t>*260060-PB2W*</t>
  </si>
  <si>
    <t>*061122-156H-3F*</t>
  </si>
  <si>
    <t>*040120-K15H-2*</t>
  </si>
  <si>
    <t>TTF68A</t>
  </si>
  <si>
    <t>D?u tectyl WL 68A</t>
  </si>
  <si>
    <t>*036070-1080-3*</t>
  </si>
  <si>
    <t>*040320-T12P*</t>
  </si>
  <si>
    <t>*060350-U51W-DP*</t>
  </si>
  <si>
    <t>*040120-T65H-2*</t>
  </si>
  <si>
    <t>*040140-B62W*</t>
  </si>
  <si>
    <t>*550130-1070-2F*</t>
  </si>
  <si>
    <t>550130-1070-2F</t>
  </si>
  <si>
    <t>5.5x13.0x1.0T</t>
  </si>
  <si>
    <t>*050160-H56H-4P*</t>
  </si>
  <si>
    <t>*605270-200W-2F*</t>
  </si>
  <si>
    <t>*050180-K54A-AZ*</t>
  </si>
  <si>
    <t>*260635-B62W*</t>
  </si>
  <si>
    <t>*350090-JY4B*</t>
  </si>
  <si>
    <t>*780420-F64W-2*</t>
  </si>
  <si>
    <t>030060-V22W</t>
  </si>
  <si>
    <t>VH T/S-2S</t>
  </si>
  <si>
    <t>030080-V22W</t>
  </si>
  <si>
    <t>HEX(+-TM) M/S CHAMFE</t>
  </si>
  <si>
    <t>PONA</t>
  </si>
  <si>
    <t>PH M/S CHAMFER</t>
  </si>
  <si>
    <t>CUTTING (C?T ÐUÔI)</t>
  </si>
  <si>
    <t>*060100-U22W-P*</t>
  </si>
  <si>
    <t>*040090-V42W*</t>
  </si>
  <si>
    <t>*030080-P611-Q*</t>
  </si>
  <si>
    <t>*040300-Z51W*</t>
  </si>
  <si>
    <t>*085180-166H-2*</t>
  </si>
  <si>
    <t>030060-C51W-S</t>
  </si>
  <si>
    <t>PH/W M/S SE</t>
  </si>
  <si>
    <t>J02</t>
  </si>
  <si>
    <t>037088-1050-5F</t>
  </si>
  <si>
    <t>3.7*8.8*1.0T</t>
  </si>
  <si>
    <t>040120-F62Z-5P</t>
  </si>
  <si>
    <t xml:space="preserve">FL+T/S-2 PVC/W </t>
  </si>
  <si>
    <t>*050160-FM5R-AP*</t>
  </si>
  <si>
    <t>*080660-U51A-2D*</t>
  </si>
  <si>
    <t>*350190-P12W-B*</t>
  </si>
  <si>
    <t>*790270-Y010-D*</t>
  </si>
  <si>
    <t>030120-PC2W</t>
  </si>
  <si>
    <t>*030100-P51N-A*</t>
  </si>
  <si>
    <t>*040120-K15H*</t>
  </si>
  <si>
    <t>*065180-160W-2F*</t>
  </si>
  <si>
    <t>*040900-J121-D*</t>
  </si>
  <si>
    <t>*040120-J42B*</t>
  </si>
  <si>
    <t>*050195-T62W-DZ*</t>
  </si>
  <si>
    <t>*050150-FS2W-P*</t>
  </si>
  <si>
    <t>*030120-P26H*</t>
  </si>
  <si>
    <t>*040140-J12W*</t>
  </si>
  <si>
    <t>*030120-J62G*</t>
  </si>
  <si>
    <t>*050220-T16H*</t>
  </si>
  <si>
    <t>*065130-160W-2F*</t>
  </si>
  <si>
    <t>*030180-P611-Q*</t>
  </si>
  <si>
    <r>
      <t>Mã tài li</t>
    </r>
    <r>
      <rPr>
        <b/>
        <sz val="15"/>
        <rFont val="맑은 고딕"/>
        <family val="2"/>
      </rPr>
      <t>ệ</t>
    </r>
    <r>
      <rPr>
        <b/>
        <sz val="15"/>
        <rFont val="Calibri"/>
        <family val="2"/>
      </rPr>
      <t>u</t>
    </r>
  </si>
  <si>
    <r>
      <t>L</t>
    </r>
    <r>
      <rPr>
        <b/>
        <sz val="15"/>
        <rFont val="맑은 고딕"/>
        <family val="2"/>
      </rPr>
      <t>ầ</t>
    </r>
    <r>
      <rPr>
        <b/>
        <sz val="15"/>
        <rFont val="Calibri"/>
        <family val="2"/>
      </rPr>
      <t>n ban hành</t>
    </r>
  </si>
  <si>
    <r>
      <t>NGUYÊN V</t>
    </r>
    <r>
      <rPr>
        <b/>
        <sz val="15"/>
        <rFont val="맑은 고딕"/>
        <family val="2"/>
      </rPr>
      <t>Ậ</t>
    </r>
    <r>
      <rPr>
        <b/>
        <sz val="15"/>
        <rFont val="Calibri"/>
        <family val="2"/>
      </rPr>
      <t>T LI</t>
    </r>
    <r>
      <rPr>
        <b/>
        <sz val="15"/>
        <rFont val="맑은 고딕"/>
        <family val="2"/>
      </rPr>
      <t>Ệ</t>
    </r>
    <r>
      <rPr>
        <b/>
        <sz val="15"/>
        <rFont val="Calibri"/>
        <family val="2"/>
      </rPr>
      <t>U</t>
    </r>
  </si>
  <si>
    <r>
      <rPr>
        <b/>
        <sz val="15"/>
        <rFont val="맑은 고딕"/>
        <family val="2"/>
      </rPr>
      <t>생산가능
수량</t>
    </r>
  </si>
  <si>
    <r>
      <t>S</t>
    </r>
    <r>
      <rPr>
        <b/>
        <sz val="13"/>
        <rFont val="맑은 고딕"/>
        <family val="2"/>
      </rPr>
      <t>Ố</t>
    </r>
    <r>
      <rPr>
        <b/>
        <sz val="13"/>
        <rFont val="Calibri"/>
        <family val="2"/>
      </rPr>
      <t xml:space="preserve"> CH</t>
    </r>
    <r>
      <rPr>
        <b/>
        <sz val="13"/>
        <rFont val="맑은 고딕"/>
        <family val="2"/>
      </rPr>
      <t>Ỉ</t>
    </r>
    <r>
      <rPr>
        <b/>
        <sz val="13"/>
        <rFont val="Calibri"/>
        <family val="2"/>
      </rPr>
      <t xml:space="preserve"> 
TH</t>
    </r>
    <r>
      <rPr>
        <b/>
        <sz val="13"/>
        <rFont val="맑은 고딕"/>
        <family val="2"/>
      </rPr>
      <t>Ị</t>
    </r>
    <r>
      <rPr>
        <b/>
        <sz val="13"/>
        <rFont val="Calibri"/>
        <family val="2"/>
      </rPr>
      <t xml:space="preserve"> THƯ</t>
    </r>
  </si>
  <si>
    <r>
      <t>MÃ S</t>
    </r>
    <r>
      <rPr>
        <b/>
        <sz val="13"/>
        <rFont val="맑은 고딕"/>
        <family val="2"/>
      </rPr>
      <t>Ả</t>
    </r>
    <r>
      <rPr>
        <b/>
        <sz val="13"/>
        <rFont val="Calibri"/>
        <family val="2"/>
      </rPr>
      <t>N PH</t>
    </r>
    <r>
      <rPr>
        <b/>
        <sz val="13"/>
        <rFont val="맑은 고딕"/>
        <family val="2"/>
      </rPr>
      <t>Ẩ</t>
    </r>
    <r>
      <rPr>
        <b/>
        <sz val="13"/>
        <rFont val="Calibri"/>
        <family val="2"/>
      </rPr>
      <t>M</t>
    </r>
  </si>
  <si>
    <r>
      <t>NGUYÊN V</t>
    </r>
    <r>
      <rPr>
        <b/>
        <sz val="13"/>
        <rFont val="맑은 고딕"/>
        <family val="2"/>
      </rPr>
      <t>Ậ</t>
    </r>
    <r>
      <rPr>
        <b/>
        <sz val="13"/>
        <rFont val="Calibri"/>
        <family val="2"/>
      </rPr>
      <t>T
LI</t>
    </r>
    <r>
      <rPr>
        <b/>
        <sz val="13"/>
        <rFont val="맑은 고딕"/>
        <family val="2"/>
      </rPr>
      <t>Ệ</t>
    </r>
    <r>
      <rPr>
        <b/>
        <sz val="13"/>
        <rFont val="Calibri"/>
        <family val="2"/>
      </rPr>
      <t>U</t>
    </r>
  </si>
  <si>
    <r>
      <t>S</t>
    </r>
    <r>
      <rPr>
        <b/>
        <sz val="13"/>
        <rFont val="맑은 고딕"/>
        <family val="2"/>
      </rPr>
      <t>Ố</t>
    </r>
    <r>
      <rPr>
        <b/>
        <sz val="13"/>
        <rFont val="Calibri"/>
        <family val="2"/>
      </rPr>
      <t xml:space="preserve"> MÁY</t>
    </r>
  </si>
  <si>
    <r>
      <t>S</t>
    </r>
    <r>
      <rPr>
        <b/>
        <sz val="13"/>
        <rFont val="맑은 고딕"/>
        <family val="2"/>
      </rPr>
      <t>Ố</t>
    </r>
    <r>
      <rPr>
        <b/>
        <sz val="13"/>
        <rFont val="Calibri"/>
        <family val="2"/>
      </rPr>
      <t xml:space="preserve"> LƯ</t>
    </r>
    <r>
      <rPr>
        <b/>
        <sz val="13"/>
        <rFont val="맑은 고딕"/>
        <family val="2"/>
      </rPr>
      <t>Ợ</t>
    </r>
    <r>
      <rPr>
        <b/>
        <sz val="13"/>
        <rFont val="Calibri"/>
        <family val="2"/>
      </rPr>
      <t>NG
C</t>
    </r>
    <r>
      <rPr>
        <b/>
        <sz val="13"/>
        <rFont val="맑은 고딕"/>
        <family val="2"/>
      </rPr>
      <t>Ầ</t>
    </r>
    <r>
      <rPr>
        <b/>
        <sz val="13"/>
        <rFont val="Calibri"/>
        <family val="2"/>
      </rPr>
      <t>N SX</t>
    </r>
  </si>
  <si>
    <r>
      <t>S</t>
    </r>
    <r>
      <rPr>
        <b/>
        <sz val="13"/>
        <rFont val="맑은 고딕"/>
        <family val="2"/>
      </rPr>
      <t>Ả</t>
    </r>
    <r>
      <rPr>
        <b/>
        <sz val="13"/>
        <rFont val="Calibri"/>
        <family val="2"/>
      </rPr>
      <t>N XU</t>
    </r>
    <r>
      <rPr>
        <b/>
        <sz val="13"/>
        <rFont val="맑은 고딕"/>
        <family val="2"/>
      </rPr>
      <t>Ấ</t>
    </r>
    <r>
      <rPr>
        <b/>
        <sz val="13"/>
        <rFont val="Calibri"/>
        <family val="2"/>
      </rPr>
      <t>T
TH</t>
    </r>
    <r>
      <rPr>
        <b/>
        <sz val="13"/>
        <rFont val="맑은 고딕"/>
        <family val="2"/>
      </rPr>
      <t>Ự</t>
    </r>
    <r>
      <rPr>
        <b/>
        <sz val="13"/>
        <rFont val="Calibri"/>
        <family val="2"/>
      </rPr>
      <t>C T</t>
    </r>
    <r>
      <rPr>
        <b/>
        <sz val="13"/>
        <rFont val="맑은 고딕"/>
        <family val="2"/>
      </rPr>
      <t>Ế</t>
    </r>
  </si>
  <si>
    <r>
      <t>S</t>
    </r>
    <r>
      <rPr>
        <b/>
        <sz val="13"/>
        <rFont val="맑은 고딕"/>
        <family val="2"/>
      </rPr>
      <t>Ả</t>
    </r>
    <r>
      <rPr>
        <b/>
        <sz val="13"/>
        <rFont val="Calibri"/>
        <family val="2"/>
      </rPr>
      <t>N LƯ</t>
    </r>
    <r>
      <rPr>
        <b/>
        <sz val="13"/>
        <rFont val="맑은 고딕"/>
        <family val="2"/>
      </rPr>
      <t>Ợ</t>
    </r>
    <r>
      <rPr>
        <b/>
        <sz val="13"/>
        <rFont val="Calibri"/>
        <family val="2"/>
      </rPr>
      <t>NG 
CÒN L</t>
    </r>
    <r>
      <rPr>
        <b/>
        <sz val="13"/>
        <rFont val="맑은 고딕"/>
        <family val="2"/>
      </rPr>
      <t>Ạ</t>
    </r>
    <r>
      <rPr>
        <b/>
        <sz val="13"/>
        <rFont val="Calibri"/>
        <family val="2"/>
      </rPr>
      <t>I</t>
    </r>
  </si>
  <si>
    <r>
      <t>TÌNH TR</t>
    </r>
    <r>
      <rPr>
        <b/>
        <sz val="13"/>
        <rFont val="맑은 고딕"/>
        <family val="2"/>
      </rPr>
      <t>Ạ</t>
    </r>
    <r>
      <rPr>
        <b/>
        <sz val="13"/>
        <rFont val="Calibri"/>
        <family val="2"/>
      </rPr>
      <t>NG
KHUÔN</t>
    </r>
  </si>
  <si>
    <r>
      <t>S</t>
    </r>
    <r>
      <rPr>
        <b/>
        <sz val="13"/>
        <rFont val="맑은 고딕"/>
        <family val="2"/>
      </rPr>
      <t>Ả</t>
    </r>
    <r>
      <rPr>
        <b/>
        <sz val="13"/>
        <rFont val="Calibri"/>
        <family val="2"/>
      </rPr>
      <t>N LƯ</t>
    </r>
    <r>
      <rPr>
        <b/>
        <sz val="13"/>
        <rFont val="맑은 고딕"/>
        <family val="2"/>
      </rPr>
      <t>Ợ</t>
    </r>
    <r>
      <rPr>
        <b/>
        <sz val="13"/>
        <rFont val="Calibri"/>
        <family val="2"/>
      </rPr>
      <t>NG
HÔM TRƯ</t>
    </r>
    <r>
      <rPr>
        <b/>
        <sz val="13"/>
        <rFont val="맑은 고딕"/>
        <family val="2"/>
      </rPr>
      <t>Ớ</t>
    </r>
    <r>
      <rPr>
        <b/>
        <sz val="13"/>
        <rFont val="Calibri"/>
        <family val="2"/>
      </rPr>
      <t>C</t>
    </r>
  </si>
  <si>
    <r>
      <t>NVL
C</t>
    </r>
    <r>
      <rPr>
        <b/>
        <sz val="13"/>
        <rFont val="맑은 고딕"/>
        <family val="2"/>
      </rPr>
      <t>Ầ</t>
    </r>
    <r>
      <rPr>
        <b/>
        <sz val="13"/>
        <rFont val="Calibri"/>
        <family val="2"/>
      </rPr>
      <t>N</t>
    </r>
  </si>
  <si>
    <t>*040080-P22W*</t>
  </si>
  <si>
    <t>*030120-P51N-A*</t>
  </si>
  <si>
    <t>*071245-F14W*</t>
  </si>
  <si>
    <t>SCM440</t>
  </si>
  <si>
    <t>030120-J52N-B</t>
  </si>
  <si>
    <t>FH(DIN 965) M/S 6g</t>
  </si>
  <si>
    <t>3S</t>
  </si>
  <si>
    <t>030140-PP2B</t>
  </si>
  <si>
    <t>98[PUR],84[&amp;gt;A/B]</t>
  </si>
  <si>
    <t>NT sx du?c, KOS không du?c</t>
  </si>
  <si>
    <t>040160-J15H</t>
  </si>
  <si>
    <t>FH T/S-1 (STS430)</t>
  </si>
  <si>
    <t>Rung bóng + R?a Inox</t>
  </si>
  <si>
    <t>040100-T51B-H</t>
  </si>
  <si>
    <t>040140-T12B-H</t>
  </si>
  <si>
    <t>TH HEX M/S</t>
  </si>
  <si>
    <t>TH HEX T/S-1</t>
  </si>
  <si>
    <t>PH/W HEX</t>
  </si>
  <si>
    <t>*040140-T12W*</t>
  </si>
  <si>
    <t>*037088-1050-5F*</t>
  </si>
  <si>
    <t>*050400-BS2W-D*</t>
  </si>
  <si>
    <t>*080150-ZE1W-C*</t>
  </si>
  <si>
    <t>*08P125-251W-A*</t>
  </si>
  <si>
    <r>
      <t>K</t>
    </r>
    <r>
      <rPr>
        <b/>
        <sz val="36"/>
        <rFont val="맑은 고딕"/>
        <family val="2"/>
      </rPr>
      <t>Ế</t>
    </r>
    <r>
      <rPr>
        <b/>
        <sz val="36"/>
        <rFont val="Calibri"/>
        <family val="2"/>
      </rPr>
      <t xml:space="preserve"> HO</t>
    </r>
    <r>
      <rPr>
        <b/>
        <sz val="36"/>
        <rFont val="맑은 고딕"/>
        <family val="2"/>
      </rPr>
      <t>Ạ</t>
    </r>
    <r>
      <rPr>
        <b/>
        <sz val="36"/>
        <rFont val="Calibri"/>
        <family val="2"/>
      </rPr>
      <t>CH S</t>
    </r>
    <r>
      <rPr>
        <b/>
        <sz val="36"/>
        <rFont val="맑은 고딕"/>
        <family val="2"/>
      </rPr>
      <t>Ả</t>
    </r>
    <r>
      <rPr>
        <b/>
        <sz val="36"/>
        <rFont val="Calibri"/>
        <family val="2"/>
      </rPr>
      <t>N XU</t>
    </r>
    <r>
      <rPr>
        <b/>
        <sz val="36"/>
        <rFont val="맑은 고딕"/>
        <family val="2"/>
      </rPr>
      <t>Ấ</t>
    </r>
    <r>
      <rPr>
        <b/>
        <sz val="36"/>
        <rFont val="Calibri"/>
        <family val="2"/>
      </rPr>
      <t>T HÀNG NGÀY</t>
    </r>
  </si>
  <si>
    <t>*050127-FC2W-P*</t>
  </si>
  <si>
    <t>*030140-PP2B*</t>
  </si>
  <si>
    <t>030100-B26H</t>
  </si>
  <si>
    <t>030100-B22W</t>
  </si>
  <si>
    <t>BH T/S-2S (STS304)</t>
  </si>
  <si>
    <t>040180-T12B-H</t>
  </si>
  <si>
    <t>030120-P12W</t>
  </si>
  <si>
    <t>M4x5</t>
  </si>
  <si>
    <t>PH (LARGE) TTS-S SE</t>
  </si>
  <si>
    <t>M4x10</t>
  </si>
  <si>
    <t>*030080-P22W*</t>
  </si>
  <si>
    <t>*030120-P51W*</t>
  </si>
  <si>
    <t>*071145-F14W*</t>
  </si>
  <si>
    <t>*020130-Z06H*</t>
  </si>
  <si>
    <t>*030060-C51W-S*</t>
  </si>
  <si>
    <t>*030080-BB2N*</t>
  </si>
  <si>
    <t>*030120-P621*</t>
  </si>
  <si>
    <t>*040080-P51N-4*</t>
  </si>
  <si>
    <t>*050160-T22W*</t>
  </si>
  <si>
    <t>040050-T5EW-S</t>
  </si>
  <si>
    <t>040100-PSEW-AS</t>
  </si>
  <si>
    <t>050120-C62B-H</t>
  </si>
  <si>
    <t>040160-T12W-T</t>
  </si>
  <si>
    <t>FL TTS-S SE</t>
  </si>
  <si>
    <t>E4</t>
  </si>
  <si>
    <t>*030100-P52W*</t>
  </si>
  <si>
    <t>*030120-P6EW-Z*</t>
  </si>
  <si>
    <t>*040160-J15H*</t>
  </si>
  <si>
    <t>*050120-C62B-H*</t>
  </si>
  <si>
    <t>*050140-FS2W-ACP*</t>
  </si>
  <si>
    <t>*030060-P51N-4*</t>
  </si>
  <si>
    <t>060150-U42W</t>
  </si>
  <si>
    <t>E5</t>
  </si>
  <si>
    <t>*030080-JP2B*</t>
  </si>
  <si>
    <t>*030080-P51N-4*</t>
  </si>
  <si>
    <t>*050160-FS2W-APZ*</t>
  </si>
  <si>
    <t>040180-T6EB-BDJ</t>
  </si>
  <si>
    <t xml:space="preserve">TH(SMALL)T/S-2 NOCT </t>
  </si>
  <si>
    <t>SHDN</t>
  </si>
  <si>
    <t>040250-CBEW</t>
  </si>
  <si>
    <t>*040120-T26H*</t>
  </si>
  <si>
    <t>*040250-T22W-B*</t>
  </si>
  <si>
    <t>*040120-T15H*</t>
  </si>
  <si>
    <t>*030060-PB2W*</t>
  </si>
  <si>
    <t>*030100-B62W*</t>
  </si>
  <si>
    <t>*030100-C66H-T*</t>
  </si>
  <si>
    <t>*040095-PM1W-3*</t>
  </si>
  <si>
    <t>*040160-T12P*</t>
  </si>
  <si>
    <t>*040500-J121*</t>
  </si>
  <si>
    <t>*074220-1500-2F*</t>
  </si>
  <si>
    <t>040120-Z12P-B</t>
  </si>
  <si>
    <t>050150-P56H</t>
  </si>
  <si>
    <t>M5x15</t>
  </si>
  <si>
    <t>*480110-T92W-S*</t>
  </si>
  <si>
    <t>*030120-P12W*</t>
  </si>
  <si>
    <t>*030100-PB6H*</t>
  </si>
  <si>
    <t>*064145-056H-1F*</t>
  </si>
  <si>
    <t>*080260-U51W-D*</t>
  </si>
  <si>
    <t>S16A SAIP (Y)</t>
  </si>
  <si>
    <t>*030080-P51N*</t>
  </si>
  <si>
    <t>*030100-B51W-M*</t>
  </si>
  <si>
    <t>*030160-JB2W*</t>
  </si>
  <si>
    <t>040120-J22N</t>
  </si>
  <si>
    <t>FH T/S-2S</t>
  </si>
  <si>
    <t>W4</t>
  </si>
  <si>
    <t>*030100-B22W*</t>
  </si>
  <si>
    <t>*060255-J56H-MZ*</t>
  </si>
  <si>
    <t>*030080-P511-3*</t>
  </si>
  <si>
    <t>*040160-T16H-Z*</t>
  </si>
  <si>
    <t>040160-T16H-Z</t>
  </si>
  <si>
    <t>*080160-HM3W*</t>
  </si>
  <si>
    <t>TH T/S-1 (SUS304)</t>
  </si>
  <si>
    <t>050080-T56H</t>
  </si>
  <si>
    <t>M5x8</t>
  </si>
  <si>
    <t>050300-ZY6H-T</t>
  </si>
  <si>
    <t>053150-106H-2F</t>
  </si>
  <si>
    <t>PLAIN WASSER</t>
  </si>
  <si>
    <t>0.53x15.0x1.0</t>
  </si>
  <si>
    <t>*030060-B59B-MQ*</t>
  </si>
  <si>
    <t>*050145-F52W-DPS*</t>
  </si>
  <si>
    <t>040150-T12J-M</t>
  </si>
  <si>
    <t>White, Baking(4h)</t>
  </si>
  <si>
    <t>4x15</t>
  </si>
  <si>
    <t>Black, Baking(4h)</t>
  </si>
  <si>
    <t>TFA PL</t>
  </si>
  <si>
    <t>040150-T12J-MZ</t>
  </si>
  <si>
    <t>*030080-P26H*</t>
  </si>
  <si>
    <t>*040080-P62W-1*</t>
  </si>
  <si>
    <t>*045150-200W-2F*</t>
  </si>
  <si>
    <t>*050100-P57H-2*</t>
  </si>
  <si>
    <t>*050200-T22W*</t>
  </si>
  <si>
    <t>*065254-160W-2F*</t>
  </si>
  <si>
    <t>MÁY HƯ</t>
  </si>
  <si>
    <t>*050160-TM5R*</t>
  </si>
  <si>
    <t>*030100-P51N*</t>
  </si>
  <si>
    <t>*030100-J51N*</t>
  </si>
  <si>
    <t>*102184-258W-3F*</t>
  </si>
  <si>
    <t>*390082-P62W-B*</t>
  </si>
  <si>
    <t>G2</t>
  </si>
  <si>
    <t>J03</t>
  </si>
  <si>
    <t>040250-P22W-Z</t>
  </si>
  <si>
    <t>J04</t>
  </si>
  <si>
    <t>*040080-T22P*</t>
  </si>
  <si>
    <t>030060-B61W-DQ</t>
  </si>
  <si>
    <t>040145-HM6H-MZ</t>
  </si>
  <si>
    <t>040145-PM6H-MZ</t>
  </si>
  <si>
    <t>*040060-P57H-3*</t>
  </si>
  <si>
    <t>*082154-208W-3F*</t>
  </si>
  <si>
    <t>*034160-0850-2F*</t>
  </si>
  <si>
    <t>*045100-160W-2F*</t>
  </si>
  <si>
    <t>*055170-2000-2F*</t>
  </si>
  <si>
    <t>*560300-FY1W-DP*</t>
  </si>
  <si>
    <t>030080-P52A-S</t>
  </si>
  <si>
    <t>PH M/S SE CO</t>
  </si>
  <si>
    <t>M4*14.5</t>
  </si>
  <si>
    <t>M4x14.5</t>
  </si>
  <si>
    <t>260080-PB1Y-Q</t>
  </si>
  <si>
    <t>030060-P62W</t>
  </si>
  <si>
    <t>PH T/S-2 NO CUTTING</t>
  </si>
  <si>
    <t>2.6x8</t>
  </si>
  <si>
    <t>Y</t>
  </si>
  <si>
    <t>050140-C62B-B</t>
  </si>
  <si>
    <t>050200-J51W</t>
  </si>
  <si>
    <t>050300-J51W</t>
  </si>
  <si>
    <t>TBEN</t>
  </si>
  <si>
    <t>*060160-P56H*</t>
  </si>
  <si>
    <t>*SET-002*</t>
  </si>
  <si>
    <t>*050150-P56H*</t>
  </si>
  <si>
    <t>*040100-T22W*</t>
  </si>
  <si>
    <t>*100230-U51W*</t>
  </si>
  <si>
    <t>040100-TS2W-1</t>
  </si>
  <si>
    <t>050120-C62B</t>
  </si>
  <si>
    <t>Blue</t>
  </si>
  <si>
    <t>Painting</t>
  </si>
  <si>
    <t>Orange</t>
  </si>
  <si>
    <t>TH TTS-S T/W</t>
  </si>
  <si>
    <t xml:space="preserve">Orange </t>
  </si>
  <si>
    <t xml:space="preserve">Blue </t>
  </si>
  <si>
    <t>034160-1000-2F</t>
  </si>
  <si>
    <t>TH T/S-2 (NO CT) P/W</t>
  </si>
  <si>
    <t>*260080-P52A-3PN*</t>
  </si>
  <si>
    <t>MTV 7114-1</t>
  </si>
  <si>
    <t>D?u tectyl MTV 7114-1</t>
  </si>
  <si>
    <t>*060280-2000-2F*</t>
  </si>
  <si>
    <t>*085300-200W-2*</t>
  </si>
  <si>
    <t>037085-0600-1</t>
  </si>
  <si>
    <t>3.7x8.5x0.6T</t>
  </si>
  <si>
    <t>*065300-200W-2F*</t>
  </si>
  <si>
    <t>033160-1000-2F</t>
  </si>
  <si>
    <t>10[H/D],30[R/L],60[C/T],70[&amp;gt;H/T],80[&amp;gt;P/T],89[&amp;gt;H/CO],85[ST/ PK],99[P/K]</t>
  </si>
  <si>
    <t>10[H/D],30[R/L],70[&amp;gt;H/T],80[&amp;gt;P/T],89[&amp;gt;H/CO],85[ST/ PK],99[P/K]</t>
  </si>
  <si>
    <t>040120-T62W-2</t>
  </si>
  <si>
    <t>055150-100W-2</t>
  </si>
  <si>
    <t>5.5*15*1.0T</t>
  </si>
  <si>
    <t>060200-FSEW-D</t>
  </si>
  <si>
    <t>White, Baking(2h)</t>
  </si>
  <si>
    <t>510-067</t>
  </si>
  <si>
    <t>060200-ZSEJ-H</t>
  </si>
  <si>
    <t>*040180-T12P*</t>
  </si>
  <si>
    <t>*060200-ZSEJ-H*</t>
  </si>
  <si>
    <t>*040050-T5EW-S*</t>
  </si>
  <si>
    <t>*030060-P62W*</t>
  </si>
  <si>
    <t>*040250-P22W-Z*</t>
  </si>
  <si>
    <t>*051092-136H-3F*</t>
  </si>
  <si>
    <t>050160-J52W</t>
  </si>
  <si>
    <t>040100-J12W-BZ</t>
  </si>
  <si>
    <t>FH(SMALL) T/S-1(SPC)</t>
  </si>
  <si>
    <t>M5x16</t>
  </si>
  <si>
    <t>*020060-B62W*</t>
  </si>
  <si>
    <t>*050100-C62W*</t>
  </si>
  <si>
    <t>040120-TZ2W-CS</t>
  </si>
  <si>
    <t>TH SPCIAL CREW SE</t>
  </si>
  <si>
    <t>040140-BP2W</t>
  </si>
  <si>
    <t>BH TTS-P</t>
  </si>
  <si>
    <t>TH TTS-S SE</t>
  </si>
  <si>
    <t>350072-Z5CW-DM</t>
  </si>
  <si>
    <t>M3.5x7.2</t>
  </si>
  <si>
    <t>040100-TS2W-S</t>
  </si>
  <si>
    <t>*027055-0780-3*</t>
  </si>
  <si>
    <t>*037085-0600-1*</t>
  </si>
  <si>
    <t>*056115-1580-3*</t>
  </si>
  <si>
    <t>*232048-0680-3*</t>
  </si>
  <si>
    <t>*100350-F51A-D*</t>
  </si>
  <si>
    <t>030045-B62W-Z</t>
  </si>
  <si>
    <t>030060-BB2W-Z</t>
  </si>
  <si>
    <t>030160-P62W-Z</t>
  </si>
  <si>
    <t>040065-CM2W-BMN</t>
  </si>
  <si>
    <t>PH/W (SMALL) M/S 6e</t>
  </si>
  <si>
    <t>PAEW</t>
  </si>
  <si>
    <t>PAWM</t>
  </si>
  <si>
    <t>SPCIAL± M/S 6g</t>
  </si>
  <si>
    <t>450083-PM2W-BMN</t>
  </si>
  <si>
    <t>PH±(SMALL) M/S 6e</t>
  </si>
  <si>
    <t>M4.5x8.3</t>
  </si>
  <si>
    <t>S8A SAIP</t>
  </si>
  <si>
    <t>S8A (S)AIP</t>
  </si>
  <si>
    <t>*030045-B62W-Z*</t>
  </si>
  <si>
    <t>*030060-BB2W-Z*</t>
  </si>
  <si>
    <t>*030160-P62W-Z*</t>
  </si>
  <si>
    <t>*050120-C62B*</t>
  </si>
  <si>
    <t>*060150-U42W*</t>
  </si>
  <si>
    <t>040100-T56R</t>
  </si>
  <si>
    <t>TH M/S CO (STS304)</t>
  </si>
  <si>
    <t>040100-Z16H-P</t>
  </si>
  <si>
    <t>SPECIAL T/S-1 (304)</t>
  </si>
  <si>
    <t>040140-T12W-R</t>
  </si>
  <si>
    <t>TH T/S-1 (R)</t>
  </si>
  <si>
    <t>040200-T12W</t>
  </si>
  <si>
    <t>040400-J16H-D</t>
  </si>
  <si>
    <t>FH T/S-1 (STS304)</t>
  </si>
  <si>
    <t>4x40</t>
  </si>
  <si>
    <t>*030100-B51W*</t>
  </si>
  <si>
    <t>*040180-T12W*</t>
  </si>
  <si>
    <t>030120-P62W</t>
  </si>
  <si>
    <t>PAFAN</t>
  </si>
  <si>
    <t>HEX(UP) M/S</t>
  </si>
  <si>
    <t>M4x4</t>
  </si>
  <si>
    <t>040080-T62W</t>
  </si>
  <si>
    <t>260160-P62B</t>
  </si>
  <si>
    <t>2.6x16</t>
  </si>
  <si>
    <t>CÔNG ĐOẠN</t>
  </si>
  <si>
    <t>S/M</t>
  </si>
  <si>
    <t>C/O</t>
  </si>
  <si>
    <t>M/C HD</t>
  </si>
  <si>
    <t>M/C RL</t>
  </si>
  <si>
    <t>M/C CT</t>
  </si>
  <si>
    <t>Master code</t>
  </si>
  <si>
    <t>*020170-P51W*</t>
  </si>
  <si>
    <t>*030100-J51W-B*</t>
  </si>
  <si>
    <t>*055200-1500-2F*</t>
  </si>
  <si>
    <t>*040100-PB2B*</t>
  </si>
  <si>
    <t>*040160-T31W-3K*</t>
  </si>
  <si>
    <t>040120-TS2W-RS</t>
  </si>
  <si>
    <t>TH TTS-S SE (R)</t>
  </si>
  <si>
    <t>*030080-J621*</t>
  </si>
  <si>
    <t>*040080-T42W*</t>
  </si>
  <si>
    <t>*030045-CB2W*</t>
  </si>
  <si>
    <t>*040600-UM1W-PQ*</t>
  </si>
  <si>
    <t>*350064-ZR6H-DZ*</t>
  </si>
  <si>
    <t>*045100-120W-2F*</t>
  </si>
  <si>
    <t>*560380-FY1W-DP*</t>
  </si>
  <si>
    <t>040140-B26H</t>
  </si>
  <si>
    <t>030080-PB2W-Z</t>
  </si>
  <si>
    <t>040068-TS2J-S</t>
  </si>
  <si>
    <t>040070-Z42J</t>
  </si>
  <si>
    <t>Y-TYPE T/S-4 (SPEC)</t>
  </si>
  <si>
    <t>040080-B26H</t>
  </si>
  <si>
    <t>040100-BS2J</t>
  </si>
  <si>
    <t xml:space="preserve">BH TTS-S </t>
  </si>
  <si>
    <t>040120-B22W-Z</t>
  </si>
  <si>
    <t>040120-BS2J-S</t>
  </si>
  <si>
    <t>BH TTS-S SE</t>
  </si>
  <si>
    <t>FH T/S-2 (NO CT) 304</t>
  </si>
  <si>
    <t>040120-T62B</t>
  </si>
  <si>
    <t>TH T/S-2 (NO CT)</t>
  </si>
  <si>
    <t>040140-TS2J-S</t>
  </si>
  <si>
    <t>M4x14</t>
  </si>
  <si>
    <t>040160-B62J</t>
  </si>
  <si>
    <t>BH T/S-2 (NO CT)</t>
  </si>
  <si>
    <t>040160-BP2W</t>
  </si>
  <si>
    <t>050120-J56H-BD</t>
  </si>
  <si>
    <t>FH M/S STEP (STS304)</t>
  </si>
  <si>
    <t>M5x12</t>
  </si>
  <si>
    <t>H9</t>
  </si>
  <si>
    <t>BH T/S-2SPECNOCT 304</t>
  </si>
  <si>
    <t>4.5x10</t>
  </si>
  <si>
    <t>040160-J66H</t>
  </si>
  <si>
    <t>450100-B66H-B</t>
  </si>
  <si>
    <t>*020075-PP2B*</t>
  </si>
  <si>
    <t>*030080-P32W-AD*</t>
  </si>
  <si>
    <t>*030080-V62W*</t>
  </si>
  <si>
    <t>*040041-Y52W-T*</t>
  </si>
  <si>
    <t>*040140-T16H*</t>
  </si>
  <si>
    <t>*080300-FM5L-DS*</t>
  </si>
  <si>
    <t>*115205-3080-3*</t>
  </si>
  <si>
    <t>*030095-P12W-AD*</t>
  </si>
  <si>
    <t>*037100-1050-5F*</t>
  </si>
  <si>
    <t>*040100-PSEW-AS*</t>
  </si>
  <si>
    <t>*040180-T65H*</t>
  </si>
  <si>
    <t>*735180-1670-2F*</t>
  </si>
  <si>
    <t>*030180-TY2W-T*</t>
  </si>
  <si>
    <t>*040100-T16H*</t>
  </si>
  <si>
    <t>030060-PB2W-AZ</t>
  </si>
  <si>
    <t>J05</t>
  </si>
  <si>
    <t>J06</t>
  </si>
  <si>
    <t>*030060-V22W*</t>
  </si>
  <si>
    <t>*030080-JB2B*</t>
  </si>
  <si>
    <t>*030080-PB2W-Z*</t>
  </si>
  <si>
    <t>*040100-J12W-BZ*</t>
  </si>
  <si>
    <t>*040100-P51W-3*</t>
  </si>
  <si>
    <t>*040145-PM6H-MZ*</t>
  </si>
  <si>
    <t>*050160-J52W*</t>
  </si>
  <si>
    <t>*060430-U51W-DP*</t>
  </si>
  <si>
    <t>*040080-J56H-B*</t>
  </si>
  <si>
    <t>HẾT NVL</t>
  </si>
  <si>
    <t>450120-Y12W-P</t>
  </si>
  <si>
    <t>040120-B66H-BZ</t>
  </si>
  <si>
    <t>601-044</t>
  </si>
  <si>
    <t>040200-T66H</t>
  </si>
  <si>
    <t>M4x6.8</t>
  </si>
  <si>
    <t>BH (SPE) T/S-2 NO CT</t>
  </si>
  <si>
    <t>TH T/S-2 NO CT (STS)</t>
  </si>
  <si>
    <t>4x38</t>
  </si>
  <si>
    <t>4.5x12</t>
  </si>
  <si>
    <t>*040203-JS2W-C*</t>
  </si>
  <si>
    <t>*050160-FM2W-P*</t>
  </si>
  <si>
    <t>*590058-Y01W-DZ*</t>
  </si>
  <si>
    <t>*040160-T12W*</t>
  </si>
  <si>
    <t>*080220-U51W-3*</t>
  </si>
  <si>
    <t>*040120-P12Z*</t>
  </si>
  <si>
    <t>*050160-U62W-P*</t>
  </si>
  <si>
    <t>*080290-FM6R-D*</t>
  </si>
  <si>
    <t>S16A SAIP (F)</t>
  </si>
  <si>
    <t>*040080-TS2W*</t>
  </si>
  <si>
    <t>030117-J61N</t>
  </si>
  <si>
    <t>3x11.7</t>
  </si>
  <si>
    <t>050180-T22W</t>
  </si>
  <si>
    <t>5x18</t>
  </si>
  <si>
    <t>N10100-AM6H-BH</t>
  </si>
  <si>
    <t xml:space="preserve">SOCKET UNF-2A STS </t>
  </si>
  <si>
    <t>#10x10</t>
  </si>
  <si>
    <t>030060-Z02W-Z</t>
  </si>
  <si>
    <t>030100-Z02W-Z</t>
  </si>
  <si>
    <t>030106-Z02W-Z</t>
  </si>
  <si>
    <t>030155-Z02W-Z</t>
  </si>
  <si>
    <t>030185-Z02W-Z</t>
  </si>
  <si>
    <t>030285-Z02W-Z</t>
  </si>
  <si>
    <t>???? RIVET</t>
  </si>
  <si>
    <t>SEOW</t>
  </si>
  <si>
    <t>3x10.6</t>
  </si>
  <si>
    <t>3x15.5</t>
  </si>
  <si>
    <t>3x18.5</t>
  </si>
  <si>
    <t>3x28.5</t>
  </si>
  <si>
    <t>*030060-PB2W-AZ*</t>
  </si>
  <si>
    <t>*050160-T12W*</t>
  </si>
  <si>
    <t>*120300-UM1A-4AC*</t>
  </si>
  <si>
    <t>*030060-B61W-DQ*</t>
  </si>
  <si>
    <t>*040100-T51B-H*</t>
  </si>
  <si>
    <t>*040120-F62Z-5P*</t>
  </si>
  <si>
    <t>*050120-C62W*</t>
  </si>
  <si>
    <t>*080400-HM7H-4*</t>
  </si>
  <si>
    <t>040380-T62W</t>
  </si>
  <si>
    <t>*030120-P611-Q*</t>
  </si>
  <si>
    <t>*040080-T56H*</t>
  </si>
  <si>
    <t>*027060-0600-2F*</t>
  </si>
  <si>
    <t>*060200-F12W-P*</t>
  </si>
  <si>
    <t>*071245-F14W-A*</t>
  </si>
  <si>
    <t>Ph? gia tan b?t</t>
  </si>
  <si>
    <t>HD Header</t>
  </si>
  <si>
    <t>D?u tectyl form Additive</t>
  </si>
  <si>
    <t>HD Former</t>
  </si>
  <si>
    <t>Ch?ng xu?c NVL</t>
  </si>
  <si>
    <t>51,52</t>
  </si>
  <si>
    <t>HƯ MÁY</t>
  </si>
  <si>
    <t>3.3*16.0*1.0T</t>
  </si>
  <si>
    <t>040140-Y16H</t>
  </si>
  <si>
    <t>*N80130-PDEZ-S*</t>
  </si>
  <si>
    <t>*043080-056H-2F*</t>
  </si>
  <si>
    <t>ca</t>
  </si>
  <si>
    <t>TTC012</t>
  </si>
  <si>
    <t>D?u tectyl Cut 012</t>
  </si>
  <si>
    <t>*040140-T12B-H*</t>
  </si>
  <si>
    <t>*040200-T22W*</t>
  </si>
  <si>
    <t>040100-T52W</t>
  </si>
  <si>
    <t>*033085-0600-1*</t>
  </si>
  <si>
    <t>*074145-2080-3*</t>
  </si>
  <si>
    <t>*SET-001*</t>
  </si>
  <si>
    <t>602-083</t>
  </si>
  <si>
    <t>602-065</t>
  </si>
  <si>
    <t>602-055</t>
  </si>
  <si>
    <t>602-045</t>
  </si>
  <si>
    <t>602-040</t>
  </si>
  <si>
    <t>602-035</t>
  </si>
  <si>
    <t>602-016</t>
  </si>
  <si>
    <t>1A</t>
  </si>
  <si>
    <t>*040120-T62W-2*</t>
  </si>
  <si>
    <t>*030100-P51W-4*</t>
  </si>
  <si>
    <t>*040145-HM6H-MZ*</t>
  </si>
  <si>
    <t>*040180-T12B-H*</t>
  </si>
  <si>
    <t>*050250-T51W*</t>
  </si>
  <si>
    <t>*080470-FM1T-4D*</t>
  </si>
  <si>
    <t>*455120-0870-2F*</t>
  </si>
  <si>
    <t>*030060-C52B-N*</t>
  </si>
  <si>
    <t>W5</t>
  </si>
  <si>
    <t>*040140-T12W-R*</t>
  </si>
  <si>
    <t>*060200-FSEW-D*</t>
  </si>
  <si>
    <t>*040120-C54W-Z*</t>
  </si>
  <si>
    <t>*040120-K54B-DZ*</t>
  </si>
  <si>
    <t>*040080-KY4W-BZ*</t>
  </si>
  <si>
    <t>603-080</t>
  </si>
  <si>
    <t>603-079</t>
  </si>
  <si>
    <t>603-078</t>
  </si>
  <si>
    <t>603-072</t>
  </si>
  <si>
    <t>603-071</t>
  </si>
  <si>
    <t>603-070</t>
  </si>
  <si>
    <t>603-059</t>
  </si>
  <si>
    <t>603-055</t>
  </si>
  <si>
    <t>603-052</t>
  </si>
  <si>
    <t>603-050</t>
  </si>
  <si>
    <t>603-049</t>
  </si>
  <si>
    <t>603-047</t>
  </si>
  <si>
    <t>603-046</t>
  </si>
  <si>
    <t>603-044</t>
  </si>
  <si>
    <t>603-042</t>
  </si>
  <si>
    <t>603-040</t>
  </si>
  <si>
    <t>603-037</t>
  </si>
  <si>
    <t>603-031</t>
  </si>
  <si>
    <t>603-027</t>
  </si>
  <si>
    <t>603-024</t>
  </si>
  <si>
    <t>603-022</t>
  </si>
  <si>
    <t>603-021</t>
  </si>
  <si>
    <t>ĐÀO TẠO</t>
  </si>
  <si>
    <t>*030095-P12B-AD*</t>
  </si>
  <si>
    <t>*030080-J62N*</t>
  </si>
  <si>
    <t>603-097</t>
  </si>
  <si>
    <t>HẾT KẾ HOẠCH</t>
  </si>
  <si>
    <t>*040040-U52W-PN*</t>
  </si>
  <si>
    <t>040040-U52W-PN</t>
  </si>
  <si>
    <t>*040120-B66H-BZ*</t>
  </si>
  <si>
    <t>*040200-T66H*</t>
  </si>
  <si>
    <t>*050140-C62W-B*</t>
  </si>
  <si>
    <t>*050180-T22W*</t>
  </si>
  <si>
    <t>*590059-Y01W-DZ*</t>
  </si>
  <si>
    <t>604-002</t>
  </si>
  <si>
    <r>
      <t>S</t>
    </r>
    <r>
      <rPr>
        <b/>
        <sz val="13"/>
        <rFont val="맑은 고딕"/>
        <family val="2"/>
      </rPr>
      <t>Ố</t>
    </r>
    <r>
      <rPr>
        <b/>
        <sz val="13"/>
        <rFont val="Calibri"/>
        <family val="2"/>
      </rPr>
      <t xml:space="preserve"> LƯ</t>
    </r>
    <r>
      <rPr>
        <b/>
        <sz val="13"/>
        <rFont val="맑은 고딕"/>
        <family val="2"/>
      </rPr>
      <t>Ợ</t>
    </r>
    <r>
      <rPr>
        <b/>
        <sz val="13"/>
        <rFont val="Calibri"/>
        <family val="2"/>
      </rPr>
      <t>NG
THI</t>
    </r>
    <r>
      <rPr>
        <b/>
        <sz val="13"/>
        <rFont val="맑은 고딕"/>
        <family val="2"/>
      </rPr>
      <t>Ế</t>
    </r>
    <r>
      <rPr>
        <b/>
        <sz val="13"/>
        <rFont val="Calibri"/>
        <family val="2"/>
      </rPr>
      <t>U -&gt; (W24)</t>
    </r>
  </si>
  <si>
    <r>
      <t>S</t>
    </r>
    <r>
      <rPr>
        <b/>
        <sz val="13"/>
        <rFont val="맑은 고딕"/>
        <family val="2"/>
      </rPr>
      <t>Ố</t>
    </r>
    <r>
      <rPr>
        <b/>
        <sz val="13"/>
        <rFont val="Calibri"/>
        <family val="2"/>
      </rPr>
      <t xml:space="preserve"> LƯ</t>
    </r>
    <r>
      <rPr>
        <b/>
        <sz val="13"/>
        <rFont val="맑은 고딕"/>
        <family val="2"/>
      </rPr>
      <t>Ợ</t>
    </r>
    <r>
      <rPr>
        <b/>
        <sz val="13"/>
        <rFont val="Calibri"/>
        <family val="2"/>
      </rPr>
      <t>NG
THI</t>
    </r>
    <r>
      <rPr>
        <b/>
        <sz val="13"/>
        <rFont val="맑은 고딕"/>
        <family val="2"/>
      </rPr>
      <t>Ế</t>
    </r>
    <r>
      <rPr>
        <b/>
        <sz val="13"/>
        <rFont val="Calibri"/>
        <family val="2"/>
      </rPr>
      <t>U -&gt; (W26)</t>
    </r>
  </si>
  <si>
    <t>040120-P62B-Z</t>
  </si>
  <si>
    <t>B2</t>
  </si>
  <si>
    <t>604-005</t>
  </si>
  <si>
    <t>*033160-1000-2F*</t>
  </si>
  <si>
    <t>*040080-T22W-Z*</t>
  </si>
  <si>
    <t>*050120-T12W-R*</t>
  </si>
  <si>
    <t>1,5</t>
  </si>
  <si>
    <t>HƯ KẸP LIỆU</t>
  </si>
  <si>
    <t>25,50,53</t>
  </si>
  <si>
    <t>604-009</t>
  </si>
  <si>
    <t>TEST KHUÔN RL</t>
  </si>
  <si>
    <t>TEST 3.3</t>
  </si>
  <si>
    <t>15,31</t>
  </si>
  <si>
    <t>650300-F62J-SP</t>
  </si>
  <si>
    <t>SPEC TAPPING SCREW</t>
  </si>
  <si>
    <t>6.5x30</t>
  </si>
  <si>
    <t>J07</t>
  </si>
  <si>
    <t>850600-F62J-2</t>
  </si>
  <si>
    <t>8.5x60</t>
  </si>
  <si>
    <t>*030080-J52N*</t>
  </si>
  <si>
    <t>*030100-B26H*</t>
  </si>
  <si>
    <t>*030120-J52N-B*</t>
  </si>
  <si>
    <t>*040110-J12P-A*</t>
  </si>
  <si>
    <t>*040120-TS2W-RS*</t>
  </si>
  <si>
    <t>*040140-Y16H*</t>
  </si>
  <si>
    <t>TEST MẪU</t>
  </si>
  <si>
    <t>CHỜ KẸP</t>
  </si>
  <si>
    <t>26,28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</si>
</sst>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5" formatCode="_(* #,##0_);_(* \(#,##0\);_(* &quot;-&quot;??_);_(@_)"/>
    <numFmt numFmtId="166" formatCode="#,##0.0"/>
    <numFmt numFmtId="167" formatCode="0.0&quot;d (1)&quot;;;"/>
    <numFmt numFmtId="168" formatCode="0.00_);[Red]\(0.00\)"/>
    <numFmt numFmtId="169" formatCode="#,##0;;"/>
    <numFmt numFmtId="170" formatCode="0%\ &quot;(40%)&quot;"/>
    <numFmt numFmtId="171" formatCode="_-* #,##0.0_-;\-* #,##0.0_-;_-* &quot;-&quot;??_-;_-@_-"/>
    <numFmt numFmtId="174" formatCode="#,##0;\(#,##0\);&quot;-&quot;"/>
  </numFmts>
  <fonts count="8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2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VNI-Helve-Condense"/>
    </font>
    <font>
      <b/>
      <sz val="14"/>
      <name val="VNI-Helve-Condense"/>
    </font>
    <font>
      <b/>
      <sz val="13"/>
      <name val="Times New Roman"/>
      <family val="1"/>
    </font>
    <font>
      <sz val="12"/>
      <name val="VNI-Helve-Condense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VNI-Helve-Condense"/>
    </font>
    <font>
      <b/>
      <sz val="13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u/>
      <sz val="12"/>
      <name val="Times New Roman"/>
      <family val="1"/>
    </font>
    <font>
      <sz val="10"/>
      <color rgb="FFFF0000"/>
      <name val="Times New Roman"/>
      <family val="1"/>
    </font>
    <font>
      <b/>
      <sz val="12"/>
      <name val="VNI-Helve-Condense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2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1C03D5"/>
      <name val="Calibri"/>
      <family val="2"/>
      <scheme val="minor"/>
    </font>
    <font>
      <b/>
      <sz val="8"/>
      <color rgb="FF7030A0"/>
      <name val="Calibri"/>
      <family val="2"/>
      <scheme val="minor"/>
    </font>
    <font>
      <sz val="8"/>
      <name val="Calibri"/>
      <family val="2"/>
      <scheme val="minor"/>
    </font>
    <font>
      <sz val="6"/>
      <name val="Calibri"/>
      <family val="2"/>
      <scheme val="minor"/>
    </font>
    <font>
      <b/>
      <sz val="8"/>
      <color theme="1" tint="0.34998626667073579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6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u/>
      <sz val="13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3"/>
      <name val="Calibri"/>
      <family val="2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맑은 고딕"/>
      <family val="2"/>
    </font>
    <font>
      <b/>
      <sz val="15"/>
      <name val="Calibri"/>
      <family val="2"/>
    </font>
    <font>
      <b/>
      <sz val="15"/>
      <name val="맑은 고딕"/>
      <family val="2"/>
    </font>
    <font>
      <b/>
      <sz val="15"/>
      <color rgb="FFFF0000"/>
      <name val="Calibri"/>
      <family val="2"/>
    </font>
    <font>
      <sz val="15"/>
      <name val="Calibri"/>
      <family val="2"/>
    </font>
    <font>
      <sz val="15"/>
      <color theme="1"/>
      <name val="Calibri"/>
      <family val="2"/>
    </font>
    <font>
      <b/>
      <sz val="13"/>
      <name val="맑은 고딕"/>
      <family val="2"/>
    </font>
    <font>
      <b/>
      <sz val="36"/>
      <name val="Calibri"/>
      <family val="2"/>
    </font>
    <font>
      <b/>
      <sz val="36"/>
      <name val="맑은 고딕"/>
      <family val="2"/>
    </font>
    <font>
      <b/>
      <sz val="15"/>
      <color theme="1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E3EE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/>
    <xf numFmtId="0" fontId="58" fillId="0" borderId="0" applyNumberFormat="0" applyFill="0" applyBorder="0" applyAlignment="0" applyProtection="0"/>
    <xf numFmtId="0" fontId="59" fillId="0" borderId="76" applyNumberFormat="0" applyFill="0" applyAlignment="0" applyProtection="0"/>
    <xf numFmtId="0" fontId="60" fillId="0" borderId="77" applyNumberFormat="0" applyFill="0" applyAlignment="0" applyProtection="0"/>
    <xf numFmtId="0" fontId="61" fillId="0" borderId="78" applyNumberFormat="0" applyFill="0" applyAlignment="0" applyProtection="0"/>
    <xf numFmtId="0" fontId="61" fillId="0" borderId="0" applyNumberFormat="0" applyFill="0" applyBorder="0" applyAlignment="0" applyProtection="0"/>
    <xf numFmtId="0" fontId="62" fillId="18" borderId="0" applyNumberFormat="0" applyBorder="0" applyAlignment="0" applyProtection="0"/>
    <xf numFmtId="0" fontId="63" fillId="19" borderId="0" applyNumberFormat="0" applyBorder="0" applyAlignment="0" applyProtection="0"/>
    <xf numFmtId="0" fontId="64" fillId="20" borderId="0" applyNumberFormat="0" applyBorder="0" applyAlignment="0" applyProtection="0"/>
    <xf numFmtId="0" fontId="65" fillId="21" borderId="79" applyNumberFormat="0" applyAlignment="0" applyProtection="0"/>
    <xf numFmtId="0" fontId="66" fillId="22" borderId="80" applyNumberFormat="0" applyAlignment="0" applyProtection="0"/>
    <xf numFmtId="0" fontId="67" fillId="22" borderId="79" applyNumberFormat="0" applyAlignment="0" applyProtection="0"/>
    <xf numFmtId="0" fontId="68" fillId="0" borderId="81" applyNumberFormat="0" applyFill="0" applyAlignment="0" applyProtection="0"/>
    <xf numFmtId="0" fontId="69" fillId="23" borderId="82" applyNumberFormat="0" applyAlignment="0" applyProtection="0"/>
    <xf numFmtId="0" fontId="22" fillId="0" borderId="0" applyNumberFormat="0" applyFill="0" applyBorder="0" applyAlignment="0" applyProtection="0"/>
    <xf numFmtId="0" fontId="18" fillId="24" borderId="83" applyNumberFormat="0" applyFont="0" applyAlignment="0" applyProtection="0"/>
    <xf numFmtId="0" fontId="70" fillId="0" borderId="0" applyNumberFormat="0" applyFill="0" applyBorder="0" applyAlignment="0" applyProtection="0"/>
    <xf numFmtId="0" fontId="57" fillId="0" borderId="84" applyNumberFormat="0" applyFill="0" applyAlignment="0" applyProtection="0"/>
    <xf numFmtId="0" fontId="71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71" fillId="36" borderId="0" applyNumberFormat="0" applyBorder="0" applyAlignment="0" applyProtection="0"/>
    <xf numFmtId="0" fontId="71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71" fillId="40" borderId="0" applyNumberFormat="0" applyBorder="0" applyAlignment="0" applyProtection="0"/>
    <xf numFmtId="0" fontId="71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71" fillId="44" borderId="0" applyNumberFormat="0" applyBorder="0" applyAlignment="0" applyProtection="0"/>
    <xf numFmtId="0" fontId="71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71" fillId="48" borderId="0" applyNumberFormat="0" applyBorder="0" applyAlignment="0" applyProtection="0"/>
    <xf numFmtId="0" fontId="1" fillId="0" borderId="0"/>
  </cellStyleXfs>
  <cellXfs count="756">
    <xf numFmtId="0" fontId="0" fillId="0" borderId="0" xfId="0"/>
    <xf numFmtId="14" fontId="4" fillId="0" borderId="7" xfId="1" applyNumberFormat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0" fontId="7" fillId="0" borderId="0" xfId="1" applyFont="1"/>
    <xf numFmtId="0" fontId="5" fillId="0" borderId="3" xfId="1" applyFont="1" applyBorder="1" applyAlignment="1">
      <alignment horizontal="center" vertical="center"/>
    </xf>
    <xf numFmtId="14" fontId="4" fillId="0" borderId="15" xfId="1" applyNumberFormat="1" applyFont="1" applyBorder="1" applyAlignment="1">
      <alignment horizontal="center" vertical="center"/>
    </xf>
    <xf numFmtId="0" fontId="10" fillId="0" borderId="0" xfId="1" applyFont="1"/>
    <xf numFmtId="0" fontId="5" fillId="0" borderId="32" xfId="1" applyFont="1" applyBorder="1" applyAlignment="1">
      <alignment horizontal="center" vertical="center" wrapText="1"/>
    </xf>
    <xf numFmtId="0" fontId="13" fillId="0" borderId="0" xfId="1" applyFont="1"/>
    <xf numFmtId="0" fontId="5" fillId="0" borderId="2" xfId="1" applyFont="1" applyBorder="1" applyAlignment="1">
      <alignment horizontal="center" vertical="center"/>
    </xf>
    <xf numFmtId="14" fontId="9" fillId="0" borderId="22" xfId="1" applyNumberFormat="1" applyFont="1" applyBorder="1" applyAlignment="1">
      <alignment horizontal="center" vertical="center"/>
    </xf>
    <xf numFmtId="14" fontId="14" fillId="0" borderId="10" xfId="1" applyNumberFormat="1" applyFont="1" applyBorder="1" applyAlignment="1">
      <alignment horizontal="center" vertical="center"/>
    </xf>
    <xf numFmtId="14" fontId="14" fillId="0" borderId="17" xfId="1" quotePrefix="1" applyNumberFormat="1" applyFont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3" fontId="10" fillId="0" borderId="0" xfId="1" applyNumberFormat="1" applyFont="1" applyAlignment="1">
      <alignment horizontal="center" vertical="center"/>
    </xf>
    <xf numFmtId="3" fontId="5" fillId="2" borderId="9" xfId="1" applyNumberFormat="1" applyFont="1" applyFill="1" applyBorder="1" applyAlignment="1">
      <alignment horizontal="center" vertical="center"/>
    </xf>
    <xf numFmtId="3" fontId="5" fillId="2" borderId="16" xfId="1" applyNumberFormat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9" xfId="1" applyFont="1" applyFill="1" applyBorder="1"/>
    <xf numFmtId="0" fontId="5" fillId="0" borderId="36" xfId="1" applyFont="1" applyBorder="1" applyAlignment="1">
      <alignment horizontal="center" vertical="center"/>
    </xf>
    <xf numFmtId="3" fontId="5" fillId="0" borderId="36" xfId="1" applyNumberFormat="1" applyFont="1" applyBorder="1" applyAlignment="1">
      <alignment horizontal="center" vertical="center"/>
    </xf>
    <xf numFmtId="0" fontId="5" fillId="0" borderId="36" xfId="1" applyFont="1" applyBorder="1"/>
    <xf numFmtId="3" fontId="10" fillId="0" borderId="0" xfId="1" applyNumberFormat="1" applyFont="1"/>
    <xf numFmtId="3" fontId="5" fillId="3" borderId="16" xfId="1" applyNumberFormat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3" fontId="5" fillId="3" borderId="9" xfId="1" applyNumberFormat="1" applyFont="1" applyFill="1" applyBorder="1" applyAlignment="1">
      <alignment horizontal="center" vertical="center"/>
    </xf>
    <xf numFmtId="0" fontId="5" fillId="3" borderId="9" xfId="1" applyFont="1" applyFill="1" applyBorder="1"/>
    <xf numFmtId="0" fontId="5" fillId="4" borderId="9" xfId="1" applyFont="1" applyFill="1" applyBorder="1" applyAlignment="1">
      <alignment horizontal="center" vertical="center" wrapText="1"/>
    </xf>
    <xf numFmtId="0" fontId="5" fillId="4" borderId="16" xfId="1" applyFont="1" applyFill="1" applyBorder="1" applyAlignment="1">
      <alignment horizontal="center" vertical="center" wrapText="1"/>
    </xf>
    <xf numFmtId="3" fontId="5" fillId="4" borderId="9" xfId="1" applyNumberFormat="1" applyFont="1" applyFill="1" applyBorder="1" applyAlignment="1">
      <alignment horizontal="center" vertical="center" wrapText="1"/>
    </xf>
    <xf numFmtId="3" fontId="5" fillId="4" borderId="9" xfId="1" quotePrefix="1" applyNumberFormat="1" applyFont="1" applyFill="1" applyBorder="1" applyAlignment="1">
      <alignment horizontal="center" vertical="center" wrapText="1"/>
    </xf>
    <xf numFmtId="0" fontId="5" fillId="4" borderId="9" xfId="1" quotePrefix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3" fontId="4" fillId="2" borderId="9" xfId="1" applyNumberFormat="1" applyFont="1" applyFill="1" applyBorder="1" applyAlignment="1">
      <alignment horizontal="center" vertical="center" wrapText="1"/>
    </xf>
    <xf numFmtId="3" fontId="4" fillId="2" borderId="9" xfId="1" quotePrefix="1" applyNumberFormat="1" applyFont="1" applyFill="1" applyBorder="1" applyAlignment="1">
      <alignment horizontal="center" vertical="center" wrapText="1"/>
    </xf>
    <xf numFmtId="0" fontId="4" fillId="2" borderId="9" xfId="1" quotePrefix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3" fontId="4" fillId="2" borderId="9" xfId="1" applyNumberFormat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3" fontId="5" fillId="4" borderId="9" xfId="1" applyNumberFormat="1" applyFont="1" applyFill="1" applyBorder="1" applyAlignment="1">
      <alignment horizontal="center" vertical="center"/>
    </xf>
    <xf numFmtId="0" fontId="5" fillId="4" borderId="9" xfId="1" applyFont="1" applyFill="1" applyBorder="1"/>
    <xf numFmtId="3" fontId="5" fillId="4" borderId="16" xfId="1" applyNumberFormat="1" applyFont="1" applyFill="1" applyBorder="1" applyAlignment="1">
      <alignment horizontal="center" vertical="center" wrapText="1"/>
    </xf>
    <xf numFmtId="3" fontId="4" fillId="2" borderId="16" xfId="1" applyNumberFormat="1" applyFont="1" applyFill="1" applyBorder="1" applyAlignment="1">
      <alignment horizontal="center" vertical="center" wrapText="1"/>
    </xf>
    <xf numFmtId="3" fontId="5" fillId="4" borderId="16" xfId="1" applyNumberFormat="1" applyFont="1" applyFill="1" applyBorder="1" applyAlignment="1">
      <alignment horizontal="center" vertical="center"/>
    </xf>
    <xf numFmtId="3" fontId="5" fillId="0" borderId="39" xfId="1" applyNumberFormat="1" applyFont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5" borderId="9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" fontId="5" fillId="0" borderId="16" xfId="1" applyNumberFormat="1" applyFont="1" applyBorder="1" applyAlignment="1">
      <alignment horizontal="center" vertical="center"/>
    </xf>
    <xf numFmtId="3" fontId="5" fillId="0" borderId="9" xfId="1" applyNumberFormat="1" applyFont="1" applyBorder="1" applyAlignment="1">
      <alignment horizontal="center" vertical="center"/>
    </xf>
    <xf numFmtId="0" fontId="5" fillId="0" borderId="9" xfId="1" applyFont="1" applyBorder="1"/>
    <xf numFmtId="3" fontId="4" fillId="2" borderId="29" xfId="1" applyNumberFormat="1" applyFont="1" applyFill="1" applyBorder="1" applyAlignment="1">
      <alignment horizontal="center" vertical="center"/>
    </xf>
    <xf numFmtId="0" fontId="15" fillId="2" borderId="13" xfId="1" applyFont="1" applyFill="1" applyBorder="1" applyAlignment="1">
      <alignment horizontal="center" vertical="center"/>
    </xf>
    <xf numFmtId="3" fontId="4" fillId="2" borderId="13" xfId="1" applyNumberFormat="1" applyFont="1" applyFill="1" applyBorder="1" applyAlignment="1">
      <alignment horizontal="center" vertical="center"/>
    </xf>
    <xf numFmtId="3" fontId="4" fillId="5" borderId="29" xfId="1" quotePrefix="1" applyNumberFormat="1" applyFont="1" applyFill="1" applyBorder="1" applyAlignment="1">
      <alignment horizontal="center" vertical="center"/>
    </xf>
    <xf numFmtId="3" fontId="4" fillId="2" borderId="30" xfId="1" applyNumberFormat="1" applyFont="1" applyFill="1" applyBorder="1" applyAlignment="1">
      <alignment horizontal="center" vertical="center"/>
    </xf>
    <xf numFmtId="0" fontId="16" fillId="2" borderId="41" xfId="1" applyFont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 wrapText="1"/>
    </xf>
    <xf numFmtId="0" fontId="4" fillId="6" borderId="9" xfId="1" applyFont="1" applyFill="1" applyBorder="1" applyAlignment="1">
      <alignment horizontal="center" vertical="center"/>
    </xf>
    <xf numFmtId="3" fontId="5" fillId="4" borderId="29" xfId="1" applyNumberFormat="1" applyFont="1" applyFill="1" applyBorder="1" applyAlignment="1">
      <alignment horizontal="center" vertical="center"/>
    </xf>
    <xf numFmtId="0" fontId="5" fillId="4" borderId="29" xfId="1" applyFont="1" applyFill="1" applyBorder="1" applyAlignment="1">
      <alignment horizontal="center" vertical="center"/>
    </xf>
    <xf numFmtId="3" fontId="5" fillId="4" borderId="30" xfId="1" applyNumberFormat="1" applyFont="1" applyFill="1" applyBorder="1" applyAlignment="1">
      <alignment horizontal="center" vertical="center"/>
    </xf>
    <xf numFmtId="0" fontId="5" fillId="4" borderId="29" xfId="1" applyFont="1" applyFill="1" applyBorder="1"/>
    <xf numFmtId="0" fontId="5" fillId="4" borderId="10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/>
    </xf>
    <xf numFmtId="0" fontId="5" fillId="3" borderId="10" xfId="1" applyFont="1" applyFill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37" xfId="1" applyFont="1" applyBorder="1" applyAlignment="1">
      <alignment horizontal="center"/>
    </xf>
    <xf numFmtId="0" fontId="4" fillId="6" borderId="29" xfId="1" applyFont="1" applyFill="1" applyBorder="1" applyAlignment="1">
      <alignment horizontal="center" vertical="center"/>
    </xf>
    <xf numFmtId="0" fontId="4" fillId="6" borderId="36" xfId="1" applyFont="1" applyFill="1" applyBorder="1" applyAlignment="1">
      <alignment horizontal="center" vertical="center"/>
    </xf>
    <xf numFmtId="0" fontId="5" fillId="0" borderId="42" xfId="1" applyFont="1" applyBorder="1" applyAlignment="1">
      <alignment horizontal="center" vertical="center" wrapText="1"/>
    </xf>
    <xf numFmtId="0" fontId="4" fillId="5" borderId="15" xfId="1" applyFont="1" applyFill="1" applyBorder="1" applyAlignment="1">
      <alignment horizontal="center" vertical="center" wrapText="1"/>
    </xf>
    <xf numFmtId="0" fontId="4" fillId="6" borderId="15" xfId="1" applyFont="1" applyFill="1" applyBorder="1" applyAlignment="1">
      <alignment horizontal="center" vertical="center"/>
    </xf>
    <xf numFmtId="3" fontId="4" fillId="2" borderId="9" xfId="1" quotePrefix="1" applyNumberFormat="1" applyFont="1" applyFill="1" applyBorder="1" applyAlignment="1">
      <alignment horizontal="center" vertical="center"/>
    </xf>
    <xf numFmtId="3" fontId="4" fillId="2" borderId="16" xfId="1" quotePrefix="1" applyNumberFormat="1" applyFont="1" applyFill="1" applyBorder="1" applyAlignment="1">
      <alignment horizontal="center" vertical="center"/>
    </xf>
    <xf numFmtId="3" fontId="4" fillId="7" borderId="29" xfId="1" applyNumberFormat="1" applyFont="1" applyFill="1" applyBorder="1" applyAlignment="1">
      <alignment horizontal="center" vertical="center"/>
    </xf>
    <xf numFmtId="3" fontId="4" fillId="7" borderId="30" xfId="1" applyNumberFormat="1" applyFont="1" applyFill="1" applyBorder="1" applyAlignment="1">
      <alignment horizontal="center" vertical="center"/>
    </xf>
    <xf numFmtId="0" fontId="15" fillId="7" borderId="13" xfId="1" applyFont="1" applyFill="1" applyBorder="1" applyAlignment="1">
      <alignment horizontal="center" vertical="center"/>
    </xf>
    <xf numFmtId="3" fontId="4" fillId="7" borderId="13" xfId="1" applyNumberFormat="1" applyFont="1" applyFill="1" applyBorder="1" applyAlignment="1">
      <alignment horizontal="center" vertical="center"/>
    </xf>
    <xf numFmtId="3" fontId="4" fillId="7" borderId="40" xfId="1" quotePrefix="1" applyNumberFormat="1" applyFont="1" applyFill="1" applyBorder="1" applyAlignment="1">
      <alignment horizontal="center" vertical="center"/>
    </xf>
    <xf numFmtId="3" fontId="4" fillId="7" borderId="30" xfId="1" quotePrefix="1" applyNumberFormat="1" applyFont="1" applyFill="1" applyBorder="1" applyAlignment="1">
      <alignment horizontal="center" vertical="center"/>
    </xf>
    <xf numFmtId="0" fontId="16" fillId="7" borderId="41" xfId="1" applyFont="1" applyFill="1" applyBorder="1" applyAlignment="1">
      <alignment horizontal="center" vertical="center" wrapText="1"/>
    </xf>
    <xf numFmtId="3" fontId="5" fillId="2" borderId="29" xfId="1" applyNumberFormat="1" applyFont="1" applyFill="1" applyBorder="1" applyAlignment="1">
      <alignment horizontal="center" vertical="center"/>
    </xf>
    <xf numFmtId="3" fontId="11" fillId="2" borderId="30" xfId="1" applyNumberFormat="1" applyFont="1" applyFill="1" applyBorder="1" applyAlignment="1">
      <alignment horizontal="center" vertical="center"/>
    </xf>
    <xf numFmtId="3" fontId="11" fillId="2" borderId="13" xfId="1" applyNumberFormat="1" applyFont="1" applyFill="1" applyBorder="1" applyAlignment="1">
      <alignment horizontal="center" vertical="center"/>
    </xf>
    <xf numFmtId="3" fontId="5" fillId="2" borderId="13" xfId="1" applyNumberFormat="1" applyFont="1" applyFill="1" applyBorder="1" applyAlignment="1">
      <alignment horizontal="center" vertical="center"/>
    </xf>
    <xf numFmtId="3" fontId="5" fillId="2" borderId="29" xfId="1" quotePrefix="1" applyNumberFormat="1" applyFont="1" applyFill="1" applyBorder="1" applyAlignment="1">
      <alignment horizontal="center" vertical="center"/>
    </xf>
    <xf numFmtId="3" fontId="5" fillId="2" borderId="30" xfId="1" quotePrefix="1" applyNumberFormat="1" applyFont="1" applyFill="1" applyBorder="1" applyAlignment="1">
      <alignment horizontal="center" vertical="center"/>
    </xf>
    <xf numFmtId="0" fontId="12" fillId="2" borderId="41" xfId="1" applyFont="1" applyFill="1" applyBorder="1" applyAlignment="1">
      <alignment horizontal="center" vertical="center" wrapText="1"/>
    </xf>
    <xf numFmtId="0" fontId="5" fillId="4" borderId="15" xfId="1" applyFont="1" applyFill="1" applyBorder="1" applyAlignment="1">
      <alignment horizontal="center" vertical="center" wrapText="1"/>
    </xf>
    <xf numFmtId="3" fontId="5" fillId="4" borderId="14" xfId="1" applyNumberFormat="1" applyFont="1" applyFill="1" applyBorder="1" applyAlignment="1">
      <alignment horizontal="center" vertical="center" wrapText="1"/>
    </xf>
    <xf numFmtId="3" fontId="5" fillId="4" borderId="15" xfId="1" applyNumberFormat="1" applyFont="1" applyFill="1" applyBorder="1" applyAlignment="1">
      <alignment horizontal="center" vertical="center" wrapText="1"/>
    </xf>
    <xf numFmtId="3" fontId="5" fillId="4" borderId="15" xfId="1" quotePrefix="1" applyNumberFormat="1" applyFont="1" applyFill="1" applyBorder="1" applyAlignment="1">
      <alignment horizontal="center" vertical="center" wrapText="1"/>
    </xf>
    <xf numFmtId="0" fontId="5" fillId="4" borderId="15" xfId="1" quotePrefix="1" applyFont="1" applyFill="1" applyBorder="1" applyAlignment="1">
      <alignment horizontal="center" vertical="center" wrapText="1"/>
    </xf>
    <xf numFmtId="0" fontId="5" fillId="7" borderId="9" xfId="1" applyFont="1" applyFill="1" applyBorder="1" applyAlignment="1">
      <alignment horizontal="center" vertical="center" wrapText="1"/>
    </xf>
    <xf numFmtId="0" fontId="5" fillId="7" borderId="16" xfId="1" applyFont="1" applyFill="1" applyBorder="1" applyAlignment="1">
      <alignment horizontal="center" vertical="center" wrapText="1"/>
    </xf>
    <xf numFmtId="0" fontId="5" fillId="7" borderId="34" xfId="1" applyFont="1" applyFill="1" applyBorder="1" applyAlignment="1">
      <alignment horizontal="center" vertical="center" wrapText="1"/>
    </xf>
    <xf numFmtId="3" fontId="5" fillId="7" borderId="34" xfId="1" applyNumberFormat="1" applyFont="1" applyFill="1" applyBorder="1" applyAlignment="1">
      <alignment horizontal="center" vertical="center" wrapText="1"/>
    </xf>
    <xf numFmtId="3" fontId="5" fillId="7" borderId="9" xfId="1" applyNumberFormat="1" applyFont="1" applyFill="1" applyBorder="1" applyAlignment="1">
      <alignment horizontal="center" vertical="center" wrapText="1"/>
    </xf>
    <xf numFmtId="3" fontId="5" fillId="7" borderId="9" xfId="1" quotePrefix="1" applyNumberFormat="1" applyFont="1" applyFill="1" applyBorder="1" applyAlignment="1">
      <alignment horizontal="center" vertical="center" wrapText="1"/>
    </xf>
    <xf numFmtId="0" fontId="5" fillId="7" borderId="16" xfId="1" quotePrefix="1" applyFont="1" applyFill="1" applyBorder="1" applyAlignment="1">
      <alignment horizontal="center" vertical="center" wrapText="1"/>
    </xf>
    <xf numFmtId="0" fontId="5" fillId="7" borderId="33" xfId="1" applyFont="1" applyFill="1" applyBorder="1" applyAlignment="1">
      <alignment horizontal="center" vertical="center" wrapText="1"/>
    </xf>
    <xf numFmtId="3" fontId="4" fillId="4" borderId="9" xfId="1" applyNumberFormat="1" applyFont="1" applyFill="1" applyBorder="1" applyAlignment="1">
      <alignment horizontal="center" vertical="center"/>
    </xf>
    <xf numFmtId="0" fontId="4" fillId="4" borderId="9" xfId="1" applyFont="1" applyFill="1" applyBorder="1"/>
    <xf numFmtId="0" fontId="5" fillId="8" borderId="9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3" fontId="5" fillId="8" borderId="16" xfId="1" applyNumberFormat="1" applyFont="1" applyFill="1" applyBorder="1" applyAlignment="1">
      <alignment horizontal="center" vertical="center"/>
    </xf>
    <xf numFmtId="3" fontId="5" fillId="8" borderId="9" xfId="1" applyNumberFormat="1" applyFont="1" applyFill="1" applyBorder="1" applyAlignment="1">
      <alignment horizontal="center" vertical="center"/>
    </xf>
    <xf numFmtId="0" fontId="5" fillId="8" borderId="9" xfId="1" applyFont="1" applyFill="1" applyBorder="1"/>
    <xf numFmtId="0" fontId="5" fillId="8" borderId="10" xfId="1" applyFont="1" applyFill="1" applyBorder="1" applyAlignment="1">
      <alignment horizontal="center"/>
    </xf>
    <xf numFmtId="3" fontId="5" fillId="4" borderId="36" xfId="1" applyNumberFormat="1" applyFont="1" applyFill="1" applyBorder="1" applyAlignment="1">
      <alignment horizontal="center" vertical="center"/>
    </xf>
    <xf numFmtId="165" fontId="10" fillId="0" borderId="0" xfId="1" applyNumberFormat="1" applyFont="1"/>
    <xf numFmtId="0" fontId="5" fillId="2" borderId="29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3" fontId="5" fillId="2" borderId="13" xfId="1" applyNumberFormat="1" applyFont="1" applyFill="1" applyBorder="1" applyAlignment="1">
      <alignment horizontal="center" vertical="center" wrapText="1"/>
    </xf>
    <xf numFmtId="3" fontId="5" fillId="2" borderId="29" xfId="1" applyNumberFormat="1" applyFont="1" applyFill="1" applyBorder="1" applyAlignment="1">
      <alignment horizontal="center" vertical="center" wrapText="1"/>
    </xf>
    <xf numFmtId="0" fontId="5" fillId="2" borderId="30" xfId="1" quotePrefix="1" applyFont="1" applyFill="1" applyBorder="1" applyAlignment="1">
      <alignment horizontal="center" vertical="center" wrapText="1"/>
    </xf>
    <xf numFmtId="0" fontId="5" fillId="4" borderId="15" xfId="1" applyFont="1" applyFill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3" fontId="5" fillId="4" borderId="14" xfId="1" applyNumberFormat="1" applyFont="1" applyFill="1" applyBorder="1" applyAlignment="1">
      <alignment horizontal="center" vertical="center"/>
    </xf>
    <xf numFmtId="3" fontId="5" fillId="4" borderId="15" xfId="1" applyNumberFormat="1" applyFont="1" applyFill="1" applyBorder="1" applyAlignment="1">
      <alignment horizontal="center" vertical="center"/>
    </xf>
    <xf numFmtId="0" fontId="11" fillId="4" borderId="13" xfId="1" applyFont="1" applyFill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5" fillId="4" borderId="29" xfId="1" applyFont="1" applyFill="1" applyBorder="1" applyAlignment="1">
      <alignment horizontal="center" vertical="center" wrapText="1"/>
    </xf>
    <xf numFmtId="4" fontId="5" fillId="2" borderId="29" xfId="1" applyNumberFormat="1" applyFont="1" applyFill="1" applyBorder="1" applyAlignment="1">
      <alignment horizontal="center" vertical="center"/>
    </xf>
    <xf numFmtId="4" fontId="5" fillId="4" borderId="29" xfId="1" applyNumberFormat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4" fontId="5" fillId="4" borderId="15" xfId="1" applyNumberFormat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center" vertical="center" wrapText="1"/>
    </xf>
    <xf numFmtId="3" fontId="5" fillId="4" borderId="13" xfId="1" applyNumberFormat="1" applyFont="1" applyFill="1" applyBorder="1" applyAlignment="1">
      <alignment horizontal="center" vertical="center" wrapText="1"/>
    </xf>
    <xf numFmtId="3" fontId="5" fillId="4" borderId="29" xfId="1" applyNumberFormat="1" applyFont="1" applyFill="1" applyBorder="1" applyAlignment="1">
      <alignment horizontal="center" vertical="center" wrapText="1"/>
    </xf>
    <xf numFmtId="0" fontId="5" fillId="4" borderId="30" xfId="1" quotePrefix="1" applyFont="1" applyFill="1" applyBorder="1" applyAlignment="1">
      <alignment horizontal="center" vertical="center" wrapText="1"/>
    </xf>
    <xf numFmtId="0" fontId="5" fillId="4" borderId="41" xfId="1" applyFont="1" applyFill="1" applyBorder="1" applyAlignment="1">
      <alignment horizontal="center" vertical="center" wrapText="1"/>
    </xf>
    <xf numFmtId="0" fontId="5" fillId="2" borderId="41" xfId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4" borderId="17" xfId="1" applyFont="1" applyFill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3" fontId="5" fillId="2" borderId="30" xfId="1" applyNumberFormat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17" fillId="2" borderId="15" xfId="1" applyFont="1" applyFill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2" borderId="14" xfId="1" applyNumberFormat="1" applyFont="1" applyFill="1" applyBorder="1" applyAlignment="1">
      <alignment horizontal="center" vertical="center"/>
    </xf>
    <xf numFmtId="3" fontId="5" fillId="2" borderId="15" xfId="1" applyNumberFormat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3" fontId="5" fillId="4" borderId="13" xfId="1" applyNumberFormat="1" applyFont="1" applyFill="1" applyBorder="1" applyAlignment="1">
      <alignment horizontal="center" vertical="center"/>
    </xf>
    <xf numFmtId="3" fontId="5" fillId="4" borderId="30" xfId="1" quotePrefix="1" applyNumberFormat="1" applyFont="1" applyFill="1" applyBorder="1" applyAlignment="1">
      <alignment horizontal="center" vertical="center"/>
    </xf>
    <xf numFmtId="0" fontId="20" fillId="4" borderId="41" xfId="1" applyFont="1" applyFill="1" applyBorder="1" applyAlignment="1">
      <alignment horizontal="center" vertical="center" wrapText="1"/>
    </xf>
    <xf numFmtId="0" fontId="5" fillId="4" borderId="30" xfId="1" applyFont="1" applyFill="1" applyBorder="1" applyAlignment="1">
      <alignment horizontal="center" vertical="center"/>
    </xf>
    <xf numFmtId="0" fontId="5" fillId="2" borderId="41" xfId="1" applyFont="1" applyFill="1" applyBorder="1" applyAlignment="1">
      <alignment horizontal="center" vertical="center"/>
    </xf>
    <xf numFmtId="3" fontId="12" fillId="2" borderId="9" xfId="1" applyNumberFormat="1" applyFont="1" applyFill="1" applyBorder="1" applyAlignment="1">
      <alignment horizontal="center" vertical="center"/>
    </xf>
    <xf numFmtId="0" fontId="5" fillId="4" borderId="41" xfId="1" applyFont="1" applyFill="1" applyBorder="1" applyAlignment="1">
      <alignment horizontal="center" vertical="center"/>
    </xf>
    <xf numFmtId="3" fontId="12" fillId="2" borderId="30" xfId="1" applyNumberFormat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4" fontId="4" fillId="2" borderId="15" xfId="1" applyNumberFormat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3" fontId="12" fillId="4" borderId="30" xfId="1" applyNumberFormat="1" applyFont="1" applyFill="1" applyBorder="1" applyAlignment="1">
      <alignment horizontal="center" vertical="center"/>
    </xf>
    <xf numFmtId="3" fontId="12" fillId="2" borderId="13" xfId="1" applyNumberFormat="1" applyFont="1" applyFill="1" applyBorder="1" applyAlignment="1">
      <alignment horizontal="center" vertical="center" wrapText="1"/>
    </xf>
    <xf numFmtId="3" fontId="12" fillId="2" borderId="29" xfId="1" applyNumberFormat="1" applyFont="1" applyFill="1" applyBorder="1" applyAlignment="1">
      <alignment horizontal="center" vertical="center" wrapText="1"/>
    </xf>
    <xf numFmtId="0" fontId="12" fillId="2" borderId="30" xfId="1" quotePrefix="1" applyFont="1" applyFill="1" applyBorder="1" applyAlignment="1">
      <alignment horizontal="center" vertical="center" wrapText="1"/>
    </xf>
    <xf numFmtId="3" fontId="5" fillId="2" borderId="46" xfId="1" applyNumberFormat="1" applyFont="1" applyFill="1" applyBorder="1" applyAlignment="1">
      <alignment horizontal="center" vertical="center" wrapText="1"/>
    </xf>
    <xf numFmtId="3" fontId="5" fillId="2" borderId="30" xfId="1" quotePrefix="1" applyNumberFormat="1" applyFont="1" applyFill="1" applyBorder="1" applyAlignment="1">
      <alignment horizontal="center" vertical="center" wrapText="1"/>
    </xf>
    <xf numFmtId="3" fontId="12" fillId="2" borderId="30" xfId="1" quotePrefix="1" applyNumberFormat="1" applyFont="1" applyFill="1" applyBorder="1" applyAlignment="1">
      <alignment horizontal="center" vertical="center" wrapText="1"/>
    </xf>
    <xf numFmtId="3" fontId="5" fillId="4" borderId="30" xfId="1" quotePrefix="1" applyNumberFormat="1" applyFont="1" applyFill="1" applyBorder="1" applyAlignment="1">
      <alignment horizontal="center" vertical="center" wrapText="1"/>
    </xf>
    <xf numFmtId="3" fontId="5" fillId="2" borderId="14" xfId="1" quotePrefix="1" applyNumberFormat="1" applyFont="1" applyFill="1" applyBorder="1" applyAlignment="1">
      <alignment horizontal="center" vertical="center"/>
    </xf>
    <xf numFmtId="3" fontId="12" fillId="2" borderId="14" xfId="1" applyNumberFormat="1" applyFont="1" applyFill="1" applyBorder="1" applyAlignment="1">
      <alignment horizontal="center" vertical="center"/>
    </xf>
    <xf numFmtId="3" fontId="5" fillId="2" borderId="47" xfId="1" applyNumberFormat="1" applyFont="1" applyFill="1" applyBorder="1" applyAlignment="1">
      <alignment horizontal="center" vertical="center" wrapText="1"/>
    </xf>
    <xf numFmtId="3" fontId="10" fillId="0" borderId="49" xfId="1" applyNumberFormat="1" applyFont="1" applyBorder="1" applyAlignment="1">
      <alignment horizontal="center" vertical="center"/>
    </xf>
    <xf numFmtId="0" fontId="10" fillId="0" borderId="49" xfId="1" applyFont="1" applyBorder="1"/>
    <xf numFmtId="3" fontId="10" fillId="0" borderId="50" xfId="1" applyNumberFormat="1" applyFont="1" applyBorder="1" applyAlignment="1">
      <alignment horizontal="center" vertical="center"/>
    </xf>
    <xf numFmtId="0" fontId="10" fillId="0" borderId="50" xfId="1" applyFont="1" applyBorder="1"/>
    <xf numFmtId="0" fontId="10" fillId="0" borderId="51" xfId="1" applyFont="1" applyBorder="1"/>
    <xf numFmtId="3" fontId="5" fillId="4" borderId="46" xfId="1" applyNumberFormat="1" applyFont="1" applyFill="1" applyBorder="1" applyAlignment="1">
      <alignment horizontal="center" vertical="center" wrapText="1"/>
    </xf>
    <xf numFmtId="3" fontId="5" fillId="4" borderId="47" xfId="1" applyNumberFormat="1" applyFont="1" applyFill="1" applyBorder="1" applyAlignment="1">
      <alignment horizontal="center" vertical="center" wrapText="1"/>
    </xf>
    <xf numFmtId="3" fontId="10" fillId="0" borderId="3" xfId="1" applyNumberFormat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165" fontId="25" fillId="0" borderId="0" xfId="2" applyNumberFormat="1" applyFont="1" applyFill="1" applyAlignment="1">
      <alignment horizontal="center"/>
    </xf>
    <xf numFmtId="165" fontId="25" fillId="0" borderId="0" xfId="1" applyNumberFormat="1" applyFont="1" applyAlignment="1">
      <alignment horizontal="center"/>
    </xf>
    <xf numFmtId="165" fontId="29" fillId="0" borderId="0" xfId="2" applyNumberFormat="1" applyFont="1" applyFill="1" applyAlignment="1">
      <alignment horizontal="center"/>
    </xf>
    <xf numFmtId="0" fontId="29" fillId="0" borderId="0" xfId="1" applyFont="1" applyAlignment="1">
      <alignment horizontal="center"/>
    </xf>
    <xf numFmtId="165" fontId="25" fillId="0" borderId="0" xfId="2" applyNumberFormat="1" applyFont="1" applyAlignment="1">
      <alignment horizontal="center"/>
    </xf>
    <xf numFmtId="0" fontId="25" fillId="0" borderId="0" xfId="1" applyFont="1" applyAlignment="1">
      <alignment horizontal="center" vertical="center"/>
    </xf>
    <xf numFmtId="3" fontId="25" fillId="0" borderId="0" xfId="1" applyNumberFormat="1" applyFont="1" applyAlignment="1">
      <alignment horizontal="center" vertical="center"/>
    </xf>
    <xf numFmtId="0" fontId="27" fillId="0" borderId="9" xfId="1" quotePrefix="1" applyFont="1" applyBorder="1" applyAlignment="1">
      <alignment horizontal="center" vertical="center" wrapText="1"/>
    </xf>
    <xf numFmtId="0" fontId="25" fillId="0" borderId="9" xfId="1" applyFont="1" applyBorder="1" applyAlignment="1">
      <alignment horizontal="center" vertical="center" wrapText="1"/>
    </xf>
    <xf numFmtId="3" fontId="25" fillId="0" borderId="9" xfId="1" applyNumberFormat="1" applyFont="1" applyBorder="1" applyAlignment="1">
      <alignment horizontal="center" vertical="center" wrapText="1"/>
    </xf>
    <xf numFmtId="3" fontId="27" fillId="0" borderId="9" xfId="1" quotePrefix="1" applyNumberFormat="1" applyFont="1" applyBorder="1" applyAlignment="1">
      <alignment horizontal="center" vertical="center"/>
    </xf>
    <xf numFmtId="3" fontId="25" fillId="0" borderId="9" xfId="1" applyNumberFormat="1" applyFont="1" applyBorder="1" applyAlignment="1">
      <alignment horizontal="center" vertical="center"/>
    </xf>
    <xf numFmtId="0" fontId="25" fillId="0" borderId="9" xfId="1" applyFont="1" applyBorder="1" applyAlignment="1">
      <alignment horizontal="center" vertical="center"/>
    </xf>
    <xf numFmtId="0" fontId="27" fillId="0" borderId="9" xfId="1" quotePrefix="1" applyFont="1" applyBorder="1" applyAlignment="1">
      <alignment horizontal="center" vertical="center"/>
    </xf>
    <xf numFmtId="0" fontId="27" fillId="0" borderId="9" xfId="1" applyFont="1" applyBorder="1" applyAlignment="1">
      <alignment horizontal="center" vertical="center"/>
    </xf>
    <xf numFmtId="3" fontId="27" fillId="0" borderId="9" xfId="1" applyNumberFormat="1" applyFont="1" applyBorder="1" applyAlignment="1">
      <alignment horizontal="center" vertical="center"/>
    </xf>
    <xf numFmtId="0" fontId="30" fillId="0" borderId="9" xfId="1" applyFont="1" applyBorder="1" applyAlignment="1">
      <alignment horizontal="center" vertical="center"/>
    </xf>
    <xf numFmtId="0" fontId="27" fillId="0" borderId="9" xfId="1" applyFont="1" applyBorder="1" applyAlignment="1">
      <alignment horizontal="center" vertical="center" wrapText="1"/>
    </xf>
    <xf numFmtId="0" fontId="25" fillId="0" borderId="9" xfId="1" applyFont="1" applyBorder="1" applyAlignment="1">
      <alignment horizontal="center"/>
    </xf>
    <xf numFmtId="0" fontId="23" fillId="0" borderId="9" xfId="1" applyFont="1" applyBorder="1" applyAlignment="1">
      <alignment horizontal="center" vertical="center" wrapText="1"/>
    </xf>
    <xf numFmtId="0" fontId="26" fillId="0" borderId="9" xfId="1" applyFont="1" applyBorder="1" applyAlignment="1">
      <alignment horizontal="center" vertical="center" wrapText="1"/>
    </xf>
    <xf numFmtId="166" fontId="25" fillId="0" borderId="9" xfId="1" applyNumberFormat="1" applyFont="1" applyBorder="1" applyAlignment="1">
      <alignment horizontal="center" vertical="center" wrapText="1"/>
    </xf>
    <xf numFmtId="166" fontId="25" fillId="0" borderId="9" xfId="1" applyNumberFormat="1" applyFont="1" applyBorder="1" applyAlignment="1">
      <alignment horizontal="center" vertical="center"/>
    </xf>
    <xf numFmtId="0" fontId="18" fillId="0" borderId="12" xfId="0" applyFont="1" applyBorder="1" applyAlignment="1">
      <alignment vertical="center"/>
    </xf>
    <xf numFmtId="0" fontId="18" fillId="9" borderId="12" xfId="0" applyFont="1" applyFill="1" applyBorder="1" applyAlignment="1">
      <alignment vertical="center"/>
    </xf>
    <xf numFmtId="0" fontId="32" fillId="0" borderId="49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6" fillId="0" borderId="58" xfId="0" applyFont="1" applyBorder="1" applyAlignment="1">
      <alignment horizontal="center" vertical="center" wrapText="1"/>
    </xf>
    <xf numFmtId="0" fontId="36" fillId="0" borderId="59" xfId="0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textRotation="90" wrapText="1"/>
    </xf>
    <xf numFmtId="0" fontId="39" fillId="0" borderId="39" xfId="0" applyFont="1" applyBorder="1" applyAlignment="1">
      <alignment horizontal="center" vertical="center" textRotation="90" wrapText="1"/>
    </xf>
    <xf numFmtId="167" fontId="38" fillId="0" borderId="60" xfId="3" applyNumberFormat="1" applyFont="1" applyFill="1" applyBorder="1" applyAlignment="1">
      <alignment horizontal="center" vertical="center"/>
    </xf>
    <xf numFmtId="167" fontId="38" fillId="0" borderId="61" xfId="3" applyNumberFormat="1" applyFont="1" applyFill="1" applyBorder="1" applyAlignment="1">
      <alignment horizontal="center" vertical="center"/>
    </xf>
    <xf numFmtId="167" fontId="38" fillId="0" borderId="62" xfId="3" applyNumberFormat="1" applyFont="1" applyFill="1" applyBorder="1" applyAlignment="1">
      <alignment horizontal="center" vertical="center"/>
    </xf>
    <xf numFmtId="167" fontId="40" fillId="0" borderId="60" xfId="3" applyNumberFormat="1" applyFont="1" applyFill="1" applyBorder="1" applyAlignment="1">
      <alignment horizontal="center" vertical="center"/>
    </xf>
    <xf numFmtId="167" fontId="38" fillId="0" borderId="63" xfId="3" applyNumberFormat="1" applyFont="1" applyFill="1" applyBorder="1" applyAlignment="1">
      <alignment horizontal="center" vertical="center"/>
    </xf>
    <xf numFmtId="0" fontId="41" fillId="0" borderId="63" xfId="0" applyFont="1" applyBorder="1" applyAlignment="1">
      <alignment horizontal="center" vertical="center"/>
    </xf>
    <xf numFmtId="3" fontId="38" fillId="0" borderId="64" xfId="4" applyNumberFormat="1" applyFont="1" applyFill="1" applyBorder="1" applyAlignment="1">
      <alignment horizontal="center" vertical="center"/>
    </xf>
    <xf numFmtId="0" fontId="41" fillId="0" borderId="64" xfId="0" applyFont="1" applyBorder="1" applyAlignment="1">
      <alignment horizontal="center" vertical="center"/>
    </xf>
    <xf numFmtId="0" fontId="41" fillId="0" borderId="60" xfId="0" applyFont="1" applyBorder="1" applyAlignment="1">
      <alignment horizontal="center" vertical="center"/>
    </xf>
    <xf numFmtId="3" fontId="41" fillId="0" borderId="63" xfId="0" applyNumberFormat="1" applyFont="1" applyBorder="1" applyAlignment="1">
      <alignment horizontal="center" vertical="center"/>
    </xf>
    <xf numFmtId="3" fontId="42" fillId="0" borderId="63" xfId="0" applyNumberFormat="1" applyFont="1" applyBorder="1" applyAlignment="1">
      <alignment horizontal="center" vertical="center"/>
    </xf>
    <xf numFmtId="0" fontId="41" fillId="0" borderId="63" xfId="0" quotePrefix="1" applyFont="1" applyBorder="1" applyAlignment="1">
      <alignment horizontal="center" vertical="center"/>
    </xf>
    <xf numFmtId="168" fontId="41" fillId="0" borderId="63" xfId="0" applyNumberFormat="1" applyFont="1" applyBorder="1" applyAlignment="1">
      <alignment horizontal="center" vertical="center"/>
    </xf>
    <xf numFmtId="9" fontId="38" fillId="0" borderId="63" xfId="3" applyFont="1" applyFill="1" applyBorder="1" applyAlignment="1">
      <alignment horizontal="center" vertical="center"/>
    </xf>
    <xf numFmtId="165" fontId="41" fillId="0" borderId="65" xfId="2" applyNumberFormat="1" applyFont="1" applyFill="1" applyBorder="1" applyAlignment="1">
      <alignment horizontal="center" vertical="center"/>
    </xf>
    <xf numFmtId="3" fontId="41" fillId="0" borderId="65" xfId="4" applyNumberFormat="1" applyFont="1" applyFill="1" applyBorder="1" applyAlignment="1">
      <alignment horizontal="center" vertical="center"/>
    </xf>
    <xf numFmtId="3" fontId="41" fillId="0" borderId="64" xfId="4" applyNumberFormat="1" applyFont="1" applyFill="1" applyBorder="1" applyAlignment="1">
      <alignment horizontal="center" vertical="center"/>
    </xf>
    <xf numFmtId="169" fontId="36" fillId="0" borderId="63" xfId="0" applyNumberFormat="1" applyFont="1" applyBorder="1" applyAlignment="1">
      <alignment horizontal="center" vertical="center"/>
    </xf>
    <xf numFmtId="169" fontId="41" fillId="0" borderId="63" xfId="0" applyNumberFormat="1" applyFont="1" applyBorder="1" applyAlignment="1">
      <alignment horizontal="center" vertical="center"/>
    </xf>
    <xf numFmtId="0" fontId="41" fillId="0" borderId="66" xfId="0" applyFont="1" applyBorder="1" applyAlignment="1">
      <alignment horizontal="center" vertical="center"/>
    </xf>
    <xf numFmtId="3" fontId="38" fillId="0" borderId="67" xfId="4" applyNumberFormat="1" applyFont="1" applyFill="1" applyBorder="1" applyAlignment="1">
      <alignment horizontal="center" vertical="center"/>
    </xf>
    <xf numFmtId="0" fontId="41" fillId="0" borderId="67" xfId="0" applyFont="1" applyBorder="1" applyAlignment="1">
      <alignment horizontal="center" vertical="center"/>
    </xf>
    <xf numFmtId="0" fontId="41" fillId="0" borderId="68" xfId="0" applyFont="1" applyBorder="1" applyAlignment="1">
      <alignment horizontal="center" vertical="center"/>
    </xf>
    <xf numFmtId="3" fontId="41" fillId="0" borderId="66" xfId="0" applyNumberFormat="1" applyFont="1" applyBorder="1" applyAlignment="1">
      <alignment horizontal="center" vertical="center"/>
    </xf>
    <xf numFmtId="3" fontId="42" fillId="0" borderId="66" xfId="0" applyNumberFormat="1" applyFont="1" applyBorder="1" applyAlignment="1">
      <alignment horizontal="center" vertical="center"/>
    </xf>
    <xf numFmtId="0" fontId="41" fillId="0" borderId="66" xfId="0" quotePrefix="1" applyFont="1" applyBorder="1" applyAlignment="1">
      <alignment horizontal="center" vertical="center"/>
    </xf>
    <xf numFmtId="168" fontId="41" fillId="0" borderId="66" xfId="0" applyNumberFormat="1" applyFont="1" applyBorder="1" applyAlignment="1">
      <alignment horizontal="center" vertical="center"/>
    </xf>
    <xf numFmtId="9" fontId="38" fillId="0" borderId="66" xfId="3" applyFont="1" applyFill="1" applyBorder="1" applyAlignment="1">
      <alignment horizontal="center" vertical="center"/>
    </xf>
    <xf numFmtId="165" fontId="41" fillId="0" borderId="66" xfId="2" applyNumberFormat="1" applyFont="1" applyFill="1" applyBorder="1" applyAlignment="1">
      <alignment horizontal="center" vertical="center"/>
    </xf>
    <xf numFmtId="3" fontId="41" fillId="0" borderId="66" xfId="4" applyNumberFormat="1" applyFont="1" applyFill="1" applyBorder="1" applyAlignment="1">
      <alignment horizontal="center" vertical="center"/>
    </xf>
    <xf numFmtId="3" fontId="41" fillId="0" borderId="67" xfId="4" applyNumberFormat="1" applyFont="1" applyFill="1" applyBorder="1" applyAlignment="1">
      <alignment horizontal="center" vertical="center"/>
    </xf>
    <xf numFmtId="169" fontId="36" fillId="0" borderId="66" xfId="0" applyNumberFormat="1" applyFont="1" applyBorder="1" applyAlignment="1">
      <alignment horizontal="center" vertical="center"/>
    </xf>
    <xf numFmtId="169" fontId="41" fillId="0" borderId="66" xfId="0" applyNumberFormat="1" applyFont="1" applyBorder="1" applyAlignment="1">
      <alignment horizontal="center" vertical="center"/>
    </xf>
    <xf numFmtId="3" fontId="38" fillId="0" borderId="61" xfId="4" applyNumberFormat="1" applyFont="1" applyFill="1" applyBorder="1" applyAlignment="1">
      <alignment horizontal="center" vertical="center"/>
    </xf>
    <xf numFmtId="0" fontId="41" fillId="0" borderId="62" xfId="0" applyFont="1" applyBorder="1" applyAlignment="1">
      <alignment horizontal="center" vertical="center"/>
    </xf>
    <xf numFmtId="165" fontId="41" fillId="0" borderId="63" xfId="2" applyNumberFormat="1" applyFont="1" applyFill="1" applyBorder="1" applyAlignment="1">
      <alignment horizontal="center" vertical="center"/>
    </xf>
    <xf numFmtId="3" fontId="41" fillId="0" borderId="63" xfId="4" applyNumberFormat="1" applyFont="1" applyFill="1" applyBorder="1" applyAlignment="1">
      <alignment horizontal="center" vertical="center"/>
    </xf>
    <xf numFmtId="3" fontId="41" fillId="0" borderId="61" xfId="4" applyNumberFormat="1" applyFont="1" applyFill="1" applyBorder="1" applyAlignment="1">
      <alignment horizontal="center" vertical="center"/>
    </xf>
    <xf numFmtId="169" fontId="36" fillId="0" borderId="62" xfId="0" applyNumberFormat="1" applyFont="1" applyBorder="1" applyAlignment="1">
      <alignment horizontal="center" vertical="center"/>
    </xf>
    <xf numFmtId="169" fontId="41" fillId="0" borderId="60" xfId="0" applyNumberFormat="1" applyFont="1" applyBorder="1" applyAlignment="1">
      <alignment horizontal="center" vertical="center"/>
    </xf>
    <xf numFmtId="3" fontId="38" fillId="0" borderId="69" xfId="4" applyNumberFormat="1" applyFont="1" applyFill="1" applyBorder="1" applyAlignment="1">
      <alignment horizontal="center" vertical="center"/>
    </xf>
    <xf numFmtId="0" fontId="41" fillId="0" borderId="70" xfId="0" applyFont="1" applyBorder="1" applyAlignment="1">
      <alignment horizontal="center" vertical="center"/>
    </xf>
    <xf numFmtId="3" fontId="41" fillId="0" borderId="69" xfId="4" applyNumberFormat="1" applyFont="1" applyFill="1" applyBorder="1" applyAlignment="1">
      <alignment horizontal="center" vertical="center"/>
    </xf>
    <xf numFmtId="169" fontId="36" fillId="0" borderId="70" xfId="0" applyNumberFormat="1" applyFont="1" applyBorder="1" applyAlignment="1">
      <alignment horizontal="center" vertical="center"/>
    </xf>
    <xf numFmtId="169" fontId="41" fillId="0" borderId="68" xfId="0" applyNumberFormat="1" applyFont="1" applyBorder="1" applyAlignment="1">
      <alignment horizontal="center" vertical="center"/>
    </xf>
    <xf numFmtId="9" fontId="43" fillId="0" borderId="66" xfId="3" applyFont="1" applyFill="1" applyBorder="1" applyAlignment="1">
      <alignment horizontal="center" vertical="center"/>
    </xf>
    <xf numFmtId="3" fontId="32" fillId="0" borderId="66" xfId="4" applyNumberFormat="1" applyFont="1" applyFill="1" applyBorder="1" applyAlignment="1">
      <alignment horizontal="center" vertical="center"/>
    </xf>
    <xf numFmtId="3" fontId="32" fillId="0" borderId="69" xfId="4" applyNumberFormat="1" applyFont="1" applyFill="1" applyBorder="1" applyAlignment="1">
      <alignment horizontal="center" vertical="center"/>
    </xf>
    <xf numFmtId="169" fontId="44" fillId="0" borderId="68" xfId="0" applyNumberFormat="1" applyFont="1" applyBorder="1" applyAlignment="1">
      <alignment horizontal="center" vertical="center"/>
    </xf>
    <xf numFmtId="2" fontId="41" fillId="0" borderId="66" xfId="0" quotePrefix="1" applyNumberFormat="1" applyFont="1" applyBorder="1" applyAlignment="1">
      <alignment horizontal="center" vertical="center"/>
    </xf>
    <xf numFmtId="0" fontId="41" fillId="11" borderId="66" xfId="0" applyFont="1" applyFill="1" applyBorder="1" applyAlignment="1">
      <alignment horizontal="center" vertical="center"/>
    </xf>
    <xf numFmtId="3" fontId="38" fillId="11" borderId="69" xfId="4" applyNumberFormat="1" applyFont="1" applyFill="1" applyBorder="1" applyAlignment="1">
      <alignment horizontal="center" vertical="center"/>
    </xf>
    <xf numFmtId="0" fontId="41" fillId="11" borderId="70" xfId="0" applyFont="1" applyFill="1" applyBorder="1" applyAlignment="1">
      <alignment horizontal="center" vertical="center"/>
    </xf>
    <xf numFmtId="0" fontId="41" fillId="11" borderId="68" xfId="0" applyFont="1" applyFill="1" applyBorder="1" applyAlignment="1">
      <alignment horizontal="center" vertical="center"/>
    </xf>
    <xf numFmtId="3" fontId="41" fillId="11" borderId="66" xfId="0" applyNumberFormat="1" applyFont="1" applyFill="1" applyBorder="1" applyAlignment="1">
      <alignment horizontal="center" vertical="center"/>
    </xf>
    <xf numFmtId="3" fontId="42" fillId="11" borderId="66" xfId="0" applyNumberFormat="1" applyFont="1" applyFill="1" applyBorder="1" applyAlignment="1">
      <alignment horizontal="center" vertical="center"/>
    </xf>
    <xf numFmtId="0" fontId="41" fillId="11" borderId="66" xfId="0" quotePrefix="1" applyFont="1" applyFill="1" applyBorder="1" applyAlignment="1">
      <alignment horizontal="center" vertical="center"/>
    </xf>
    <xf numFmtId="168" fontId="41" fillId="11" borderId="66" xfId="0" applyNumberFormat="1" applyFont="1" applyFill="1" applyBorder="1" applyAlignment="1">
      <alignment horizontal="center" vertical="center"/>
    </xf>
    <xf numFmtId="9" fontId="45" fillId="11" borderId="66" xfId="3" applyFont="1" applyFill="1" applyBorder="1" applyAlignment="1">
      <alignment horizontal="center" vertical="center"/>
    </xf>
    <xf numFmtId="165" fontId="41" fillId="11" borderId="66" xfId="2" applyNumberFormat="1" applyFont="1" applyFill="1" applyBorder="1" applyAlignment="1">
      <alignment horizontal="center" vertical="center"/>
    </xf>
    <xf numFmtId="3" fontId="46" fillId="11" borderId="66" xfId="4" applyNumberFormat="1" applyFont="1" applyFill="1" applyBorder="1" applyAlignment="1">
      <alignment horizontal="center" vertical="center"/>
    </xf>
    <xf numFmtId="3" fontId="46" fillId="11" borderId="69" xfId="4" applyNumberFormat="1" applyFont="1" applyFill="1" applyBorder="1" applyAlignment="1">
      <alignment horizontal="center" vertical="center"/>
    </xf>
    <xf numFmtId="169" fontId="36" fillId="11" borderId="70" xfId="0" applyNumberFormat="1" applyFont="1" applyFill="1" applyBorder="1" applyAlignment="1">
      <alignment horizontal="center" vertical="center"/>
    </xf>
    <xf numFmtId="169" fontId="44" fillId="11" borderId="68" xfId="0" applyNumberFormat="1" applyFont="1" applyFill="1" applyBorder="1" applyAlignment="1">
      <alignment horizontal="center" vertical="center"/>
    </xf>
    <xf numFmtId="0" fontId="36" fillId="11" borderId="68" xfId="0" applyFont="1" applyFill="1" applyBorder="1" applyAlignment="1">
      <alignment horizontal="center" vertical="center"/>
    </xf>
    <xf numFmtId="9" fontId="43" fillId="11" borderId="66" xfId="3" applyFont="1" applyFill="1" applyBorder="1" applyAlignment="1">
      <alignment horizontal="center" vertical="center"/>
    </xf>
    <xf numFmtId="3" fontId="32" fillId="11" borderId="66" xfId="4" applyNumberFormat="1" applyFont="1" applyFill="1" applyBorder="1" applyAlignment="1">
      <alignment horizontal="center" vertical="center"/>
    </xf>
    <xf numFmtId="3" fontId="32" fillId="11" borderId="69" xfId="4" applyNumberFormat="1" applyFont="1" applyFill="1" applyBorder="1" applyAlignment="1">
      <alignment horizontal="center" vertical="center"/>
    </xf>
    <xf numFmtId="9" fontId="43" fillId="0" borderId="63" xfId="3" applyFont="1" applyFill="1" applyBorder="1" applyAlignment="1">
      <alignment horizontal="center" vertical="center"/>
    </xf>
    <xf numFmtId="3" fontId="32" fillId="0" borderId="63" xfId="4" applyNumberFormat="1" applyFont="1" applyFill="1" applyBorder="1" applyAlignment="1">
      <alignment horizontal="center" vertical="center"/>
    </xf>
    <xf numFmtId="3" fontId="32" fillId="0" borderId="61" xfId="4" applyNumberFormat="1" applyFont="1" applyFill="1" applyBorder="1" applyAlignment="1">
      <alignment horizontal="center" vertical="center"/>
    </xf>
    <xf numFmtId="169" fontId="44" fillId="0" borderId="60" xfId="0" applyNumberFormat="1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9" fontId="47" fillId="0" borderId="63" xfId="3" applyFont="1" applyFill="1" applyBorder="1" applyAlignment="1">
      <alignment horizontal="center" vertical="center"/>
    </xf>
    <xf numFmtId="3" fontId="48" fillId="0" borderId="63" xfId="4" applyNumberFormat="1" applyFont="1" applyFill="1" applyBorder="1" applyAlignment="1">
      <alignment horizontal="center" vertical="center"/>
    </xf>
    <xf numFmtId="3" fontId="48" fillId="0" borderId="61" xfId="4" applyNumberFormat="1" applyFont="1" applyFill="1" applyBorder="1" applyAlignment="1">
      <alignment horizontal="center" vertical="center"/>
    </xf>
    <xf numFmtId="3" fontId="49" fillId="0" borderId="63" xfId="4" applyNumberFormat="1" applyFont="1" applyFill="1" applyBorder="1" applyAlignment="1">
      <alignment horizontal="center" vertical="center"/>
    </xf>
    <xf numFmtId="3" fontId="49" fillId="0" borderId="61" xfId="4" applyNumberFormat="1" applyFont="1" applyFill="1" applyBorder="1" applyAlignment="1">
      <alignment horizontal="center" vertical="center"/>
    </xf>
    <xf numFmtId="9" fontId="43" fillId="12" borderId="63" xfId="3" applyFont="1" applyFill="1" applyBorder="1" applyAlignment="1">
      <alignment horizontal="center" vertical="center"/>
    </xf>
    <xf numFmtId="3" fontId="32" fillId="12" borderId="63" xfId="4" applyNumberFormat="1" applyFont="1" applyFill="1" applyBorder="1" applyAlignment="1">
      <alignment horizontal="center" vertical="center"/>
    </xf>
    <xf numFmtId="3" fontId="32" fillId="12" borderId="61" xfId="4" applyNumberFormat="1" applyFont="1" applyFill="1" applyBorder="1" applyAlignment="1">
      <alignment horizontal="center" vertical="center"/>
    </xf>
    <xf numFmtId="0" fontId="41" fillId="11" borderId="63" xfId="0" applyFont="1" applyFill="1" applyBorder="1" applyAlignment="1">
      <alignment horizontal="center" vertical="center"/>
    </xf>
    <xf numFmtId="3" fontId="38" fillId="11" borderId="61" xfId="4" applyNumberFormat="1" applyFont="1" applyFill="1" applyBorder="1" applyAlignment="1">
      <alignment horizontal="center" vertical="center"/>
    </xf>
    <xf numFmtId="0" fontId="41" fillId="11" borderId="62" xfId="0" applyFont="1" applyFill="1" applyBorder="1" applyAlignment="1">
      <alignment horizontal="center" vertical="center"/>
    </xf>
    <xf numFmtId="0" fontId="41" fillId="11" borderId="60" xfId="0" applyFont="1" applyFill="1" applyBorder="1" applyAlignment="1">
      <alignment horizontal="center" vertical="center"/>
    </xf>
    <xf numFmtId="0" fontId="36" fillId="11" borderId="60" xfId="0" applyFont="1" applyFill="1" applyBorder="1" applyAlignment="1">
      <alignment horizontal="center" vertical="center"/>
    </xf>
    <xf numFmtId="3" fontId="41" fillId="11" borderId="63" xfId="0" applyNumberFormat="1" applyFont="1" applyFill="1" applyBorder="1" applyAlignment="1">
      <alignment horizontal="center" vertical="center"/>
    </xf>
    <xf numFmtId="3" fontId="42" fillId="11" borderId="63" xfId="0" applyNumberFormat="1" applyFont="1" applyFill="1" applyBorder="1" applyAlignment="1">
      <alignment horizontal="center" vertical="center"/>
    </xf>
    <xf numFmtId="0" fontId="41" fillId="11" borderId="63" xfId="0" quotePrefix="1" applyFont="1" applyFill="1" applyBorder="1" applyAlignment="1">
      <alignment horizontal="center" vertical="center"/>
    </xf>
    <xf numFmtId="168" fontId="41" fillId="11" borderId="63" xfId="0" applyNumberFormat="1" applyFont="1" applyFill="1" applyBorder="1" applyAlignment="1">
      <alignment horizontal="center" vertical="center"/>
    </xf>
    <xf numFmtId="9" fontId="43" fillId="11" borderId="63" xfId="3" applyFont="1" applyFill="1" applyBorder="1" applyAlignment="1">
      <alignment horizontal="center" vertical="center"/>
    </xf>
    <xf numFmtId="165" fontId="41" fillId="11" borderId="63" xfId="2" applyNumberFormat="1" applyFont="1" applyFill="1" applyBorder="1" applyAlignment="1">
      <alignment horizontal="center" vertical="center"/>
    </xf>
    <xf numFmtId="3" fontId="32" fillId="11" borderId="63" xfId="4" applyNumberFormat="1" applyFont="1" applyFill="1" applyBorder="1" applyAlignment="1">
      <alignment horizontal="center" vertical="center"/>
    </xf>
    <xf numFmtId="3" fontId="32" fillId="11" borderId="61" xfId="4" applyNumberFormat="1" applyFont="1" applyFill="1" applyBorder="1" applyAlignment="1">
      <alignment horizontal="center" vertical="center"/>
    </xf>
    <xf numFmtId="169" fontId="36" fillId="11" borderId="62" xfId="0" applyNumberFormat="1" applyFont="1" applyFill="1" applyBorder="1" applyAlignment="1">
      <alignment horizontal="center" vertical="center"/>
    </xf>
    <xf numFmtId="169" fontId="44" fillId="11" borderId="60" xfId="0" applyNumberFormat="1" applyFont="1" applyFill="1" applyBorder="1" applyAlignment="1">
      <alignment horizontal="center" vertical="center"/>
    </xf>
    <xf numFmtId="2" fontId="41" fillId="0" borderId="63" xfId="0" quotePrefix="1" applyNumberFormat="1" applyFont="1" applyBorder="1" applyAlignment="1">
      <alignment horizontal="center" vertical="center"/>
    </xf>
    <xf numFmtId="9" fontId="46" fillId="0" borderId="63" xfId="3" applyFont="1" applyFill="1" applyBorder="1" applyAlignment="1">
      <alignment horizontal="center" vertical="center"/>
    </xf>
    <xf numFmtId="3" fontId="46" fillId="0" borderId="63" xfId="4" applyNumberFormat="1" applyFont="1" applyFill="1" applyBorder="1" applyAlignment="1">
      <alignment horizontal="center" vertical="center"/>
    </xf>
    <xf numFmtId="3" fontId="46" fillId="0" borderId="61" xfId="4" applyNumberFormat="1" applyFont="1" applyFill="1" applyBorder="1" applyAlignment="1">
      <alignment horizontal="center" vertical="center"/>
    </xf>
    <xf numFmtId="170" fontId="45" fillId="9" borderId="63" xfId="3" applyNumberFormat="1" applyFont="1" applyFill="1" applyBorder="1" applyAlignment="1">
      <alignment horizontal="center" vertical="center"/>
    </xf>
    <xf numFmtId="9" fontId="45" fillId="0" borderId="63" xfId="3" applyFont="1" applyFill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170" fontId="38" fillId="0" borderId="63" xfId="3" applyNumberFormat="1" applyFont="1" applyFill="1" applyBorder="1" applyAlignment="1">
      <alignment horizontal="center" vertical="center"/>
    </xf>
    <xf numFmtId="0" fontId="46" fillId="0" borderId="63" xfId="0" applyFont="1" applyBorder="1" applyAlignment="1">
      <alignment horizontal="center" vertical="center"/>
    </xf>
    <xf numFmtId="3" fontId="45" fillId="0" borderId="61" xfId="4" applyNumberFormat="1" applyFont="1" applyFill="1" applyBorder="1" applyAlignment="1">
      <alignment horizontal="center" vertical="center"/>
    </xf>
    <xf numFmtId="170" fontId="38" fillId="9" borderId="63" xfId="3" applyNumberFormat="1" applyFont="1" applyFill="1" applyBorder="1" applyAlignment="1">
      <alignment horizontal="center" vertical="center"/>
    </xf>
    <xf numFmtId="3" fontId="32" fillId="9" borderId="61" xfId="4" applyNumberFormat="1" applyFont="1" applyFill="1" applyBorder="1" applyAlignment="1">
      <alignment horizontal="center" vertical="center"/>
    </xf>
    <xf numFmtId="0" fontId="41" fillId="0" borderId="60" xfId="0" applyFont="1" applyBorder="1" applyAlignment="1">
      <alignment horizontal="center" vertical="center" wrapText="1"/>
    </xf>
    <xf numFmtId="0" fontId="41" fillId="0" borderId="63" xfId="0" quotePrefix="1" applyFont="1" applyBorder="1" applyAlignment="1">
      <alignment horizontal="center" vertical="center" wrapText="1"/>
    </xf>
    <xf numFmtId="9" fontId="35" fillId="0" borderId="63" xfId="3" applyFont="1" applyFill="1" applyBorder="1" applyAlignment="1">
      <alignment horizontal="center" vertical="center"/>
    </xf>
    <xf numFmtId="0" fontId="41" fillId="0" borderId="63" xfId="0" applyFont="1" applyBorder="1" applyAlignment="1" applyProtection="1">
      <alignment horizontal="center" vertical="center"/>
      <protection locked="0"/>
    </xf>
    <xf numFmtId="169" fontId="35" fillId="0" borderId="62" xfId="0" applyNumberFormat="1" applyFont="1" applyBorder="1" applyAlignment="1">
      <alignment horizontal="center" vertical="center"/>
    </xf>
    <xf numFmtId="169" fontId="50" fillId="0" borderId="60" xfId="0" applyNumberFormat="1" applyFont="1" applyBorder="1" applyAlignment="1">
      <alignment horizontal="center" vertical="center"/>
    </xf>
    <xf numFmtId="171" fontId="41" fillId="0" borderId="63" xfId="4" applyNumberFormat="1" applyFont="1" applyFill="1" applyBorder="1" applyAlignment="1">
      <alignment horizontal="center" vertical="center"/>
    </xf>
    <xf numFmtId="171" fontId="42" fillId="0" borderId="63" xfId="4" applyNumberFormat="1" applyFont="1" applyFill="1" applyBorder="1" applyAlignment="1">
      <alignment horizontal="center" vertical="center"/>
    </xf>
    <xf numFmtId="3" fontId="49" fillId="12" borderId="63" xfId="4" applyNumberFormat="1" applyFont="1" applyFill="1" applyBorder="1" applyAlignment="1">
      <alignment horizontal="center" vertical="center"/>
    </xf>
    <xf numFmtId="3" fontId="49" fillId="12" borderId="61" xfId="4" applyNumberFormat="1" applyFont="1" applyFill="1" applyBorder="1" applyAlignment="1">
      <alignment horizontal="center" vertical="center"/>
    </xf>
    <xf numFmtId="0" fontId="41" fillId="0" borderId="71" xfId="0" applyFont="1" applyBorder="1" applyAlignment="1">
      <alignment horizontal="center" vertical="center"/>
    </xf>
    <xf numFmtId="3" fontId="38" fillId="0" borderId="72" xfId="4" applyNumberFormat="1" applyFont="1" applyFill="1" applyBorder="1" applyAlignment="1">
      <alignment horizontal="center" vertical="center"/>
    </xf>
    <xf numFmtId="0" fontId="41" fillId="0" borderId="73" xfId="0" applyFont="1" applyBorder="1" applyAlignment="1">
      <alignment horizontal="center" vertical="center"/>
    </xf>
    <xf numFmtId="0" fontId="41" fillId="0" borderId="74" xfId="0" applyFont="1" applyBorder="1" applyAlignment="1">
      <alignment horizontal="center" vertical="center"/>
    </xf>
    <xf numFmtId="3" fontId="41" fillId="0" borderId="71" xfId="0" applyNumberFormat="1" applyFont="1" applyBorder="1" applyAlignment="1">
      <alignment horizontal="center" vertical="center"/>
    </xf>
    <xf numFmtId="3" fontId="42" fillId="0" borderId="71" xfId="0" applyNumberFormat="1" applyFont="1" applyBorder="1" applyAlignment="1">
      <alignment horizontal="center" vertical="center"/>
    </xf>
    <xf numFmtId="0" fontId="41" fillId="0" borderId="71" xfId="0" quotePrefix="1" applyFont="1" applyBorder="1" applyAlignment="1">
      <alignment horizontal="center" vertical="center"/>
    </xf>
    <xf numFmtId="168" fontId="41" fillId="0" borderId="71" xfId="0" applyNumberFormat="1" applyFont="1" applyBorder="1" applyAlignment="1">
      <alignment horizontal="center" vertical="center"/>
    </xf>
    <xf numFmtId="9" fontId="43" fillId="0" borderId="71" xfId="3" applyFont="1" applyFill="1" applyBorder="1" applyAlignment="1">
      <alignment horizontal="center" vertical="center"/>
    </xf>
    <xf numFmtId="165" fontId="41" fillId="0" borderId="71" xfId="2" applyNumberFormat="1" applyFont="1" applyFill="1" applyBorder="1" applyAlignment="1">
      <alignment horizontal="center" vertical="center"/>
    </xf>
    <xf numFmtId="3" fontId="49" fillId="0" borderId="71" xfId="4" applyNumberFormat="1" applyFont="1" applyFill="1" applyBorder="1" applyAlignment="1">
      <alignment horizontal="center" vertical="center"/>
    </xf>
    <xf numFmtId="3" fontId="49" fillId="0" borderId="72" xfId="4" applyNumberFormat="1" applyFont="1" applyFill="1" applyBorder="1" applyAlignment="1">
      <alignment horizontal="center" vertical="center"/>
    </xf>
    <xf numFmtId="169" fontId="36" fillId="0" borderId="73" xfId="0" applyNumberFormat="1" applyFont="1" applyBorder="1" applyAlignment="1">
      <alignment horizontal="center" vertical="center"/>
    </xf>
    <xf numFmtId="169" fontId="44" fillId="0" borderId="74" xfId="0" applyNumberFormat="1" applyFont="1" applyBorder="1" applyAlignment="1">
      <alignment horizontal="center" vertical="center"/>
    </xf>
    <xf numFmtId="3" fontId="32" fillId="0" borderId="71" xfId="4" applyNumberFormat="1" applyFont="1" applyFill="1" applyBorder="1" applyAlignment="1">
      <alignment horizontal="center" vertical="center"/>
    </xf>
    <xf numFmtId="3" fontId="32" fillId="0" borderId="72" xfId="4" applyNumberFormat="1" applyFont="1" applyFill="1" applyBorder="1" applyAlignment="1">
      <alignment horizontal="center" vertical="center"/>
    </xf>
    <xf numFmtId="0" fontId="36" fillId="0" borderId="71" xfId="0" applyFont="1" applyBorder="1" applyAlignment="1">
      <alignment horizontal="center" vertical="center"/>
    </xf>
    <xf numFmtId="0" fontId="36" fillId="0" borderId="73" xfId="0" applyFont="1" applyBorder="1" applyAlignment="1">
      <alignment horizontal="center" vertical="center"/>
    </xf>
    <xf numFmtId="0" fontId="36" fillId="0" borderId="74" xfId="0" applyFont="1" applyBorder="1" applyAlignment="1">
      <alignment horizontal="center" vertical="center"/>
    </xf>
    <xf numFmtId="171" fontId="36" fillId="0" borderId="71" xfId="4" applyNumberFormat="1" applyFont="1" applyFill="1" applyBorder="1" applyAlignment="1">
      <alignment horizontal="center" vertical="center"/>
    </xf>
    <xf numFmtId="171" fontId="51" fillId="0" borderId="71" xfId="4" applyNumberFormat="1" applyFont="1" applyFill="1" applyBorder="1" applyAlignment="1">
      <alignment horizontal="center" vertical="center"/>
    </xf>
    <xf numFmtId="0" fontId="36" fillId="0" borderId="71" xfId="0" quotePrefix="1" applyFont="1" applyBorder="1" applyAlignment="1">
      <alignment horizontal="center" vertical="center"/>
    </xf>
    <xf numFmtId="168" fontId="36" fillId="0" borderId="71" xfId="0" applyNumberFormat="1" applyFont="1" applyBorder="1" applyAlignment="1">
      <alignment horizontal="center" vertical="center"/>
    </xf>
    <xf numFmtId="0" fontId="36" fillId="0" borderId="68" xfId="0" applyFont="1" applyBorder="1" applyAlignment="1">
      <alignment horizontal="center" vertical="center"/>
    </xf>
    <xf numFmtId="3" fontId="49" fillId="0" borderId="66" xfId="4" applyNumberFormat="1" applyFont="1" applyFill="1" applyBorder="1" applyAlignment="1">
      <alignment horizontal="center" vertical="center"/>
    </xf>
    <xf numFmtId="3" fontId="49" fillId="0" borderId="69" xfId="4" applyNumberFormat="1" applyFont="1" applyFill="1" applyBorder="1" applyAlignment="1">
      <alignment horizontal="center" vertical="center"/>
    </xf>
    <xf numFmtId="2" fontId="41" fillId="0" borderId="63" xfId="0" applyNumberFormat="1" applyFont="1" applyBorder="1" applyAlignment="1">
      <alignment horizontal="center" vertical="center"/>
    </xf>
    <xf numFmtId="165" fontId="41" fillId="12" borderId="63" xfId="2" applyNumberFormat="1" applyFont="1" applyFill="1" applyBorder="1" applyAlignment="1">
      <alignment horizontal="center" vertical="center"/>
    </xf>
    <xf numFmtId="165" fontId="36" fillId="0" borderId="63" xfId="2" applyNumberFormat="1" applyFont="1" applyFill="1" applyBorder="1" applyAlignment="1">
      <alignment horizontal="center" vertical="center"/>
    </xf>
    <xf numFmtId="3" fontId="36" fillId="0" borderId="63" xfId="4" applyNumberFormat="1" applyFont="1" applyFill="1" applyBorder="1" applyAlignment="1">
      <alignment horizontal="center" vertical="center"/>
    </xf>
    <xf numFmtId="3" fontId="36" fillId="0" borderId="61" xfId="4" applyNumberFormat="1" applyFont="1" applyFill="1" applyBorder="1" applyAlignment="1">
      <alignment horizontal="center" vertical="center"/>
    </xf>
    <xf numFmtId="169" fontId="36" fillId="0" borderId="60" xfId="0" applyNumberFormat="1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3" fontId="36" fillId="0" borderId="63" xfId="0" applyNumberFormat="1" applyFont="1" applyBorder="1" applyAlignment="1">
      <alignment horizontal="center" vertical="center"/>
    </xf>
    <xf numFmtId="3" fontId="51" fillId="0" borderId="63" xfId="0" applyNumberFormat="1" applyFont="1" applyBorder="1" applyAlignment="1">
      <alignment horizontal="center" vertical="center"/>
    </xf>
    <xf numFmtId="0" fontId="36" fillId="0" borderId="63" xfId="0" quotePrefix="1" applyFont="1" applyBorder="1" applyAlignment="1">
      <alignment horizontal="center" vertical="center"/>
    </xf>
    <xf numFmtId="168" fontId="36" fillId="0" borderId="63" xfId="0" applyNumberFormat="1" applyFont="1" applyBorder="1" applyAlignment="1">
      <alignment horizontal="center" vertical="center"/>
    </xf>
    <xf numFmtId="3" fontId="36" fillId="0" borderId="71" xfId="0" applyNumberFormat="1" applyFont="1" applyBorder="1" applyAlignment="1">
      <alignment horizontal="center" vertical="center"/>
    </xf>
    <xf numFmtId="3" fontId="51" fillId="0" borderId="7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14" fontId="55" fillId="0" borderId="9" xfId="1" applyNumberFormat="1" applyFont="1" applyBorder="1" applyAlignment="1">
      <alignment horizontal="center" vertical="center"/>
    </xf>
    <xf numFmtId="14" fontId="24" fillId="0" borderId="9" xfId="1" applyNumberFormat="1" applyFont="1" applyBorder="1" applyAlignment="1">
      <alignment horizontal="center" vertical="center"/>
    </xf>
    <xf numFmtId="0" fontId="31" fillId="0" borderId="13" xfId="1" applyFont="1" applyBorder="1" applyAlignment="1">
      <alignment vertical="center" wrapText="1"/>
    </xf>
    <xf numFmtId="0" fontId="31" fillId="0" borderId="30" xfId="1" applyFont="1" applyBorder="1" applyAlignment="1">
      <alignment vertical="center" wrapText="1"/>
    </xf>
    <xf numFmtId="14" fontId="24" fillId="0" borderId="29" xfId="1" applyNumberFormat="1" applyFont="1" applyBorder="1" applyAlignment="1">
      <alignment vertical="center"/>
    </xf>
    <xf numFmtId="14" fontId="55" fillId="0" borderId="29" xfId="1" applyNumberFormat="1" applyFont="1" applyBorder="1" applyAlignment="1">
      <alignment vertical="center"/>
    </xf>
    <xf numFmtId="0" fontId="23" fillId="0" borderId="46" xfId="1" applyFont="1" applyBorder="1" applyAlignment="1">
      <alignment horizontal="center" vertical="center" wrapText="1"/>
    </xf>
    <xf numFmtId="3" fontId="25" fillId="0" borderId="55" xfId="1" applyNumberFormat="1" applyFont="1" applyBorder="1" applyAlignment="1">
      <alignment horizontal="center" vertical="center" wrapText="1"/>
    </xf>
    <xf numFmtId="3" fontId="27" fillId="0" borderId="55" xfId="1" applyNumberFormat="1" applyFont="1" applyBorder="1" applyAlignment="1">
      <alignment horizontal="center" vertical="center"/>
    </xf>
    <xf numFmtId="3" fontId="25" fillId="0" borderId="55" xfId="1" applyNumberFormat="1" applyFont="1" applyBorder="1" applyAlignment="1">
      <alignment horizontal="center" vertical="center"/>
    </xf>
    <xf numFmtId="3" fontId="25" fillId="0" borderId="34" xfId="1" applyNumberFormat="1" applyFont="1" applyBorder="1" applyAlignment="1">
      <alignment horizontal="center" vertical="center"/>
    </xf>
    <xf numFmtId="3" fontId="25" fillId="0" borderId="16" xfId="1" applyNumberFormat="1" applyFont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4" fontId="12" fillId="2" borderId="15" xfId="1" applyNumberFormat="1" applyFont="1" applyFill="1" applyBorder="1" applyAlignment="1">
      <alignment horizontal="center" vertical="center"/>
    </xf>
    <xf numFmtId="3" fontId="12" fillId="2" borderId="15" xfId="1" applyNumberFormat="1" applyFont="1" applyFill="1" applyBorder="1" applyAlignment="1">
      <alignment horizontal="center" vertical="center"/>
    </xf>
    <xf numFmtId="3" fontId="12" fillId="2" borderId="46" xfId="1" applyNumberFormat="1" applyFont="1" applyFill="1" applyBorder="1" applyAlignment="1">
      <alignment horizontal="center" vertical="center" wrapText="1"/>
    </xf>
    <xf numFmtId="3" fontId="12" fillId="2" borderId="47" xfId="1" applyNumberFormat="1" applyFont="1" applyFill="1" applyBorder="1" applyAlignment="1">
      <alignment horizontal="center" vertical="center" wrapText="1"/>
    </xf>
    <xf numFmtId="0" fontId="12" fillId="2" borderId="17" xfId="1" applyFont="1" applyFill="1" applyBorder="1" applyAlignment="1">
      <alignment horizontal="center" vertical="center"/>
    </xf>
    <xf numFmtId="16" fontId="5" fillId="2" borderId="29" xfId="1" applyNumberFormat="1" applyFont="1" applyFill="1" applyBorder="1" applyAlignment="1">
      <alignment horizontal="center" vertical="center"/>
    </xf>
    <xf numFmtId="0" fontId="5" fillId="0" borderId="28" xfId="1" applyFont="1" applyBorder="1" applyAlignment="1">
      <alignment horizontal="center" vertical="center" wrapText="1"/>
    </xf>
    <xf numFmtId="3" fontId="12" fillId="4" borderId="13" xfId="1" applyNumberFormat="1" applyFont="1" applyFill="1" applyBorder="1" applyAlignment="1">
      <alignment horizontal="center" vertical="center" wrapText="1"/>
    </xf>
    <xf numFmtId="3" fontId="12" fillId="4" borderId="29" xfId="1" applyNumberFormat="1" applyFont="1" applyFill="1" applyBorder="1" applyAlignment="1">
      <alignment horizontal="center" vertical="center" wrapText="1"/>
    </xf>
    <xf numFmtId="3" fontId="12" fillId="4" borderId="30" xfId="1" quotePrefix="1" applyNumberFormat="1" applyFont="1" applyFill="1" applyBorder="1" applyAlignment="1">
      <alignment horizontal="center" vertical="center" wrapText="1"/>
    </xf>
    <xf numFmtId="0" fontId="12" fillId="4" borderId="30" xfId="1" quotePrefix="1" applyFont="1" applyFill="1" applyBorder="1" applyAlignment="1">
      <alignment horizontal="center" vertical="center" wrapText="1"/>
    </xf>
    <xf numFmtId="0" fontId="12" fillId="4" borderId="41" xfId="1" applyFont="1" applyFill="1" applyBorder="1" applyAlignment="1">
      <alignment horizontal="center" vertical="center" wrapText="1"/>
    </xf>
    <xf numFmtId="3" fontId="5" fillId="4" borderId="14" xfId="1" quotePrefix="1" applyNumberFormat="1" applyFont="1" applyFill="1" applyBorder="1" applyAlignment="1">
      <alignment horizontal="center" vertical="center"/>
    </xf>
    <xf numFmtId="16" fontId="5" fillId="4" borderId="29" xfId="1" applyNumberFormat="1" applyFont="1" applyFill="1" applyBorder="1" applyAlignment="1">
      <alignment horizontal="center" vertical="center"/>
    </xf>
    <xf numFmtId="0" fontId="16" fillId="4" borderId="10" xfId="1" applyFont="1" applyFill="1" applyBorder="1" applyAlignment="1">
      <alignment horizontal="center" vertical="center"/>
    </xf>
    <xf numFmtId="16" fontId="5" fillId="2" borderId="15" xfId="1" applyNumberFormat="1" applyFont="1" applyFill="1" applyBorder="1" applyAlignment="1">
      <alignment horizontal="center" vertical="center"/>
    </xf>
    <xf numFmtId="0" fontId="6" fillId="0" borderId="46" xfId="1" applyFont="1" applyBorder="1" applyAlignment="1">
      <alignment horizontal="center" vertical="center" wrapText="1"/>
    </xf>
    <xf numFmtId="3" fontId="4" fillId="4" borderId="46" xfId="1" applyNumberFormat="1" applyFont="1" applyFill="1" applyBorder="1" applyAlignment="1">
      <alignment horizontal="center" vertical="center"/>
    </xf>
    <xf numFmtId="3" fontId="4" fillId="4" borderId="46" xfId="1" applyNumberFormat="1" applyFont="1" applyFill="1" applyBorder="1" applyAlignment="1">
      <alignment horizontal="center" vertical="center" wrapText="1"/>
    </xf>
    <xf numFmtId="3" fontId="16" fillId="4" borderId="46" xfId="1" applyNumberFormat="1" applyFont="1" applyFill="1" applyBorder="1" applyAlignment="1">
      <alignment horizontal="center" vertical="center" wrapText="1"/>
    </xf>
    <xf numFmtId="3" fontId="16" fillId="4" borderId="46" xfId="1" applyNumberFormat="1" applyFont="1" applyFill="1" applyBorder="1" applyAlignment="1">
      <alignment horizontal="center" vertical="center"/>
    </xf>
    <xf numFmtId="3" fontId="27" fillId="0" borderId="55" xfId="1" applyNumberFormat="1" applyFont="1" applyBorder="1" applyAlignment="1">
      <alignment horizontal="center" vertical="center" wrapText="1"/>
    </xf>
    <xf numFmtId="3" fontId="4" fillId="2" borderId="46" xfId="1" applyNumberFormat="1" applyFont="1" applyFill="1" applyBorder="1" applyAlignment="1">
      <alignment horizontal="center" vertical="center"/>
    </xf>
    <xf numFmtId="3" fontId="5" fillId="13" borderId="9" xfId="1" applyNumberFormat="1" applyFont="1" applyFill="1" applyBorder="1" applyAlignment="1">
      <alignment horizontal="center" vertical="center"/>
    </xf>
    <xf numFmtId="3" fontId="4" fillId="13" borderId="46" xfId="1" applyNumberFormat="1" applyFont="1" applyFill="1" applyBorder="1" applyAlignment="1">
      <alignment horizontal="center" vertical="center"/>
    </xf>
    <xf numFmtId="3" fontId="5" fillId="13" borderId="46" xfId="1" applyNumberFormat="1" applyFont="1" applyFill="1" applyBorder="1" applyAlignment="1">
      <alignment horizontal="center" vertical="center" wrapText="1"/>
    </xf>
    <xf numFmtId="3" fontId="5" fillId="13" borderId="47" xfId="1" applyNumberFormat="1" applyFont="1" applyFill="1" applyBorder="1" applyAlignment="1">
      <alignment horizontal="center" vertical="center" wrapText="1"/>
    </xf>
    <xf numFmtId="0" fontId="5" fillId="13" borderId="15" xfId="1" applyFont="1" applyFill="1" applyBorder="1" applyAlignment="1">
      <alignment horizontal="center" vertical="center"/>
    </xf>
    <xf numFmtId="0" fontId="5" fillId="13" borderId="14" xfId="1" applyFont="1" applyFill="1" applyBorder="1" applyAlignment="1">
      <alignment horizontal="center" vertical="center"/>
    </xf>
    <xf numFmtId="4" fontId="5" fillId="13" borderId="15" xfId="1" applyNumberFormat="1" applyFont="1" applyFill="1" applyBorder="1" applyAlignment="1">
      <alignment horizontal="center" vertical="center"/>
    </xf>
    <xf numFmtId="3" fontId="5" fillId="13" borderId="14" xfId="1" applyNumberFormat="1" applyFont="1" applyFill="1" applyBorder="1" applyAlignment="1">
      <alignment horizontal="center" vertical="center"/>
    </xf>
    <xf numFmtId="3" fontId="5" fillId="13" borderId="15" xfId="1" applyNumberFormat="1" applyFont="1" applyFill="1" applyBorder="1" applyAlignment="1">
      <alignment horizontal="center" vertical="center"/>
    </xf>
    <xf numFmtId="3" fontId="12" fillId="13" borderId="14" xfId="1" applyNumberFormat="1" applyFont="1" applyFill="1" applyBorder="1" applyAlignment="1">
      <alignment horizontal="center" vertical="center"/>
    </xf>
    <xf numFmtId="0" fontId="5" fillId="13" borderId="17" xfId="1" applyFont="1" applyFill="1" applyBorder="1" applyAlignment="1">
      <alignment horizontal="center" vertical="center"/>
    </xf>
    <xf numFmtId="3" fontId="12" fillId="2" borderId="29" xfId="1" applyNumberFormat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4" fontId="12" fillId="2" borderId="29" xfId="1" applyNumberFormat="1" applyFont="1" applyFill="1" applyBorder="1" applyAlignment="1">
      <alignment horizontal="center" vertical="center"/>
    </xf>
    <xf numFmtId="3" fontId="12" fillId="2" borderId="13" xfId="1" applyNumberFormat="1" applyFont="1" applyFill="1" applyBorder="1" applyAlignment="1">
      <alignment horizontal="center" vertical="center"/>
    </xf>
    <xf numFmtId="3" fontId="16" fillId="2" borderId="46" xfId="1" applyNumberFormat="1" applyFont="1" applyFill="1" applyBorder="1" applyAlignment="1">
      <alignment horizontal="center" vertical="center"/>
    </xf>
    <xf numFmtId="3" fontId="12" fillId="2" borderId="45" xfId="1" quotePrefix="1" applyNumberFormat="1" applyFont="1" applyFill="1" applyBorder="1" applyAlignment="1">
      <alignment horizontal="center" vertical="center"/>
    </xf>
    <xf numFmtId="3" fontId="12" fillId="2" borderId="30" xfId="1" quotePrefix="1" applyNumberFormat="1" applyFont="1" applyFill="1" applyBorder="1" applyAlignment="1">
      <alignment horizontal="center" vertical="center"/>
    </xf>
    <xf numFmtId="0" fontId="20" fillId="2" borderId="41" xfId="1" applyFont="1" applyFill="1" applyBorder="1" applyAlignment="1">
      <alignment horizontal="center" vertical="center" wrapText="1"/>
    </xf>
    <xf numFmtId="0" fontId="4" fillId="6" borderId="9" xfId="1" applyFont="1" applyFill="1" applyBorder="1" applyAlignment="1">
      <alignment horizontal="center" vertical="center" wrapText="1"/>
    </xf>
    <xf numFmtId="0" fontId="12" fillId="4" borderId="10" xfId="1" applyFont="1" applyFill="1" applyBorder="1" applyAlignment="1">
      <alignment horizontal="center" vertical="center"/>
    </xf>
    <xf numFmtId="0" fontId="4" fillId="6" borderId="2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3" fontId="4" fillId="2" borderId="46" xfId="1" applyNumberFormat="1" applyFont="1" applyFill="1" applyBorder="1" applyAlignment="1">
      <alignment horizontal="center" vertical="center" wrapText="1"/>
    </xf>
    <xf numFmtId="0" fontId="4" fillId="6" borderId="29" xfId="1" quotePrefix="1" applyFont="1" applyFill="1" applyBorder="1" applyAlignment="1">
      <alignment horizontal="center" vertical="center"/>
    </xf>
    <xf numFmtId="0" fontId="4" fillId="5" borderId="29" xfId="1" quotePrefix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31" xfId="1" applyFont="1" applyFill="1" applyBorder="1" applyAlignment="1">
      <alignment horizontal="center" vertical="center"/>
    </xf>
    <xf numFmtId="3" fontId="16" fillId="2" borderId="46" xfId="1" applyNumberFormat="1" applyFont="1" applyFill="1" applyBorder="1" applyAlignment="1">
      <alignment horizontal="center" vertical="center" wrapText="1"/>
    </xf>
    <xf numFmtId="166" fontId="25" fillId="9" borderId="9" xfId="1" applyNumberFormat="1" applyFont="1" applyFill="1" applyBorder="1" applyAlignment="1">
      <alignment horizontal="center" vertical="center"/>
    </xf>
    <xf numFmtId="3" fontId="25" fillId="9" borderId="9" xfId="1" applyNumberFormat="1" applyFont="1" applyFill="1" applyBorder="1" applyAlignment="1">
      <alignment horizontal="center" vertical="center"/>
    </xf>
    <xf numFmtId="3" fontId="25" fillId="9" borderId="9" xfId="1" applyNumberFormat="1" applyFont="1" applyFill="1" applyBorder="1" applyAlignment="1">
      <alignment horizontal="center" vertical="center" wrapText="1"/>
    </xf>
    <xf numFmtId="3" fontId="25" fillId="9" borderId="55" xfId="1" applyNumberFormat="1" applyFont="1" applyFill="1" applyBorder="1" applyAlignment="1">
      <alignment horizontal="center" vertical="center" wrapText="1"/>
    </xf>
    <xf numFmtId="3" fontId="12" fillId="4" borderId="14" xfId="1" applyNumberFormat="1" applyFont="1" applyFill="1" applyBorder="1" applyAlignment="1">
      <alignment horizontal="center" vertical="center"/>
    </xf>
    <xf numFmtId="3" fontId="11" fillId="4" borderId="30" xfId="1" applyNumberFormat="1" applyFont="1" applyFill="1" applyBorder="1" applyAlignment="1">
      <alignment horizontal="center" vertical="center"/>
    </xf>
    <xf numFmtId="3" fontId="11" fillId="4" borderId="13" xfId="1" applyNumberFormat="1" applyFont="1" applyFill="1" applyBorder="1" applyAlignment="1">
      <alignment horizontal="center" vertical="center"/>
    </xf>
    <xf numFmtId="166" fontId="25" fillId="4" borderId="9" xfId="1" applyNumberFormat="1" applyFont="1" applyFill="1" applyBorder="1" applyAlignment="1">
      <alignment horizontal="center" vertical="center"/>
    </xf>
    <xf numFmtId="3" fontId="25" fillId="4" borderId="9" xfId="1" applyNumberFormat="1" applyFont="1" applyFill="1" applyBorder="1" applyAlignment="1">
      <alignment horizontal="center" vertical="center"/>
    </xf>
    <xf numFmtId="3" fontId="25" fillId="4" borderId="9" xfId="1" applyNumberFormat="1" applyFont="1" applyFill="1" applyBorder="1" applyAlignment="1">
      <alignment horizontal="center" vertical="center" wrapText="1"/>
    </xf>
    <xf numFmtId="3" fontId="25" fillId="4" borderId="55" xfId="1" applyNumberFormat="1" applyFont="1" applyFill="1" applyBorder="1" applyAlignment="1">
      <alignment horizontal="center" vertical="center" wrapText="1"/>
    </xf>
    <xf numFmtId="3" fontId="25" fillId="4" borderId="55" xfId="1" applyNumberFormat="1" applyFont="1" applyFill="1" applyBorder="1" applyAlignment="1">
      <alignment horizontal="center" vertical="center"/>
    </xf>
    <xf numFmtId="3" fontId="25" fillId="4" borderId="34" xfId="1" applyNumberFormat="1" applyFont="1" applyFill="1" applyBorder="1" applyAlignment="1">
      <alignment horizontal="center" vertical="center"/>
    </xf>
    <xf numFmtId="3" fontId="25" fillId="4" borderId="16" xfId="1" applyNumberFormat="1" applyFont="1" applyFill="1" applyBorder="1" applyAlignment="1">
      <alignment horizontal="center" vertical="center"/>
    </xf>
    <xf numFmtId="3" fontId="12" fillId="3" borderId="29" xfId="1" applyNumberFormat="1" applyFont="1" applyFill="1" applyBorder="1" applyAlignment="1">
      <alignment horizontal="center" vertical="center"/>
    </xf>
    <xf numFmtId="3" fontId="12" fillId="3" borderId="30" xfId="1" applyNumberFormat="1" applyFont="1" applyFill="1" applyBorder="1" applyAlignment="1">
      <alignment horizontal="center" vertical="center"/>
    </xf>
    <xf numFmtId="0" fontId="12" fillId="3" borderId="13" xfId="1" applyFont="1" applyFill="1" applyBorder="1" applyAlignment="1">
      <alignment horizontal="center" vertical="center"/>
    </xf>
    <xf numFmtId="4" fontId="12" fillId="3" borderId="29" xfId="1" applyNumberFormat="1" applyFont="1" applyFill="1" applyBorder="1" applyAlignment="1">
      <alignment horizontal="center" vertical="center"/>
    </xf>
    <xf numFmtId="3" fontId="12" fillId="3" borderId="13" xfId="1" applyNumberFormat="1" applyFont="1" applyFill="1" applyBorder="1" applyAlignment="1">
      <alignment horizontal="center" vertical="center"/>
    </xf>
    <xf numFmtId="3" fontId="16" fillId="3" borderId="46" xfId="1" applyNumberFormat="1" applyFont="1" applyFill="1" applyBorder="1" applyAlignment="1">
      <alignment horizontal="center" vertical="center"/>
    </xf>
    <xf numFmtId="3" fontId="5" fillId="3" borderId="46" xfId="1" applyNumberFormat="1" applyFont="1" applyFill="1" applyBorder="1" applyAlignment="1">
      <alignment horizontal="center" vertical="center" wrapText="1"/>
    </xf>
    <xf numFmtId="3" fontId="5" fillId="3" borderId="47" xfId="1" applyNumberFormat="1" applyFont="1" applyFill="1" applyBorder="1" applyAlignment="1">
      <alignment horizontal="center" vertical="center" wrapText="1"/>
    </xf>
    <xf numFmtId="3" fontId="12" fillId="3" borderId="30" xfId="1" quotePrefix="1" applyNumberFormat="1" applyFont="1" applyFill="1" applyBorder="1" applyAlignment="1">
      <alignment horizontal="center" vertical="center"/>
    </xf>
    <xf numFmtId="0" fontId="20" fillId="3" borderId="41" xfId="1" applyFont="1" applyFill="1" applyBorder="1" applyAlignment="1">
      <alignment horizontal="center" vertical="center" wrapText="1"/>
    </xf>
    <xf numFmtId="3" fontId="4" fillId="5" borderId="9" xfId="1" quotePrefix="1" applyNumberFormat="1" applyFont="1" applyFill="1" applyBorder="1" applyAlignment="1">
      <alignment horizontal="center" vertical="center"/>
    </xf>
    <xf numFmtId="0" fontId="5" fillId="2" borderId="40" xfId="1" applyFont="1" applyFill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/>
    </xf>
    <xf numFmtId="4" fontId="5" fillId="2" borderId="40" xfId="1" applyNumberFormat="1" applyFont="1" applyFill="1" applyBorder="1" applyAlignment="1">
      <alignment horizontal="center" vertical="center"/>
    </xf>
    <xf numFmtId="3" fontId="5" fillId="2" borderId="45" xfId="1" applyNumberFormat="1" applyFont="1" applyFill="1" applyBorder="1" applyAlignment="1">
      <alignment horizontal="center" vertical="center"/>
    </xf>
    <xf numFmtId="3" fontId="5" fillId="2" borderId="40" xfId="1" applyNumberFormat="1" applyFont="1" applyFill="1" applyBorder="1" applyAlignment="1">
      <alignment horizontal="center" vertical="center"/>
    </xf>
    <xf numFmtId="3" fontId="12" fillId="2" borderId="45" xfId="1" applyNumberFormat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 wrapText="1"/>
    </xf>
    <xf numFmtId="3" fontId="12" fillId="4" borderId="29" xfId="1" applyNumberFormat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4" fontId="12" fillId="4" borderId="29" xfId="1" applyNumberFormat="1" applyFont="1" applyFill="1" applyBorder="1" applyAlignment="1">
      <alignment horizontal="center" vertical="center"/>
    </xf>
    <xf numFmtId="3" fontId="12" fillId="4" borderId="13" xfId="1" applyNumberFormat="1" applyFont="1" applyFill="1" applyBorder="1" applyAlignment="1">
      <alignment horizontal="center" vertical="center"/>
    </xf>
    <xf numFmtId="3" fontId="12" fillId="4" borderId="30" xfId="1" quotePrefix="1" applyNumberFormat="1" applyFont="1" applyFill="1" applyBorder="1" applyAlignment="1">
      <alignment horizontal="center" vertical="center"/>
    </xf>
    <xf numFmtId="3" fontId="12" fillId="4" borderId="32" xfId="1" quotePrefix="1" applyNumberFormat="1" applyFont="1" applyFill="1" applyBorder="1" applyAlignment="1">
      <alignment horizontal="center" vertical="center"/>
    </xf>
    <xf numFmtId="3" fontId="12" fillId="3" borderId="32" xfId="1" quotePrefix="1" applyNumberFormat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5" fillId="2" borderId="31" xfId="1" applyFont="1" applyFill="1" applyBorder="1" applyAlignment="1">
      <alignment horizontal="center" vertical="center"/>
    </xf>
    <xf numFmtId="3" fontId="5" fillId="4" borderId="75" xfId="1" applyNumberFormat="1" applyFont="1" applyFill="1" applyBorder="1" applyAlignment="1">
      <alignment horizontal="center" vertical="center" wrapText="1"/>
    </xf>
    <xf numFmtId="3" fontId="29" fillId="0" borderId="9" xfId="1" applyNumberFormat="1" applyFont="1" applyBorder="1" applyAlignment="1">
      <alignment horizontal="center" vertical="center"/>
    </xf>
    <xf numFmtId="3" fontId="29" fillId="0" borderId="9" xfId="1" applyNumberFormat="1" applyFont="1" applyBorder="1" applyAlignment="1">
      <alignment horizontal="center" vertical="center" wrapText="1"/>
    </xf>
    <xf numFmtId="3" fontId="29" fillId="0" borderId="55" xfId="1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72" fillId="0" borderId="0" xfId="0" applyFont="1"/>
    <xf numFmtId="0" fontId="75" fillId="9" borderId="0" xfId="0" applyFont="1" applyFill="1" applyAlignment="1">
      <alignment horizontal="center" vertical="center"/>
    </xf>
    <xf numFmtId="165" fontId="72" fillId="0" borderId="0" xfId="2" applyNumberFormat="1" applyFont="1"/>
    <xf numFmtId="3" fontId="72" fillId="0" borderId="0" xfId="0" applyNumberFormat="1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0" fontId="77" fillId="15" borderId="9" xfId="1" applyFont="1" applyFill="1" applyBorder="1" applyAlignment="1">
      <alignment vertical="center"/>
    </xf>
    <xf numFmtId="3" fontId="77" fillId="15" borderId="9" xfId="1" applyNumberFormat="1" applyFont="1" applyFill="1" applyBorder="1" applyAlignment="1">
      <alignment horizontal="center" vertical="center"/>
    </xf>
    <xf numFmtId="0" fontId="80" fillId="0" borderId="9" xfId="1" applyFont="1" applyBorder="1" applyAlignment="1">
      <alignment horizontal="center" vertical="center" wrapText="1"/>
    </xf>
    <xf numFmtId="0" fontId="77" fillId="16" borderId="29" xfId="1" applyFont="1" applyFill="1" applyBorder="1" applyAlignment="1">
      <alignment horizontal="center" vertical="center"/>
    </xf>
    <xf numFmtId="4" fontId="77" fillId="16" borderId="29" xfId="1" applyNumberFormat="1" applyFont="1" applyFill="1" applyBorder="1" applyAlignment="1">
      <alignment horizontal="center" vertical="center"/>
    </xf>
    <xf numFmtId="3" fontId="80" fillId="16" borderId="29" xfId="1" applyNumberFormat="1" applyFont="1" applyFill="1" applyBorder="1" applyAlignment="1">
      <alignment horizontal="center" vertical="center"/>
    </xf>
    <xf numFmtId="3" fontId="79" fillId="16" borderId="29" xfId="1" applyNumberFormat="1" applyFont="1" applyFill="1" applyBorder="1" applyAlignment="1">
      <alignment horizontal="center" vertical="center"/>
    </xf>
    <xf numFmtId="3" fontId="80" fillId="16" borderId="29" xfId="1" applyNumberFormat="1" applyFont="1" applyFill="1" applyBorder="1" applyAlignment="1">
      <alignment horizontal="center" vertical="center" wrapText="1"/>
    </xf>
    <xf numFmtId="165" fontId="80" fillId="0" borderId="16" xfId="2" applyNumberFormat="1" applyFont="1" applyFill="1" applyBorder="1" applyAlignment="1">
      <alignment horizontal="center" vertical="center"/>
    </xf>
    <xf numFmtId="165" fontId="80" fillId="0" borderId="9" xfId="2" applyNumberFormat="1" applyFont="1" applyFill="1" applyBorder="1" applyAlignment="1">
      <alignment horizontal="center" vertical="center"/>
    </xf>
    <xf numFmtId="0" fontId="80" fillId="0" borderId="9" xfId="1" applyFont="1" applyBorder="1" applyAlignment="1">
      <alignment horizontal="center" vertical="center"/>
    </xf>
    <xf numFmtId="0" fontId="80" fillId="0" borderId="0" xfId="1" applyFont="1" applyAlignment="1">
      <alignment vertical="center"/>
    </xf>
    <xf numFmtId="3" fontId="80" fillId="0" borderId="29" xfId="1" applyNumberFormat="1" applyFont="1" applyBorder="1" applyAlignment="1">
      <alignment horizontal="center" vertical="center"/>
    </xf>
    <xf numFmtId="0" fontId="80" fillId="0" borderId="29" xfId="1" applyFont="1" applyBorder="1" applyAlignment="1">
      <alignment horizontal="center" vertical="center"/>
    </xf>
    <xf numFmtId="4" fontId="80" fillId="0" borderId="29" xfId="1" applyNumberFormat="1" applyFont="1" applyBorder="1" applyAlignment="1">
      <alignment horizontal="center" vertical="center"/>
    </xf>
    <xf numFmtId="3" fontId="79" fillId="0" borderId="29" xfId="1" applyNumberFormat="1" applyFont="1" applyBorder="1" applyAlignment="1">
      <alignment horizontal="center" vertical="center"/>
    </xf>
    <xf numFmtId="3" fontId="80" fillId="0" borderId="29" xfId="1" applyNumberFormat="1" applyFont="1" applyBorder="1" applyAlignment="1">
      <alignment horizontal="center" vertical="center" wrapText="1"/>
    </xf>
    <xf numFmtId="0" fontId="77" fillId="16" borderId="29" xfId="0" applyFont="1" applyFill="1" applyBorder="1" applyAlignment="1">
      <alignment horizontal="center" vertical="center"/>
    </xf>
    <xf numFmtId="3" fontId="80" fillId="16" borderId="29" xfId="2" applyNumberFormat="1" applyFont="1" applyFill="1" applyBorder="1" applyAlignment="1">
      <alignment horizontal="center" vertical="center"/>
    </xf>
    <xf numFmtId="3" fontId="77" fillId="16" borderId="29" xfId="1" applyNumberFormat="1" applyFont="1" applyFill="1" applyBorder="1" applyAlignment="1">
      <alignment horizontal="center" vertical="center"/>
    </xf>
    <xf numFmtId="165" fontId="80" fillId="0" borderId="30" xfId="2" applyNumberFormat="1" applyFont="1" applyFill="1" applyBorder="1" applyAlignment="1">
      <alignment horizontal="center" vertical="center"/>
    </xf>
    <xf numFmtId="0" fontId="80" fillId="0" borderId="29" xfId="0" applyFont="1" applyBorder="1" applyAlignment="1">
      <alignment horizontal="center" vertical="center"/>
    </xf>
    <xf numFmtId="3" fontId="80" fillId="0" borderId="29" xfId="2" applyNumberFormat="1" applyFont="1" applyFill="1" applyBorder="1" applyAlignment="1">
      <alignment horizontal="center" vertical="center"/>
    </xf>
    <xf numFmtId="3" fontId="77" fillId="15" borderId="9" xfId="1" applyNumberFormat="1" applyFont="1" applyFill="1" applyBorder="1" applyAlignment="1">
      <alignment vertical="center"/>
    </xf>
    <xf numFmtId="165" fontId="77" fillId="15" borderId="16" xfId="1" quotePrefix="1" applyNumberFormat="1" applyFont="1" applyFill="1" applyBorder="1" applyAlignment="1">
      <alignment vertical="center" wrapText="1"/>
    </xf>
    <xf numFmtId="165" fontId="77" fillId="15" borderId="16" xfId="2" quotePrefix="1" applyNumberFormat="1" applyFont="1" applyFill="1" applyBorder="1" applyAlignment="1">
      <alignment vertical="center" wrapText="1"/>
    </xf>
    <xf numFmtId="0" fontId="80" fillId="0" borderId="16" xfId="1" applyFont="1" applyBorder="1" applyAlignment="1">
      <alignment horizontal="center" vertical="center"/>
    </xf>
    <xf numFmtId="0" fontId="80" fillId="0" borderId="9" xfId="1" applyFont="1" applyBorder="1" applyAlignment="1">
      <alignment vertical="center"/>
    </xf>
    <xf numFmtId="0" fontId="81" fillId="0" borderId="9" xfId="1" applyFont="1" applyBorder="1" applyAlignment="1">
      <alignment horizontal="center" vertical="center"/>
    </xf>
    <xf numFmtId="0" fontId="80" fillId="0" borderId="0" xfId="1" applyFont="1" applyAlignment="1">
      <alignment horizontal="center" vertical="center"/>
    </xf>
    <xf numFmtId="14" fontId="77" fillId="0" borderId="9" xfId="1" applyNumberFormat="1" applyFont="1" applyBorder="1" applyAlignment="1">
      <alignment horizontal="center" vertical="center"/>
    </xf>
    <xf numFmtId="14" fontId="77" fillId="0" borderId="9" xfId="1" quotePrefix="1" applyNumberFormat="1" applyFont="1" applyBorder="1" applyAlignment="1">
      <alignment horizontal="center" vertical="center"/>
    </xf>
    <xf numFmtId="0" fontId="81" fillId="0" borderId="29" xfId="0" applyFont="1" applyBorder="1" applyAlignment="1">
      <alignment horizontal="center" vertical="center"/>
    </xf>
    <xf numFmtId="3" fontId="81" fillId="0" borderId="29" xfId="2" applyNumberFormat="1" applyFont="1" applyFill="1" applyBorder="1" applyAlignment="1">
      <alignment horizontal="center" vertical="center"/>
    </xf>
    <xf numFmtId="3" fontId="80" fillId="0" borderId="0" xfId="1" applyNumberFormat="1" applyFont="1" applyAlignment="1">
      <alignment horizontal="center" vertical="center"/>
    </xf>
    <xf numFmtId="165" fontId="80" fillId="0" borderId="0" xfId="2" applyNumberFormat="1" applyFont="1" applyFill="1" applyAlignment="1">
      <alignment horizontal="center" vertical="center"/>
    </xf>
    <xf numFmtId="165" fontId="80" fillId="0" borderId="0" xfId="1" applyNumberFormat="1" applyFont="1" applyAlignment="1">
      <alignment horizontal="center" vertical="center"/>
    </xf>
    <xf numFmtId="0" fontId="80" fillId="0" borderId="7" xfId="0" applyFont="1" applyBorder="1" applyAlignment="1">
      <alignment horizontal="center" vertical="center"/>
    </xf>
    <xf numFmtId="0" fontId="80" fillId="0" borderId="7" xfId="1" applyFont="1" applyBorder="1" applyAlignment="1">
      <alignment horizontal="center" vertical="center"/>
    </xf>
    <xf numFmtId="4" fontId="80" fillId="0" borderId="7" xfId="1" applyNumberFormat="1" applyFont="1" applyBorder="1" applyAlignment="1">
      <alignment horizontal="center" vertical="center"/>
    </xf>
    <xf numFmtId="0" fontId="79" fillId="5" borderId="7" xfId="1" applyFont="1" applyFill="1" applyBorder="1" applyAlignment="1">
      <alignment horizontal="center" vertical="center" wrapText="1"/>
    </xf>
    <xf numFmtId="3" fontId="80" fillId="0" borderId="7" xfId="2" applyNumberFormat="1" applyFont="1" applyFill="1" applyBorder="1" applyAlignment="1">
      <alignment horizontal="center" vertical="center"/>
    </xf>
    <xf numFmtId="3" fontId="80" fillId="0" borderId="7" xfId="1" applyNumberFormat="1" applyFont="1" applyBorder="1" applyAlignment="1">
      <alignment horizontal="center" vertical="center"/>
    </xf>
    <xf numFmtId="3" fontId="80" fillId="0" borderId="7" xfId="1" applyNumberFormat="1" applyFont="1" applyBorder="1" applyAlignment="1">
      <alignment horizontal="center" vertical="center" wrapText="1"/>
    </xf>
    <xf numFmtId="3" fontId="79" fillId="0" borderId="7" xfId="1" applyNumberFormat="1" applyFont="1" applyBorder="1" applyAlignment="1">
      <alignment horizontal="center" vertical="center"/>
    </xf>
    <xf numFmtId="3" fontId="79" fillId="0" borderId="9" xfId="1" applyNumberFormat="1" applyFont="1" applyBorder="1" applyAlignment="1">
      <alignment horizontal="center" vertical="center"/>
    </xf>
    <xf numFmtId="0" fontId="57" fillId="9" borderId="9" xfId="0" applyFont="1" applyFill="1" applyBorder="1" applyAlignment="1">
      <alignment horizontal="center"/>
    </xf>
    <xf numFmtId="0" fontId="57" fillId="17" borderId="9" xfId="0" applyFont="1" applyFill="1" applyBorder="1" applyAlignment="1">
      <alignment horizontal="center"/>
    </xf>
    <xf numFmtId="0" fontId="57" fillId="6" borderId="9" xfId="0" applyFont="1" applyFill="1" applyBorder="1" applyAlignment="1">
      <alignment horizontal="center"/>
    </xf>
    <xf numFmtId="0" fontId="57" fillId="9" borderId="4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3" fontId="79" fillId="16" borderId="29" xfId="1" quotePrefix="1" applyNumberFormat="1" applyFont="1" applyFill="1" applyBorder="1" applyAlignment="1">
      <alignment horizontal="center" vertical="center"/>
    </xf>
    <xf numFmtId="0" fontId="79" fillId="5" borderId="9" xfId="1" applyFont="1" applyFill="1" applyBorder="1" applyAlignment="1">
      <alignment horizontal="center" vertical="center" wrapText="1"/>
    </xf>
    <xf numFmtId="3" fontId="79" fillId="16" borderId="29" xfId="1" applyNumberFormat="1" applyFont="1" applyFill="1" applyBorder="1" applyAlignment="1">
      <alignment horizontal="center" vertical="center" wrapText="1"/>
    </xf>
    <xf numFmtId="0" fontId="85" fillId="16" borderId="29" xfId="0" applyFont="1" applyFill="1" applyBorder="1" applyAlignment="1">
      <alignment horizontal="center" vertical="center"/>
    </xf>
    <xf numFmtId="3" fontId="81" fillId="16" borderId="29" xfId="2" applyNumberFormat="1" applyFont="1" applyFill="1" applyBorder="1" applyAlignment="1">
      <alignment horizontal="center" vertical="center"/>
    </xf>
    <xf numFmtId="0" fontId="80" fillId="9" borderId="29" xfId="0" applyFont="1" applyFill="1" applyBorder="1" applyAlignment="1">
      <alignment horizontal="center" vertical="center"/>
    </xf>
    <xf numFmtId="3" fontId="79" fillId="5" borderId="9" xfId="1" quotePrefix="1" applyNumberFormat="1" applyFont="1" applyFill="1" applyBorder="1" applyAlignment="1">
      <alignment horizontal="center" vertical="center"/>
    </xf>
    <xf numFmtId="0" fontId="77" fillId="5" borderId="9" xfId="1" applyFont="1" applyFill="1" applyBorder="1" applyAlignment="1">
      <alignment horizontal="center" vertical="center" wrapText="1"/>
    </xf>
    <xf numFmtId="3" fontId="77" fillId="5" borderId="9" xfId="1" quotePrefix="1" applyNumberFormat="1" applyFont="1" applyFill="1" applyBorder="1" applyAlignment="1">
      <alignment horizontal="center" vertical="center"/>
    </xf>
    <xf numFmtId="0" fontId="77" fillId="5" borderId="9" xfId="1" applyFont="1" applyFill="1" applyBorder="1" applyAlignment="1">
      <alignment horizontal="center" vertical="center"/>
    </xf>
    <xf numFmtId="0" fontId="77" fillId="6" borderId="9" xfId="1" applyFont="1" applyFill="1" applyBorder="1" applyAlignment="1">
      <alignment horizontal="center" vertical="center" wrapText="1"/>
    </xf>
    <xf numFmtId="3" fontId="77" fillId="6" borderId="9" xfId="1" quotePrefix="1" applyNumberFormat="1" applyFont="1" applyFill="1" applyBorder="1" applyAlignment="1">
      <alignment horizontal="center" vertical="center"/>
    </xf>
    <xf numFmtId="0" fontId="79" fillId="5" borderId="9" xfId="1" applyFont="1" applyFill="1" applyBorder="1" applyAlignment="1">
      <alignment horizontal="center" vertical="center"/>
    </xf>
    <xf numFmtId="3" fontId="79" fillId="16" borderId="9" xfId="1" applyNumberFormat="1" applyFont="1" applyFill="1" applyBorder="1" applyAlignment="1">
      <alignment horizontal="center" vertical="center"/>
    </xf>
    <xf numFmtId="3" fontId="79" fillId="5" borderId="9" xfId="1" quotePrefix="1" applyNumberFormat="1" applyFont="1" applyFill="1" applyBorder="1" applyAlignment="1">
      <alignment horizontal="center" vertical="center" wrapText="1"/>
    </xf>
    <xf numFmtId="0" fontId="85" fillId="5" borderId="9" xfId="1" applyFont="1" applyFill="1" applyBorder="1" applyAlignment="1">
      <alignment horizontal="center" vertical="center"/>
    </xf>
    <xf numFmtId="0" fontId="85" fillId="5" borderId="9" xfId="1" applyFont="1" applyFill="1" applyBorder="1" applyAlignment="1">
      <alignment horizontal="center" vertical="center" wrapText="1"/>
    </xf>
    <xf numFmtId="0" fontId="77" fillId="16" borderId="9" xfId="0" applyFont="1" applyFill="1" applyBorder="1" applyAlignment="1">
      <alignment horizontal="center" vertical="center"/>
    </xf>
    <xf numFmtId="0" fontId="77" fillId="16" borderId="9" xfId="1" applyFont="1" applyFill="1" applyBorder="1" applyAlignment="1">
      <alignment horizontal="center" vertical="center"/>
    </xf>
    <xf numFmtId="4" fontId="77" fillId="16" borderId="9" xfId="1" applyNumberFormat="1" applyFont="1" applyFill="1" applyBorder="1" applyAlignment="1">
      <alignment horizontal="center" vertical="center"/>
    </xf>
    <xf numFmtId="3" fontId="80" fillId="16" borderId="9" xfId="2" applyNumberFormat="1" applyFont="1" applyFill="1" applyBorder="1" applyAlignment="1">
      <alignment horizontal="center" vertical="center"/>
    </xf>
    <xf numFmtId="3" fontId="80" fillId="16" borderId="9" xfId="1" applyNumberFormat="1" applyFont="1" applyFill="1" applyBorder="1" applyAlignment="1">
      <alignment horizontal="center" vertical="center"/>
    </xf>
    <xf numFmtId="3" fontId="80" fillId="16" borderId="9" xfId="1" applyNumberFormat="1" applyFont="1" applyFill="1" applyBorder="1" applyAlignment="1">
      <alignment horizontal="center" vertical="center" wrapText="1"/>
    </xf>
    <xf numFmtId="0" fontId="79" fillId="0" borderId="29" xfId="1" applyFont="1" applyBorder="1" applyAlignment="1">
      <alignment horizontal="center" vertical="center"/>
    </xf>
    <xf numFmtId="4" fontId="79" fillId="0" borderId="29" xfId="1" applyNumberFormat="1" applyFont="1" applyBorder="1" applyAlignment="1">
      <alignment horizontal="center" vertical="center"/>
    </xf>
    <xf numFmtId="0" fontId="80" fillId="0" borderId="43" xfId="0" applyFont="1" applyBorder="1" applyAlignment="1">
      <alignment horizontal="center" vertical="center"/>
    </xf>
    <xf numFmtId="0" fontId="80" fillId="0" borderId="43" xfId="1" applyFont="1" applyBorder="1" applyAlignment="1">
      <alignment horizontal="center" vertical="center"/>
    </xf>
    <xf numFmtId="4" fontId="80" fillId="0" borderId="43" xfId="1" applyNumberFormat="1" applyFont="1" applyBorder="1" applyAlignment="1">
      <alignment horizontal="center" vertical="center"/>
    </xf>
    <xf numFmtId="3" fontId="80" fillId="0" borderId="43" xfId="2" applyNumberFormat="1" applyFont="1" applyFill="1" applyBorder="1" applyAlignment="1">
      <alignment horizontal="center" vertical="center"/>
    </xf>
    <xf numFmtId="3" fontId="80" fillId="0" borderId="43" xfId="1" applyNumberFormat="1" applyFont="1" applyBorder="1" applyAlignment="1">
      <alignment horizontal="center" vertical="center"/>
    </xf>
    <xf numFmtId="3" fontId="79" fillId="0" borderId="43" xfId="1" applyNumberFormat="1" applyFont="1" applyBorder="1" applyAlignment="1">
      <alignment horizontal="center" vertical="center"/>
    </xf>
    <xf numFmtId="3" fontId="80" fillId="0" borderId="43" xfId="1" applyNumberFormat="1" applyFont="1" applyBorder="1" applyAlignment="1">
      <alignment horizontal="center" vertical="center" wrapText="1"/>
    </xf>
    <xf numFmtId="174" fontId="80" fillId="16" borderId="29" xfId="1" applyNumberFormat="1" applyFont="1" applyFill="1" applyBorder="1" applyAlignment="1">
      <alignment horizontal="center" vertical="center" wrapText="1"/>
    </xf>
    <xf numFmtId="174" fontId="80" fillId="0" borderId="29" xfId="1" applyNumberFormat="1" applyFont="1" applyBorder="1" applyAlignment="1">
      <alignment horizontal="center" vertical="center" wrapText="1"/>
    </xf>
    <xf numFmtId="174" fontId="80" fillId="0" borderId="7" xfId="1" applyNumberFormat="1" applyFont="1" applyBorder="1" applyAlignment="1">
      <alignment horizontal="center" vertical="center" wrapText="1"/>
    </xf>
    <xf numFmtId="174" fontId="80" fillId="16" borderId="9" xfId="1" applyNumberFormat="1" applyFont="1" applyFill="1" applyBorder="1" applyAlignment="1">
      <alignment horizontal="center" vertical="center" wrapText="1"/>
    </xf>
    <xf numFmtId="174" fontId="80" fillId="0" borderId="43" xfId="1" applyNumberFormat="1" applyFont="1" applyBorder="1" applyAlignment="1">
      <alignment horizontal="center" vertical="center" wrapText="1"/>
    </xf>
    <xf numFmtId="3" fontId="77" fillId="5" borderId="40" xfId="1" quotePrefix="1" applyNumberFormat="1" applyFont="1" applyFill="1" applyBorder="1" applyAlignment="1">
      <alignment horizontal="center" vertical="center"/>
    </xf>
    <xf numFmtId="14" fontId="77" fillId="0" borderId="53" xfId="1" applyNumberFormat="1" applyFont="1" applyBorder="1" applyAlignment="1">
      <alignment horizontal="center" vertical="center"/>
    </xf>
    <xf numFmtId="14" fontId="77" fillId="0" borderId="16" xfId="1" applyNumberFormat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 wrapText="1"/>
    </xf>
    <xf numFmtId="0" fontId="73" fillId="0" borderId="29" xfId="1" applyFont="1" applyBorder="1" applyAlignment="1">
      <alignment horizontal="center" vertical="center" wrapText="1"/>
    </xf>
    <xf numFmtId="0" fontId="77" fillId="0" borderId="9" xfId="1" applyFont="1" applyBorder="1" applyAlignment="1">
      <alignment horizontal="center" vertical="center"/>
    </xf>
    <xf numFmtId="0" fontId="77" fillId="0" borderId="9" xfId="1" applyFont="1" applyBorder="1" applyAlignment="1">
      <alignment horizontal="center" vertical="center" wrapText="1"/>
    </xf>
    <xf numFmtId="0" fontId="73" fillId="0" borderId="16" xfId="1" applyFont="1" applyBorder="1" applyAlignment="1">
      <alignment horizontal="center" vertical="center" wrapText="1"/>
    </xf>
    <xf numFmtId="0" fontId="73" fillId="9" borderId="16" xfId="1" applyFont="1" applyFill="1" applyBorder="1" applyAlignment="1">
      <alignment horizontal="center" vertical="center" wrapText="1"/>
    </xf>
    <xf numFmtId="0" fontId="77" fillId="0" borderId="16" xfId="1" applyFont="1" applyBorder="1" applyAlignment="1">
      <alignment horizontal="center" vertical="center" wrapText="1"/>
    </xf>
    <xf numFmtId="0" fontId="77" fillId="5" borderId="9" xfId="1" applyFont="1" applyFill="1" applyBorder="1" applyAlignment="1">
      <alignment horizontal="center" vertical="center"/>
    </xf>
    <xf numFmtId="0" fontId="77" fillId="15" borderId="55" xfId="1" applyFont="1" applyFill="1" applyBorder="1" applyAlignment="1">
      <alignment horizontal="center" vertical="center"/>
    </xf>
    <xf numFmtId="0" fontId="77" fillId="15" borderId="34" xfId="1" applyFont="1" applyFill="1" applyBorder="1" applyAlignment="1">
      <alignment horizontal="center" vertical="center"/>
    </xf>
    <xf numFmtId="0" fontId="77" fillId="15" borderId="16" xfId="1" applyFont="1" applyFill="1" applyBorder="1" applyAlignment="1">
      <alignment horizontal="center" vertical="center"/>
    </xf>
    <xf numFmtId="0" fontId="77" fillId="5" borderId="40" xfId="1" applyFont="1" applyFill="1" applyBorder="1" applyAlignment="1">
      <alignment horizontal="center" vertical="center"/>
    </xf>
    <xf numFmtId="0" fontId="77" fillId="5" borderId="43" xfId="1" applyFont="1" applyFill="1" applyBorder="1" applyAlignment="1">
      <alignment horizontal="center" vertical="center"/>
    </xf>
    <xf numFmtId="0" fontId="77" fillId="0" borderId="53" xfId="1" applyFont="1" applyBorder="1" applyAlignment="1">
      <alignment horizontal="center" vertical="center"/>
    </xf>
    <xf numFmtId="0" fontId="77" fillId="0" borderId="54" xfId="1" applyFont="1" applyBorder="1" applyAlignment="1">
      <alignment horizontal="center" vertical="center"/>
    </xf>
    <xf numFmtId="0" fontId="77" fillId="0" borderId="23" xfId="1" applyFont="1" applyBorder="1" applyAlignment="1">
      <alignment horizontal="center" vertical="center"/>
    </xf>
    <xf numFmtId="0" fontId="77" fillId="0" borderId="0" xfId="1" applyFont="1" applyAlignment="1">
      <alignment horizontal="center" vertical="center"/>
    </xf>
    <xf numFmtId="0" fontId="77" fillId="0" borderId="46" xfId="1" applyFont="1" applyBorder="1" applyAlignment="1">
      <alignment horizontal="center" vertical="center"/>
    </xf>
    <xf numFmtId="0" fontId="77" fillId="0" borderId="13" xfId="1" applyFont="1" applyBorder="1" applyAlignment="1">
      <alignment horizontal="center" vertical="center"/>
    </xf>
    <xf numFmtId="0" fontId="83" fillId="0" borderId="53" xfId="1" applyFont="1" applyBorder="1" applyAlignment="1">
      <alignment horizontal="center" vertical="center" wrapText="1"/>
    </xf>
    <xf numFmtId="0" fontId="83" fillId="0" borderId="54" xfId="1" applyFont="1" applyBorder="1" applyAlignment="1">
      <alignment horizontal="center" vertical="center" wrapText="1"/>
    </xf>
    <xf numFmtId="0" fontId="83" fillId="0" borderId="23" xfId="1" applyFont="1" applyBorder="1" applyAlignment="1">
      <alignment horizontal="center" vertical="center" wrapText="1"/>
    </xf>
    <xf numFmtId="0" fontId="83" fillId="0" borderId="0" xfId="1" applyFont="1" applyAlignment="1">
      <alignment horizontal="center" vertical="center" wrapText="1"/>
    </xf>
    <xf numFmtId="0" fontId="73" fillId="5" borderId="15" xfId="1" applyFont="1" applyFill="1" applyBorder="1" applyAlignment="1">
      <alignment horizontal="center" vertical="center" wrapText="1"/>
    </xf>
    <xf numFmtId="0" fontId="73" fillId="5" borderId="29" xfId="1" applyFont="1" applyFill="1" applyBorder="1" applyAlignment="1">
      <alignment horizontal="center" vertical="center" wrapText="1"/>
    </xf>
    <xf numFmtId="0" fontId="79" fillId="5" borderId="9" xfId="1" applyFont="1" applyFill="1" applyBorder="1" applyAlignment="1">
      <alignment horizontal="center" vertical="center"/>
    </xf>
    <xf numFmtId="0" fontId="77" fillId="5" borderId="9" xfId="1" applyFont="1" applyFill="1" applyBorder="1" applyAlignment="1">
      <alignment horizontal="center" vertical="center" wrapText="1"/>
    </xf>
    <xf numFmtId="0" fontId="27" fillId="0" borderId="55" xfId="1" applyFont="1" applyBorder="1" applyAlignment="1">
      <alignment horizontal="center" vertical="center"/>
    </xf>
    <xf numFmtId="0" fontId="27" fillId="0" borderId="34" xfId="1" applyFont="1" applyBorder="1" applyAlignment="1">
      <alignment horizontal="center" vertical="center"/>
    </xf>
    <xf numFmtId="14" fontId="2" fillId="0" borderId="0" xfId="1" applyNumberFormat="1" applyFont="1" applyAlignment="1">
      <alignment horizontal="left"/>
    </xf>
    <xf numFmtId="0" fontId="8" fillId="0" borderId="4" xfId="1" applyFont="1" applyBorder="1" applyAlignment="1">
      <alignment horizontal="left" vertical="top"/>
    </xf>
    <xf numFmtId="0" fontId="8" fillId="0" borderId="5" xfId="1" applyFont="1" applyBorder="1" applyAlignment="1">
      <alignment horizontal="left" vertical="top"/>
    </xf>
    <xf numFmtId="0" fontId="8" fillId="0" borderId="8" xfId="1" applyFont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11" xfId="1" applyFont="1" applyBorder="1" applyAlignment="1">
      <alignment horizontal="left" vertical="top"/>
    </xf>
    <xf numFmtId="0" fontId="8" fillId="0" borderId="12" xfId="1" applyFont="1" applyBorder="1" applyAlignment="1">
      <alignment horizontal="left" vertical="top"/>
    </xf>
    <xf numFmtId="0" fontId="3" fillId="0" borderId="2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47" xfId="1" applyFont="1" applyBorder="1" applyAlignment="1">
      <alignment horizontal="center" vertical="center" wrapText="1"/>
    </xf>
    <xf numFmtId="0" fontId="6" fillId="0" borderId="56" xfId="1" applyFont="1" applyBorder="1" applyAlignment="1">
      <alignment horizontal="center" vertical="center" wrapText="1"/>
    </xf>
    <xf numFmtId="0" fontId="6" fillId="0" borderId="59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6" fillId="0" borderId="46" xfId="1" applyFont="1" applyBorder="1" applyAlignment="1">
      <alignment horizontal="center" vertical="center" wrapText="1"/>
    </xf>
    <xf numFmtId="0" fontId="16" fillId="6" borderId="15" xfId="1" applyFont="1" applyFill="1" applyBorder="1" applyAlignment="1">
      <alignment horizontal="center" vertical="center"/>
    </xf>
    <xf numFmtId="0" fontId="16" fillId="6" borderId="40" xfId="1" applyFont="1" applyFill="1" applyBorder="1" applyAlignment="1">
      <alignment horizontal="center" vertical="center"/>
    </xf>
    <xf numFmtId="0" fontId="16" fillId="6" borderId="29" xfId="1" applyFont="1" applyFill="1" applyBorder="1" applyAlignment="1">
      <alignment horizontal="center" vertical="center"/>
    </xf>
    <xf numFmtId="0" fontId="4" fillId="6" borderId="15" xfId="1" quotePrefix="1" applyFont="1" applyFill="1" applyBorder="1" applyAlignment="1">
      <alignment horizontal="center" vertical="center"/>
    </xf>
    <xf numFmtId="0" fontId="4" fillId="6" borderId="29" xfId="1" quotePrefix="1" applyFont="1" applyFill="1" applyBorder="1" applyAlignment="1">
      <alignment horizontal="center" vertical="center"/>
    </xf>
    <xf numFmtId="0" fontId="4" fillId="6" borderId="40" xfId="1" quotePrefix="1" applyFont="1" applyFill="1" applyBorder="1" applyAlignment="1">
      <alignment horizontal="center" vertical="center"/>
    </xf>
    <xf numFmtId="0" fontId="21" fillId="0" borderId="48" xfId="1" applyFont="1" applyBorder="1" applyAlignment="1">
      <alignment horizontal="center" vertical="center"/>
    </xf>
    <xf numFmtId="0" fontId="21" fillId="0" borderId="49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4" fillId="5" borderId="40" xfId="1" applyFont="1" applyFill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6" borderId="15" xfId="1" applyFont="1" applyFill="1" applyBorder="1" applyAlignment="1">
      <alignment horizontal="center" vertical="center" wrapText="1"/>
    </xf>
    <xf numFmtId="0" fontId="4" fillId="6" borderId="29" xfId="1" applyFont="1" applyFill="1" applyBorder="1" applyAlignment="1">
      <alignment horizontal="center" vertical="center" wrapText="1"/>
    </xf>
    <xf numFmtId="0" fontId="4" fillId="6" borderId="15" xfId="1" applyFont="1" applyFill="1" applyBorder="1" applyAlignment="1">
      <alignment horizontal="center" vertical="center"/>
    </xf>
    <xf numFmtId="0" fontId="4" fillId="6" borderId="40" xfId="1" applyFont="1" applyFill="1" applyBorder="1" applyAlignment="1">
      <alignment horizontal="center" vertical="center"/>
    </xf>
    <xf numFmtId="0" fontId="4" fillId="6" borderId="29" xfId="1" applyFont="1" applyFill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3" fontId="4" fillId="5" borderId="40" xfId="1" quotePrefix="1" applyNumberFormat="1" applyFont="1" applyFill="1" applyBorder="1" applyAlignment="1">
      <alignment horizontal="center" vertical="center"/>
    </xf>
    <xf numFmtId="3" fontId="4" fillId="5" borderId="29" xfId="1" quotePrefix="1" applyNumberFormat="1" applyFont="1" applyFill="1" applyBorder="1" applyAlignment="1">
      <alignment horizontal="center" vertical="center"/>
    </xf>
    <xf numFmtId="3" fontId="4" fillId="5" borderId="15" xfId="1" quotePrefix="1" applyNumberFormat="1" applyFont="1" applyFill="1" applyBorder="1" applyAlignment="1">
      <alignment horizontal="center" vertical="center"/>
    </xf>
    <xf numFmtId="0" fontId="4" fillId="5" borderId="40" xfId="1" quotePrefix="1" applyFont="1" applyFill="1" applyBorder="1" applyAlignment="1">
      <alignment horizontal="center" vertical="center" wrapText="1"/>
    </xf>
    <xf numFmtId="0" fontId="4" fillId="5" borderId="29" xfId="1" quotePrefix="1" applyFont="1" applyFill="1" applyBorder="1" applyAlignment="1">
      <alignment horizontal="center" vertical="center" wrapText="1"/>
    </xf>
    <xf numFmtId="0" fontId="4" fillId="5" borderId="15" xfId="1" quotePrefix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29" xfId="1" applyFont="1" applyFill="1" applyBorder="1" applyAlignment="1">
      <alignment horizontal="center" vertical="center" wrapText="1"/>
    </xf>
    <xf numFmtId="0" fontId="26" fillId="0" borderId="15" xfId="1" applyFont="1" applyBorder="1" applyAlignment="1">
      <alignment horizontal="center" vertical="center" wrapText="1"/>
    </xf>
    <xf numFmtId="0" fontId="26" fillId="0" borderId="29" xfId="1" applyFont="1" applyBorder="1" applyAlignment="1">
      <alignment horizontal="center" vertical="center" wrapText="1"/>
    </xf>
    <xf numFmtId="0" fontId="26" fillId="0" borderId="53" xfId="1" applyFont="1" applyBorder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14" xfId="1" applyFont="1" applyBorder="1" applyAlignment="1">
      <alignment horizontal="center" vertical="center" wrapText="1"/>
    </xf>
    <xf numFmtId="0" fontId="26" fillId="0" borderId="46" xfId="1" applyFont="1" applyBorder="1" applyAlignment="1">
      <alignment horizontal="center" vertical="center" wrapText="1"/>
    </xf>
    <xf numFmtId="0" fontId="26" fillId="0" borderId="13" xfId="1" applyFont="1" applyBorder="1" applyAlignment="1">
      <alignment horizontal="center" vertical="center" wrapText="1"/>
    </xf>
    <xf numFmtId="0" fontId="26" fillId="0" borderId="30" xfId="1" applyFont="1" applyBorder="1" applyAlignment="1">
      <alignment horizontal="center" vertical="center" wrapText="1"/>
    </xf>
    <xf numFmtId="0" fontId="31" fillId="0" borderId="53" xfId="1" applyFont="1" applyBorder="1" applyAlignment="1">
      <alignment horizontal="center" vertical="center" wrapText="1"/>
    </xf>
    <xf numFmtId="0" fontId="31" fillId="0" borderId="54" xfId="1" applyFont="1" applyBorder="1" applyAlignment="1">
      <alignment horizontal="center" vertical="center" wrapText="1"/>
    </xf>
    <xf numFmtId="0" fontId="31" fillId="0" borderId="14" xfId="1" applyFont="1" applyBorder="1" applyAlignment="1">
      <alignment horizontal="center" vertical="center" wrapText="1"/>
    </xf>
    <xf numFmtId="0" fontId="31" fillId="0" borderId="23" xfId="1" applyFont="1" applyBorder="1" applyAlignment="1">
      <alignment horizontal="center" vertical="center" wrapText="1"/>
    </xf>
    <xf numFmtId="0" fontId="31" fillId="0" borderId="0" xfId="1" applyFont="1" applyAlignment="1">
      <alignment horizontal="center" vertical="center" wrapText="1"/>
    </xf>
    <xf numFmtId="0" fontId="31" fillId="0" borderId="45" xfId="1" applyFont="1" applyBorder="1" applyAlignment="1">
      <alignment horizontal="center" vertical="center" wrapText="1"/>
    </xf>
    <xf numFmtId="14" fontId="24" fillId="0" borderId="9" xfId="1" applyNumberFormat="1" applyFont="1" applyBorder="1" applyAlignment="1">
      <alignment horizontal="center" vertical="center"/>
    </xf>
    <xf numFmtId="14" fontId="55" fillId="0" borderId="9" xfId="1" applyNumberFormat="1" applyFont="1" applyBorder="1" applyAlignment="1">
      <alignment horizontal="center" vertical="center"/>
    </xf>
    <xf numFmtId="0" fontId="56" fillId="0" borderId="46" xfId="1" applyFont="1" applyBorder="1" applyAlignment="1">
      <alignment horizontal="left" vertical="center" wrapText="1"/>
    </xf>
    <xf numFmtId="0" fontId="56" fillId="0" borderId="13" xfId="1" applyFont="1" applyBorder="1" applyAlignment="1">
      <alignment horizontal="left" vertical="center" wrapText="1"/>
    </xf>
    <xf numFmtId="3" fontId="25" fillId="4" borderId="55" xfId="1" applyNumberFormat="1" applyFont="1" applyFill="1" applyBorder="1" applyAlignment="1">
      <alignment horizontal="center" vertical="center" wrapText="1"/>
    </xf>
    <xf numFmtId="3" fontId="25" fillId="4" borderId="34" xfId="1" applyNumberFormat="1" applyFont="1" applyFill="1" applyBorder="1" applyAlignment="1">
      <alignment horizontal="center" vertical="center"/>
    </xf>
    <xf numFmtId="3" fontId="25" fillId="4" borderId="16" xfId="1" applyNumberFormat="1" applyFont="1" applyFill="1" applyBorder="1" applyAlignment="1">
      <alignment horizontal="center" vertical="center"/>
    </xf>
    <xf numFmtId="3" fontId="25" fillId="0" borderId="55" xfId="1" applyNumberFormat="1" applyFont="1" applyBorder="1" applyAlignment="1">
      <alignment horizontal="center" vertical="center" wrapText="1"/>
    </xf>
    <xf numFmtId="3" fontId="25" fillId="0" borderId="34" xfId="1" applyNumberFormat="1" applyFont="1" applyBorder="1" applyAlignment="1">
      <alignment horizontal="center" vertical="center"/>
    </xf>
    <xf numFmtId="3" fontId="25" fillId="0" borderId="16" xfId="1" applyNumberFormat="1" applyFont="1" applyBorder="1" applyAlignment="1">
      <alignment horizontal="center" vertical="center"/>
    </xf>
    <xf numFmtId="3" fontId="25" fillId="0" borderId="55" xfId="1" applyNumberFormat="1" applyFont="1" applyBorder="1" applyAlignment="1">
      <alignment horizontal="center" vertical="center"/>
    </xf>
    <xf numFmtId="3" fontId="29" fillId="0" borderId="55" xfId="1" applyNumberFormat="1" applyFont="1" applyBorder="1" applyAlignment="1">
      <alignment horizontal="center" vertical="center"/>
    </xf>
    <xf numFmtId="3" fontId="29" fillId="0" borderId="34" xfId="1" applyNumberFormat="1" applyFont="1" applyBorder="1" applyAlignment="1">
      <alignment horizontal="center" vertical="center"/>
    </xf>
    <xf numFmtId="3" fontId="29" fillId="0" borderId="16" xfId="1" applyNumberFormat="1" applyFont="1" applyBorder="1" applyAlignment="1">
      <alignment horizontal="center" vertical="center"/>
    </xf>
    <xf numFmtId="3" fontId="25" fillId="0" borderId="34" xfId="1" applyNumberFormat="1" applyFont="1" applyBorder="1" applyAlignment="1">
      <alignment horizontal="center" vertical="center" wrapText="1"/>
    </xf>
    <xf numFmtId="3" fontId="25" fillId="0" borderId="16" xfId="1" applyNumberFormat="1" applyFont="1" applyBorder="1" applyAlignment="1">
      <alignment horizontal="center" vertical="center" wrapText="1"/>
    </xf>
    <xf numFmtId="3" fontId="25" fillId="4" borderId="55" xfId="1" applyNumberFormat="1" applyFont="1" applyFill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3" fontId="25" fillId="14" borderId="55" xfId="1" applyNumberFormat="1" applyFont="1" applyFill="1" applyBorder="1" applyAlignment="1">
      <alignment horizontal="center" vertical="center" wrapText="1"/>
    </xf>
    <xf numFmtId="3" fontId="25" fillId="14" borderId="34" xfId="1" applyNumberFormat="1" applyFont="1" applyFill="1" applyBorder="1" applyAlignment="1">
      <alignment horizontal="center" vertical="center"/>
    </xf>
    <xf numFmtId="3" fontId="25" fillId="14" borderId="16" xfId="1" applyNumberFormat="1" applyFont="1" applyFill="1" applyBorder="1" applyAlignment="1">
      <alignment horizontal="center" vertical="center"/>
    </xf>
    <xf numFmtId="3" fontId="25" fillId="14" borderId="55" xfId="1" applyNumberFormat="1" applyFont="1" applyFill="1" applyBorder="1" applyAlignment="1">
      <alignment horizontal="center" vertical="center"/>
    </xf>
    <xf numFmtId="3" fontId="25" fillId="9" borderId="55" xfId="1" applyNumberFormat="1" applyFont="1" applyFill="1" applyBorder="1" applyAlignment="1">
      <alignment horizontal="center" vertical="center"/>
    </xf>
    <xf numFmtId="3" fontId="25" fillId="9" borderId="34" xfId="1" applyNumberFormat="1" applyFont="1" applyFill="1" applyBorder="1" applyAlignment="1">
      <alignment horizontal="center" vertical="center"/>
    </xf>
    <xf numFmtId="3" fontId="25" fillId="9" borderId="16" xfId="1" applyNumberFormat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38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4" fillId="5" borderId="15" xfId="1" applyFont="1" applyFill="1" applyBorder="1" applyAlignment="1">
      <alignment horizontal="center" vertical="center" wrapText="1"/>
    </xf>
    <xf numFmtId="0" fontId="4" fillId="5" borderId="29" xfId="1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textRotation="90" wrapText="1"/>
    </xf>
    <xf numFmtId="0" fontId="34" fillId="0" borderId="43" xfId="0" applyFont="1" applyBorder="1" applyAlignment="1">
      <alignment horizontal="center" vertical="center" textRotation="90"/>
    </xf>
    <xf numFmtId="0" fontId="35" fillId="9" borderId="27" xfId="0" applyFont="1" applyFill="1" applyBorder="1" applyAlignment="1">
      <alignment horizontal="center" vertical="center" textRotation="90" wrapText="1"/>
    </xf>
    <xf numFmtId="0" fontId="35" fillId="9" borderId="44" xfId="0" applyFont="1" applyFill="1" applyBorder="1" applyAlignment="1">
      <alignment horizontal="center" vertical="center" textRotation="90" wrapText="1"/>
    </xf>
    <xf numFmtId="0" fontId="34" fillId="0" borderId="25" xfId="0" applyFont="1" applyBorder="1" applyAlignment="1">
      <alignment horizontal="center" vertical="center" textRotation="90" wrapText="1"/>
    </xf>
    <xf numFmtId="0" fontId="34" fillId="0" borderId="52" xfId="0" applyFont="1" applyBorder="1" applyAlignment="1">
      <alignment horizontal="center" vertical="center" textRotation="90" wrapText="1"/>
    </xf>
    <xf numFmtId="0" fontId="34" fillId="0" borderId="43" xfId="0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 wrapText="1"/>
    </xf>
    <xf numFmtId="0" fontId="33" fillId="0" borderId="49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/>
    </xf>
    <xf numFmtId="0" fontId="33" fillId="0" borderId="49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10" borderId="48" xfId="0" applyFont="1" applyFill="1" applyBorder="1" applyAlignment="1">
      <alignment horizontal="center" vertical="center" wrapText="1"/>
    </xf>
    <xf numFmtId="0" fontId="33" fillId="10" borderId="49" xfId="0" applyFont="1" applyFill="1" applyBorder="1" applyAlignment="1">
      <alignment horizontal="center" vertical="center" wrapText="1"/>
    </xf>
    <xf numFmtId="0" fontId="35" fillId="10" borderId="27" xfId="0" applyFont="1" applyFill="1" applyBorder="1" applyAlignment="1">
      <alignment horizontal="center" vertical="center" textRotation="90" wrapText="1"/>
    </xf>
    <xf numFmtId="0" fontId="35" fillId="10" borderId="44" xfId="0" applyFont="1" applyFill="1" applyBorder="1" applyAlignment="1">
      <alignment horizontal="center" vertical="center" textRotation="90" wrapText="1"/>
    </xf>
    <xf numFmtId="0" fontId="34" fillId="0" borderId="26" xfId="0" applyFont="1" applyBorder="1" applyAlignment="1">
      <alignment horizontal="center" vertical="center" textRotation="90"/>
    </xf>
    <xf numFmtId="0" fontId="37" fillId="0" borderId="56" xfId="0" applyFont="1" applyBorder="1" applyAlignment="1">
      <alignment horizontal="center" vertical="center" wrapText="1"/>
    </xf>
    <xf numFmtId="0" fontId="37" fillId="0" borderId="57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textRotation="90" wrapText="1"/>
    </xf>
    <xf numFmtId="0" fontId="34" fillId="0" borderId="24" xfId="0" applyFont="1" applyBorder="1" applyAlignment="1">
      <alignment horizontal="center" vertical="center" textRotation="90" wrapText="1"/>
    </xf>
    <xf numFmtId="0" fontId="23" fillId="10" borderId="26" xfId="0" applyFont="1" applyFill="1" applyBorder="1" applyAlignment="1">
      <alignment horizontal="center" vertical="center" textRotation="90" wrapText="1"/>
    </xf>
    <xf numFmtId="0" fontId="23" fillId="10" borderId="43" xfId="0" applyFont="1" applyFill="1" applyBorder="1" applyAlignment="1">
      <alignment horizontal="center" vertical="center" textRotation="90" wrapText="1"/>
    </xf>
    <xf numFmtId="0" fontId="28" fillId="10" borderId="26" xfId="0" applyFont="1" applyFill="1" applyBorder="1" applyAlignment="1">
      <alignment horizontal="center" vertical="center" textRotation="90" wrapText="1"/>
    </xf>
    <xf numFmtId="0" fontId="28" fillId="10" borderId="43" xfId="0" applyFont="1" applyFill="1" applyBorder="1" applyAlignment="1">
      <alignment horizontal="center" vertical="center" textRotation="90" wrapText="1"/>
    </xf>
    <xf numFmtId="0" fontId="35" fillId="0" borderId="21" xfId="0" applyFont="1" applyBorder="1" applyAlignment="1">
      <alignment horizontal="center" vertical="center" textRotation="90" wrapText="1"/>
    </xf>
    <xf numFmtId="0" fontId="35" fillId="0" borderId="24" xfId="0" applyFont="1" applyBorder="1" applyAlignment="1">
      <alignment horizontal="center" vertical="center" textRotation="90" wrapText="1"/>
    </xf>
  </cellXfs>
  <cellStyles count="48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2" builtinId="3"/>
    <cellStyle name="Comma 2" xfId="4" xr:uid="{00000000-0005-0000-0000-00001D000000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2" xfId="1" xr:uid="{00000000-0005-0000-0000-000028000000}"/>
    <cellStyle name="Normal 2 2" xfId="47" xr:uid="{00000000-0005-0000-0000-000029000000}"/>
    <cellStyle name="Normal 4" xfId="5" xr:uid="{00000000-0005-0000-0000-00002A000000}"/>
    <cellStyle name="Note" xfId="20" builtinId="10" customBuiltin="1"/>
    <cellStyle name="Output" xfId="15" builtinId="21" customBuiltin="1"/>
    <cellStyle name="Percent 2" xfId="3" xr:uid="{00000000-0005-0000-0000-00002D000000}"/>
    <cellStyle name="Title" xfId="6" builtinId="15" customBuiltin="1"/>
    <cellStyle name="Total" xfId="22" builtinId="25" customBuiltin="1"/>
    <cellStyle name="Warning Text" xfId="19" builtinId="11" customBuiltin="1"/>
  </cellStyles>
  <dxfs count="42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568D2"/>
      <color rgb="FFCFAFE7"/>
      <color rgb="FF00FFFF"/>
      <color rgb="FFFF66FF"/>
      <color rgb="FF02E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55475</xdr:rowOff>
    </xdr:from>
    <xdr:to>
      <xdr:col>2</xdr:col>
      <xdr:colOff>1036550</xdr:colOff>
      <xdr:row>4</xdr:row>
      <xdr:rowOff>158084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6840D-BBCE-4821-BE72-A4900B3CD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706" y="823825"/>
          <a:ext cx="1763172" cy="102609"/>
        </a:xfrm>
        <a:prstGeom prst="rect">
          <a:avLst/>
        </a:prstGeom>
      </xdr:spPr>
    </xdr:pic>
    <xdr:clientData/>
  </xdr:twoCellAnchor>
  <xdr:oneCellAnchor>
    <xdr:from>
      <xdr:col>1</xdr:col>
      <xdr:colOff>462643</xdr:colOff>
      <xdr:row>1</xdr:row>
      <xdr:rowOff>131636</xdr:rowOff>
    </xdr:from>
    <xdr:ext cx="677080" cy="581212"/>
    <xdr:pic>
      <xdr:nvPicPr>
        <xdr:cNvPr id="3" name="Picture 2">
          <a:extLst>
            <a:ext uri="{FF2B5EF4-FFF2-40B4-BE49-F238E27FC236}">
              <a16:creationId xmlns:a16="http://schemas.microsoft.com/office/drawing/2014/main" id="{95D4DAC9-909E-4C54-AC03-AB6578B04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43" y="140707"/>
          <a:ext cx="677080" cy="5812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26148</xdr:colOff>
      <xdr:row>4</xdr:row>
      <xdr:rowOff>11208</xdr:rowOff>
    </xdr:from>
    <xdr:to>
      <xdr:col>1</xdr:col>
      <xdr:colOff>839133</xdr:colOff>
      <xdr:row>7</xdr:row>
      <xdr:rowOff>13822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48" y="1011333"/>
          <a:ext cx="1136835" cy="8312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31750</xdr:colOff>
      <xdr:row>16</xdr:row>
      <xdr:rowOff>301625</xdr:rowOff>
    </xdr:from>
    <xdr:to>
      <xdr:col>9</xdr:col>
      <xdr:colOff>460375</xdr:colOff>
      <xdr:row>17</xdr:row>
      <xdr:rowOff>127000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10445750" y="6334125"/>
          <a:ext cx="428625" cy="2381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20</xdr:col>
      <xdr:colOff>127000</xdr:colOff>
      <xdr:row>8</xdr:row>
      <xdr:rowOff>301626</xdr:rowOff>
    </xdr:from>
    <xdr:to>
      <xdr:col>22</xdr:col>
      <xdr:colOff>47625</xdr:colOff>
      <xdr:row>9</xdr:row>
      <xdr:rowOff>127000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16833850" y="3482976"/>
          <a:ext cx="415925" cy="244474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28</xdr:row>
      <xdr:rowOff>254000</xdr:rowOff>
    </xdr:from>
    <xdr:to>
      <xdr:col>9</xdr:col>
      <xdr:colOff>444500</xdr:colOff>
      <xdr:row>29</xdr:row>
      <xdr:rowOff>190499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10417175" y="11398250"/>
          <a:ext cx="428625" cy="355599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47625</xdr:colOff>
      <xdr:row>32</xdr:row>
      <xdr:rowOff>285750</xdr:rowOff>
    </xdr:from>
    <xdr:to>
      <xdr:col>9</xdr:col>
      <xdr:colOff>460375</xdr:colOff>
      <xdr:row>33</xdr:row>
      <xdr:rowOff>158750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/>
      </xdr:nvSpPr>
      <xdr:spPr>
        <a:xfrm>
          <a:off x="10461625" y="12922250"/>
          <a:ext cx="412750" cy="2857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63500</xdr:colOff>
      <xdr:row>15</xdr:row>
      <xdr:rowOff>317500</xdr:rowOff>
    </xdr:from>
    <xdr:to>
      <xdr:col>9</xdr:col>
      <xdr:colOff>492125</xdr:colOff>
      <xdr:row>16</xdr:row>
      <xdr:rowOff>142875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10464800" y="6432550"/>
          <a:ext cx="428625" cy="2444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20</xdr:col>
      <xdr:colOff>127000</xdr:colOff>
      <xdr:row>8</xdr:row>
      <xdr:rowOff>301626</xdr:rowOff>
    </xdr:from>
    <xdr:to>
      <xdr:col>22</xdr:col>
      <xdr:colOff>47625</xdr:colOff>
      <xdr:row>9</xdr:row>
      <xdr:rowOff>127000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16833850" y="3482976"/>
          <a:ext cx="415925" cy="244474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27</xdr:row>
      <xdr:rowOff>254000</xdr:rowOff>
    </xdr:from>
    <xdr:to>
      <xdr:col>9</xdr:col>
      <xdr:colOff>444500</xdr:colOff>
      <xdr:row>28</xdr:row>
      <xdr:rowOff>190499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10417175" y="11398250"/>
          <a:ext cx="428625" cy="355599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158750</xdr:colOff>
      <xdr:row>36</xdr:row>
      <xdr:rowOff>79375</xdr:rowOff>
    </xdr:from>
    <xdr:to>
      <xdr:col>15</xdr:col>
      <xdr:colOff>317500</xdr:colOff>
      <xdr:row>36</xdr:row>
      <xdr:rowOff>317500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14608175" y="14995525"/>
          <a:ext cx="406400" cy="2381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79375</xdr:colOff>
      <xdr:row>31</xdr:row>
      <xdr:rowOff>285750</xdr:rowOff>
    </xdr:from>
    <xdr:to>
      <xdr:col>9</xdr:col>
      <xdr:colOff>492125</xdr:colOff>
      <xdr:row>32</xdr:row>
      <xdr:rowOff>158750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SpPr/>
      </xdr:nvSpPr>
      <xdr:spPr>
        <a:xfrm>
          <a:off x="10480675" y="13106400"/>
          <a:ext cx="412750" cy="29210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63500</xdr:colOff>
      <xdr:row>15</xdr:row>
      <xdr:rowOff>317500</xdr:rowOff>
    </xdr:from>
    <xdr:to>
      <xdr:col>9</xdr:col>
      <xdr:colOff>492125</xdr:colOff>
      <xdr:row>16</xdr:row>
      <xdr:rowOff>142875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10477500" y="6350000"/>
          <a:ext cx="428625" cy="2381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20</xdr:col>
      <xdr:colOff>127000</xdr:colOff>
      <xdr:row>8</xdr:row>
      <xdr:rowOff>301626</xdr:rowOff>
    </xdr:from>
    <xdr:to>
      <xdr:col>22</xdr:col>
      <xdr:colOff>47625</xdr:colOff>
      <xdr:row>9</xdr:row>
      <xdr:rowOff>127000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16875125" y="3444876"/>
          <a:ext cx="428625" cy="238124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27</xdr:row>
      <xdr:rowOff>254000</xdr:rowOff>
    </xdr:from>
    <xdr:to>
      <xdr:col>9</xdr:col>
      <xdr:colOff>444500</xdr:colOff>
      <xdr:row>28</xdr:row>
      <xdr:rowOff>190499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10417175" y="11817350"/>
          <a:ext cx="428625" cy="355599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158750</xdr:colOff>
      <xdr:row>36</xdr:row>
      <xdr:rowOff>79375</xdr:rowOff>
    </xdr:from>
    <xdr:to>
      <xdr:col>15</xdr:col>
      <xdr:colOff>317500</xdr:colOff>
      <xdr:row>36</xdr:row>
      <xdr:rowOff>317500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/>
      </xdr:nvSpPr>
      <xdr:spPr>
        <a:xfrm>
          <a:off x="14608175" y="15414625"/>
          <a:ext cx="406400" cy="2381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79375</xdr:colOff>
      <xdr:row>31</xdr:row>
      <xdr:rowOff>285750</xdr:rowOff>
    </xdr:from>
    <xdr:to>
      <xdr:col>9</xdr:col>
      <xdr:colOff>492125</xdr:colOff>
      <xdr:row>32</xdr:row>
      <xdr:rowOff>158750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SpPr/>
      </xdr:nvSpPr>
      <xdr:spPr>
        <a:xfrm>
          <a:off x="10480675" y="13525500"/>
          <a:ext cx="412750" cy="29210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0</xdr:colOff>
      <xdr:row>12</xdr:row>
      <xdr:rowOff>222250</xdr:rowOff>
    </xdr:from>
    <xdr:to>
      <xdr:col>9</xdr:col>
      <xdr:colOff>428625</xdr:colOff>
      <xdr:row>13</xdr:row>
      <xdr:rowOff>206375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10414000" y="5016500"/>
          <a:ext cx="428625" cy="3968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18</xdr:col>
      <xdr:colOff>54742</xdr:colOff>
      <xdr:row>24</xdr:row>
      <xdr:rowOff>379107</xdr:rowOff>
    </xdr:from>
    <xdr:to>
      <xdr:col>19</xdr:col>
      <xdr:colOff>209000</xdr:colOff>
      <xdr:row>25</xdr:row>
      <xdr:rowOff>249002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 rot="180000">
          <a:off x="16294867" y="9713607"/>
          <a:ext cx="408258" cy="28264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18</xdr:col>
      <xdr:colOff>31750</xdr:colOff>
      <xdr:row>25</xdr:row>
      <xdr:rowOff>254000</xdr:rowOff>
    </xdr:from>
    <xdr:to>
      <xdr:col>19</xdr:col>
      <xdr:colOff>206375</xdr:colOff>
      <xdr:row>26</xdr:row>
      <xdr:rowOff>190499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16271875" y="10001250"/>
          <a:ext cx="428625" cy="349249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238125</xdr:colOff>
      <xdr:row>27</xdr:row>
      <xdr:rowOff>333375</xdr:rowOff>
    </xdr:from>
    <xdr:to>
      <xdr:col>19</xdr:col>
      <xdr:colOff>142875</xdr:colOff>
      <xdr:row>28</xdr:row>
      <xdr:rowOff>269875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>
          <a:off x="16224250" y="11318875"/>
          <a:ext cx="412750" cy="3492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18</xdr:col>
      <xdr:colOff>63500</xdr:colOff>
      <xdr:row>26</xdr:row>
      <xdr:rowOff>238125</xdr:rowOff>
    </xdr:from>
    <xdr:to>
      <xdr:col>19</xdr:col>
      <xdr:colOff>222250</xdr:colOff>
      <xdr:row>27</xdr:row>
      <xdr:rowOff>111125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SpPr/>
      </xdr:nvSpPr>
      <xdr:spPr>
        <a:xfrm>
          <a:off x="16303625" y="10398125"/>
          <a:ext cx="412750" cy="2857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15875</xdr:colOff>
      <xdr:row>11</xdr:row>
      <xdr:rowOff>238125</xdr:rowOff>
    </xdr:from>
    <xdr:to>
      <xdr:col>9</xdr:col>
      <xdr:colOff>444500</xdr:colOff>
      <xdr:row>12</xdr:row>
      <xdr:rowOff>222250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10429875" y="4619625"/>
          <a:ext cx="428625" cy="3968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20</xdr:col>
      <xdr:colOff>127000</xdr:colOff>
      <xdr:row>9</xdr:row>
      <xdr:rowOff>95250</xdr:rowOff>
    </xdr:from>
    <xdr:to>
      <xdr:col>22</xdr:col>
      <xdr:colOff>47625</xdr:colOff>
      <xdr:row>10</xdr:row>
      <xdr:rowOff>126999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16875125" y="3651250"/>
          <a:ext cx="428625" cy="444499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28</xdr:row>
      <xdr:rowOff>254000</xdr:rowOff>
    </xdr:from>
    <xdr:to>
      <xdr:col>9</xdr:col>
      <xdr:colOff>444500</xdr:colOff>
      <xdr:row>29</xdr:row>
      <xdr:rowOff>190499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10429875" y="11652250"/>
          <a:ext cx="428625" cy="349249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158750</xdr:colOff>
      <xdr:row>37</xdr:row>
      <xdr:rowOff>79375</xdr:rowOff>
    </xdr:from>
    <xdr:to>
      <xdr:col>15</xdr:col>
      <xdr:colOff>317500</xdr:colOff>
      <xdr:row>37</xdr:row>
      <xdr:rowOff>317500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14608175" y="15414625"/>
          <a:ext cx="406400" cy="2381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79375</xdr:colOff>
      <xdr:row>32</xdr:row>
      <xdr:rowOff>285750</xdr:rowOff>
    </xdr:from>
    <xdr:to>
      <xdr:col>9</xdr:col>
      <xdr:colOff>492125</xdr:colOff>
      <xdr:row>33</xdr:row>
      <xdr:rowOff>158750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/>
      </xdr:nvSpPr>
      <xdr:spPr>
        <a:xfrm>
          <a:off x="10493375" y="13335000"/>
          <a:ext cx="412750" cy="2857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12</xdr:col>
      <xdr:colOff>603250</xdr:colOff>
      <xdr:row>7</xdr:row>
      <xdr:rowOff>269876</xdr:rowOff>
    </xdr:from>
    <xdr:to>
      <xdr:col>13</xdr:col>
      <xdr:colOff>333375</xdr:colOff>
      <xdr:row>8</xdr:row>
      <xdr:rowOff>301625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13662025" y="3032126"/>
          <a:ext cx="434975" cy="450849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13</xdr:col>
      <xdr:colOff>396875</xdr:colOff>
      <xdr:row>9</xdr:row>
      <xdr:rowOff>63500</xdr:rowOff>
    </xdr:from>
    <xdr:to>
      <xdr:col>14</xdr:col>
      <xdr:colOff>142875</xdr:colOff>
      <xdr:row>10</xdr:row>
      <xdr:rowOff>95249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14160500" y="3663950"/>
          <a:ext cx="431800" cy="450849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206375</xdr:colOff>
      <xdr:row>12</xdr:row>
      <xdr:rowOff>47625</xdr:rowOff>
    </xdr:from>
    <xdr:to>
      <xdr:col>15</xdr:col>
      <xdr:colOff>635000</xdr:colOff>
      <xdr:row>13</xdr:row>
      <xdr:rowOff>79374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14903450" y="4905375"/>
          <a:ext cx="428625" cy="450849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158750</xdr:colOff>
      <xdr:row>37</xdr:row>
      <xdr:rowOff>79375</xdr:rowOff>
    </xdr:from>
    <xdr:to>
      <xdr:col>15</xdr:col>
      <xdr:colOff>317500</xdr:colOff>
      <xdr:row>37</xdr:row>
      <xdr:rowOff>317500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/>
      </xdr:nvSpPr>
      <xdr:spPr>
        <a:xfrm>
          <a:off x="14608175" y="15414625"/>
          <a:ext cx="406400" cy="2381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13</xdr:col>
      <xdr:colOff>460375</xdr:colOff>
      <xdr:row>31</xdr:row>
      <xdr:rowOff>269875</xdr:rowOff>
    </xdr:from>
    <xdr:to>
      <xdr:col>14</xdr:col>
      <xdr:colOff>190500</xdr:colOff>
      <xdr:row>32</xdr:row>
      <xdr:rowOff>142875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SpPr/>
      </xdr:nvSpPr>
      <xdr:spPr>
        <a:xfrm>
          <a:off x="14224000" y="13090525"/>
          <a:ext cx="415925" cy="29210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12</xdr:col>
      <xdr:colOff>603250</xdr:colOff>
      <xdr:row>7</xdr:row>
      <xdr:rowOff>269876</xdr:rowOff>
    </xdr:from>
    <xdr:to>
      <xdr:col>13</xdr:col>
      <xdr:colOff>333375</xdr:colOff>
      <xdr:row>8</xdr:row>
      <xdr:rowOff>301625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/>
      </xdr:nvSpPr>
      <xdr:spPr>
        <a:xfrm>
          <a:off x="13684250" y="2952751"/>
          <a:ext cx="428625" cy="396874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13</xdr:col>
      <xdr:colOff>396875</xdr:colOff>
      <xdr:row>9</xdr:row>
      <xdr:rowOff>63500</xdr:rowOff>
    </xdr:from>
    <xdr:to>
      <xdr:col>14</xdr:col>
      <xdr:colOff>142875</xdr:colOff>
      <xdr:row>10</xdr:row>
      <xdr:rowOff>95249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/>
      </xdr:nvSpPr>
      <xdr:spPr>
        <a:xfrm>
          <a:off x="14176375" y="3476625"/>
          <a:ext cx="428625" cy="396874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206375</xdr:colOff>
      <xdr:row>12</xdr:row>
      <xdr:rowOff>47625</xdr:rowOff>
    </xdr:from>
    <xdr:to>
      <xdr:col>15</xdr:col>
      <xdr:colOff>635000</xdr:colOff>
      <xdr:row>13</xdr:row>
      <xdr:rowOff>79374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SpPr/>
      </xdr:nvSpPr>
      <xdr:spPr>
        <a:xfrm>
          <a:off x="14922500" y="4921250"/>
          <a:ext cx="428625" cy="396874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158750</xdr:colOff>
      <xdr:row>37</xdr:row>
      <xdr:rowOff>79375</xdr:rowOff>
    </xdr:from>
    <xdr:to>
      <xdr:col>15</xdr:col>
      <xdr:colOff>317500</xdr:colOff>
      <xdr:row>37</xdr:row>
      <xdr:rowOff>317500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>
        <a:xfrm>
          <a:off x="14620875" y="13716000"/>
          <a:ext cx="412750" cy="2381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13</xdr:col>
      <xdr:colOff>460375</xdr:colOff>
      <xdr:row>31</xdr:row>
      <xdr:rowOff>269875</xdr:rowOff>
    </xdr:from>
    <xdr:to>
      <xdr:col>14</xdr:col>
      <xdr:colOff>190500</xdr:colOff>
      <xdr:row>32</xdr:row>
      <xdr:rowOff>142875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SpPr/>
      </xdr:nvSpPr>
      <xdr:spPr>
        <a:xfrm>
          <a:off x="14239875" y="11715750"/>
          <a:ext cx="412750" cy="2381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492125</xdr:colOff>
      <xdr:row>22</xdr:row>
      <xdr:rowOff>0</xdr:rowOff>
    </xdr:from>
    <xdr:to>
      <xdr:col>15</xdr:col>
      <xdr:colOff>190500</xdr:colOff>
      <xdr:row>22</xdr:row>
      <xdr:rowOff>1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14941550" y="8134350"/>
          <a:ext cx="422275" cy="209551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825500</xdr:colOff>
      <xdr:row>8</xdr:row>
      <xdr:rowOff>158751</xdr:rowOff>
    </xdr:from>
    <xdr:to>
      <xdr:col>9</xdr:col>
      <xdr:colOff>412750</xdr:colOff>
      <xdr:row>9</xdr:row>
      <xdr:rowOff>190500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/>
      </xdr:nvSpPr>
      <xdr:spPr>
        <a:xfrm>
          <a:off x="10398125" y="3206751"/>
          <a:ext cx="428625" cy="396874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15876</xdr:colOff>
      <xdr:row>28</xdr:row>
      <xdr:rowOff>285750</xdr:rowOff>
    </xdr:from>
    <xdr:to>
      <xdr:col>9</xdr:col>
      <xdr:colOff>428626</xdr:colOff>
      <xdr:row>29</xdr:row>
      <xdr:rowOff>158750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>
        <a:xfrm>
          <a:off x="10417176" y="11029950"/>
          <a:ext cx="412750" cy="2730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10</xdr:row>
      <xdr:rowOff>174625</xdr:rowOff>
    </xdr:from>
    <xdr:to>
      <xdr:col>9</xdr:col>
      <xdr:colOff>444500</xdr:colOff>
      <xdr:row>11</xdr:row>
      <xdr:rowOff>206374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SpPr/>
      </xdr:nvSpPr>
      <xdr:spPr>
        <a:xfrm>
          <a:off x="10429875" y="3952875"/>
          <a:ext cx="428625" cy="396874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14</xdr:row>
      <xdr:rowOff>190500</xdr:rowOff>
    </xdr:from>
    <xdr:to>
      <xdr:col>9</xdr:col>
      <xdr:colOff>444500</xdr:colOff>
      <xdr:row>15</xdr:row>
      <xdr:rowOff>222249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/>
      </xdr:nvSpPr>
      <xdr:spPr>
        <a:xfrm>
          <a:off x="10429875" y="5429250"/>
          <a:ext cx="428625" cy="396874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43</xdr:row>
      <xdr:rowOff>254000</xdr:rowOff>
    </xdr:from>
    <xdr:to>
      <xdr:col>9</xdr:col>
      <xdr:colOff>428625</xdr:colOff>
      <xdr:row>44</xdr:row>
      <xdr:rowOff>127000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>
        <a:xfrm>
          <a:off x="10429875" y="17256125"/>
          <a:ext cx="412750" cy="2698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31750</xdr:colOff>
      <xdr:row>35</xdr:row>
      <xdr:rowOff>301625</xdr:rowOff>
    </xdr:from>
    <xdr:to>
      <xdr:col>9</xdr:col>
      <xdr:colOff>444500</xdr:colOff>
      <xdr:row>36</xdr:row>
      <xdr:rowOff>174625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/>
      </xdr:nvSpPr>
      <xdr:spPr>
        <a:xfrm>
          <a:off x="10445750" y="14128750"/>
          <a:ext cx="412750" cy="2698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492125</xdr:colOff>
      <xdr:row>20</xdr:row>
      <xdr:rowOff>190500</xdr:rowOff>
    </xdr:from>
    <xdr:to>
      <xdr:col>15</xdr:col>
      <xdr:colOff>190500</xdr:colOff>
      <xdr:row>21</xdr:row>
      <xdr:rowOff>1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14954250" y="8064500"/>
          <a:ext cx="428625" cy="206376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206375</xdr:colOff>
      <xdr:row>7</xdr:row>
      <xdr:rowOff>333375</xdr:rowOff>
    </xdr:from>
    <xdr:to>
      <xdr:col>9</xdr:col>
      <xdr:colOff>635000</xdr:colOff>
      <xdr:row>8</xdr:row>
      <xdr:rowOff>79375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/>
      </xdr:nvSpPr>
      <xdr:spPr>
        <a:xfrm>
          <a:off x="10620375" y="3048000"/>
          <a:ext cx="428625" cy="1428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15876</xdr:colOff>
      <xdr:row>27</xdr:row>
      <xdr:rowOff>285750</xdr:rowOff>
    </xdr:from>
    <xdr:to>
      <xdr:col>9</xdr:col>
      <xdr:colOff>428626</xdr:colOff>
      <xdr:row>28</xdr:row>
      <xdr:rowOff>158750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>
        <a:xfrm>
          <a:off x="10429876" y="10937875"/>
          <a:ext cx="412750" cy="2698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31750</xdr:colOff>
      <xdr:row>19</xdr:row>
      <xdr:rowOff>0</xdr:rowOff>
    </xdr:from>
    <xdr:to>
      <xdr:col>9</xdr:col>
      <xdr:colOff>460375</xdr:colOff>
      <xdr:row>19</xdr:row>
      <xdr:rowOff>206376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>
          <a:off x="10547350" y="7543800"/>
          <a:ext cx="428625" cy="206376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95250</xdr:colOff>
      <xdr:row>11</xdr:row>
      <xdr:rowOff>127000</xdr:rowOff>
    </xdr:from>
    <xdr:to>
      <xdr:col>12</xdr:col>
      <xdr:colOff>523875</xdr:colOff>
      <xdr:row>12</xdr:row>
      <xdr:rowOff>142875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SpPr/>
      </xdr:nvSpPr>
      <xdr:spPr>
        <a:xfrm>
          <a:off x="13268325" y="4470400"/>
          <a:ext cx="428625" cy="4159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333375</xdr:colOff>
      <xdr:row>40</xdr:row>
      <xdr:rowOff>269875</xdr:rowOff>
    </xdr:from>
    <xdr:to>
      <xdr:col>15</xdr:col>
      <xdr:colOff>762000</xdr:colOff>
      <xdr:row>41</xdr:row>
      <xdr:rowOff>333375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SpPr/>
      </xdr:nvSpPr>
      <xdr:spPr>
        <a:xfrm>
          <a:off x="15621000" y="16214725"/>
          <a:ext cx="428625" cy="4635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31750</xdr:colOff>
      <xdr:row>19</xdr:row>
      <xdr:rowOff>0</xdr:rowOff>
    </xdr:from>
    <xdr:to>
      <xdr:col>9</xdr:col>
      <xdr:colOff>460375</xdr:colOff>
      <xdr:row>19</xdr:row>
      <xdr:rowOff>206376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>
          <a:off x="10547350" y="8150226"/>
          <a:ext cx="428625" cy="4000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95250</xdr:colOff>
      <xdr:row>11</xdr:row>
      <xdr:rowOff>127000</xdr:rowOff>
    </xdr:from>
    <xdr:to>
      <xdr:col>12</xdr:col>
      <xdr:colOff>523875</xdr:colOff>
      <xdr:row>12</xdr:row>
      <xdr:rowOff>142875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SpPr/>
      </xdr:nvSpPr>
      <xdr:spPr>
        <a:xfrm>
          <a:off x="13268325" y="4470400"/>
          <a:ext cx="428625" cy="4159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333375</xdr:colOff>
      <xdr:row>40</xdr:row>
      <xdr:rowOff>269875</xdr:rowOff>
    </xdr:from>
    <xdr:to>
      <xdr:col>15</xdr:col>
      <xdr:colOff>762000</xdr:colOff>
      <xdr:row>41</xdr:row>
      <xdr:rowOff>333375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>
        <a:xfrm>
          <a:off x="15621000" y="16214725"/>
          <a:ext cx="428625" cy="4635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47625</xdr:colOff>
      <xdr:row>17</xdr:row>
      <xdr:rowOff>317500</xdr:rowOff>
    </xdr:from>
    <xdr:to>
      <xdr:col>9</xdr:col>
      <xdr:colOff>476250</xdr:colOff>
      <xdr:row>18</xdr:row>
      <xdr:rowOff>127001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>
          <a:off x="10588625" y="7000875"/>
          <a:ext cx="428625" cy="206376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95250</xdr:colOff>
      <xdr:row>7</xdr:row>
      <xdr:rowOff>127000</xdr:rowOff>
    </xdr:from>
    <xdr:to>
      <xdr:col>12</xdr:col>
      <xdr:colOff>523875</xdr:colOff>
      <xdr:row>8</xdr:row>
      <xdr:rowOff>142875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/>
      </xdr:nvSpPr>
      <xdr:spPr>
        <a:xfrm>
          <a:off x="13268325" y="4470400"/>
          <a:ext cx="428625" cy="4159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333375</xdr:colOff>
      <xdr:row>17</xdr:row>
      <xdr:rowOff>269875</xdr:rowOff>
    </xdr:from>
    <xdr:to>
      <xdr:col>15</xdr:col>
      <xdr:colOff>762000</xdr:colOff>
      <xdr:row>18</xdr:row>
      <xdr:rowOff>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>
        <a:xfrm>
          <a:off x="15621000" y="16214725"/>
          <a:ext cx="428625" cy="4635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31750</xdr:colOff>
      <xdr:row>25</xdr:row>
      <xdr:rowOff>333375</xdr:rowOff>
    </xdr:from>
    <xdr:to>
      <xdr:col>9</xdr:col>
      <xdr:colOff>460375</xdr:colOff>
      <xdr:row>26</xdr:row>
      <xdr:rowOff>142876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SpPr/>
      </xdr:nvSpPr>
      <xdr:spPr>
        <a:xfrm>
          <a:off x="10572750" y="9794875"/>
          <a:ext cx="428625" cy="206376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9525</xdr:colOff>
      <xdr:row>11</xdr:row>
      <xdr:rowOff>327025</xdr:rowOff>
    </xdr:from>
    <xdr:to>
      <xdr:col>9</xdr:col>
      <xdr:colOff>438150</xdr:colOff>
      <xdr:row>12</xdr:row>
      <xdr:rowOff>136526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SpPr/>
      </xdr:nvSpPr>
      <xdr:spPr>
        <a:xfrm>
          <a:off x="10550525" y="4629150"/>
          <a:ext cx="428625" cy="206376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31750</xdr:colOff>
      <xdr:row>20</xdr:row>
      <xdr:rowOff>206376</xdr:rowOff>
    </xdr:from>
    <xdr:to>
      <xdr:col>9</xdr:col>
      <xdr:colOff>460375</xdr:colOff>
      <xdr:row>21</xdr:row>
      <xdr:rowOff>206376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/>
      </xdr:nvSpPr>
      <xdr:spPr>
        <a:xfrm>
          <a:off x="10547350" y="8150226"/>
          <a:ext cx="428625" cy="4000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95250</xdr:colOff>
      <xdr:row>11</xdr:row>
      <xdr:rowOff>127000</xdr:rowOff>
    </xdr:from>
    <xdr:to>
      <xdr:col>12</xdr:col>
      <xdr:colOff>523875</xdr:colOff>
      <xdr:row>12</xdr:row>
      <xdr:rowOff>142875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SpPr/>
      </xdr:nvSpPr>
      <xdr:spPr>
        <a:xfrm>
          <a:off x="13268325" y="4470400"/>
          <a:ext cx="428625" cy="4159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333375</xdr:colOff>
      <xdr:row>40</xdr:row>
      <xdr:rowOff>269875</xdr:rowOff>
    </xdr:from>
    <xdr:to>
      <xdr:col>15</xdr:col>
      <xdr:colOff>762000</xdr:colOff>
      <xdr:row>41</xdr:row>
      <xdr:rowOff>333375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/>
      </xdr:nvSpPr>
      <xdr:spPr>
        <a:xfrm>
          <a:off x="15621000" y="16214725"/>
          <a:ext cx="428625" cy="4635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31750</xdr:colOff>
      <xdr:row>20</xdr:row>
      <xdr:rowOff>206376</xdr:rowOff>
    </xdr:from>
    <xdr:to>
      <xdr:col>9</xdr:col>
      <xdr:colOff>460375</xdr:colOff>
      <xdr:row>21</xdr:row>
      <xdr:rowOff>206376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10547350" y="8150226"/>
          <a:ext cx="428625" cy="4000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95250</xdr:colOff>
      <xdr:row>11</xdr:row>
      <xdr:rowOff>127000</xdr:rowOff>
    </xdr:from>
    <xdr:to>
      <xdr:col>12</xdr:col>
      <xdr:colOff>523875</xdr:colOff>
      <xdr:row>12</xdr:row>
      <xdr:rowOff>142875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SpPr/>
      </xdr:nvSpPr>
      <xdr:spPr>
        <a:xfrm>
          <a:off x="13268325" y="4470400"/>
          <a:ext cx="428625" cy="4159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333375</xdr:colOff>
      <xdr:row>40</xdr:row>
      <xdr:rowOff>269875</xdr:rowOff>
    </xdr:from>
    <xdr:to>
      <xdr:col>15</xdr:col>
      <xdr:colOff>762000</xdr:colOff>
      <xdr:row>41</xdr:row>
      <xdr:rowOff>333375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/>
      </xdr:nvSpPr>
      <xdr:spPr>
        <a:xfrm>
          <a:off x="15621000" y="16214725"/>
          <a:ext cx="428625" cy="4635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31750</xdr:colOff>
      <xdr:row>20</xdr:row>
      <xdr:rowOff>206376</xdr:rowOff>
    </xdr:from>
    <xdr:to>
      <xdr:col>9</xdr:col>
      <xdr:colOff>460375</xdr:colOff>
      <xdr:row>21</xdr:row>
      <xdr:rowOff>206376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/>
      </xdr:nvSpPr>
      <xdr:spPr>
        <a:xfrm>
          <a:off x="10572750" y="8080376"/>
          <a:ext cx="428625" cy="3968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95250</xdr:colOff>
      <xdr:row>11</xdr:row>
      <xdr:rowOff>127000</xdr:rowOff>
    </xdr:from>
    <xdr:to>
      <xdr:col>12</xdr:col>
      <xdr:colOff>523875</xdr:colOff>
      <xdr:row>12</xdr:row>
      <xdr:rowOff>142875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SpPr/>
      </xdr:nvSpPr>
      <xdr:spPr>
        <a:xfrm>
          <a:off x="13268325" y="4470400"/>
          <a:ext cx="428625" cy="4159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333375</xdr:colOff>
      <xdr:row>40</xdr:row>
      <xdr:rowOff>269875</xdr:rowOff>
    </xdr:from>
    <xdr:to>
      <xdr:col>15</xdr:col>
      <xdr:colOff>762000</xdr:colOff>
      <xdr:row>41</xdr:row>
      <xdr:rowOff>333375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/>
      </xdr:nvSpPr>
      <xdr:spPr>
        <a:xfrm>
          <a:off x="15621000" y="14614525"/>
          <a:ext cx="428625" cy="4635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31750</xdr:colOff>
      <xdr:row>10</xdr:row>
      <xdr:rowOff>206376</xdr:rowOff>
    </xdr:from>
    <xdr:to>
      <xdr:col>9</xdr:col>
      <xdr:colOff>460375</xdr:colOff>
      <xdr:row>11</xdr:row>
      <xdr:rowOff>206376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/>
      </xdr:nvSpPr>
      <xdr:spPr>
        <a:xfrm>
          <a:off x="10572750" y="4111626"/>
          <a:ext cx="428625" cy="3968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95250</xdr:colOff>
      <xdr:row>11</xdr:row>
      <xdr:rowOff>127000</xdr:rowOff>
    </xdr:from>
    <xdr:to>
      <xdr:col>12</xdr:col>
      <xdr:colOff>523875</xdr:colOff>
      <xdr:row>12</xdr:row>
      <xdr:rowOff>142875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/>
      </xdr:nvSpPr>
      <xdr:spPr>
        <a:xfrm>
          <a:off x="13303250" y="4826000"/>
          <a:ext cx="428625" cy="4127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333375</xdr:colOff>
      <xdr:row>36</xdr:row>
      <xdr:rowOff>269875</xdr:rowOff>
    </xdr:from>
    <xdr:to>
      <xdr:col>15</xdr:col>
      <xdr:colOff>762000</xdr:colOff>
      <xdr:row>37</xdr:row>
      <xdr:rowOff>333375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/>
      </xdr:nvSpPr>
      <xdr:spPr>
        <a:xfrm>
          <a:off x="15652750" y="14890750"/>
          <a:ext cx="428625" cy="4603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15875</xdr:colOff>
      <xdr:row>10</xdr:row>
      <xdr:rowOff>158751</xdr:rowOff>
    </xdr:from>
    <xdr:to>
      <xdr:col>9</xdr:col>
      <xdr:colOff>444500</xdr:colOff>
      <xdr:row>11</xdr:row>
      <xdr:rowOff>158751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/>
      </xdr:nvSpPr>
      <xdr:spPr>
        <a:xfrm>
          <a:off x="10531475" y="4102101"/>
          <a:ext cx="428625" cy="4000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7</xdr:row>
      <xdr:rowOff>158750</xdr:rowOff>
    </xdr:from>
    <xdr:to>
      <xdr:col>9</xdr:col>
      <xdr:colOff>444500</xdr:colOff>
      <xdr:row>8</xdr:row>
      <xdr:rowOff>174625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/>
      </xdr:nvSpPr>
      <xdr:spPr>
        <a:xfrm>
          <a:off x="10531475" y="2901950"/>
          <a:ext cx="428625" cy="4159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79375</xdr:colOff>
      <xdr:row>38</xdr:row>
      <xdr:rowOff>174625</xdr:rowOff>
    </xdr:from>
    <xdr:to>
      <xdr:col>9</xdr:col>
      <xdr:colOff>508000</xdr:colOff>
      <xdr:row>39</xdr:row>
      <xdr:rowOff>238125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/>
      </xdr:nvSpPr>
      <xdr:spPr>
        <a:xfrm>
          <a:off x="10594975" y="14119225"/>
          <a:ext cx="428625" cy="46355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13</xdr:row>
      <xdr:rowOff>142875</xdr:rowOff>
    </xdr:from>
    <xdr:to>
      <xdr:col>9</xdr:col>
      <xdr:colOff>444500</xdr:colOff>
      <xdr:row>14</xdr:row>
      <xdr:rowOff>190500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/>
      </xdr:nvSpPr>
      <xdr:spPr>
        <a:xfrm>
          <a:off x="10531475" y="5286375"/>
          <a:ext cx="428625" cy="4476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15875</xdr:colOff>
      <xdr:row>10</xdr:row>
      <xdr:rowOff>158751</xdr:rowOff>
    </xdr:from>
    <xdr:to>
      <xdr:col>9</xdr:col>
      <xdr:colOff>444500</xdr:colOff>
      <xdr:row>11</xdr:row>
      <xdr:rowOff>158751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/>
      </xdr:nvSpPr>
      <xdr:spPr>
        <a:xfrm>
          <a:off x="9715500" y="3746501"/>
          <a:ext cx="428625" cy="31750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7</xdr:row>
      <xdr:rowOff>158750</xdr:rowOff>
    </xdr:from>
    <xdr:to>
      <xdr:col>9</xdr:col>
      <xdr:colOff>444500</xdr:colOff>
      <xdr:row>8</xdr:row>
      <xdr:rowOff>174625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/>
      </xdr:nvSpPr>
      <xdr:spPr>
        <a:xfrm>
          <a:off x="9715500" y="2794000"/>
          <a:ext cx="428625" cy="3333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79375</xdr:colOff>
      <xdr:row>35</xdr:row>
      <xdr:rowOff>174625</xdr:rowOff>
    </xdr:from>
    <xdr:to>
      <xdr:col>9</xdr:col>
      <xdr:colOff>508000</xdr:colOff>
      <xdr:row>36</xdr:row>
      <xdr:rowOff>238125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/>
      </xdr:nvSpPr>
      <xdr:spPr>
        <a:xfrm>
          <a:off x="10620375" y="14001750"/>
          <a:ext cx="428625" cy="4603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15875</xdr:colOff>
      <xdr:row>13</xdr:row>
      <xdr:rowOff>142875</xdr:rowOff>
    </xdr:from>
    <xdr:to>
      <xdr:col>9</xdr:col>
      <xdr:colOff>444500</xdr:colOff>
      <xdr:row>14</xdr:row>
      <xdr:rowOff>190500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SpPr/>
      </xdr:nvSpPr>
      <xdr:spPr>
        <a:xfrm>
          <a:off x="9715500" y="4683125"/>
          <a:ext cx="428625" cy="3651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142875</xdr:colOff>
      <xdr:row>7</xdr:row>
      <xdr:rowOff>127000</xdr:rowOff>
    </xdr:from>
    <xdr:to>
      <xdr:col>8</xdr:col>
      <xdr:colOff>571500</xdr:colOff>
      <xdr:row>8</xdr:row>
      <xdr:rowOff>142875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>
          <a:off x="9820275" y="2794000"/>
          <a:ext cx="428625" cy="3397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31750</xdr:colOff>
      <xdr:row>30</xdr:row>
      <xdr:rowOff>174625</xdr:rowOff>
    </xdr:from>
    <xdr:to>
      <xdr:col>8</xdr:col>
      <xdr:colOff>460375</xdr:colOff>
      <xdr:row>31</xdr:row>
      <xdr:rowOff>190500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/>
      </xdr:nvSpPr>
      <xdr:spPr>
        <a:xfrm>
          <a:off x="9709150" y="10290175"/>
          <a:ext cx="428625" cy="3397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31750</xdr:colOff>
      <xdr:row>48</xdr:row>
      <xdr:rowOff>158750</xdr:rowOff>
    </xdr:from>
    <xdr:to>
      <xdr:col>8</xdr:col>
      <xdr:colOff>460375</xdr:colOff>
      <xdr:row>49</xdr:row>
      <xdr:rowOff>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/>
      </xdr:nvSpPr>
      <xdr:spPr>
        <a:xfrm>
          <a:off x="9709150" y="16103600"/>
          <a:ext cx="428625" cy="165100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142875</xdr:colOff>
      <xdr:row>13</xdr:row>
      <xdr:rowOff>158750</xdr:rowOff>
    </xdr:from>
    <xdr:to>
      <xdr:col>8</xdr:col>
      <xdr:colOff>571500</xdr:colOff>
      <xdr:row>14</xdr:row>
      <xdr:rowOff>174625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SpPr/>
      </xdr:nvSpPr>
      <xdr:spPr>
        <a:xfrm>
          <a:off x="9820275" y="4768850"/>
          <a:ext cx="428625" cy="3397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142875</xdr:colOff>
      <xdr:row>7</xdr:row>
      <xdr:rowOff>127000</xdr:rowOff>
    </xdr:from>
    <xdr:to>
      <xdr:col>8</xdr:col>
      <xdr:colOff>571500</xdr:colOff>
      <xdr:row>8</xdr:row>
      <xdr:rowOff>142875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>
          <a:off x="9820275" y="2794000"/>
          <a:ext cx="428625" cy="3397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31750</xdr:colOff>
      <xdr:row>30</xdr:row>
      <xdr:rowOff>174625</xdr:rowOff>
    </xdr:from>
    <xdr:to>
      <xdr:col>8</xdr:col>
      <xdr:colOff>460375</xdr:colOff>
      <xdr:row>31</xdr:row>
      <xdr:rowOff>190500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/>
      </xdr:nvSpPr>
      <xdr:spPr>
        <a:xfrm>
          <a:off x="9709150" y="9966325"/>
          <a:ext cx="428625" cy="3397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31750</xdr:colOff>
      <xdr:row>48</xdr:row>
      <xdr:rowOff>158750</xdr:rowOff>
    </xdr:from>
    <xdr:to>
      <xdr:col>8</xdr:col>
      <xdr:colOff>460375</xdr:colOff>
      <xdr:row>49</xdr:row>
      <xdr:rowOff>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/>
      </xdr:nvSpPr>
      <xdr:spPr>
        <a:xfrm>
          <a:off x="9709150" y="15779750"/>
          <a:ext cx="428625" cy="3397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142875</xdr:colOff>
      <xdr:row>13</xdr:row>
      <xdr:rowOff>158750</xdr:rowOff>
    </xdr:from>
    <xdr:to>
      <xdr:col>8</xdr:col>
      <xdr:colOff>571500</xdr:colOff>
      <xdr:row>14</xdr:row>
      <xdr:rowOff>174625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SpPr/>
      </xdr:nvSpPr>
      <xdr:spPr>
        <a:xfrm>
          <a:off x="9820275" y="4445000"/>
          <a:ext cx="428625" cy="3397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1577974" cy="1022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47625</xdr:colOff>
      <xdr:row>17</xdr:row>
      <xdr:rowOff>317500</xdr:rowOff>
    </xdr:from>
    <xdr:to>
      <xdr:col>9</xdr:col>
      <xdr:colOff>476250</xdr:colOff>
      <xdr:row>18</xdr:row>
      <xdr:rowOff>127001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/>
      </xdr:nvSpPr>
      <xdr:spPr>
        <a:xfrm>
          <a:off x="10563225" y="7061200"/>
          <a:ext cx="428625" cy="209551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95250</xdr:colOff>
      <xdr:row>7</xdr:row>
      <xdr:rowOff>127000</xdr:rowOff>
    </xdr:from>
    <xdr:to>
      <xdr:col>12</xdr:col>
      <xdr:colOff>523875</xdr:colOff>
      <xdr:row>8</xdr:row>
      <xdr:rowOff>142875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/>
      </xdr:nvSpPr>
      <xdr:spPr>
        <a:xfrm>
          <a:off x="13268325" y="2870200"/>
          <a:ext cx="428625" cy="41592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15</xdr:col>
      <xdr:colOff>333375</xdr:colOff>
      <xdr:row>17</xdr:row>
      <xdr:rowOff>269875</xdr:rowOff>
    </xdr:from>
    <xdr:to>
      <xdr:col>15</xdr:col>
      <xdr:colOff>762000</xdr:colOff>
      <xdr:row>18</xdr:row>
      <xdr:rowOff>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/>
      </xdr:nvSpPr>
      <xdr:spPr>
        <a:xfrm>
          <a:off x="15621000" y="7013575"/>
          <a:ext cx="428625" cy="1301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31750</xdr:colOff>
      <xdr:row>25</xdr:row>
      <xdr:rowOff>333375</xdr:rowOff>
    </xdr:from>
    <xdr:to>
      <xdr:col>9</xdr:col>
      <xdr:colOff>460375</xdr:colOff>
      <xdr:row>26</xdr:row>
      <xdr:rowOff>142876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SpPr/>
      </xdr:nvSpPr>
      <xdr:spPr>
        <a:xfrm>
          <a:off x="10547350" y="10277475"/>
          <a:ext cx="428625" cy="209551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9525</xdr:colOff>
      <xdr:row>11</xdr:row>
      <xdr:rowOff>327025</xdr:rowOff>
    </xdr:from>
    <xdr:to>
      <xdr:col>9</xdr:col>
      <xdr:colOff>438150</xdr:colOff>
      <xdr:row>12</xdr:row>
      <xdr:rowOff>136526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SpPr/>
      </xdr:nvSpPr>
      <xdr:spPr>
        <a:xfrm>
          <a:off x="10525125" y="4670425"/>
          <a:ext cx="428625" cy="209551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1</xdr:col>
      <xdr:colOff>777874</xdr:colOff>
      <xdr:row>2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8875"/>
          <a:ext cx="1571624" cy="10159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142875</xdr:colOff>
      <xdr:row>7</xdr:row>
      <xdr:rowOff>127000</xdr:rowOff>
    </xdr:from>
    <xdr:to>
      <xdr:col>8</xdr:col>
      <xdr:colOff>571500</xdr:colOff>
      <xdr:row>8</xdr:row>
      <xdr:rowOff>142875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/>
      </xdr:nvSpPr>
      <xdr:spPr>
        <a:xfrm>
          <a:off x="9842500" y="3127375"/>
          <a:ext cx="428625" cy="3333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31750</xdr:colOff>
      <xdr:row>29</xdr:row>
      <xdr:rowOff>174625</xdr:rowOff>
    </xdr:from>
    <xdr:to>
      <xdr:col>8</xdr:col>
      <xdr:colOff>460375</xdr:colOff>
      <xdr:row>30</xdr:row>
      <xdr:rowOff>190500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SpPr/>
      </xdr:nvSpPr>
      <xdr:spPr>
        <a:xfrm>
          <a:off x="9731375" y="10160000"/>
          <a:ext cx="428625" cy="3333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31750</xdr:colOff>
      <xdr:row>47</xdr:row>
      <xdr:rowOff>158750</xdr:rowOff>
    </xdr:from>
    <xdr:to>
      <xdr:col>8</xdr:col>
      <xdr:colOff>460375</xdr:colOff>
      <xdr:row>48</xdr:row>
      <xdr:rowOff>174625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SpPr/>
      </xdr:nvSpPr>
      <xdr:spPr>
        <a:xfrm>
          <a:off x="9731375" y="16494125"/>
          <a:ext cx="428625" cy="3333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142875</xdr:colOff>
      <xdr:row>12</xdr:row>
      <xdr:rowOff>158750</xdr:rowOff>
    </xdr:from>
    <xdr:to>
      <xdr:col>8</xdr:col>
      <xdr:colOff>571500</xdr:colOff>
      <xdr:row>13</xdr:row>
      <xdr:rowOff>174625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SpPr/>
      </xdr:nvSpPr>
      <xdr:spPr>
        <a:xfrm>
          <a:off x="9842500" y="4746625"/>
          <a:ext cx="428625" cy="333375"/>
        </a:xfrm>
        <a:prstGeom prst="downArrow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104589</xdr:colOff>
      <xdr:row>4</xdr:row>
      <xdr:rowOff>67237</xdr:rowOff>
    </xdr:from>
    <xdr:to>
      <xdr:col>1</xdr:col>
      <xdr:colOff>917574</xdr:colOff>
      <xdr:row>6</xdr:row>
      <xdr:rowOff>327587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9" y="1075766"/>
          <a:ext cx="1137956" cy="8430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11909</xdr:colOff>
      <xdr:row>25</xdr:row>
      <xdr:rowOff>105454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080709" cy="4867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1.%20SAVE%20(PM)/20260414%20Ver1%20PSI%20&#44228;&#54925;&#45824;&#48708;.xlsm" TargetMode="External"/><Relationship Id="rId2" Type="http://schemas.openxmlformats.org/officeDocument/2006/relationships/externalLinkPath" Target="https://d.docs.live.net/620493bafd38e3c2/0.%20Production/11.%20SAVE%20(PM)/20260414%20Ver1%20PSI%20&#44228;&#54925;&#45824;&#48708;.xlsm" TargetMode="External"/><Relationship Id="rId1" Type="http://schemas.openxmlformats.org/officeDocument/2006/relationships/externalLinkPath" Target="/620493bafd38e3c2/0.%20Production/11.%20SAVE%20(PM)/20260414%20Ver1%20PSI%20&#44228;&#54925;&#45824;&#4870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 FC (2)"/>
      <sheetName val="1.Total FC"/>
      <sheetName val="Shortage Analysis"/>
      <sheetName val="Claude Log"/>
      <sheetName val="Sheet6"/>
      <sheetName val="Sheet5"/>
      <sheetName val="Sheet4"/>
      <sheetName val="Sheet8"/>
      <sheetName val="FC"/>
      <sheetName val="Pivet PM"/>
      <sheetName val="Sheet3"/>
      <sheetName val="Checking Sheet"/>
      <sheetName val="CAPA"/>
      <sheetName val="Hướng dẫn AI"/>
      <sheetName val="2.Detail FC"/>
      <sheetName val="3.PSI"/>
      <sheetName val="4.Stock SS"/>
      <sheetName val="Stock SS-LV"/>
      <sheetName val="Sheet2"/>
      <sheetName val="6.ERP"/>
      <sheetName val="7.Stock line ERP"/>
      <sheetName val="8.FG Stock ERP"/>
      <sheetName val="9.PM"/>
      <sheetName val="10.Manual"/>
      <sheetName val="11.RM"/>
      <sheetName val="SAMSUNG"/>
      <sheetName val="SVO+Nami"/>
      <sheetName val="MOQ"/>
      <sheetName val="Change Quota 1174"/>
      <sheetName val="0406 작지 취소"/>
      <sheetName val="ERP등록"/>
      <sheetName val="SUM Q'TY"/>
      <sheetName val="SEHC"/>
      <sheetName val="Detail FC (2)"/>
      <sheetName val="Sheet1"/>
    </sheetNames>
    <sheetDataSet>
      <sheetData sheetId="0"/>
      <sheetData sheetId="1"/>
      <sheetData sheetId="2">
        <row r="4">
          <cell r="C4" t="str">
            <v>Production
Code</v>
          </cell>
          <cell r="D4" t="str">
            <v># Part
No.</v>
          </cell>
          <cell r="E4" t="str">
            <v>Wait HD</v>
          </cell>
          <cell r="F4" t="str">
            <v>WIP</v>
          </cell>
          <cell r="G4" t="str">
            <v>FG Stock</v>
          </cell>
          <cell r="H4" t="str">
            <v>Total
WIP+Stock</v>
          </cell>
          <cell r="I4" t="str">
            <v>APR
Demand</v>
          </cell>
          <cell r="J4" t="str">
            <v>MAY
Demand</v>
          </cell>
          <cell r="K4" t="str">
            <v>JUN
Demand</v>
          </cell>
          <cell r="L4" t="str">
            <v>Total
Demand</v>
          </cell>
          <cell r="M4" t="str">
            <v>W16</v>
          </cell>
          <cell r="N4" t="str">
            <v>W17</v>
          </cell>
          <cell r="O4" t="str">
            <v>W18</v>
          </cell>
          <cell r="P4" t="str">
            <v>W19</v>
          </cell>
          <cell r="Q4" t="str">
            <v>W20</v>
          </cell>
          <cell r="R4" t="str">
            <v>W21</v>
          </cell>
          <cell r="S4" t="str">
            <v>W22</v>
          </cell>
          <cell r="T4" t="str">
            <v>W23</v>
          </cell>
          <cell r="U4" t="str">
            <v>W24</v>
          </cell>
          <cell r="V4" t="str">
            <v>W25</v>
          </cell>
          <cell r="W4" t="str">
            <v>W26</v>
          </cell>
        </row>
        <row r="5">
          <cell r="C5" t="str">
            <v>040200-T12W-M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450000</v>
          </cell>
          <cell r="J5">
            <v>0</v>
          </cell>
          <cell r="K5">
            <v>0</v>
          </cell>
          <cell r="L5">
            <v>450000</v>
          </cell>
          <cell r="M5">
            <v>-450000</v>
          </cell>
          <cell r="N5">
            <v>-450000</v>
          </cell>
          <cell r="O5">
            <v>-450000</v>
          </cell>
          <cell r="P5">
            <v>-450000</v>
          </cell>
          <cell r="Q5">
            <v>-450000</v>
          </cell>
          <cell r="R5">
            <v>-450000</v>
          </cell>
          <cell r="S5">
            <v>-450000</v>
          </cell>
          <cell r="T5">
            <v>-450000</v>
          </cell>
          <cell r="U5">
            <v>-450000</v>
          </cell>
          <cell r="V5">
            <v>-450000</v>
          </cell>
          <cell r="W5">
            <v>-450000</v>
          </cell>
        </row>
        <row r="6">
          <cell r="C6" t="str">
            <v>SET-001</v>
          </cell>
          <cell r="D6">
            <v>1</v>
          </cell>
          <cell r="E6">
            <v>0</v>
          </cell>
          <cell r="F6">
            <v>0</v>
          </cell>
          <cell r="G6">
            <v>9550</v>
          </cell>
          <cell r="H6">
            <v>9550</v>
          </cell>
          <cell r="I6">
            <v>44428</v>
          </cell>
          <cell r="J6">
            <v>48873</v>
          </cell>
          <cell r="K6">
            <v>14368</v>
          </cell>
          <cell r="L6">
            <v>107669</v>
          </cell>
          <cell r="M6">
            <v>-12353</v>
          </cell>
          <cell r="N6">
            <v>-32347</v>
          </cell>
          <cell r="O6">
            <v>-34878</v>
          </cell>
          <cell r="P6">
            <v>-48387</v>
          </cell>
          <cell r="Q6">
            <v>-59231</v>
          </cell>
          <cell r="R6">
            <v>-68108</v>
          </cell>
          <cell r="S6">
            <v>-83751</v>
          </cell>
          <cell r="T6">
            <v>-98119</v>
          </cell>
          <cell r="U6">
            <v>-98119</v>
          </cell>
          <cell r="V6">
            <v>-98119</v>
          </cell>
          <cell r="W6">
            <v>-98119</v>
          </cell>
        </row>
        <row r="7">
          <cell r="C7" t="str">
            <v>033060-056H-2F</v>
          </cell>
          <cell r="D7">
            <v>1</v>
          </cell>
          <cell r="E7">
            <v>100000</v>
          </cell>
          <cell r="F7">
            <v>0</v>
          </cell>
          <cell r="G7">
            <v>6160</v>
          </cell>
          <cell r="H7">
            <v>6160</v>
          </cell>
          <cell r="I7">
            <v>24356</v>
          </cell>
          <cell r="J7">
            <v>7808</v>
          </cell>
          <cell r="K7">
            <v>5588</v>
          </cell>
          <cell r="L7">
            <v>37752</v>
          </cell>
          <cell r="M7">
            <v>-7900</v>
          </cell>
          <cell r="N7">
            <v>-17812</v>
          </cell>
          <cell r="O7">
            <v>-18196</v>
          </cell>
          <cell r="P7">
            <v>-20680</v>
          </cell>
          <cell r="Q7">
            <v>-21892</v>
          </cell>
          <cell r="R7">
            <v>-23460</v>
          </cell>
          <cell r="S7">
            <v>-26004</v>
          </cell>
          <cell r="T7">
            <v>-28756</v>
          </cell>
          <cell r="U7">
            <v>-31592</v>
          </cell>
          <cell r="V7">
            <v>-31592</v>
          </cell>
          <cell r="W7">
            <v>-31592</v>
          </cell>
        </row>
        <row r="8">
          <cell r="C8" t="str">
            <v>030100-KS4W-ASZ</v>
          </cell>
          <cell r="D8">
            <v>1</v>
          </cell>
          <cell r="E8">
            <v>0</v>
          </cell>
          <cell r="F8">
            <v>0</v>
          </cell>
          <cell r="G8">
            <v>1166535</v>
          </cell>
          <cell r="H8">
            <v>1166535</v>
          </cell>
          <cell r="I8">
            <v>1190000</v>
          </cell>
          <cell r="J8">
            <v>0</v>
          </cell>
          <cell r="K8">
            <v>0</v>
          </cell>
          <cell r="L8">
            <v>1190000</v>
          </cell>
          <cell r="M8">
            <v>-23465</v>
          </cell>
          <cell r="N8">
            <v>-23465</v>
          </cell>
          <cell r="O8">
            <v>-23465</v>
          </cell>
          <cell r="P8">
            <v>-23465</v>
          </cell>
          <cell r="Q8">
            <v>-23465</v>
          </cell>
          <cell r="R8">
            <v>-23465</v>
          </cell>
          <cell r="S8">
            <v>-23465</v>
          </cell>
          <cell r="T8">
            <v>-23465</v>
          </cell>
          <cell r="U8">
            <v>-23465</v>
          </cell>
          <cell r="V8">
            <v>-23465</v>
          </cell>
          <cell r="W8">
            <v>-23465</v>
          </cell>
        </row>
        <row r="9">
          <cell r="C9" t="str">
            <v>040080-KY4W-BZ</v>
          </cell>
          <cell r="D9">
            <v>1</v>
          </cell>
          <cell r="E9">
            <v>0</v>
          </cell>
          <cell r="F9">
            <v>12000</v>
          </cell>
          <cell r="G9">
            <v>186000</v>
          </cell>
          <cell r="H9">
            <v>198000</v>
          </cell>
          <cell r="I9">
            <v>200000</v>
          </cell>
          <cell r="J9">
            <v>0</v>
          </cell>
          <cell r="K9">
            <v>0</v>
          </cell>
          <cell r="L9">
            <v>200000</v>
          </cell>
          <cell r="M9">
            <v>-2000</v>
          </cell>
          <cell r="N9">
            <v>-2000</v>
          </cell>
          <cell r="O9">
            <v>-2000</v>
          </cell>
          <cell r="P9">
            <v>-2000</v>
          </cell>
          <cell r="Q9">
            <v>-2000</v>
          </cell>
          <cell r="R9">
            <v>-2000</v>
          </cell>
          <cell r="S9">
            <v>-2000</v>
          </cell>
          <cell r="T9">
            <v>-2000</v>
          </cell>
          <cell r="U9">
            <v>-2000</v>
          </cell>
          <cell r="V9">
            <v>-2000</v>
          </cell>
          <cell r="W9">
            <v>-2000</v>
          </cell>
        </row>
        <row r="10">
          <cell r="C10" t="str">
            <v>040160-T22W</v>
          </cell>
          <cell r="D10">
            <v>3</v>
          </cell>
          <cell r="E10">
            <v>243000</v>
          </cell>
          <cell r="F10">
            <v>158000</v>
          </cell>
          <cell r="G10">
            <v>83721</v>
          </cell>
          <cell r="H10">
            <v>241721</v>
          </cell>
          <cell r="I10">
            <v>523522</v>
          </cell>
          <cell r="J10">
            <v>393917</v>
          </cell>
          <cell r="K10">
            <v>494354</v>
          </cell>
          <cell r="L10">
            <v>1411793</v>
          </cell>
          <cell r="M10">
            <v>20797</v>
          </cell>
          <cell r="N10">
            <v>-179773</v>
          </cell>
          <cell r="O10">
            <v>-281801</v>
          </cell>
          <cell r="P10">
            <v>-283337</v>
          </cell>
          <cell r="Q10">
            <v>-432624</v>
          </cell>
          <cell r="R10">
            <v>-604040</v>
          </cell>
          <cell r="S10">
            <v>-675718</v>
          </cell>
          <cell r="T10">
            <v>-678622</v>
          </cell>
          <cell r="U10">
            <v>-880072</v>
          </cell>
          <cell r="V10">
            <v>-1080072</v>
          </cell>
          <cell r="W10">
            <v>-1170072</v>
          </cell>
        </row>
        <row r="11">
          <cell r="C11" t="str">
            <v>040110-J12P-A</v>
          </cell>
          <cell r="D11">
            <v>1</v>
          </cell>
          <cell r="E11">
            <v>420000</v>
          </cell>
          <cell r="F11">
            <v>0</v>
          </cell>
          <cell r="G11">
            <v>1</v>
          </cell>
          <cell r="H11">
            <v>1</v>
          </cell>
          <cell r="I11">
            <v>150000</v>
          </cell>
          <cell r="J11">
            <v>110000</v>
          </cell>
          <cell r="K11">
            <v>160000</v>
          </cell>
          <cell r="L11">
            <v>420000</v>
          </cell>
          <cell r="M11">
            <v>1</v>
          </cell>
          <cell r="N11">
            <v>-149999</v>
          </cell>
          <cell r="O11">
            <v>-149999</v>
          </cell>
          <cell r="P11">
            <v>-259999</v>
          </cell>
          <cell r="Q11">
            <v>-259999</v>
          </cell>
          <cell r="R11">
            <v>-259999</v>
          </cell>
          <cell r="S11">
            <v>-259999</v>
          </cell>
          <cell r="T11">
            <v>-419999</v>
          </cell>
          <cell r="U11">
            <v>-419999</v>
          </cell>
          <cell r="V11">
            <v>-419999</v>
          </cell>
          <cell r="W11">
            <v>-419999</v>
          </cell>
        </row>
        <row r="12">
          <cell r="C12" t="str">
            <v>040400-J16H-D</v>
          </cell>
          <cell r="D12">
            <v>1</v>
          </cell>
          <cell r="E12">
            <v>200000</v>
          </cell>
          <cell r="F12">
            <v>0</v>
          </cell>
          <cell r="G12">
            <v>0</v>
          </cell>
          <cell r="H12">
            <v>0</v>
          </cell>
          <cell r="I12">
            <v>200</v>
          </cell>
          <cell r="J12">
            <v>144328</v>
          </cell>
          <cell r="K12">
            <v>119120</v>
          </cell>
          <cell r="L12">
            <v>263648</v>
          </cell>
          <cell r="M12">
            <v>0</v>
          </cell>
          <cell r="N12">
            <v>-200</v>
          </cell>
          <cell r="O12">
            <v>-200</v>
          </cell>
          <cell r="P12">
            <v>-144528</v>
          </cell>
          <cell r="Q12">
            <v>-144528</v>
          </cell>
          <cell r="R12">
            <v>-144528</v>
          </cell>
          <cell r="S12">
            <v>-144528</v>
          </cell>
          <cell r="T12">
            <v>-263648</v>
          </cell>
          <cell r="U12">
            <v>-263648</v>
          </cell>
          <cell r="V12">
            <v>-263648</v>
          </cell>
          <cell r="W12">
            <v>-263648</v>
          </cell>
        </row>
        <row r="13">
          <cell r="C13" t="str">
            <v>050120-J56H-BD</v>
          </cell>
          <cell r="D13">
            <v>1</v>
          </cell>
          <cell r="E13">
            <v>200000</v>
          </cell>
          <cell r="F13">
            <v>0</v>
          </cell>
          <cell r="G13">
            <v>0</v>
          </cell>
          <cell r="H13">
            <v>0</v>
          </cell>
          <cell r="I13">
            <v>200</v>
          </cell>
          <cell r="J13">
            <v>144328</v>
          </cell>
          <cell r="K13">
            <v>119120</v>
          </cell>
          <cell r="L13">
            <v>263648</v>
          </cell>
          <cell r="M13">
            <v>0</v>
          </cell>
          <cell r="N13">
            <v>-200</v>
          </cell>
          <cell r="O13">
            <v>-200</v>
          </cell>
          <cell r="P13">
            <v>-144528</v>
          </cell>
          <cell r="Q13">
            <v>-144528</v>
          </cell>
          <cell r="R13">
            <v>-144528</v>
          </cell>
          <cell r="S13">
            <v>-144528</v>
          </cell>
          <cell r="T13">
            <v>-263648</v>
          </cell>
          <cell r="U13">
            <v>-263648</v>
          </cell>
          <cell r="V13">
            <v>-263648</v>
          </cell>
          <cell r="W13">
            <v>-263648</v>
          </cell>
        </row>
        <row r="14">
          <cell r="C14" t="str">
            <v>040140-J12W</v>
          </cell>
          <cell r="D14">
            <v>1</v>
          </cell>
          <cell r="E14">
            <v>500000</v>
          </cell>
          <cell r="F14">
            <v>0</v>
          </cell>
          <cell r="G14">
            <v>74000</v>
          </cell>
          <cell r="H14">
            <v>74000</v>
          </cell>
          <cell r="I14">
            <v>93015</v>
          </cell>
          <cell r="J14">
            <v>160191</v>
          </cell>
          <cell r="K14">
            <v>67076</v>
          </cell>
          <cell r="L14">
            <v>320282</v>
          </cell>
          <cell r="M14">
            <v>36054</v>
          </cell>
          <cell r="N14">
            <v>-1216</v>
          </cell>
          <cell r="O14">
            <v>-19015</v>
          </cell>
          <cell r="P14">
            <v>-71660</v>
          </cell>
          <cell r="Q14">
            <v>-111589</v>
          </cell>
          <cell r="R14">
            <v>-138206</v>
          </cell>
          <cell r="S14">
            <v>-179206</v>
          </cell>
          <cell r="T14">
            <v>-227136</v>
          </cell>
          <cell r="U14">
            <v>-246282</v>
          </cell>
          <cell r="V14">
            <v>-246282</v>
          </cell>
          <cell r="W14">
            <v>-246282</v>
          </cell>
        </row>
        <row r="15">
          <cell r="C15" t="str">
            <v>040120-P62B-Z</v>
          </cell>
          <cell r="D15">
            <v>1</v>
          </cell>
          <cell r="E15">
            <v>100000</v>
          </cell>
          <cell r="F15">
            <v>0</v>
          </cell>
          <cell r="G15">
            <v>0</v>
          </cell>
          <cell r="H15">
            <v>0</v>
          </cell>
          <cell r="I15">
            <v>50</v>
          </cell>
          <cell r="J15">
            <v>36082</v>
          </cell>
          <cell r="K15">
            <v>29780</v>
          </cell>
          <cell r="L15">
            <v>65912</v>
          </cell>
          <cell r="M15">
            <v>0</v>
          </cell>
          <cell r="N15">
            <v>-50</v>
          </cell>
          <cell r="O15">
            <v>-50</v>
          </cell>
          <cell r="P15">
            <v>-36132</v>
          </cell>
          <cell r="Q15">
            <v>-36132</v>
          </cell>
          <cell r="R15">
            <v>-36132</v>
          </cell>
          <cell r="S15">
            <v>-36132</v>
          </cell>
          <cell r="T15">
            <v>-65912</v>
          </cell>
          <cell r="U15">
            <v>-65912</v>
          </cell>
          <cell r="V15">
            <v>-65912</v>
          </cell>
          <cell r="W15">
            <v>-65912</v>
          </cell>
        </row>
        <row r="16">
          <cell r="C16" t="str">
            <v>590059-Y01W-DZ</v>
          </cell>
          <cell r="D16">
            <v>1</v>
          </cell>
          <cell r="E16">
            <v>626000</v>
          </cell>
          <cell r="F16">
            <v>15000</v>
          </cell>
          <cell r="G16">
            <v>136000</v>
          </cell>
          <cell r="H16">
            <v>151000</v>
          </cell>
          <cell r="I16">
            <v>216000</v>
          </cell>
          <cell r="J16">
            <v>288000</v>
          </cell>
          <cell r="K16">
            <v>288000</v>
          </cell>
          <cell r="L16">
            <v>792000</v>
          </cell>
          <cell r="M16">
            <v>79000</v>
          </cell>
          <cell r="N16">
            <v>7000</v>
          </cell>
          <cell r="O16">
            <v>-65000</v>
          </cell>
          <cell r="P16">
            <v>-137000</v>
          </cell>
          <cell r="Q16">
            <v>-209000</v>
          </cell>
          <cell r="R16">
            <v>-281000</v>
          </cell>
          <cell r="S16">
            <v>-353000</v>
          </cell>
          <cell r="T16">
            <v>-425000</v>
          </cell>
          <cell r="U16">
            <v>-497000</v>
          </cell>
          <cell r="V16">
            <v>-569000</v>
          </cell>
          <cell r="W16">
            <v>-641000</v>
          </cell>
        </row>
        <row r="17">
          <cell r="C17" t="str">
            <v>040120-TP2W-S</v>
          </cell>
          <cell r="D17">
            <v>1</v>
          </cell>
          <cell r="E17">
            <v>5164000</v>
          </cell>
          <cell r="F17">
            <v>940000</v>
          </cell>
          <cell r="G17">
            <v>720000</v>
          </cell>
          <cell r="H17">
            <v>1660000</v>
          </cell>
          <cell r="I17">
            <v>1239687.4000000001</v>
          </cell>
          <cell r="J17">
            <v>5022255.5999999996</v>
          </cell>
          <cell r="K17">
            <v>1117818</v>
          </cell>
          <cell r="L17">
            <v>7379761</v>
          </cell>
          <cell r="M17">
            <v>1246347.2</v>
          </cell>
          <cell r="N17">
            <v>822298.39999999991</v>
          </cell>
          <cell r="O17">
            <v>420312.59999999992</v>
          </cell>
          <cell r="P17">
            <v>-3413902.8</v>
          </cell>
          <cell r="Q17">
            <v>-3858044</v>
          </cell>
          <cell r="R17">
            <v>-4217510.8</v>
          </cell>
          <cell r="S17">
            <v>-4601943</v>
          </cell>
          <cell r="T17">
            <v>-5041996.2</v>
          </cell>
          <cell r="U17">
            <v>-5472582</v>
          </cell>
          <cell r="V17">
            <v>-5719761</v>
          </cell>
          <cell r="W17">
            <v>-5719761</v>
          </cell>
        </row>
        <row r="18">
          <cell r="C18" t="str">
            <v>040180-T12W</v>
          </cell>
          <cell r="D18">
            <v>1</v>
          </cell>
          <cell r="E18">
            <v>1000000</v>
          </cell>
          <cell r="F18">
            <v>0</v>
          </cell>
          <cell r="G18">
            <v>1098000</v>
          </cell>
          <cell r="H18">
            <v>1098000</v>
          </cell>
          <cell r="I18">
            <v>660106</v>
          </cell>
          <cell r="J18">
            <v>820664</v>
          </cell>
          <cell r="K18">
            <v>838531</v>
          </cell>
          <cell r="L18">
            <v>2319301</v>
          </cell>
          <cell r="M18">
            <v>498000</v>
          </cell>
          <cell r="N18">
            <v>498000</v>
          </cell>
          <cell r="O18">
            <v>437894</v>
          </cell>
          <cell r="P18">
            <v>-322140</v>
          </cell>
          <cell r="Q18">
            <v>-322140</v>
          </cell>
          <cell r="R18">
            <v>-322140</v>
          </cell>
          <cell r="S18">
            <v>-382770</v>
          </cell>
          <cell r="T18">
            <v>-1153019</v>
          </cell>
          <cell r="U18">
            <v>-1153019</v>
          </cell>
          <cell r="V18">
            <v>-1153019</v>
          </cell>
          <cell r="W18">
            <v>-1221301</v>
          </cell>
        </row>
        <row r="19">
          <cell r="C19" t="str">
            <v>040100-TC2W-1</v>
          </cell>
          <cell r="D19">
            <v>2</v>
          </cell>
          <cell r="E19">
            <v>600000</v>
          </cell>
          <cell r="F19">
            <v>0</v>
          </cell>
          <cell r="G19">
            <v>408240</v>
          </cell>
          <cell r="H19">
            <v>408240</v>
          </cell>
          <cell r="I19">
            <v>302457</v>
          </cell>
          <cell r="J19">
            <v>534059.16</v>
          </cell>
          <cell r="K19">
            <v>275148.30000000005</v>
          </cell>
          <cell r="L19">
            <v>1111664.46</v>
          </cell>
          <cell r="M19">
            <v>287169</v>
          </cell>
          <cell r="N19">
            <v>173285</v>
          </cell>
          <cell r="O19">
            <v>105783</v>
          </cell>
          <cell r="P19">
            <v>-51742.979999999981</v>
          </cell>
          <cell r="Q19">
            <v>-177905.5</v>
          </cell>
          <cell r="R19">
            <v>-283048.5</v>
          </cell>
          <cell r="S19">
            <v>-428276.16000000003</v>
          </cell>
          <cell r="T19">
            <v>-578263.80000000005</v>
          </cell>
          <cell r="U19">
            <v>-703424.46000000008</v>
          </cell>
          <cell r="V19">
            <v>-703424.46000000008</v>
          </cell>
          <cell r="W19">
            <v>-703424.46000000008</v>
          </cell>
        </row>
        <row r="20">
          <cell r="C20" t="str">
            <v>030120-P26H</v>
          </cell>
          <cell r="D20">
            <v>1</v>
          </cell>
          <cell r="E20">
            <v>169000</v>
          </cell>
          <cell r="F20">
            <v>131000</v>
          </cell>
          <cell r="G20">
            <v>223792</v>
          </cell>
          <cell r="H20">
            <v>354792</v>
          </cell>
          <cell r="I20">
            <v>323363</v>
          </cell>
          <cell r="J20">
            <v>473946</v>
          </cell>
          <cell r="K20">
            <v>228559</v>
          </cell>
          <cell r="L20">
            <v>1025868</v>
          </cell>
          <cell r="M20">
            <v>205247</v>
          </cell>
          <cell r="N20">
            <v>89501</v>
          </cell>
          <cell r="O20">
            <v>31429</v>
          </cell>
          <cell r="P20">
            <v>-82198</v>
          </cell>
          <cell r="Q20">
            <v>-206841</v>
          </cell>
          <cell r="R20">
            <v>-334525</v>
          </cell>
          <cell r="S20">
            <v>-442517</v>
          </cell>
          <cell r="T20">
            <v>-556453</v>
          </cell>
          <cell r="U20">
            <v>-671076</v>
          </cell>
          <cell r="V20">
            <v>-671076</v>
          </cell>
          <cell r="W20">
            <v>-671076</v>
          </cell>
        </row>
        <row r="21">
          <cell r="C21" t="str">
            <v>040200-T66H</v>
          </cell>
          <cell r="D21">
            <v>1</v>
          </cell>
          <cell r="E21">
            <v>500000</v>
          </cell>
          <cell r="F21">
            <v>0</v>
          </cell>
          <cell r="G21">
            <v>28000</v>
          </cell>
          <cell r="H21">
            <v>28000</v>
          </cell>
          <cell r="I21">
            <v>900</v>
          </cell>
          <cell r="J21">
            <v>324738</v>
          </cell>
          <cell r="K21">
            <v>268020</v>
          </cell>
          <cell r="L21">
            <v>593658</v>
          </cell>
          <cell r="M21">
            <v>28000</v>
          </cell>
          <cell r="N21">
            <v>27100</v>
          </cell>
          <cell r="O21">
            <v>27100</v>
          </cell>
          <cell r="P21">
            <v>-297638</v>
          </cell>
          <cell r="Q21">
            <v>-297638</v>
          </cell>
          <cell r="R21">
            <v>-297638</v>
          </cell>
          <cell r="S21">
            <v>-297638</v>
          </cell>
          <cell r="T21">
            <v>-565658</v>
          </cell>
          <cell r="U21">
            <v>-565658</v>
          </cell>
          <cell r="V21">
            <v>-565658</v>
          </cell>
          <cell r="W21">
            <v>-565658</v>
          </cell>
        </row>
        <row r="22">
          <cell r="C22" t="str">
            <v>064100-050W-2F</v>
          </cell>
          <cell r="D22">
            <v>1</v>
          </cell>
          <cell r="E22">
            <v>200000</v>
          </cell>
          <cell r="F22">
            <v>0</v>
          </cell>
          <cell r="G22">
            <v>300000</v>
          </cell>
          <cell r="H22">
            <v>300000</v>
          </cell>
          <cell r="I22">
            <v>150000</v>
          </cell>
          <cell r="J22">
            <v>250000</v>
          </cell>
          <cell r="K22">
            <v>400000</v>
          </cell>
          <cell r="L22">
            <v>800000</v>
          </cell>
          <cell r="M22">
            <v>300000</v>
          </cell>
          <cell r="N22">
            <v>150000</v>
          </cell>
          <cell r="O22">
            <v>150000</v>
          </cell>
          <cell r="P22">
            <v>-100000</v>
          </cell>
          <cell r="Q22">
            <v>-100000</v>
          </cell>
          <cell r="R22">
            <v>-100000</v>
          </cell>
          <cell r="S22">
            <v>-100000</v>
          </cell>
          <cell r="T22">
            <v>-500000</v>
          </cell>
          <cell r="U22">
            <v>-500000</v>
          </cell>
          <cell r="V22">
            <v>-500000</v>
          </cell>
          <cell r="W22">
            <v>-500000</v>
          </cell>
        </row>
        <row r="23">
          <cell r="C23" t="str">
            <v>060150-U42W</v>
          </cell>
          <cell r="D23">
            <v>1</v>
          </cell>
          <cell r="E23">
            <v>400000</v>
          </cell>
          <cell r="F23">
            <v>0</v>
          </cell>
          <cell r="G23">
            <v>343000</v>
          </cell>
          <cell r="H23">
            <v>343000</v>
          </cell>
          <cell r="I23">
            <v>150000</v>
          </cell>
          <cell r="J23">
            <v>289045</v>
          </cell>
          <cell r="K23">
            <v>292885</v>
          </cell>
          <cell r="L23">
            <v>731930</v>
          </cell>
          <cell r="M23">
            <v>193000</v>
          </cell>
          <cell r="N23">
            <v>193000</v>
          </cell>
          <cell r="O23">
            <v>193000</v>
          </cell>
          <cell r="P23">
            <v>-96045</v>
          </cell>
          <cell r="Q23">
            <v>-96045</v>
          </cell>
          <cell r="R23">
            <v>-96045</v>
          </cell>
          <cell r="S23">
            <v>-96045</v>
          </cell>
          <cell r="T23">
            <v>-388930</v>
          </cell>
          <cell r="U23">
            <v>-388930</v>
          </cell>
          <cell r="V23">
            <v>-388930</v>
          </cell>
          <cell r="W23">
            <v>-388930</v>
          </cell>
        </row>
        <row r="24">
          <cell r="C24" t="str">
            <v>060200-F12W-P</v>
          </cell>
          <cell r="D24">
            <v>1</v>
          </cell>
          <cell r="E24">
            <v>457000</v>
          </cell>
          <cell r="F24">
            <v>243000</v>
          </cell>
          <cell r="G24">
            <v>205700</v>
          </cell>
          <cell r="H24">
            <v>448700</v>
          </cell>
          <cell r="I24">
            <v>150000</v>
          </cell>
          <cell r="J24">
            <v>332913</v>
          </cell>
          <cell r="K24">
            <v>336373</v>
          </cell>
          <cell r="L24">
            <v>819286</v>
          </cell>
          <cell r="M24">
            <v>298700</v>
          </cell>
          <cell r="N24">
            <v>298700</v>
          </cell>
          <cell r="O24">
            <v>298700</v>
          </cell>
          <cell r="P24">
            <v>-34213</v>
          </cell>
          <cell r="Q24">
            <v>-34213</v>
          </cell>
          <cell r="R24">
            <v>-34213</v>
          </cell>
          <cell r="S24">
            <v>-34213</v>
          </cell>
          <cell r="T24">
            <v>-370586</v>
          </cell>
          <cell r="U24">
            <v>-370586</v>
          </cell>
          <cell r="V24">
            <v>-370586</v>
          </cell>
          <cell r="W24">
            <v>-370586</v>
          </cell>
        </row>
        <row r="25">
          <cell r="C25" t="str">
            <v>050180-T22W</v>
          </cell>
          <cell r="D25">
            <v>1</v>
          </cell>
          <cell r="E25">
            <v>160000</v>
          </cell>
          <cell r="F25">
            <v>140000</v>
          </cell>
          <cell r="G25">
            <v>19000</v>
          </cell>
          <cell r="H25">
            <v>159000</v>
          </cell>
          <cell r="I25">
            <v>400</v>
          </cell>
          <cell r="J25">
            <v>288656</v>
          </cell>
          <cell r="K25">
            <v>238240</v>
          </cell>
          <cell r="L25">
            <v>527296</v>
          </cell>
          <cell r="M25">
            <v>159000</v>
          </cell>
          <cell r="N25">
            <v>158600</v>
          </cell>
          <cell r="O25">
            <v>158600</v>
          </cell>
          <cell r="P25">
            <v>-130056</v>
          </cell>
          <cell r="Q25">
            <v>-130056</v>
          </cell>
          <cell r="R25">
            <v>-130056</v>
          </cell>
          <cell r="S25">
            <v>-130056</v>
          </cell>
          <cell r="T25">
            <v>-368296</v>
          </cell>
          <cell r="U25">
            <v>-368296</v>
          </cell>
          <cell r="V25">
            <v>-368296</v>
          </cell>
          <cell r="W25">
            <v>-368296</v>
          </cell>
        </row>
        <row r="26">
          <cell r="C26" t="str">
            <v>040203-JS2W-C</v>
          </cell>
          <cell r="D26">
            <v>1</v>
          </cell>
          <cell r="E26">
            <v>300000</v>
          </cell>
          <cell r="F26">
            <v>0</v>
          </cell>
          <cell r="G26">
            <v>122000</v>
          </cell>
          <cell r="H26">
            <v>122000</v>
          </cell>
          <cell r="I26">
            <v>120527</v>
          </cell>
          <cell r="J26">
            <v>143632</v>
          </cell>
          <cell r="K26">
            <v>145045</v>
          </cell>
          <cell r="L26">
            <v>409204</v>
          </cell>
          <cell r="M26">
            <v>22000</v>
          </cell>
          <cell r="N26">
            <v>22000</v>
          </cell>
          <cell r="O26">
            <v>1473</v>
          </cell>
          <cell r="P26">
            <v>-109089</v>
          </cell>
          <cell r="Q26">
            <v>-109089</v>
          </cell>
          <cell r="R26">
            <v>-109089</v>
          </cell>
          <cell r="S26">
            <v>-142159</v>
          </cell>
          <cell r="T26">
            <v>-253935</v>
          </cell>
          <cell r="U26">
            <v>-253935</v>
          </cell>
          <cell r="V26">
            <v>-253935</v>
          </cell>
          <cell r="W26">
            <v>-287204</v>
          </cell>
        </row>
        <row r="27">
          <cell r="C27" t="str">
            <v>040140-T12W-R</v>
          </cell>
          <cell r="D27">
            <v>1</v>
          </cell>
          <cell r="E27">
            <v>300000</v>
          </cell>
          <cell r="F27">
            <v>0</v>
          </cell>
          <cell r="G27">
            <v>20001</v>
          </cell>
          <cell r="H27">
            <v>20001</v>
          </cell>
          <cell r="I27">
            <v>400</v>
          </cell>
          <cell r="J27">
            <v>144328</v>
          </cell>
          <cell r="K27">
            <v>119120</v>
          </cell>
          <cell r="L27">
            <v>263848</v>
          </cell>
          <cell r="M27">
            <v>20001</v>
          </cell>
          <cell r="N27">
            <v>19601</v>
          </cell>
          <cell r="O27">
            <v>19601</v>
          </cell>
          <cell r="P27">
            <v>-124727</v>
          </cell>
          <cell r="Q27">
            <v>-124727</v>
          </cell>
          <cell r="R27">
            <v>-124727</v>
          </cell>
          <cell r="S27">
            <v>-124727</v>
          </cell>
          <cell r="T27">
            <v>-243847</v>
          </cell>
          <cell r="U27">
            <v>-243847</v>
          </cell>
          <cell r="V27">
            <v>-243847</v>
          </cell>
          <cell r="W27">
            <v>-243847</v>
          </cell>
        </row>
        <row r="28">
          <cell r="C28" t="str">
            <v>040140-Y16H</v>
          </cell>
          <cell r="D28">
            <v>1</v>
          </cell>
          <cell r="E28">
            <v>143000</v>
          </cell>
          <cell r="F28">
            <v>57000</v>
          </cell>
          <cell r="G28">
            <v>4000</v>
          </cell>
          <cell r="H28">
            <v>61000</v>
          </cell>
          <cell r="I28">
            <v>200</v>
          </cell>
          <cell r="J28">
            <v>144328</v>
          </cell>
          <cell r="K28">
            <v>119120</v>
          </cell>
          <cell r="L28">
            <v>263648</v>
          </cell>
          <cell r="M28">
            <v>61000</v>
          </cell>
          <cell r="N28">
            <v>60800</v>
          </cell>
          <cell r="O28">
            <v>60800</v>
          </cell>
          <cell r="P28">
            <v>-83528</v>
          </cell>
          <cell r="Q28">
            <v>-83528</v>
          </cell>
          <cell r="R28">
            <v>-83528</v>
          </cell>
          <cell r="S28">
            <v>-83528</v>
          </cell>
          <cell r="T28">
            <v>-202648</v>
          </cell>
          <cell r="U28">
            <v>-202648</v>
          </cell>
          <cell r="V28">
            <v>-202648</v>
          </cell>
          <cell r="W28">
            <v>-202648</v>
          </cell>
        </row>
        <row r="29">
          <cell r="C29" t="str">
            <v>050140-C62W-B</v>
          </cell>
          <cell r="D29">
            <v>2</v>
          </cell>
          <cell r="E29">
            <v>200000</v>
          </cell>
          <cell r="F29">
            <v>0</v>
          </cell>
          <cell r="G29">
            <v>66000</v>
          </cell>
          <cell r="H29">
            <v>66000</v>
          </cell>
          <cell r="I29">
            <v>0</v>
          </cell>
          <cell r="J29">
            <v>200000</v>
          </cell>
          <cell r="K29">
            <v>0</v>
          </cell>
          <cell r="L29">
            <v>200000</v>
          </cell>
          <cell r="M29">
            <v>66000</v>
          </cell>
          <cell r="N29">
            <v>66000</v>
          </cell>
          <cell r="O29">
            <v>66000</v>
          </cell>
          <cell r="P29">
            <v>-134000</v>
          </cell>
          <cell r="Q29">
            <v>-134000</v>
          </cell>
          <cell r="R29">
            <v>-134000</v>
          </cell>
          <cell r="S29">
            <v>-134000</v>
          </cell>
          <cell r="T29">
            <v>-134000</v>
          </cell>
          <cell r="U29">
            <v>-134000</v>
          </cell>
          <cell r="V29">
            <v>-134000</v>
          </cell>
          <cell r="W29">
            <v>-134000</v>
          </cell>
        </row>
        <row r="30">
          <cell r="C30" t="str">
            <v>030080-P26H</v>
          </cell>
          <cell r="D30">
            <v>1</v>
          </cell>
          <cell r="E30">
            <v>100000</v>
          </cell>
          <cell r="F30">
            <v>0</v>
          </cell>
          <cell r="G30">
            <v>5000</v>
          </cell>
          <cell r="H30">
            <v>5000</v>
          </cell>
          <cell r="I30">
            <v>0</v>
          </cell>
          <cell r="J30">
            <v>40000</v>
          </cell>
          <cell r="K30">
            <v>75000</v>
          </cell>
          <cell r="L30">
            <v>115000</v>
          </cell>
          <cell r="M30">
            <v>5000</v>
          </cell>
          <cell r="N30">
            <v>5000</v>
          </cell>
          <cell r="O30">
            <v>5000</v>
          </cell>
          <cell r="P30">
            <v>-35000</v>
          </cell>
          <cell r="Q30">
            <v>-35000</v>
          </cell>
          <cell r="R30">
            <v>-35000</v>
          </cell>
          <cell r="S30">
            <v>-35000</v>
          </cell>
          <cell r="T30">
            <v>-110000</v>
          </cell>
          <cell r="U30">
            <v>-110000</v>
          </cell>
          <cell r="V30">
            <v>-110000</v>
          </cell>
          <cell r="W30">
            <v>-110000</v>
          </cell>
        </row>
        <row r="31">
          <cell r="C31" t="str">
            <v>030080-J621</v>
          </cell>
          <cell r="D31">
            <v>1</v>
          </cell>
          <cell r="E31">
            <v>200000</v>
          </cell>
          <cell r="F31">
            <v>7000</v>
          </cell>
          <cell r="G31">
            <v>295000</v>
          </cell>
          <cell r="H31">
            <v>302000</v>
          </cell>
          <cell r="I31">
            <v>150904</v>
          </cell>
          <cell r="J31">
            <v>170000</v>
          </cell>
          <cell r="K31">
            <v>86656</v>
          </cell>
          <cell r="L31">
            <v>407560</v>
          </cell>
          <cell r="M31">
            <v>151096</v>
          </cell>
          <cell r="N31">
            <v>151096</v>
          </cell>
          <cell r="O31">
            <v>151096</v>
          </cell>
          <cell r="P31">
            <v>-18904</v>
          </cell>
          <cell r="Q31">
            <v>-18904</v>
          </cell>
          <cell r="R31">
            <v>-18904</v>
          </cell>
          <cell r="S31">
            <v>-18904</v>
          </cell>
          <cell r="T31">
            <v>-105560</v>
          </cell>
          <cell r="U31">
            <v>-105560</v>
          </cell>
          <cell r="V31">
            <v>-105560</v>
          </cell>
          <cell r="W31">
            <v>-105560</v>
          </cell>
        </row>
        <row r="32">
          <cell r="C32" t="str">
            <v>#80130-PDEZ-S</v>
          </cell>
          <cell r="D32">
            <v>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100000</v>
          </cell>
          <cell r="K32">
            <v>0</v>
          </cell>
          <cell r="L32">
            <v>100000</v>
          </cell>
          <cell r="M32">
            <v>0</v>
          </cell>
          <cell r="N32">
            <v>0</v>
          </cell>
          <cell r="O32">
            <v>0</v>
          </cell>
          <cell r="P32">
            <v>-100000</v>
          </cell>
          <cell r="Q32">
            <v>-100000</v>
          </cell>
          <cell r="R32">
            <v>-100000</v>
          </cell>
          <cell r="S32">
            <v>-100000</v>
          </cell>
          <cell r="T32">
            <v>-100000</v>
          </cell>
          <cell r="U32">
            <v>-100000</v>
          </cell>
          <cell r="V32">
            <v>-100000</v>
          </cell>
          <cell r="W32">
            <v>-100000</v>
          </cell>
        </row>
        <row r="33">
          <cell r="C33" t="str">
            <v>040145-HM6H-MZ</v>
          </cell>
          <cell r="D33">
            <v>1</v>
          </cell>
          <cell r="E33">
            <v>232000</v>
          </cell>
          <cell r="F33">
            <v>9000</v>
          </cell>
          <cell r="G33">
            <v>138000</v>
          </cell>
          <cell r="H33">
            <v>147000</v>
          </cell>
          <cell r="I33">
            <v>0</v>
          </cell>
          <cell r="J33">
            <v>150000</v>
          </cell>
          <cell r="K33">
            <v>0</v>
          </cell>
          <cell r="L33">
            <v>150000</v>
          </cell>
          <cell r="M33">
            <v>147000</v>
          </cell>
          <cell r="N33">
            <v>147000</v>
          </cell>
          <cell r="O33">
            <v>147000</v>
          </cell>
          <cell r="P33">
            <v>-3000</v>
          </cell>
          <cell r="Q33">
            <v>-3000</v>
          </cell>
          <cell r="R33">
            <v>-3000</v>
          </cell>
          <cell r="S33">
            <v>-3000</v>
          </cell>
          <cell r="T33">
            <v>-3000</v>
          </cell>
          <cell r="U33">
            <v>-3000</v>
          </cell>
          <cell r="V33">
            <v>-3000</v>
          </cell>
          <cell r="W33">
            <v>-3000</v>
          </cell>
        </row>
        <row r="34">
          <cell r="C34" t="str">
            <v>030060-PB2W-AZ</v>
          </cell>
          <cell r="D34">
            <v>1</v>
          </cell>
          <cell r="E34">
            <v>4486000</v>
          </cell>
          <cell r="F34">
            <v>2565000</v>
          </cell>
          <cell r="G34">
            <v>3200000</v>
          </cell>
          <cell r="H34">
            <v>5765000</v>
          </cell>
          <cell r="I34">
            <v>3750000</v>
          </cell>
          <cell r="J34">
            <v>6000000</v>
          </cell>
          <cell r="K34">
            <v>6000000</v>
          </cell>
          <cell r="L34">
            <v>15750000</v>
          </cell>
          <cell r="M34">
            <v>4515000</v>
          </cell>
          <cell r="N34">
            <v>3265000</v>
          </cell>
          <cell r="O34">
            <v>2015000</v>
          </cell>
          <cell r="P34">
            <v>515000</v>
          </cell>
          <cell r="Q34">
            <v>-985000</v>
          </cell>
          <cell r="R34">
            <v>-2485000</v>
          </cell>
          <cell r="S34">
            <v>-3985000</v>
          </cell>
          <cell r="T34">
            <v>-5485000</v>
          </cell>
          <cell r="U34">
            <v>-6985000</v>
          </cell>
          <cell r="V34">
            <v>-8485000</v>
          </cell>
          <cell r="W34">
            <v>-9985000</v>
          </cell>
        </row>
        <row r="35">
          <cell r="C35" t="str">
            <v>650320-F62W-SP</v>
          </cell>
          <cell r="D35">
            <v>1</v>
          </cell>
          <cell r="E35">
            <v>508000</v>
          </cell>
          <cell r="F35">
            <v>665000</v>
          </cell>
          <cell r="G35">
            <v>802000</v>
          </cell>
          <cell r="H35">
            <v>1467000</v>
          </cell>
          <cell r="I35">
            <v>812437</v>
          </cell>
          <cell r="J35">
            <v>1390228</v>
          </cell>
          <cell r="K35">
            <v>689410</v>
          </cell>
          <cell r="L35">
            <v>2892075</v>
          </cell>
          <cell r="M35">
            <v>1134131</v>
          </cell>
          <cell r="N35">
            <v>862184</v>
          </cell>
          <cell r="O35">
            <v>654563</v>
          </cell>
          <cell r="P35">
            <v>255071</v>
          </cell>
          <cell r="Q35">
            <v>-100321</v>
          </cell>
          <cell r="R35">
            <v>-382998</v>
          </cell>
          <cell r="S35">
            <v>-735665</v>
          </cell>
          <cell r="T35">
            <v>-1088486</v>
          </cell>
          <cell r="U35">
            <v>-1425075</v>
          </cell>
          <cell r="V35">
            <v>-1425075</v>
          </cell>
          <cell r="W35">
            <v>-1425075</v>
          </cell>
        </row>
        <row r="36">
          <cell r="C36" t="str">
            <v>040160-T12W</v>
          </cell>
          <cell r="D36">
            <v>1</v>
          </cell>
          <cell r="E36">
            <v>500000</v>
          </cell>
          <cell r="F36">
            <v>0</v>
          </cell>
          <cell r="G36">
            <v>640000</v>
          </cell>
          <cell r="H36">
            <v>640000</v>
          </cell>
          <cell r="I36">
            <v>344934</v>
          </cell>
          <cell r="J36">
            <v>533480</v>
          </cell>
          <cell r="K36">
            <v>216144</v>
          </cell>
          <cell r="L36">
            <v>1094558</v>
          </cell>
          <cell r="M36">
            <v>475477</v>
          </cell>
          <cell r="N36">
            <v>374417</v>
          </cell>
          <cell r="O36">
            <v>295066</v>
          </cell>
          <cell r="P36">
            <v>117872</v>
          </cell>
          <cell r="Q36">
            <v>-7077</v>
          </cell>
          <cell r="R36">
            <v>-110064</v>
          </cell>
          <cell r="S36">
            <v>-238414</v>
          </cell>
          <cell r="T36">
            <v>-354682</v>
          </cell>
          <cell r="U36">
            <v>-454558</v>
          </cell>
          <cell r="V36">
            <v>-454558</v>
          </cell>
          <cell r="W36">
            <v>-454558</v>
          </cell>
        </row>
        <row r="37">
          <cell r="C37" t="str">
            <v>040180-P62W</v>
          </cell>
          <cell r="D37">
            <v>1</v>
          </cell>
          <cell r="E37">
            <v>1714000</v>
          </cell>
          <cell r="F37">
            <v>975000</v>
          </cell>
          <cell r="G37">
            <v>44251</v>
          </cell>
          <cell r="H37">
            <v>1019251</v>
          </cell>
          <cell r="I37">
            <v>220617</v>
          </cell>
          <cell r="J37">
            <v>1069712</v>
          </cell>
          <cell r="K37">
            <v>40464</v>
          </cell>
          <cell r="L37">
            <v>1330793</v>
          </cell>
          <cell r="M37">
            <v>925998</v>
          </cell>
          <cell r="N37">
            <v>841032</v>
          </cell>
          <cell r="O37">
            <v>798634</v>
          </cell>
          <cell r="P37">
            <v>4689</v>
          </cell>
          <cell r="Q37">
            <v>-94964</v>
          </cell>
          <cell r="R37">
            <v>-182906</v>
          </cell>
          <cell r="S37">
            <v>-271078</v>
          </cell>
          <cell r="T37">
            <v>-311542</v>
          </cell>
          <cell r="U37">
            <v>-311542</v>
          </cell>
          <cell r="V37">
            <v>-311542</v>
          </cell>
          <cell r="W37">
            <v>-311542</v>
          </cell>
        </row>
        <row r="38">
          <cell r="C38" t="str">
            <v>040120-Z12W-DT</v>
          </cell>
          <cell r="D38">
            <v>1</v>
          </cell>
          <cell r="E38">
            <v>200000</v>
          </cell>
          <cell r="F38">
            <v>0</v>
          </cell>
          <cell r="G38">
            <v>28000</v>
          </cell>
          <cell r="H38">
            <v>28000</v>
          </cell>
          <cell r="I38">
            <v>16568</v>
          </cell>
          <cell r="J38">
            <v>26378</v>
          </cell>
          <cell r="K38">
            <v>16520</v>
          </cell>
          <cell r="L38">
            <v>59466</v>
          </cell>
          <cell r="M38">
            <v>21124</v>
          </cell>
          <cell r="N38">
            <v>16777</v>
          </cell>
          <cell r="O38">
            <v>11432</v>
          </cell>
          <cell r="P38">
            <v>4172</v>
          </cell>
          <cell r="Q38">
            <v>-2087</v>
          </cell>
          <cell r="R38">
            <v>-8148</v>
          </cell>
          <cell r="S38">
            <v>-14946</v>
          </cell>
          <cell r="T38">
            <v>-24998</v>
          </cell>
          <cell r="U38">
            <v>-31466</v>
          </cell>
          <cell r="V38">
            <v>-31466</v>
          </cell>
          <cell r="W38">
            <v>-31466</v>
          </cell>
        </row>
        <row r="39">
          <cell r="C39" t="str">
            <v>040140-B62W</v>
          </cell>
          <cell r="D39">
            <v>1</v>
          </cell>
          <cell r="E39">
            <v>0</v>
          </cell>
          <cell r="F39">
            <v>177000</v>
          </cell>
          <cell r="G39">
            <v>938000</v>
          </cell>
          <cell r="H39">
            <v>1115000</v>
          </cell>
          <cell r="I39">
            <v>530000</v>
          </cell>
          <cell r="J39">
            <v>1003815</v>
          </cell>
          <cell r="K39">
            <v>945362</v>
          </cell>
          <cell r="L39">
            <v>2479177</v>
          </cell>
          <cell r="M39">
            <v>585000</v>
          </cell>
          <cell r="N39">
            <v>585000</v>
          </cell>
          <cell r="O39">
            <v>585000</v>
          </cell>
          <cell r="P39">
            <v>135000</v>
          </cell>
          <cell r="Q39">
            <v>135000</v>
          </cell>
          <cell r="R39">
            <v>-219000</v>
          </cell>
          <cell r="S39">
            <v>-418815</v>
          </cell>
          <cell r="T39">
            <v>-1364177</v>
          </cell>
          <cell r="U39">
            <v>-1364177</v>
          </cell>
          <cell r="V39">
            <v>-1364177</v>
          </cell>
          <cell r="W39">
            <v>-1364177</v>
          </cell>
        </row>
        <row r="40">
          <cell r="C40" t="str">
            <v>080300-FM5L-DS</v>
          </cell>
          <cell r="D40">
            <v>1</v>
          </cell>
          <cell r="E40">
            <v>109000</v>
          </cell>
          <cell r="F40">
            <v>153000</v>
          </cell>
          <cell r="G40">
            <v>444600</v>
          </cell>
          <cell r="H40">
            <v>597600</v>
          </cell>
          <cell r="I40">
            <v>304728</v>
          </cell>
          <cell r="J40">
            <v>515694</v>
          </cell>
          <cell r="K40">
            <v>254751</v>
          </cell>
          <cell r="L40">
            <v>1075173</v>
          </cell>
          <cell r="M40">
            <v>471009</v>
          </cell>
          <cell r="N40">
            <v>369576</v>
          </cell>
          <cell r="O40">
            <v>292872</v>
          </cell>
          <cell r="P40">
            <v>143298</v>
          </cell>
          <cell r="Q40">
            <v>11718</v>
          </cell>
          <cell r="R40">
            <v>-91746</v>
          </cell>
          <cell r="S40">
            <v>-222822</v>
          </cell>
          <cell r="T40">
            <v>-353169</v>
          </cell>
          <cell r="U40">
            <v>-477573</v>
          </cell>
          <cell r="V40">
            <v>-477573</v>
          </cell>
          <cell r="W40">
            <v>-477573</v>
          </cell>
        </row>
        <row r="41">
          <cell r="C41" t="str">
            <v>100350-F51A-D</v>
          </cell>
          <cell r="D41">
            <v>1</v>
          </cell>
          <cell r="E41">
            <v>300000</v>
          </cell>
          <cell r="F41">
            <v>0</v>
          </cell>
          <cell r="G41">
            <v>392800</v>
          </cell>
          <cell r="H41">
            <v>392800</v>
          </cell>
          <cell r="I41">
            <v>190590</v>
          </cell>
          <cell r="J41">
            <v>325611</v>
          </cell>
          <cell r="K41">
            <v>160612</v>
          </cell>
          <cell r="L41">
            <v>676813</v>
          </cell>
          <cell r="M41">
            <v>314686</v>
          </cell>
          <cell r="N41">
            <v>249850</v>
          </cell>
          <cell r="O41">
            <v>202210</v>
          </cell>
          <cell r="P41">
            <v>108772</v>
          </cell>
          <cell r="Q41">
            <v>25409</v>
          </cell>
          <cell r="R41">
            <v>-39950</v>
          </cell>
          <cell r="S41">
            <v>-123401</v>
          </cell>
          <cell r="T41">
            <v>-205588</v>
          </cell>
          <cell r="U41">
            <v>-284013</v>
          </cell>
          <cell r="V41">
            <v>-284013</v>
          </cell>
          <cell r="W41">
            <v>-284013</v>
          </cell>
        </row>
        <row r="42">
          <cell r="C42" t="str">
            <v>050160-FM5R-AP</v>
          </cell>
          <cell r="D42">
            <v>1</v>
          </cell>
          <cell r="E42">
            <v>70000</v>
          </cell>
          <cell r="F42">
            <v>230000</v>
          </cell>
          <cell r="G42">
            <v>520</v>
          </cell>
          <cell r="H42">
            <v>230520</v>
          </cell>
          <cell r="I42">
            <v>104372</v>
          </cell>
          <cell r="J42">
            <v>183758</v>
          </cell>
          <cell r="K42">
            <v>88954</v>
          </cell>
          <cell r="L42">
            <v>377084</v>
          </cell>
          <cell r="M42">
            <v>187934</v>
          </cell>
          <cell r="N42">
            <v>153156</v>
          </cell>
          <cell r="O42">
            <v>126148</v>
          </cell>
          <cell r="P42">
            <v>69968</v>
          </cell>
          <cell r="Q42">
            <v>24276</v>
          </cell>
          <cell r="R42">
            <v>-12282</v>
          </cell>
          <cell r="S42">
            <v>-57610</v>
          </cell>
          <cell r="T42">
            <v>-103302</v>
          </cell>
          <cell r="U42">
            <v>-146564</v>
          </cell>
          <cell r="V42">
            <v>-146564</v>
          </cell>
          <cell r="W42">
            <v>-146564</v>
          </cell>
        </row>
        <row r="43">
          <cell r="C43" t="str">
            <v>260080-P52A-3PN</v>
          </cell>
          <cell r="D43">
            <v>1</v>
          </cell>
          <cell r="E43">
            <v>237000</v>
          </cell>
          <cell r="F43">
            <v>184000</v>
          </cell>
          <cell r="G43">
            <v>15000</v>
          </cell>
          <cell r="H43">
            <v>199000</v>
          </cell>
          <cell r="I43">
            <v>120000</v>
          </cell>
          <cell r="J43">
            <v>125614</v>
          </cell>
          <cell r="K43">
            <v>56797</v>
          </cell>
          <cell r="L43">
            <v>302411</v>
          </cell>
          <cell r="M43">
            <v>79000</v>
          </cell>
          <cell r="N43">
            <v>79000</v>
          </cell>
          <cell r="O43">
            <v>79000</v>
          </cell>
          <cell r="P43">
            <v>48670</v>
          </cell>
          <cell r="Q43">
            <v>15232</v>
          </cell>
          <cell r="R43">
            <v>-15123</v>
          </cell>
          <cell r="S43">
            <v>-46614</v>
          </cell>
          <cell r="T43">
            <v>-78770</v>
          </cell>
          <cell r="U43">
            <v>-103411</v>
          </cell>
          <cell r="V43">
            <v>-103411</v>
          </cell>
          <cell r="W43">
            <v>-103411</v>
          </cell>
        </row>
        <row r="44">
          <cell r="C44" t="str">
            <v>050160-T12W</v>
          </cell>
          <cell r="D44">
            <v>1</v>
          </cell>
          <cell r="E44">
            <v>200000</v>
          </cell>
          <cell r="F44">
            <v>0</v>
          </cell>
          <cell r="G44">
            <v>182000</v>
          </cell>
          <cell r="H44">
            <v>182000</v>
          </cell>
          <cell r="I44">
            <v>80192</v>
          </cell>
          <cell r="J44">
            <v>154436</v>
          </cell>
          <cell r="K44">
            <v>48710</v>
          </cell>
          <cell r="L44">
            <v>283338</v>
          </cell>
          <cell r="M44">
            <v>160486</v>
          </cell>
          <cell r="N44">
            <v>124732</v>
          </cell>
          <cell r="O44">
            <v>101808</v>
          </cell>
          <cell r="P44">
            <v>59468</v>
          </cell>
          <cell r="Q44">
            <v>17462</v>
          </cell>
          <cell r="R44">
            <v>-11344</v>
          </cell>
          <cell r="S44">
            <v>-52628</v>
          </cell>
          <cell r="T44">
            <v>-75112</v>
          </cell>
          <cell r="U44">
            <v>-101338</v>
          </cell>
          <cell r="V44">
            <v>-101338</v>
          </cell>
          <cell r="W44">
            <v>-101338</v>
          </cell>
        </row>
        <row r="45">
          <cell r="C45" t="str">
            <v>780420-F64W-2</v>
          </cell>
          <cell r="D45">
            <v>1</v>
          </cell>
          <cell r="E45">
            <v>101000</v>
          </cell>
          <cell r="F45">
            <v>423000</v>
          </cell>
          <cell r="G45">
            <v>450800</v>
          </cell>
          <cell r="H45">
            <v>873800</v>
          </cell>
          <cell r="I45">
            <v>343962</v>
          </cell>
          <cell r="J45">
            <v>616753</v>
          </cell>
          <cell r="K45">
            <v>320686</v>
          </cell>
          <cell r="L45">
            <v>1281401</v>
          </cell>
          <cell r="M45">
            <v>750553</v>
          </cell>
          <cell r="N45">
            <v>640397</v>
          </cell>
          <cell r="O45">
            <v>529838</v>
          </cell>
          <cell r="P45">
            <v>357306</v>
          </cell>
          <cell r="Q45">
            <v>200113</v>
          </cell>
          <cell r="R45">
            <v>67421</v>
          </cell>
          <cell r="S45">
            <v>-86915</v>
          </cell>
          <cell r="T45">
            <v>-258635</v>
          </cell>
          <cell r="U45">
            <v>-407601</v>
          </cell>
          <cell r="V45">
            <v>-407601</v>
          </cell>
          <cell r="W45">
            <v>-407601</v>
          </cell>
        </row>
        <row r="46">
          <cell r="C46" t="str">
            <v>040120-P12Z</v>
          </cell>
          <cell r="D46">
            <v>1</v>
          </cell>
          <cell r="E46">
            <v>0</v>
          </cell>
          <cell r="F46">
            <v>0</v>
          </cell>
          <cell r="G46">
            <v>206000</v>
          </cell>
          <cell r="H46">
            <v>206000</v>
          </cell>
          <cell r="I46">
            <v>0</v>
          </cell>
          <cell r="J46">
            <v>300000</v>
          </cell>
          <cell r="K46">
            <v>150000</v>
          </cell>
          <cell r="L46">
            <v>450000</v>
          </cell>
          <cell r="M46">
            <v>206000</v>
          </cell>
          <cell r="N46">
            <v>206000</v>
          </cell>
          <cell r="O46">
            <v>206000</v>
          </cell>
          <cell r="P46">
            <v>6000</v>
          </cell>
          <cell r="Q46">
            <v>6000</v>
          </cell>
          <cell r="R46">
            <v>6000</v>
          </cell>
          <cell r="S46">
            <v>-94000</v>
          </cell>
          <cell r="T46">
            <v>-244000</v>
          </cell>
          <cell r="U46">
            <v>-244000</v>
          </cell>
          <cell r="V46">
            <v>-244000</v>
          </cell>
          <cell r="W46">
            <v>-244000</v>
          </cell>
        </row>
        <row r="47">
          <cell r="C47" t="str">
            <v>040140-T12W</v>
          </cell>
          <cell r="D47">
            <v>1</v>
          </cell>
          <cell r="E47">
            <v>686000</v>
          </cell>
          <cell r="F47">
            <v>615000</v>
          </cell>
          <cell r="G47">
            <v>18000</v>
          </cell>
          <cell r="H47">
            <v>633000</v>
          </cell>
          <cell r="I47">
            <v>253721</v>
          </cell>
          <cell r="J47">
            <v>443435.5</v>
          </cell>
          <cell r="K47">
            <v>135786</v>
          </cell>
          <cell r="L47">
            <v>832942.5</v>
          </cell>
          <cell r="M47">
            <v>547656</v>
          </cell>
          <cell r="N47">
            <v>451378</v>
          </cell>
          <cell r="O47">
            <v>379279</v>
          </cell>
          <cell r="P47">
            <v>260501</v>
          </cell>
          <cell r="Q47">
            <v>143382</v>
          </cell>
          <cell r="R47">
            <v>45100</v>
          </cell>
          <cell r="S47">
            <v>-64156.5</v>
          </cell>
          <cell r="T47">
            <v>-134943.5</v>
          </cell>
          <cell r="U47">
            <v>-199942.5</v>
          </cell>
          <cell r="V47">
            <v>-199942.5</v>
          </cell>
          <cell r="W47">
            <v>-199942.5</v>
          </cell>
        </row>
        <row r="48">
          <cell r="C48" t="str">
            <v>080620-UM1A-2A</v>
          </cell>
          <cell r="D48">
            <v>1</v>
          </cell>
          <cell r="E48">
            <v>126000</v>
          </cell>
          <cell r="F48">
            <v>387000</v>
          </cell>
          <cell r="G48">
            <v>139500</v>
          </cell>
          <cell r="H48">
            <v>526500</v>
          </cell>
          <cell r="I48">
            <v>198821</v>
          </cell>
          <cell r="J48">
            <v>341789</v>
          </cell>
          <cell r="K48">
            <v>163845</v>
          </cell>
          <cell r="L48">
            <v>704455</v>
          </cell>
          <cell r="M48">
            <v>443345</v>
          </cell>
          <cell r="N48">
            <v>371309</v>
          </cell>
          <cell r="O48">
            <v>327679</v>
          </cell>
          <cell r="P48">
            <v>227487</v>
          </cell>
          <cell r="Q48">
            <v>139386</v>
          </cell>
          <cell r="R48">
            <v>72994</v>
          </cell>
          <cell r="S48">
            <v>-14110</v>
          </cell>
          <cell r="T48">
            <v>-95412</v>
          </cell>
          <cell r="U48">
            <v>-177955</v>
          </cell>
          <cell r="V48">
            <v>-177955</v>
          </cell>
          <cell r="W48">
            <v>-177955</v>
          </cell>
        </row>
        <row r="49">
          <cell r="C49" t="str">
            <v>060500-U34W-4</v>
          </cell>
          <cell r="D49">
            <v>1</v>
          </cell>
          <cell r="E49">
            <v>300000</v>
          </cell>
          <cell r="F49">
            <v>0</v>
          </cell>
          <cell r="G49">
            <v>504200</v>
          </cell>
          <cell r="H49">
            <v>504200</v>
          </cell>
          <cell r="I49">
            <v>203829</v>
          </cell>
          <cell r="J49">
            <v>301782</v>
          </cell>
          <cell r="K49">
            <v>172221</v>
          </cell>
          <cell r="L49">
            <v>677832</v>
          </cell>
          <cell r="M49">
            <v>430016</v>
          </cell>
          <cell r="N49">
            <v>357143</v>
          </cell>
          <cell r="O49">
            <v>300371</v>
          </cell>
          <cell r="P49">
            <v>212102</v>
          </cell>
          <cell r="Q49">
            <v>134177</v>
          </cell>
          <cell r="R49">
            <v>73958</v>
          </cell>
          <cell r="S49">
            <v>-1411</v>
          </cell>
          <cell r="T49">
            <v>-76483</v>
          </cell>
          <cell r="U49">
            <v>-149710</v>
          </cell>
          <cell r="V49">
            <v>-173632</v>
          </cell>
          <cell r="W49">
            <v>-173632</v>
          </cell>
        </row>
        <row r="50">
          <cell r="C50" t="str">
            <v>040180-T65H</v>
          </cell>
          <cell r="D50">
            <v>1</v>
          </cell>
          <cell r="E50">
            <v>0</v>
          </cell>
          <cell r="F50">
            <v>4000</v>
          </cell>
          <cell r="G50">
            <v>360000</v>
          </cell>
          <cell r="H50">
            <v>364000</v>
          </cell>
          <cell r="I50">
            <v>140381</v>
          </cell>
          <cell r="J50">
            <v>243062</v>
          </cell>
          <cell r="K50">
            <v>128123</v>
          </cell>
          <cell r="L50">
            <v>511566</v>
          </cell>
          <cell r="M50">
            <v>304938</v>
          </cell>
          <cell r="N50">
            <v>263069</v>
          </cell>
          <cell r="O50">
            <v>223619</v>
          </cell>
          <cell r="P50">
            <v>155419</v>
          </cell>
          <cell r="Q50">
            <v>93056</v>
          </cell>
          <cell r="R50">
            <v>43184</v>
          </cell>
          <cell r="S50">
            <v>-19443</v>
          </cell>
          <cell r="T50">
            <v>-89235</v>
          </cell>
          <cell r="U50">
            <v>-147566</v>
          </cell>
          <cell r="V50">
            <v>-147566</v>
          </cell>
          <cell r="W50">
            <v>-147566</v>
          </cell>
        </row>
        <row r="51">
          <cell r="C51" t="str">
            <v>050160-FS2W-APZ</v>
          </cell>
          <cell r="D51">
            <v>1</v>
          </cell>
          <cell r="E51">
            <v>0</v>
          </cell>
          <cell r="F51">
            <v>171000</v>
          </cell>
          <cell r="G51">
            <v>287000</v>
          </cell>
          <cell r="H51">
            <v>458000</v>
          </cell>
          <cell r="I51">
            <v>153800</v>
          </cell>
          <cell r="J51">
            <v>308191</v>
          </cell>
          <cell r="K51">
            <v>138140</v>
          </cell>
          <cell r="L51">
            <v>600131</v>
          </cell>
          <cell r="M51">
            <v>397350</v>
          </cell>
          <cell r="N51">
            <v>327983</v>
          </cell>
          <cell r="O51">
            <v>304200</v>
          </cell>
          <cell r="P51">
            <v>204235</v>
          </cell>
          <cell r="Q51">
            <v>144026</v>
          </cell>
          <cell r="R51">
            <v>86538</v>
          </cell>
          <cell r="S51">
            <v>-3991</v>
          </cell>
          <cell r="T51">
            <v>-95209</v>
          </cell>
          <cell r="U51">
            <v>-142131</v>
          </cell>
          <cell r="V51">
            <v>-142131</v>
          </cell>
          <cell r="W51">
            <v>-142131</v>
          </cell>
        </row>
        <row r="52">
          <cell r="C52" t="str">
            <v>040120-PB6H</v>
          </cell>
          <cell r="D52">
            <v>1</v>
          </cell>
          <cell r="E52">
            <v>0</v>
          </cell>
          <cell r="F52">
            <v>0</v>
          </cell>
          <cell r="G52">
            <v>302054</v>
          </cell>
          <cell r="H52">
            <v>302054</v>
          </cell>
          <cell r="I52">
            <v>119054</v>
          </cell>
          <cell r="J52">
            <v>198840</v>
          </cell>
          <cell r="K52">
            <v>101790</v>
          </cell>
          <cell r="L52">
            <v>419684</v>
          </cell>
          <cell r="M52">
            <v>199200</v>
          </cell>
          <cell r="N52">
            <v>189000</v>
          </cell>
          <cell r="O52">
            <v>183000</v>
          </cell>
          <cell r="P52">
            <v>130860</v>
          </cell>
          <cell r="Q52">
            <v>66700</v>
          </cell>
          <cell r="R52">
            <v>14930</v>
          </cell>
          <cell r="S52">
            <v>-15840</v>
          </cell>
          <cell r="T52">
            <v>-71900</v>
          </cell>
          <cell r="U52">
            <v>-117630</v>
          </cell>
          <cell r="V52">
            <v>-117630</v>
          </cell>
          <cell r="W52">
            <v>-117630</v>
          </cell>
        </row>
        <row r="53">
          <cell r="C53" t="str">
            <v>040120-J16H</v>
          </cell>
          <cell r="D53">
            <v>1</v>
          </cell>
          <cell r="E53">
            <v>0</v>
          </cell>
          <cell r="F53">
            <v>11000</v>
          </cell>
          <cell r="G53">
            <v>273000</v>
          </cell>
          <cell r="H53">
            <v>284000</v>
          </cell>
          <cell r="I53">
            <v>141304</v>
          </cell>
          <cell r="J53">
            <v>143557</v>
          </cell>
          <cell r="K53">
            <v>24731</v>
          </cell>
          <cell r="L53">
            <v>309592</v>
          </cell>
          <cell r="M53">
            <v>191050</v>
          </cell>
          <cell r="N53">
            <v>158692</v>
          </cell>
          <cell r="O53">
            <v>142696</v>
          </cell>
          <cell r="P53">
            <v>76604</v>
          </cell>
          <cell r="Q53">
            <v>49717</v>
          </cell>
          <cell r="R53">
            <v>22362</v>
          </cell>
          <cell r="S53">
            <v>-861</v>
          </cell>
          <cell r="T53">
            <v>-25592</v>
          </cell>
          <cell r="U53">
            <v>-25592</v>
          </cell>
          <cell r="V53">
            <v>-25592</v>
          </cell>
          <cell r="W53">
            <v>-25592</v>
          </cell>
        </row>
        <row r="54">
          <cell r="C54" t="str">
            <v>030160-P62W-Z</v>
          </cell>
          <cell r="D54">
            <v>1</v>
          </cell>
          <cell r="E54">
            <v>0</v>
          </cell>
          <cell r="F54">
            <v>0</v>
          </cell>
          <cell r="G54">
            <v>33770</v>
          </cell>
          <cell r="H54">
            <v>33770</v>
          </cell>
          <cell r="I54">
            <v>0</v>
          </cell>
          <cell r="J54">
            <v>50000</v>
          </cell>
          <cell r="K54">
            <v>0</v>
          </cell>
          <cell r="L54">
            <v>50000</v>
          </cell>
          <cell r="M54">
            <v>33770</v>
          </cell>
          <cell r="N54">
            <v>33770</v>
          </cell>
          <cell r="O54">
            <v>33770</v>
          </cell>
          <cell r="P54">
            <v>33770</v>
          </cell>
          <cell r="Q54">
            <v>33770</v>
          </cell>
          <cell r="R54">
            <v>33770</v>
          </cell>
          <cell r="S54">
            <v>-16230</v>
          </cell>
          <cell r="T54">
            <v>-16230</v>
          </cell>
          <cell r="U54">
            <v>-16230</v>
          </cell>
          <cell r="V54">
            <v>-16230</v>
          </cell>
          <cell r="W54">
            <v>-16230</v>
          </cell>
        </row>
        <row r="55">
          <cell r="C55" t="str">
            <v>060090-ZE1W-C</v>
          </cell>
          <cell r="D55">
            <v>1</v>
          </cell>
          <cell r="E55">
            <v>16000</v>
          </cell>
          <cell r="F55">
            <v>2000</v>
          </cell>
          <cell r="G55">
            <v>0</v>
          </cell>
          <cell r="H55">
            <v>2000</v>
          </cell>
          <cell r="I55">
            <v>997</v>
          </cell>
          <cell r="J55">
            <v>1993.8</v>
          </cell>
          <cell r="K55">
            <v>0</v>
          </cell>
          <cell r="L55">
            <v>2990.8</v>
          </cell>
          <cell r="M55">
            <v>2000</v>
          </cell>
          <cell r="N55">
            <v>2000</v>
          </cell>
          <cell r="O55">
            <v>1003</v>
          </cell>
          <cell r="P55">
            <v>1003</v>
          </cell>
          <cell r="Q55">
            <v>1003</v>
          </cell>
          <cell r="R55">
            <v>1003</v>
          </cell>
          <cell r="S55">
            <v>-990.8</v>
          </cell>
          <cell r="T55">
            <v>-990.8</v>
          </cell>
          <cell r="U55">
            <v>-990.8</v>
          </cell>
          <cell r="V55">
            <v>-990.8</v>
          </cell>
          <cell r="W55">
            <v>-990.8</v>
          </cell>
        </row>
        <row r="56">
          <cell r="C56" t="str">
            <v>030060-B59B-MQ</v>
          </cell>
          <cell r="D56">
            <v>1</v>
          </cell>
          <cell r="E56">
            <v>616000</v>
          </cell>
          <cell r="F56">
            <v>746000</v>
          </cell>
          <cell r="G56">
            <v>280000</v>
          </cell>
          <cell r="H56">
            <v>1026000</v>
          </cell>
          <cell r="I56">
            <v>360000</v>
          </cell>
          <cell r="J56">
            <v>660000</v>
          </cell>
          <cell r="K56">
            <v>1200000</v>
          </cell>
          <cell r="L56">
            <v>2220000</v>
          </cell>
          <cell r="M56">
            <v>1026000</v>
          </cell>
          <cell r="N56">
            <v>666000</v>
          </cell>
          <cell r="O56">
            <v>666000</v>
          </cell>
          <cell r="P56">
            <v>6000</v>
          </cell>
          <cell r="Q56">
            <v>6000</v>
          </cell>
          <cell r="R56">
            <v>6000</v>
          </cell>
          <cell r="S56">
            <v>6000</v>
          </cell>
          <cell r="T56">
            <v>-1194000</v>
          </cell>
          <cell r="U56">
            <v>-1194000</v>
          </cell>
          <cell r="V56">
            <v>-1194000</v>
          </cell>
          <cell r="W56">
            <v>-1194000</v>
          </cell>
        </row>
        <row r="57">
          <cell r="C57" t="str">
            <v>080315-JM6R-DH</v>
          </cell>
          <cell r="D57">
            <v>1</v>
          </cell>
          <cell r="E57">
            <v>329000</v>
          </cell>
          <cell r="F57">
            <v>475000</v>
          </cell>
          <cell r="G57">
            <v>560532</v>
          </cell>
          <cell r="H57">
            <v>1035532</v>
          </cell>
          <cell r="I57">
            <v>450000</v>
          </cell>
          <cell r="J57">
            <v>484200</v>
          </cell>
          <cell r="K57">
            <v>456462</v>
          </cell>
          <cell r="L57">
            <v>1390662</v>
          </cell>
          <cell r="M57">
            <v>585532</v>
          </cell>
          <cell r="N57">
            <v>585532</v>
          </cell>
          <cell r="O57">
            <v>585532</v>
          </cell>
          <cell r="P57">
            <v>101332</v>
          </cell>
          <cell r="Q57">
            <v>101332</v>
          </cell>
          <cell r="R57">
            <v>101332</v>
          </cell>
          <cell r="S57">
            <v>101332</v>
          </cell>
          <cell r="T57">
            <v>-355130</v>
          </cell>
          <cell r="U57">
            <v>-355130</v>
          </cell>
          <cell r="V57">
            <v>-355130</v>
          </cell>
          <cell r="W57">
            <v>-355130</v>
          </cell>
        </row>
        <row r="58">
          <cell r="C58" t="str">
            <v>040120-T15H</v>
          </cell>
          <cell r="D58">
            <v>2</v>
          </cell>
          <cell r="E58">
            <v>120000</v>
          </cell>
          <cell r="F58">
            <v>656000</v>
          </cell>
          <cell r="G58">
            <v>310000</v>
          </cell>
          <cell r="H58">
            <v>966000</v>
          </cell>
          <cell r="I58">
            <v>572333</v>
          </cell>
          <cell r="J58">
            <v>5000</v>
          </cell>
          <cell r="K58">
            <v>741134</v>
          </cell>
          <cell r="L58">
            <v>1318467</v>
          </cell>
          <cell r="M58">
            <v>936000</v>
          </cell>
          <cell r="N58">
            <v>936000</v>
          </cell>
          <cell r="O58">
            <v>393667</v>
          </cell>
          <cell r="P58">
            <v>388667</v>
          </cell>
          <cell r="Q58">
            <v>388667</v>
          </cell>
          <cell r="R58">
            <v>388667</v>
          </cell>
          <cell r="S58">
            <v>388667</v>
          </cell>
          <cell r="T58">
            <v>-302467</v>
          </cell>
          <cell r="U58">
            <v>-302467</v>
          </cell>
          <cell r="V58">
            <v>-302467</v>
          </cell>
          <cell r="W58">
            <v>-352467</v>
          </cell>
        </row>
        <row r="59">
          <cell r="C59" t="str">
            <v>040100-PSEW-AS</v>
          </cell>
          <cell r="D59">
            <v>1</v>
          </cell>
          <cell r="E59">
            <v>100000</v>
          </cell>
          <cell r="F59">
            <v>0</v>
          </cell>
          <cell r="G59">
            <v>372000</v>
          </cell>
          <cell r="H59">
            <v>372000</v>
          </cell>
          <cell r="I59">
            <v>345549</v>
          </cell>
          <cell r="J59">
            <v>0</v>
          </cell>
          <cell r="K59">
            <v>367050</v>
          </cell>
          <cell r="L59">
            <v>712599</v>
          </cell>
          <cell r="M59">
            <v>372000</v>
          </cell>
          <cell r="N59">
            <v>372000</v>
          </cell>
          <cell r="O59">
            <v>26451</v>
          </cell>
          <cell r="P59">
            <v>26451</v>
          </cell>
          <cell r="Q59">
            <v>26451</v>
          </cell>
          <cell r="R59">
            <v>26451</v>
          </cell>
          <cell r="S59">
            <v>26451</v>
          </cell>
          <cell r="T59">
            <v>-340599</v>
          </cell>
          <cell r="U59">
            <v>-340599</v>
          </cell>
          <cell r="V59">
            <v>-340599</v>
          </cell>
          <cell r="W59">
            <v>-340599</v>
          </cell>
        </row>
        <row r="60">
          <cell r="C60" t="str">
            <v>040100-T12W</v>
          </cell>
          <cell r="D60">
            <v>3</v>
          </cell>
          <cell r="E60">
            <v>0</v>
          </cell>
          <cell r="F60">
            <v>0</v>
          </cell>
          <cell r="G60">
            <v>826000</v>
          </cell>
          <cell r="H60">
            <v>826000</v>
          </cell>
          <cell r="I60">
            <v>206664</v>
          </cell>
          <cell r="J60">
            <v>506382</v>
          </cell>
          <cell r="K60">
            <v>348903</v>
          </cell>
          <cell r="L60">
            <v>1061949</v>
          </cell>
          <cell r="M60">
            <v>706000</v>
          </cell>
          <cell r="N60">
            <v>706000</v>
          </cell>
          <cell r="O60">
            <v>619336</v>
          </cell>
          <cell r="P60">
            <v>302247</v>
          </cell>
          <cell r="Q60">
            <v>302247</v>
          </cell>
          <cell r="R60">
            <v>172954</v>
          </cell>
          <cell r="S60">
            <v>112954</v>
          </cell>
          <cell r="T60">
            <v>-108159</v>
          </cell>
          <cell r="U60">
            <v>-108159</v>
          </cell>
          <cell r="V60">
            <v>-235949</v>
          </cell>
          <cell r="W60">
            <v>-235949</v>
          </cell>
        </row>
        <row r="61">
          <cell r="C61" t="str">
            <v>071245-F14W-A</v>
          </cell>
          <cell r="D61">
            <v>1</v>
          </cell>
          <cell r="E61">
            <v>0</v>
          </cell>
          <cell r="F61">
            <v>362000</v>
          </cell>
          <cell r="G61">
            <v>127200</v>
          </cell>
          <cell r="H61">
            <v>489200</v>
          </cell>
          <cell r="I61">
            <v>143948</v>
          </cell>
          <cell r="J61">
            <v>297604</v>
          </cell>
          <cell r="K61">
            <v>280000</v>
          </cell>
          <cell r="L61">
            <v>721552</v>
          </cell>
          <cell r="M61">
            <v>417226</v>
          </cell>
          <cell r="N61">
            <v>345252</v>
          </cell>
          <cell r="O61">
            <v>345252</v>
          </cell>
          <cell r="P61">
            <v>270851</v>
          </cell>
          <cell r="Q61">
            <v>196450</v>
          </cell>
          <cell r="R61">
            <v>122049</v>
          </cell>
          <cell r="S61">
            <v>47648</v>
          </cell>
          <cell r="T61">
            <v>-22352</v>
          </cell>
          <cell r="U61">
            <v>-92352</v>
          </cell>
          <cell r="V61">
            <v>-162352</v>
          </cell>
          <cell r="W61">
            <v>-232352</v>
          </cell>
        </row>
        <row r="62">
          <cell r="C62" t="str">
            <v>030180-TY2W-T</v>
          </cell>
          <cell r="D62">
            <v>1</v>
          </cell>
          <cell r="E62">
            <v>200000</v>
          </cell>
          <cell r="F62">
            <v>0</v>
          </cell>
          <cell r="G62">
            <v>219000</v>
          </cell>
          <cell r="H62">
            <v>219000</v>
          </cell>
          <cell r="I62">
            <v>102000</v>
          </cell>
          <cell r="J62">
            <v>0</v>
          </cell>
          <cell r="K62">
            <v>300000</v>
          </cell>
          <cell r="L62">
            <v>402000</v>
          </cell>
          <cell r="M62">
            <v>219000</v>
          </cell>
          <cell r="N62">
            <v>117000</v>
          </cell>
          <cell r="O62">
            <v>117000</v>
          </cell>
          <cell r="P62">
            <v>117000</v>
          </cell>
          <cell r="Q62">
            <v>117000</v>
          </cell>
          <cell r="R62">
            <v>117000</v>
          </cell>
          <cell r="S62">
            <v>117000</v>
          </cell>
          <cell r="T62">
            <v>-183000</v>
          </cell>
          <cell r="U62">
            <v>-183000</v>
          </cell>
          <cell r="V62">
            <v>-183000</v>
          </cell>
          <cell r="W62">
            <v>-183000</v>
          </cell>
        </row>
        <row r="63">
          <cell r="C63" t="str">
            <v>050200-FS2W-P</v>
          </cell>
          <cell r="D63">
            <v>2</v>
          </cell>
          <cell r="E63">
            <v>202000</v>
          </cell>
          <cell r="F63">
            <v>106000</v>
          </cell>
          <cell r="G63">
            <v>288080</v>
          </cell>
          <cell r="H63">
            <v>394080</v>
          </cell>
          <cell r="I63">
            <v>282744</v>
          </cell>
          <cell r="J63">
            <v>64389</v>
          </cell>
          <cell r="K63">
            <v>182852</v>
          </cell>
          <cell r="L63">
            <v>529985</v>
          </cell>
          <cell r="M63">
            <v>337757</v>
          </cell>
          <cell r="N63">
            <v>322262</v>
          </cell>
          <cell r="O63">
            <v>111336</v>
          </cell>
          <cell r="P63">
            <v>92151</v>
          </cell>
          <cell r="Q63">
            <v>69195</v>
          </cell>
          <cell r="R63">
            <v>51954</v>
          </cell>
          <cell r="S63">
            <v>46947</v>
          </cell>
          <cell r="T63">
            <v>-120542</v>
          </cell>
          <cell r="U63">
            <v>-135905</v>
          </cell>
          <cell r="V63">
            <v>-135905</v>
          </cell>
          <cell r="W63">
            <v>-135905</v>
          </cell>
        </row>
        <row r="64">
          <cell r="C64" t="str">
            <v>050120-T12W-R</v>
          </cell>
          <cell r="D64">
            <v>1</v>
          </cell>
          <cell r="E64">
            <v>217000</v>
          </cell>
          <cell r="F64">
            <v>198000</v>
          </cell>
          <cell r="G64">
            <v>127000</v>
          </cell>
          <cell r="H64">
            <v>325000</v>
          </cell>
          <cell r="I64">
            <v>0</v>
          </cell>
          <cell r="J64">
            <v>221093.16</v>
          </cell>
          <cell r="K64">
            <v>229332.72</v>
          </cell>
          <cell r="L64">
            <v>450425.88</v>
          </cell>
          <cell r="M64">
            <v>325000</v>
          </cell>
          <cell r="N64">
            <v>325000</v>
          </cell>
          <cell r="O64">
            <v>325000</v>
          </cell>
          <cell r="P64">
            <v>103906.84</v>
          </cell>
          <cell r="Q64">
            <v>103906.84</v>
          </cell>
          <cell r="R64">
            <v>103906.84</v>
          </cell>
          <cell r="S64">
            <v>103906.84</v>
          </cell>
          <cell r="T64">
            <v>-125425.88</v>
          </cell>
          <cell r="U64">
            <v>-125425.88</v>
          </cell>
          <cell r="V64">
            <v>-125425.88</v>
          </cell>
          <cell r="W64">
            <v>-125425.88</v>
          </cell>
        </row>
        <row r="65">
          <cell r="C65" t="str">
            <v>080290-FM6R-D</v>
          </cell>
          <cell r="D65">
            <v>1</v>
          </cell>
          <cell r="E65">
            <v>200000</v>
          </cell>
          <cell r="F65">
            <v>232000</v>
          </cell>
          <cell r="G65">
            <v>170600</v>
          </cell>
          <cell r="H65">
            <v>402600</v>
          </cell>
          <cell r="I65">
            <v>100000</v>
          </cell>
          <cell r="J65">
            <v>213948</v>
          </cell>
          <cell r="K65">
            <v>199488</v>
          </cell>
          <cell r="L65">
            <v>513436</v>
          </cell>
          <cell r="M65">
            <v>302600</v>
          </cell>
          <cell r="N65">
            <v>302600</v>
          </cell>
          <cell r="O65">
            <v>302600</v>
          </cell>
          <cell r="P65">
            <v>88652</v>
          </cell>
          <cell r="Q65">
            <v>88652</v>
          </cell>
          <cell r="R65">
            <v>88652</v>
          </cell>
          <cell r="S65">
            <v>88652</v>
          </cell>
          <cell r="T65">
            <v>-110836</v>
          </cell>
          <cell r="U65">
            <v>-110836</v>
          </cell>
          <cell r="V65">
            <v>-110836</v>
          </cell>
          <cell r="W65">
            <v>-110836</v>
          </cell>
        </row>
        <row r="66">
          <cell r="C66" t="str">
            <v>040120-B66H-BZ</v>
          </cell>
          <cell r="D66">
            <v>1</v>
          </cell>
          <cell r="E66">
            <v>0</v>
          </cell>
          <cell r="F66">
            <v>151000</v>
          </cell>
          <cell r="G66">
            <v>9000</v>
          </cell>
          <cell r="H66">
            <v>160000</v>
          </cell>
          <cell r="I66">
            <v>200</v>
          </cell>
          <cell r="J66">
            <v>144328</v>
          </cell>
          <cell r="K66">
            <v>119120</v>
          </cell>
          <cell r="L66">
            <v>263648</v>
          </cell>
          <cell r="M66">
            <v>160000</v>
          </cell>
          <cell r="N66">
            <v>159800</v>
          </cell>
          <cell r="O66">
            <v>159800</v>
          </cell>
          <cell r="P66">
            <v>15472</v>
          </cell>
          <cell r="Q66">
            <v>15472</v>
          </cell>
          <cell r="R66">
            <v>15472</v>
          </cell>
          <cell r="S66">
            <v>15472</v>
          </cell>
          <cell r="T66">
            <v>-103648</v>
          </cell>
          <cell r="U66">
            <v>-103648</v>
          </cell>
          <cell r="V66">
            <v>-103648</v>
          </cell>
          <cell r="W66">
            <v>-103648</v>
          </cell>
        </row>
        <row r="67">
          <cell r="C67" t="str">
            <v>050125-AM1Z-H</v>
          </cell>
          <cell r="D67">
            <v>1</v>
          </cell>
          <cell r="E67">
            <v>65000</v>
          </cell>
          <cell r="F67">
            <v>1499000</v>
          </cell>
          <cell r="G67">
            <v>0</v>
          </cell>
          <cell r="H67">
            <v>1499000</v>
          </cell>
          <cell r="I67">
            <v>0</v>
          </cell>
          <cell r="J67">
            <v>800000</v>
          </cell>
          <cell r="K67">
            <v>800000</v>
          </cell>
          <cell r="L67">
            <v>1600000</v>
          </cell>
          <cell r="M67">
            <v>1499000</v>
          </cell>
          <cell r="N67">
            <v>1499000</v>
          </cell>
          <cell r="O67">
            <v>1499000</v>
          </cell>
          <cell r="P67">
            <v>699000</v>
          </cell>
          <cell r="Q67">
            <v>699000</v>
          </cell>
          <cell r="R67">
            <v>699000</v>
          </cell>
          <cell r="S67">
            <v>699000</v>
          </cell>
          <cell r="T67">
            <v>-101000</v>
          </cell>
          <cell r="U67">
            <v>-101000</v>
          </cell>
          <cell r="V67">
            <v>-101000</v>
          </cell>
          <cell r="W67">
            <v>-101000</v>
          </cell>
        </row>
        <row r="68">
          <cell r="C68" t="str">
            <v>040100-T16H</v>
          </cell>
          <cell r="D68">
            <v>2</v>
          </cell>
          <cell r="E68">
            <v>0</v>
          </cell>
          <cell r="F68">
            <v>0</v>
          </cell>
          <cell r="G68">
            <v>376000</v>
          </cell>
          <cell r="H68">
            <v>376000</v>
          </cell>
          <cell r="I68">
            <v>212092</v>
          </cell>
          <cell r="J68">
            <v>0</v>
          </cell>
          <cell r="K68">
            <v>254336</v>
          </cell>
          <cell r="L68">
            <v>466428</v>
          </cell>
          <cell r="M68">
            <v>356000</v>
          </cell>
          <cell r="N68">
            <v>356000</v>
          </cell>
          <cell r="O68">
            <v>163908</v>
          </cell>
          <cell r="P68">
            <v>163908</v>
          </cell>
          <cell r="Q68">
            <v>163908</v>
          </cell>
          <cell r="R68">
            <v>163908</v>
          </cell>
          <cell r="S68">
            <v>163908</v>
          </cell>
          <cell r="T68">
            <v>-90428</v>
          </cell>
          <cell r="U68">
            <v>-90428</v>
          </cell>
          <cell r="V68">
            <v>-90428</v>
          </cell>
          <cell r="W68">
            <v>-90428</v>
          </cell>
        </row>
        <row r="69">
          <cell r="C69" t="str">
            <v>080470-FM1T-4D</v>
          </cell>
          <cell r="D69">
            <v>1</v>
          </cell>
          <cell r="E69">
            <v>200000</v>
          </cell>
          <cell r="F69">
            <v>0</v>
          </cell>
          <cell r="G69">
            <v>313800</v>
          </cell>
          <cell r="H69">
            <v>313800</v>
          </cell>
          <cell r="I69">
            <v>100000</v>
          </cell>
          <cell r="J69">
            <v>133545</v>
          </cell>
          <cell r="K69">
            <v>138786</v>
          </cell>
          <cell r="L69">
            <v>372331</v>
          </cell>
          <cell r="M69">
            <v>213800</v>
          </cell>
          <cell r="N69">
            <v>213800</v>
          </cell>
          <cell r="O69">
            <v>213800</v>
          </cell>
          <cell r="P69">
            <v>80255</v>
          </cell>
          <cell r="Q69">
            <v>80255</v>
          </cell>
          <cell r="R69">
            <v>80255</v>
          </cell>
          <cell r="S69">
            <v>80255</v>
          </cell>
          <cell r="T69">
            <v>-58531</v>
          </cell>
          <cell r="U69">
            <v>-58531</v>
          </cell>
          <cell r="V69">
            <v>-58531</v>
          </cell>
          <cell r="W69">
            <v>-58531</v>
          </cell>
        </row>
        <row r="70">
          <cell r="C70" t="str">
            <v>120300-UM1A-4AC</v>
          </cell>
          <cell r="D70">
            <v>1</v>
          </cell>
          <cell r="E70">
            <v>82000</v>
          </cell>
          <cell r="F70">
            <v>214000</v>
          </cell>
          <cell r="G70">
            <v>9600</v>
          </cell>
          <cell r="H70">
            <v>223600</v>
          </cell>
          <cell r="I70">
            <v>83058</v>
          </cell>
          <cell r="J70">
            <v>126218</v>
          </cell>
          <cell r="K70">
            <v>71481</v>
          </cell>
          <cell r="L70">
            <v>280757</v>
          </cell>
          <cell r="M70">
            <v>193214</v>
          </cell>
          <cell r="N70">
            <v>164923</v>
          </cell>
          <cell r="O70">
            <v>140542</v>
          </cell>
          <cell r="P70">
            <v>104201</v>
          </cell>
          <cell r="Q70">
            <v>71746</v>
          </cell>
          <cell r="R70">
            <v>45688</v>
          </cell>
          <cell r="S70">
            <v>14324</v>
          </cell>
          <cell r="T70">
            <v>-18585</v>
          </cell>
          <cell r="U70">
            <v>-49183</v>
          </cell>
          <cell r="V70">
            <v>-57157</v>
          </cell>
          <cell r="W70">
            <v>-57157</v>
          </cell>
        </row>
        <row r="71">
          <cell r="C71" t="str">
            <v>030100-P22W</v>
          </cell>
          <cell r="D71">
            <v>1</v>
          </cell>
          <cell r="E71">
            <v>0</v>
          </cell>
          <cell r="F71">
            <v>0</v>
          </cell>
          <cell r="G71">
            <v>20000</v>
          </cell>
          <cell r="H71">
            <v>20000</v>
          </cell>
          <cell r="I71">
            <v>0</v>
          </cell>
          <cell r="J71">
            <v>20000</v>
          </cell>
          <cell r="K71">
            <v>45000</v>
          </cell>
          <cell r="L71">
            <v>65000</v>
          </cell>
          <cell r="M71">
            <v>20000</v>
          </cell>
          <cell r="N71">
            <v>20000</v>
          </cell>
          <cell r="O71">
            <v>20000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-45000</v>
          </cell>
          <cell r="U71">
            <v>-45000</v>
          </cell>
          <cell r="V71">
            <v>-45000</v>
          </cell>
          <cell r="W71">
            <v>-45000</v>
          </cell>
        </row>
        <row r="72">
          <cell r="C72" t="str">
            <v>030060-C62W</v>
          </cell>
          <cell r="D72">
            <v>1</v>
          </cell>
          <cell r="E72">
            <v>100000</v>
          </cell>
          <cell r="F72">
            <v>0</v>
          </cell>
          <cell r="G72">
            <v>9800</v>
          </cell>
          <cell r="H72">
            <v>9800</v>
          </cell>
          <cell r="I72">
            <v>0</v>
          </cell>
          <cell r="J72">
            <v>7140</v>
          </cell>
          <cell r="K72">
            <v>40992</v>
          </cell>
          <cell r="L72">
            <v>48132</v>
          </cell>
          <cell r="M72">
            <v>9800</v>
          </cell>
          <cell r="N72">
            <v>9800</v>
          </cell>
          <cell r="O72">
            <v>9800</v>
          </cell>
          <cell r="P72">
            <v>9800</v>
          </cell>
          <cell r="Q72">
            <v>9800</v>
          </cell>
          <cell r="R72">
            <v>9800</v>
          </cell>
          <cell r="S72">
            <v>2660</v>
          </cell>
          <cell r="T72">
            <v>-38332</v>
          </cell>
          <cell r="U72">
            <v>-38332</v>
          </cell>
          <cell r="V72">
            <v>-38332</v>
          </cell>
          <cell r="W72">
            <v>-38332</v>
          </cell>
        </row>
        <row r="73">
          <cell r="C73" t="str">
            <v>050120-Y52A-DPZ</v>
          </cell>
          <cell r="D73">
            <v>1</v>
          </cell>
          <cell r="E73">
            <v>0</v>
          </cell>
          <cell r="F73">
            <v>0</v>
          </cell>
          <cell r="G73">
            <v>146000</v>
          </cell>
          <cell r="H73">
            <v>146000</v>
          </cell>
          <cell r="I73">
            <v>30000</v>
          </cell>
          <cell r="J73">
            <v>60000</v>
          </cell>
          <cell r="K73">
            <v>90000</v>
          </cell>
          <cell r="L73">
            <v>180000</v>
          </cell>
          <cell r="M73">
            <v>146000</v>
          </cell>
          <cell r="N73">
            <v>116000</v>
          </cell>
          <cell r="O73">
            <v>116000</v>
          </cell>
          <cell r="P73">
            <v>56000</v>
          </cell>
          <cell r="Q73">
            <v>56000</v>
          </cell>
          <cell r="R73">
            <v>56000</v>
          </cell>
          <cell r="S73">
            <v>56000</v>
          </cell>
          <cell r="T73">
            <v>-34000</v>
          </cell>
          <cell r="U73">
            <v>-34000</v>
          </cell>
          <cell r="V73">
            <v>-34000</v>
          </cell>
          <cell r="W73">
            <v>-34000</v>
          </cell>
        </row>
        <row r="74">
          <cell r="C74" t="str">
            <v>040140-TC2W-1</v>
          </cell>
          <cell r="D74">
            <v>1</v>
          </cell>
          <cell r="E74">
            <v>0</v>
          </cell>
          <cell r="F74">
            <v>0</v>
          </cell>
          <cell r="G74">
            <v>120000</v>
          </cell>
          <cell r="H74">
            <v>120000</v>
          </cell>
          <cell r="I74">
            <v>50000</v>
          </cell>
          <cell r="J74">
            <v>45142</v>
          </cell>
          <cell r="K74">
            <v>44183</v>
          </cell>
          <cell r="L74">
            <v>139325</v>
          </cell>
          <cell r="M74">
            <v>70000</v>
          </cell>
          <cell r="N74">
            <v>70000</v>
          </cell>
          <cell r="O74">
            <v>70000</v>
          </cell>
          <cell r="P74">
            <v>24858</v>
          </cell>
          <cell r="Q74">
            <v>24858</v>
          </cell>
          <cell r="R74">
            <v>24858</v>
          </cell>
          <cell r="S74">
            <v>24858</v>
          </cell>
          <cell r="T74">
            <v>-19325</v>
          </cell>
          <cell r="U74">
            <v>-19325</v>
          </cell>
          <cell r="V74">
            <v>-19325</v>
          </cell>
          <cell r="W74">
            <v>-19325</v>
          </cell>
        </row>
        <row r="75">
          <cell r="C75" t="str">
            <v>605270-200W-2F</v>
          </cell>
          <cell r="D75">
            <v>1</v>
          </cell>
          <cell r="E75">
            <v>0</v>
          </cell>
          <cell r="F75">
            <v>0</v>
          </cell>
          <cell r="G75">
            <v>44400</v>
          </cell>
          <cell r="H75">
            <v>44400</v>
          </cell>
          <cell r="I75">
            <v>15600</v>
          </cell>
          <cell r="J75">
            <v>21480</v>
          </cell>
          <cell r="K75">
            <v>20704</v>
          </cell>
          <cell r="L75">
            <v>57784</v>
          </cell>
          <cell r="M75">
            <v>28800</v>
          </cell>
          <cell r="N75">
            <v>28800</v>
          </cell>
          <cell r="O75">
            <v>28800</v>
          </cell>
          <cell r="P75">
            <v>18800</v>
          </cell>
          <cell r="Q75">
            <v>18800</v>
          </cell>
          <cell r="R75">
            <v>8800</v>
          </cell>
          <cell r="S75">
            <v>7320</v>
          </cell>
          <cell r="T75">
            <v>-13384</v>
          </cell>
          <cell r="U75">
            <v>-13384</v>
          </cell>
          <cell r="V75">
            <v>-13384</v>
          </cell>
          <cell r="W75">
            <v>-13384</v>
          </cell>
        </row>
        <row r="76">
          <cell r="C76" t="str">
            <v>040080-P51N-4</v>
          </cell>
          <cell r="D76">
            <v>1</v>
          </cell>
          <cell r="E76">
            <v>200000</v>
          </cell>
          <cell r="F76">
            <v>0</v>
          </cell>
          <cell r="G76">
            <v>168000</v>
          </cell>
          <cell r="H76">
            <v>168000</v>
          </cell>
          <cell r="I76">
            <v>0</v>
          </cell>
          <cell r="J76">
            <v>0</v>
          </cell>
          <cell r="K76">
            <v>180000</v>
          </cell>
          <cell r="L76">
            <v>180000</v>
          </cell>
          <cell r="M76">
            <v>168000</v>
          </cell>
          <cell r="N76">
            <v>168000</v>
          </cell>
          <cell r="O76">
            <v>168000</v>
          </cell>
          <cell r="P76">
            <v>168000</v>
          </cell>
          <cell r="Q76">
            <v>168000</v>
          </cell>
          <cell r="R76">
            <v>168000</v>
          </cell>
          <cell r="S76">
            <v>168000</v>
          </cell>
          <cell r="T76">
            <v>-12000</v>
          </cell>
          <cell r="U76">
            <v>-12000</v>
          </cell>
          <cell r="V76">
            <v>-12000</v>
          </cell>
          <cell r="W76">
            <v>-12000</v>
          </cell>
        </row>
        <row r="77">
          <cell r="C77" t="str">
            <v>230080-P51N</v>
          </cell>
          <cell r="D77">
            <v>1</v>
          </cell>
          <cell r="E77">
            <v>100000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10000</v>
          </cell>
          <cell r="L77">
            <v>10000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-10000</v>
          </cell>
          <cell r="U77">
            <v>-10000</v>
          </cell>
          <cell r="V77">
            <v>-10000</v>
          </cell>
          <cell r="W77">
            <v>-10000</v>
          </cell>
        </row>
        <row r="78">
          <cell r="C78" t="str">
            <v>060255-J56H-MZ</v>
          </cell>
          <cell r="D78">
            <v>1</v>
          </cell>
          <cell r="E78">
            <v>0</v>
          </cell>
          <cell r="F78">
            <v>0</v>
          </cell>
          <cell r="G78">
            <v>44500</v>
          </cell>
          <cell r="H78">
            <v>44500</v>
          </cell>
          <cell r="I78">
            <v>28747</v>
          </cell>
          <cell r="J78">
            <v>0</v>
          </cell>
          <cell r="K78">
            <v>24642</v>
          </cell>
          <cell r="L78">
            <v>53389</v>
          </cell>
          <cell r="M78">
            <v>34500</v>
          </cell>
          <cell r="N78">
            <v>34500</v>
          </cell>
          <cell r="O78">
            <v>15753</v>
          </cell>
          <cell r="P78">
            <v>15753</v>
          </cell>
          <cell r="Q78">
            <v>15753</v>
          </cell>
          <cell r="R78">
            <v>15753</v>
          </cell>
          <cell r="S78">
            <v>15753</v>
          </cell>
          <cell r="T78">
            <v>-8889</v>
          </cell>
          <cell r="U78">
            <v>-8889</v>
          </cell>
          <cell r="V78">
            <v>-8889</v>
          </cell>
          <cell r="W78">
            <v>-8889</v>
          </cell>
        </row>
        <row r="79">
          <cell r="C79" t="str">
            <v>040120-T26H</v>
          </cell>
          <cell r="D79">
            <v>1</v>
          </cell>
          <cell r="E79">
            <v>0</v>
          </cell>
          <cell r="F79">
            <v>0</v>
          </cell>
          <cell r="G79">
            <v>34000</v>
          </cell>
          <cell r="H79">
            <v>34000</v>
          </cell>
          <cell r="I79">
            <v>0</v>
          </cell>
          <cell r="J79">
            <v>20000</v>
          </cell>
          <cell r="K79">
            <v>20000</v>
          </cell>
          <cell r="L79">
            <v>40000</v>
          </cell>
          <cell r="M79">
            <v>34000</v>
          </cell>
          <cell r="N79">
            <v>34000</v>
          </cell>
          <cell r="O79">
            <v>34000</v>
          </cell>
          <cell r="P79">
            <v>14000</v>
          </cell>
          <cell r="Q79">
            <v>14000</v>
          </cell>
          <cell r="R79">
            <v>14000</v>
          </cell>
          <cell r="S79">
            <v>14000</v>
          </cell>
          <cell r="T79">
            <v>-6000</v>
          </cell>
          <cell r="U79">
            <v>-6000</v>
          </cell>
          <cell r="V79">
            <v>-6000</v>
          </cell>
          <cell r="W79">
            <v>-6000</v>
          </cell>
        </row>
        <row r="80">
          <cell r="C80" t="str">
            <v>040160-T16H-Z</v>
          </cell>
          <cell r="D80">
            <v>1</v>
          </cell>
          <cell r="E80">
            <v>100000</v>
          </cell>
          <cell r="F80">
            <v>36000</v>
          </cell>
          <cell r="G80">
            <v>46000</v>
          </cell>
          <cell r="H80">
            <v>82000</v>
          </cell>
          <cell r="I80">
            <v>0</v>
          </cell>
          <cell r="J80">
            <v>36788.340000000004</v>
          </cell>
          <cell r="K80">
            <v>50418.6</v>
          </cell>
          <cell r="L80">
            <v>87206.94</v>
          </cell>
          <cell r="M80">
            <v>82000</v>
          </cell>
          <cell r="N80">
            <v>82000</v>
          </cell>
          <cell r="O80">
            <v>82000</v>
          </cell>
          <cell r="P80">
            <v>45211.659999999996</v>
          </cell>
          <cell r="Q80">
            <v>45211.659999999996</v>
          </cell>
          <cell r="R80">
            <v>45211.659999999996</v>
          </cell>
          <cell r="S80">
            <v>45211.659999999996</v>
          </cell>
          <cell r="T80">
            <v>-5206.9400000000023</v>
          </cell>
          <cell r="U80">
            <v>-5206.9400000000023</v>
          </cell>
          <cell r="V80">
            <v>-5206.9400000000023</v>
          </cell>
          <cell r="W80">
            <v>-5206.9400000000023</v>
          </cell>
        </row>
        <row r="81">
          <cell r="C81" t="str">
            <v>030140-PP2W</v>
          </cell>
          <cell r="D81">
            <v>1</v>
          </cell>
          <cell r="E81">
            <v>0</v>
          </cell>
          <cell r="F81">
            <v>0</v>
          </cell>
          <cell r="G81">
            <v>24000</v>
          </cell>
          <cell r="H81">
            <v>24000</v>
          </cell>
          <cell r="I81">
            <v>0</v>
          </cell>
          <cell r="J81">
            <v>4080</v>
          </cell>
          <cell r="K81">
            <v>21464</v>
          </cell>
          <cell r="L81">
            <v>25544</v>
          </cell>
          <cell r="M81">
            <v>24000</v>
          </cell>
          <cell r="N81">
            <v>24000</v>
          </cell>
          <cell r="O81">
            <v>24000</v>
          </cell>
          <cell r="P81">
            <v>24000</v>
          </cell>
          <cell r="Q81">
            <v>24000</v>
          </cell>
          <cell r="R81">
            <v>24000</v>
          </cell>
          <cell r="S81">
            <v>19920</v>
          </cell>
          <cell r="T81">
            <v>-1544</v>
          </cell>
          <cell r="U81">
            <v>-1544</v>
          </cell>
          <cell r="V81">
            <v>-1544</v>
          </cell>
          <cell r="W81">
            <v>-1544</v>
          </cell>
        </row>
        <row r="82">
          <cell r="C82" t="str">
            <v>030080-PP2B</v>
          </cell>
          <cell r="D82">
            <v>1</v>
          </cell>
          <cell r="E82">
            <v>0</v>
          </cell>
          <cell r="F82">
            <v>0</v>
          </cell>
          <cell r="G82">
            <v>7100</v>
          </cell>
          <cell r="H82">
            <v>7100</v>
          </cell>
          <cell r="I82">
            <v>0</v>
          </cell>
          <cell r="J82">
            <v>1000</v>
          </cell>
          <cell r="K82">
            <v>7216</v>
          </cell>
          <cell r="L82">
            <v>8216</v>
          </cell>
          <cell r="M82">
            <v>7100</v>
          </cell>
          <cell r="N82">
            <v>7100</v>
          </cell>
          <cell r="O82">
            <v>7100</v>
          </cell>
          <cell r="P82">
            <v>7100</v>
          </cell>
          <cell r="Q82">
            <v>7100</v>
          </cell>
          <cell r="R82">
            <v>7100</v>
          </cell>
          <cell r="S82">
            <v>6100</v>
          </cell>
          <cell r="T82">
            <v>-1116</v>
          </cell>
          <cell r="U82">
            <v>-1116</v>
          </cell>
          <cell r="V82">
            <v>-1116</v>
          </cell>
          <cell r="W82">
            <v>-1116</v>
          </cell>
        </row>
        <row r="83">
          <cell r="C83" t="str">
            <v>100230-U51W</v>
          </cell>
          <cell r="D83">
            <v>1</v>
          </cell>
          <cell r="E83">
            <v>7000</v>
          </cell>
          <cell r="F83">
            <v>93000</v>
          </cell>
          <cell r="G83">
            <v>63400</v>
          </cell>
          <cell r="H83">
            <v>156400</v>
          </cell>
          <cell r="I83">
            <v>109842.088</v>
          </cell>
          <cell r="J83">
            <v>0</v>
          </cell>
          <cell r="K83">
            <v>47657</v>
          </cell>
          <cell r="L83">
            <v>157499.08799999999</v>
          </cell>
          <cell r="M83">
            <v>106400</v>
          </cell>
          <cell r="N83">
            <v>106400</v>
          </cell>
          <cell r="O83">
            <v>46557.911999999997</v>
          </cell>
          <cell r="P83">
            <v>46557.911999999997</v>
          </cell>
          <cell r="Q83">
            <v>46557.911999999997</v>
          </cell>
          <cell r="R83">
            <v>46557.911999999997</v>
          </cell>
          <cell r="S83">
            <v>46557.911999999997</v>
          </cell>
          <cell r="T83">
            <v>-1099.0880000000034</v>
          </cell>
          <cell r="U83">
            <v>-1099.0880000000034</v>
          </cell>
          <cell r="V83">
            <v>-1099.0880000000034</v>
          </cell>
          <cell r="W83">
            <v>-1099.0880000000034</v>
          </cell>
        </row>
        <row r="84">
          <cell r="C84" t="str">
            <v>040120-T12W</v>
          </cell>
          <cell r="D84">
            <v>2</v>
          </cell>
          <cell r="E84">
            <v>3023000</v>
          </cell>
          <cell r="F84">
            <v>905000</v>
          </cell>
          <cell r="G84">
            <v>6258525</v>
          </cell>
          <cell r="H84">
            <v>7163525</v>
          </cell>
          <cell r="I84">
            <v>2224489.6</v>
          </cell>
          <cell r="J84">
            <v>3484191.2</v>
          </cell>
          <cell r="K84">
            <v>2473069</v>
          </cell>
          <cell r="L84">
            <v>8181749.8000000007</v>
          </cell>
          <cell r="M84">
            <v>5552166.2000000002</v>
          </cell>
          <cell r="N84">
            <v>5145042.8</v>
          </cell>
          <cell r="O84">
            <v>4939035.3999999994</v>
          </cell>
          <cell r="P84">
            <v>3883704.7999999993</v>
          </cell>
          <cell r="Q84">
            <v>3038560.5999999996</v>
          </cell>
          <cell r="R84">
            <v>2209148.1999999997</v>
          </cell>
          <cell r="S84">
            <v>1454844.1999999997</v>
          </cell>
          <cell r="T84">
            <v>699452.7999999997</v>
          </cell>
          <cell r="U84">
            <v>-72418.800000000279</v>
          </cell>
          <cell r="V84">
            <v>-558374.80000000028</v>
          </cell>
          <cell r="W84">
            <v>-1018224.8000000003</v>
          </cell>
        </row>
        <row r="85">
          <cell r="C85" t="str">
            <v>030060-BB2B</v>
          </cell>
          <cell r="D85">
            <v>1</v>
          </cell>
          <cell r="E85">
            <v>0</v>
          </cell>
          <cell r="F85">
            <v>0</v>
          </cell>
          <cell r="G85">
            <v>670000</v>
          </cell>
          <cell r="H85">
            <v>670000</v>
          </cell>
          <cell r="I85">
            <v>0</v>
          </cell>
          <cell r="J85">
            <v>500000</v>
          </cell>
          <cell r="K85">
            <v>1000000</v>
          </cell>
          <cell r="L85">
            <v>1500000</v>
          </cell>
          <cell r="M85">
            <v>670000</v>
          </cell>
          <cell r="N85">
            <v>670000</v>
          </cell>
          <cell r="O85">
            <v>670000</v>
          </cell>
          <cell r="P85">
            <v>670000</v>
          </cell>
          <cell r="Q85">
            <v>670000</v>
          </cell>
          <cell r="R85">
            <v>670000</v>
          </cell>
          <cell r="S85">
            <v>170000</v>
          </cell>
          <cell r="T85">
            <v>170000</v>
          </cell>
          <cell r="U85">
            <v>-330000</v>
          </cell>
          <cell r="V85">
            <v>-830000</v>
          </cell>
          <cell r="W85">
            <v>-830000</v>
          </cell>
        </row>
        <row r="86">
          <cell r="C86" t="str">
            <v>030060-BB2W-Z</v>
          </cell>
          <cell r="D86">
            <v>1</v>
          </cell>
          <cell r="E86">
            <v>629000</v>
          </cell>
          <cell r="F86">
            <v>842000</v>
          </cell>
          <cell r="G86">
            <v>740000</v>
          </cell>
          <cell r="H86">
            <v>1582000</v>
          </cell>
          <cell r="I86">
            <v>480000</v>
          </cell>
          <cell r="J86">
            <v>800000</v>
          </cell>
          <cell r="K86">
            <v>800000</v>
          </cell>
          <cell r="L86">
            <v>2080000</v>
          </cell>
          <cell r="M86">
            <v>1422000</v>
          </cell>
          <cell r="N86">
            <v>1262000</v>
          </cell>
          <cell r="O86">
            <v>1102000</v>
          </cell>
          <cell r="P86">
            <v>902000</v>
          </cell>
          <cell r="Q86">
            <v>702000</v>
          </cell>
          <cell r="R86">
            <v>502000</v>
          </cell>
          <cell r="S86">
            <v>302000</v>
          </cell>
          <cell r="T86">
            <v>102000</v>
          </cell>
          <cell r="U86">
            <v>-98000</v>
          </cell>
          <cell r="V86">
            <v>-298000</v>
          </cell>
          <cell r="W86">
            <v>-498000</v>
          </cell>
        </row>
        <row r="87">
          <cell r="C87" t="str">
            <v>030060-B61W-DQ</v>
          </cell>
          <cell r="D87">
            <v>1</v>
          </cell>
          <cell r="E87">
            <v>0</v>
          </cell>
          <cell r="F87">
            <v>677000</v>
          </cell>
          <cell r="G87">
            <v>80000</v>
          </cell>
          <cell r="H87">
            <v>757000</v>
          </cell>
          <cell r="I87">
            <v>240000</v>
          </cell>
          <cell r="J87">
            <v>400000</v>
          </cell>
          <cell r="K87">
            <v>400000</v>
          </cell>
          <cell r="L87">
            <v>1040000</v>
          </cell>
          <cell r="M87">
            <v>677000</v>
          </cell>
          <cell r="N87">
            <v>597000</v>
          </cell>
          <cell r="O87">
            <v>517000</v>
          </cell>
          <cell r="P87">
            <v>417000</v>
          </cell>
          <cell r="Q87">
            <v>317000</v>
          </cell>
          <cell r="R87">
            <v>217000</v>
          </cell>
          <cell r="S87">
            <v>117000</v>
          </cell>
          <cell r="T87">
            <v>17000</v>
          </cell>
          <cell r="U87">
            <v>-83000</v>
          </cell>
          <cell r="V87">
            <v>-183000</v>
          </cell>
          <cell r="W87">
            <v>-283000</v>
          </cell>
        </row>
        <row r="88">
          <cell r="C88" t="str">
            <v>085300-200W-2</v>
          </cell>
          <cell r="D88">
            <v>1</v>
          </cell>
          <cell r="E88">
            <v>300000</v>
          </cell>
          <cell r="F88">
            <v>231000</v>
          </cell>
          <cell r="G88">
            <v>380000</v>
          </cell>
          <cell r="H88">
            <v>611000</v>
          </cell>
          <cell r="I88">
            <v>230000</v>
          </cell>
          <cell r="J88">
            <v>301306.48</v>
          </cell>
          <cell r="K88">
            <v>300000</v>
          </cell>
          <cell r="L88">
            <v>831306.48</v>
          </cell>
          <cell r="M88">
            <v>496000</v>
          </cell>
          <cell r="N88">
            <v>381000</v>
          </cell>
          <cell r="O88">
            <v>381000</v>
          </cell>
          <cell r="P88">
            <v>305673.38</v>
          </cell>
          <cell r="Q88">
            <v>230346.76</v>
          </cell>
          <cell r="R88">
            <v>155020.14000000001</v>
          </cell>
          <cell r="S88">
            <v>79693.520000000019</v>
          </cell>
          <cell r="T88">
            <v>4693.5200000000186</v>
          </cell>
          <cell r="U88">
            <v>-70306.479999999981</v>
          </cell>
          <cell r="V88">
            <v>-145306.47999999998</v>
          </cell>
          <cell r="W88">
            <v>-220306.47999999998</v>
          </cell>
        </row>
        <row r="89">
          <cell r="C89" t="str">
            <v>030045-CB2W</v>
          </cell>
          <cell r="D89">
            <v>1</v>
          </cell>
          <cell r="E89">
            <v>216000</v>
          </cell>
          <cell r="F89">
            <v>285000</v>
          </cell>
          <cell r="G89">
            <v>340000</v>
          </cell>
          <cell r="H89">
            <v>625000</v>
          </cell>
          <cell r="I89">
            <v>180000</v>
          </cell>
          <cell r="J89">
            <v>300000</v>
          </cell>
          <cell r="K89">
            <v>300000</v>
          </cell>
          <cell r="L89">
            <v>780000</v>
          </cell>
          <cell r="M89">
            <v>565000</v>
          </cell>
          <cell r="N89">
            <v>505000</v>
          </cell>
          <cell r="O89">
            <v>445000</v>
          </cell>
          <cell r="P89">
            <v>345000</v>
          </cell>
          <cell r="Q89">
            <v>245000</v>
          </cell>
          <cell r="R89">
            <v>145000</v>
          </cell>
          <cell r="S89">
            <v>145000</v>
          </cell>
          <cell r="T89">
            <v>45000</v>
          </cell>
          <cell r="U89">
            <v>-55000</v>
          </cell>
          <cell r="V89">
            <v>-155000</v>
          </cell>
          <cell r="W89">
            <v>-155000</v>
          </cell>
        </row>
        <row r="90">
          <cell r="C90" t="str">
            <v>020170-P51W</v>
          </cell>
          <cell r="D90">
            <v>1</v>
          </cell>
          <cell r="E90">
            <v>0</v>
          </cell>
          <cell r="F90">
            <v>0</v>
          </cell>
          <cell r="G90">
            <v>350000</v>
          </cell>
          <cell r="H90">
            <v>350000</v>
          </cell>
          <cell r="I90">
            <v>100000</v>
          </cell>
          <cell r="J90">
            <v>200000</v>
          </cell>
          <cell r="K90">
            <v>200000</v>
          </cell>
          <cell r="L90">
            <v>500000</v>
          </cell>
          <cell r="M90">
            <v>350000</v>
          </cell>
          <cell r="N90">
            <v>250000</v>
          </cell>
          <cell r="O90">
            <v>250000</v>
          </cell>
          <cell r="P90">
            <v>250000</v>
          </cell>
          <cell r="Q90">
            <v>150000</v>
          </cell>
          <cell r="R90">
            <v>150000</v>
          </cell>
          <cell r="S90">
            <v>50000</v>
          </cell>
          <cell r="T90">
            <v>50000</v>
          </cell>
          <cell r="U90">
            <v>-50000</v>
          </cell>
          <cell r="V90">
            <v>-50000</v>
          </cell>
          <cell r="W90">
            <v>-150000</v>
          </cell>
        </row>
        <row r="91">
          <cell r="C91" t="str">
            <v>030100-B51W</v>
          </cell>
          <cell r="D91">
            <v>1</v>
          </cell>
          <cell r="E91">
            <v>0</v>
          </cell>
          <cell r="F91">
            <v>0</v>
          </cell>
          <cell r="G91">
            <v>635000</v>
          </cell>
          <cell r="H91">
            <v>635000</v>
          </cell>
          <cell r="I91">
            <v>221101</v>
          </cell>
          <cell r="J91">
            <v>311231</v>
          </cell>
          <cell r="K91">
            <v>160582</v>
          </cell>
          <cell r="L91">
            <v>692914</v>
          </cell>
          <cell r="M91">
            <v>563477</v>
          </cell>
          <cell r="N91">
            <v>456146</v>
          </cell>
          <cell r="O91">
            <v>413899</v>
          </cell>
          <cell r="P91">
            <v>328153</v>
          </cell>
          <cell r="Q91">
            <v>243085</v>
          </cell>
          <cell r="R91">
            <v>175645</v>
          </cell>
          <cell r="S91">
            <v>102668</v>
          </cell>
          <cell r="T91">
            <v>17079</v>
          </cell>
          <cell r="U91">
            <v>-57914</v>
          </cell>
          <cell r="V91">
            <v>-57914</v>
          </cell>
          <cell r="W91">
            <v>-57914</v>
          </cell>
        </row>
        <row r="92">
          <cell r="C92" t="str">
            <v>030080-P22W</v>
          </cell>
          <cell r="D92">
            <v>2</v>
          </cell>
          <cell r="E92">
            <v>0</v>
          </cell>
          <cell r="F92">
            <v>201000</v>
          </cell>
          <cell r="G92">
            <v>599000</v>
          </cell>
          <cell r="H92">
            <v>800000</v>
          </cell>
          <cell r="I92">
            <v>138009</v>
          </cell>
          <cell r="J92">
            <v>425892</v>
          </cell>
          <cell r="K92">
            <v>275177</v>
          </cell>
          <cell r="L92">
            <v>839078</v>
          </cell>
          <cell r="M92">
            <v>800000</v>
          </cell>
          <cell r="N92">
            <v>709457</v>
          </cell>
          <cell r="O92">
            <v>661991</v>
          </cell>
          <cell r="P92">
            <v>507287</v>
          </cell>
          <cell r="Q92">
            <v>416013</v>
          </cell>
          <cell r="R92">
            <v>318183</v>
          </cell>
          <cell r="S92">
            <v>236099</v>
          </cell>
          <cell r="T92">
            <v>67263</v>
          </cell>
          <cell r="U92">
            <v>-20625</v>
          </cell>
          <cell r="V92">
            <v>-29994</v>
          </cell>
          <cell r="W92">
            <v>-39078</v>
          </cell>
        </row>
        <row r="93">
          <cell r="C93" t="str">
            <v>030080-P511-3</v>
          </cell>
          <cell r="D93">
            <v>1</v>
          </cell>
          <cell r="E93">
            <v>0</v>
          </cell>
          <cell r="F93">
            <v>0</v>
          </cell>
          <cell r="G93">
            <v>95000</v>
          </cell>
          <cell r="H93">
            <v>95000</v>
          </cell>
          <cell r="I93">
            <v>32832</v>
          </cell>
          <cell r="J93">
            <v>35124</v>
          </cell>
          <cell r="K93">
            <v>31585</v>
          </cell>
          <cell r="L93">
            <v>99541</v>
          </cell>
          <cell r="M93">
            <v>95000</v>
          </cell>
          <cell r="N93">
            <v>62168</v>
          </cell>
          <cell r="O93">
            <v>62168</v>
          </cell>
          <cell r="P93">
            <v>62168</v>
          </cell>
          <cell r="Q93">
            <v>62168</v>
          </cell>
          <cell r="R93">
            <v>27044</v>
          </cell>
          <cell r="S93">
            <v>27044</v>
          </cell>
          <cell r="T93">
            <v>27044</v>
          </cell>
          <cell r="U93">
            <v>27044</v>
          </cell>
          <cell r="V93">
            <v>-4541</v>
          </cell>
          <cell r="W93">
            <v>-4541</v>
          </cell>
        </row>
        <row r="94">
          <cell r="C94" t="str">
            <v>040200-T22W</v>
          </cell>
          <cell r="D94">
            <v>4</v>
          </cell>
          <cell r="E94">
            <v>200000</v>
          </cell>
          <cell r="F94">
            <v>0</v>
          </cell>
          <cell r="G94">
            <v>288000</v>
          </cell>
          <cell r="H94">
            <v>288000</v>
          </cell>
          <cell r="I94">
            <v>86664</v>
          </cell>
          <cell r="J94">
            <v>129293</v>
          </cell>
          <cell r="K94">
            <v>127790</v>
          </cell>
          <cell r="L94">
            <v>343747</v>
          </cell>
          <cell r="M94">
            <v>201336</v>
          </cell>
          <cell r="N94">
            <v>201336</v>
          </cell>
          <cell r="O94">
            <v>201336</v>
          </cell>
          <cell r="P94">
            <v>201336</v>
          </cell>
          <cell r="Q94">
            <v>201336</v>
          </cell>
          <cell r="R94">
            <v>201336</v>
          </cell>
          <cell r="S94">
            <v>72043</v>
          </cell>
          <cell r="T94">
            <v>72043</v>
          </cell>
          <cell r="U94">
            <v>72043</v>
          </cell>
          <cell r="V94">
            <v>72043</v>
          </cell>
          <cell r="W94">
            <v>-55747</v>
          </cell>
        </row>
        <row r="95">
          <cell r="C95" t="str">
            <v>590048-Y01W-DZ</v>
          </cell>
          <cell r="D95">
            <v>1</v>
          </cell>
          <cell r="E95">
            <v>0</v>
          </cell>
          <cell r="F95">
            <v>163000</v>
          </cell>
          <cell r="G95">
            <v>584000</v>
          </cell>
          <cell r="H95">
            <v>747000</v>
          </cell>
          <cell r="I95">
            <v>216000</v>
          </cell>
          <cell r="J95">
            <v>288000</v>
          </cell>
          <cell r="K95">
            <v>288000</v>
          </cell>
          <cell r="L95">
            <v>792000</v>
          </cell>
          <cell r="M95">
            <v>675000</v>
          </cell>
          <cell r="N95">
            <v>603000</v>
          </cell>
          <cell r="O95">
            <v>531000</v>
          </cell>
          <cell r="P95">
            <v>459000</v>
          </cell>
          <cell r="Q95">
            <v>387000</v>
          </cell>
          <cell r="R95">
            <v>315000</v>
          </cell>
          <cell r="S95">
            <v>243000</v>
          </cell>
          <cell r="T95">
            <v>171000</v>
          </cell>
          <cell r="U95">
            <v>99000</v>
          </cell>
          <cell r="V95">
            <v>27000</v>
          </cell>
          <cell r="W95">
            <v>-45000</v>
          </cell>
        </row>
        <row r="96">
          <cell r="C96" t="str">
            <v>030080-P32W-AD</v>
          </cell>
          <cell r="D96">
            <v>1</v>
          </cell>
          <cell r="E96">
            <v>0</v>
          </cell>
          <cell r="F96">
            <v>0</v>
          </cell>
          <cell r="G96">
            <v>495000</v>
          </cell>
          <cell r="H96">
            <v>495000</v>
          </cell>
          <cell r="I96">
            <v>120000</v>
          </cell>
          <cell r="J96">
            <v>200000</v>
          </cell>
          <cell r="K96">
            <v>200000</v>
          </cell>
          <cell r="L96">
            <v>520000</v>
          </cell>
          <cell r="M96">
            <v>455000</v>
          </cell>
          <cell r="N96">
            <v>415000</v>
          </cell>
          <cell r="O96">
            <v>375000</v>
          </cell>
          <cell r="P96">
            <v>325000</v>
          </cell>
          <cell r="Q96">
            <v>275000</v>
          </cell>
          <cell r="R96">
            <v>225000</v>
          </cell>
          <cell r="S96">
            <v>175000</v>
          </cell>
          <cell r="T96">
            <v>125000</v>
          </cell>
          <cell r="U96">
            <v>75000</v>
          </cell>
          <cell r="V96">
            <v>25000</v>
          </cell>
          <cell r="W96">
            <v>-25000</v>
          </cell>
        </row>
        <row r="97">
          <cell r="C97" t="str">
            <v>030080-P611-Q</v>
          </cell>
          <cell r="D97">
            <v>1</v>
          </cell>
          <cell r="E97">
            <v>0</v>
          </cell>
          <cell r="F97">
            <v>0</v>
          </cell>
          <cell r="G97">
            <v>109060</v>
          </cell>
          <cell r="H97">
            <v>109060</v>
          </cell>
          <cell r="I97">
            <v>40655</v>
          </cell>
          <cell r="J97">
            <v>49129</v>
          </cell>
          <cell r="K97">
            <v>23839</v>
          </cell>
          <cell r="L97">
            <v>113623</v>
          </cell>
          <cell r="M97">
            <v>109060</v>
          </cell>
          <cell r="N97">
            <v>98405</v>
          </cell>
          <cell r="O97">
            <v>68405</v>
          </cell>
          <cell r="P97">
            <v>68405</v>
          </cell>
          <cell r="Q97">
            <v>68405</v>
          </cell>
          <cell r="R97">
            <v>59276</v>
          </cell>
          <cell r="S97">
            <v>19276</v>
          </cell>
          <cell r="T97">
            <v>19276</v>
          </cell>
          <cell r="U97">
            <v>19276</v>
          </cell>
          <cell r="V97">
            <v>11119</v>
          </cell>
          <cell r="W97">
            <v>-4563</v>
          </cell>
        </row>
        <row r="98">
          <cell r="C98" t="str">
            <v>030120-P611-Q</v>
          </cell>
          <cell r="D98">
            <v>1</v>
          </cell>
          <cell r="E98">
            <v>0</v>
          </cell>
          <cell r="F98">
            <v>0</v>
          </cell>
          <cell r="G98">
            <v>675000</v>
          </cell>
          <cell r="H98">
            <v>675000</v>
          </cell>
          <cell r="I98">
            <v>246320</v>
          </cell>
          <cell r="J98">
            <v>225514</v>
          </cell>
          <cell r="K98">
            <v>206918</v>
          </cell>
          <cell r="L98">
            <v>678752</v>
          </cell>
          <cell r="M98">
            <v>675000</v>
          </cell>
          <cell r="N98">
            <v>524545</v>
          </cell>
          <cell r="O98">
            <v>428680</v>
          </cell>
          <cell r="P98">
            <v>428680</v>
          </cell>
          <cell r="Q98">
            <v>428680</v>
          </cell>
          <cell r="R98">
            <v>308167</v>
          </cell>
          <cell r="S98">
            <v>203166</v>
          </cell>
          <cell r="T98">
            <v>203166</v>
          </cell>
          <cell r="U98">
            <v>203166</v>
          </cell>
          <cell r="V98">
            <v>90236</v>
          </cell>
          <cell r="W98">
            <v>-3752</v>
          </cell>
        </row>
        <row r="99">
          <cell r="C99" t="str">
            <v>060600-U34W-4</v>
          </cell>
          <cell r="D99">
            <v>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C100" t="str">
            <v>040120-T22Z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</row>
        <row r="101">
          <cell r="C101" t="str">
            <v>040120-PP2W</v>
          </cell>
          <cell r="D101">
            <v>1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C102" t="str">
            <v>030080-PB2W</v>
          </cell>
          <cell r="D102">
            <v>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</row>
        <row r="103">
          <cell r="C103" t="str">
            <v>040160-T121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C104" t="str">
            <v>030045-CB2B</v>
          </cell>
          <cell r="D104">
            <v>1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C105" t="str">
            <v>#80160-JD5H</v>
          </cell>
          <cell r="D105">
            <v>1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6">
          <cell r="C106" t="str">
            <v>080450-U51W-D</v>
          </cell>
          <cell r="D106">
            <v>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</row>
        <row r="107">
          <cell r="C107" t="str">
            <v>#80160-CD5H</v>
          </cell>
          <cell r="D107">
            <v>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</row>
        <row r="108">
          <cell r="C108" t="str">
            <v>#80160-PDEW</v>
          </cell>
          <cell r="D108">
            <v>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</row>
        <row r="109">
          <cell r="C109" t="str">
            <v>040080-T51W</v>
          </cell>
          <cell r="D109">
            <v>1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</row>
        <row r="110">
          <cell r="C110" t="str">
            <v>040140-PB6H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C111" t="str">
            <v>051092-136H-3F</v>
          </cell>
          <cell r="D111">
            <v>2</v>
          </cell>
          <cell r="E111">
            <v>0</v>
          </cell>
          <cell r="F111">
            <v>0</v>
          </cell>
          <cell r="G111">
            <v>15000</v>
          </cell>
          <cell r="H111">
            <v>15000</v>
          </cell>
          <cell r="I111">
            <v>5000</v>
          </cell>
          <cell r="J111">
            <v>5000</v>
          </cell>
          <cell r="K111">
            <v>5000</v>
          </cell>
          <cell r="L111">
            <v>15000</v>
          </cell>
          <cell r="M111">
            <v>10000</v>
          </cell>
          <cell r="N111">
            <v>10000</v>
          </cell>
          <cell r="O111">
            <v>10000</v>
          </cell>
          <cell r="P111">
            <v>5000</v>
          </cell>
          <cell r="Q111">
            <v>5000</v>
          </cell>
          <cell r="R111">
            <v>5000</v>
          </cell>
          <cell r="S111">
            <v>5000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C112" t="str">
            <v>050100-T56H</v>
          </cell>
          <cell r="D112">
            <v>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C113" t="str">
            <v>650390-H62J-4D</v>
          </cell>
          <cell r="D113">
            <v>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</row>
        <row r="114">
          <cell r="C114" t="str">
            <v>100200-Y03O-C</v>
          </cell>
          <cell r="D114">
            <v>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C115" t="str">
            <v>650270-F62J-S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</row>
        <row r="116">
          <cell r="C116" t="str">
            <v>040100-T121</v>
          </cell>
          <cell r="D116">
            <v>1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C117" t="str">
            <v>040100-TB2W-S</v>
          </cell>
          <cell r="D117">
            <v>1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C118" t="str">
            <v>040200-T26H</v>
          </cell>
          <cell r="D118">
            <v>1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</row>
        <row r="119">
          <cell r="C119" t="str">
            <v>050160-J56H</v>
          </cell>
          <cell r="D119">
            <v>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C120" t="str">
            <v>040140-T65H</v>
          </cell>
          <cell r="D120">
            <v>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C121" t="str">
            <v>081100-F641-D</v>
          </cell>
          <cell r="D121">
            <v>1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C122" t="str">
            <v>030140-PB1W-4</v>
          </cell>
          <cell r="D122">
            <v>1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</row>
        <row r="123">
          <cell r="C123" t="str">
            <v>030100-PB2W</v>
          </cell>
          <cell r="D123">
            <v>1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</row>
        <row r="124">
          <cell r="C124" t="str">
            <v>040120-T62W</v>
          </cell>
          <cell r="D124">
            <v>1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</row>
        <row r="125">
          <cell r="C125" t="str">
            <v>040060-T66H</v>
          </cell>
          <cell r="D125">
            <v>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C126" t="str">
            <v>040250-T22W</v>
          </cell>
          <cell r="D126">
            <v>1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C127" t="str">
            <v>SET-003</v>
          </cell>
          <cell r="D127">
            <v>1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C128" t="str">
            <v>SET-004</v>
          </cell>
          <cell r="D128">
            <v>1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C129" t="str">
            <v>080090-ZE1W-C</v>
          </cell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C130" t="str">
            <v>050195-T62W-D</v>
          </cell>
          <cell r="D130">
            <v>1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C131" t="str">
            <v>480150-Y01Z-Z</v>
          </cell>
          <cell r="D131">
            <v>1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</row>
        <row r="132">
          <cell r="C132" t="str">
            <v>340060-Z01Z</v>
          </cell>
          <cell r="D132">
            <v>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C133" t="str">
            <v>260040-P51N</v>
          </cell>
          <cell r="D133">
            <v>1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C134" t="str">
            <v>030862-Z06H</v>
          </cell>
          <cell r="D134">
            <v>1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</row>
        <row r="135">
          <cell r="C135" t="str">
            <v>100160-U51W</v>
          </cell>
          <cell r="D135">
            <v>1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C136" t="str">
            <v>037150-20N0-B</v>
          </cell>
          <cell r="D136">
            <v>1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</row>
        <row r="137">
          <cell r="C137" t="str">
            <v>10P150-Z5BW</v>
          </cell>
          <cell r="D137">
            <v>1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</row>
        <row r="138">
          <cell r="C138" t="str">
            <v>060184-Y010-D</v>
          </cell>
          <cell r="D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C139" t="str">
            <v>050150-PM6H-3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  <row r="140">
          <cell r="C140" t="str">
            <v>081490-F641-D</v>
          </cell>
          <cell r="D140">
            <v>1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</row>
        <row r="141">
          <cell r="C141" t="str">
            <v>030050-P51W-4</v>
          </cell>
          <cell r="D141">
            <v>1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</row>
        <row r="142">
          <cell r="C142" t="str">
            <v>040120-T12W-6D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</row>
        <row r="143">
          <cell r="C143" t="str">
            <v>040090-T12W-6D</v>
          </cell>
          <cell r="D143">
            <v>1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</row>
        <row r="144">
          <cell r="C144" t="str">
            <v>040160-T12G</v>
          </cell>
          <cell r="D144">
            <v>1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</row>
        <row r="145">
          <cell r="C145" t="str">
            <v>030080-T22W</v>
          </cell>
          <cell r="D145">
            <v>1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</row>
        <row r="146">
          <cell r="C146" t="str">
            <v>030070-P62W-AD</v>
          </cell>
          <cell r="D146">
            <v>1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</row>
        <row r="147">
          <cell r="C147" t="str">
            <v>040120-BC2W</v>
          </cell>
          <cell r="D147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</row>
        <row r="148">
          <cell r="C148" t="str">
            <v>650390-H620-D</v>
          </cell>
          <cell r="D148">
            <v>1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</row>
        <row r="149">
          <cell r="C149" t="str">
            <v>080080-005P-Z</v>
          </cell>
          <cell r="D149">
            <v>1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</row>
        <row r="150">
          <cell r="C150" t="str">
            <v>040040-ZM4B-H</v>
          </cell>
          <cell r="D150">
            <v>1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</row>
        <row r="151">
          <cell r="C151" t="str">
            <v>060224-ZS2J-H</v>
          </cell>
          <cell r="D151">
            <v>1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</row>
        <row r="152">
          <cell r="C152" t="str">
            <v>040120-T12B</v>
          </cell>
          <cell r="D152">
            <v>1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</row>
        <row r="153">
          <cell r="C153" t="str">
            <v>030060-PB2B-A</v>
          </cell>
          <cell r="D153">
            <v>1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</row>
        <row r="154">
          <cell r="C154" t="str">
            <v>030100-P26H</v>
          </cell>
          <cell r="D154">
            <v>1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</row>
        <row r="155">
          <cell r="C155" t="str">
            <v>080500-HM4K-D</v>
          </cell>
          <cell r="D155">
            <v>1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</row>
        <row r="156">
          <cell r="C156" t="str">
            <v>040300-P66H</v>
          </cell>
          <cell r="D156">
            <v>1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</row>
        <row r="157">
          <cell r="C157" t="str">
            <v>040100-Z01O-AZ</v>
          </cell>
          <cell r="D157">
            <v>1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</row>
        <row r="158">
          <cell r="C158" t="str">
            <v>030110-P12W-AD</v>
          </cell>
          <cell r="D158">
            <v>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C159" t="str">
            <v>040120-TY6H-T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</row>
        <row r="160">
          <cell r="C160" t="str">
            <v>050160-TY6H-BT</v>
          </cell>
          <cell r="D160">
            <v>1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</row>
        <row r="161">
          <cell r="C161" t="str">
            <v>050140-T56R-T</v>
          </cell>
          <cell r="D161">
            <v>1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060160-T56R-T</v>
          </cell>
          <cell r="D162">
            <v>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3">
          <cell r="C163" t="str">
            <v>080160-TM6R-T</v>
          </cell>
          <cell r="D163">
            <v>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</row>
        <row r="164">
          <cell r="C164" t="str">
            <v>121035-T06H-BTG</v>
          </cell>
          <cell r="D164">
            <v>1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</row>
        <row r="165">
          <cell r="C165" t="str">
            <v>120245-T06H-BTG</v>
          </cell>
          <cell r="D165">
            <v>1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</row>
        <row r="166">
          <cell r="C166" t="str">
            <v>060350-ZM6H-T</v>
          </cell>
          <cell r="D166">
            <v>1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</row>
        <row r="167">
          <cell r="C167" t="str">
            <v>050300-ZY6H-T</v>
          </cell>
          <cell r="D167">
            <v>1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</row>
        <row r="168">
          <cell r="C168" t="str">
            <v>050350-ZM6H-H</v>
          </cell>
          <cell r="D168">
            <v>1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030120-P51N-A</v>
          </cell>
          <cell r="D169">
            <v>1</v>
          </cell>
          <cell r="E169">
            <v>0</v>
          </cell>
          <cell r="F169">
            <v>0</v>
          </cell>
          <cell r="G169">
            <v>10000</v>
          </cell>
          <cell r="H169">
            <v>10000</v>
          </cell>
          <cell r="I169">
            <v>0</v>
          </cell>
          <cell r="J169">
            <v>0</v>
          </cell>
          <cell r="K169">
            <v>10000</v>
          </cell>
          <cell r="L169">
            <v>10000</v>
          </cell>
          <cell r="M169">
            <v>10000</v>
          </cell>
          <cell r="N169">
            <v>10000</v>
          </cell>
          <cell r="O169">
            <v>10000</v>
          </cell>
          <cell r="P169">
            <v>10000</v>
          </cell>
          <cell r="Q169">
            <v>10000</v>
          </cell>
          <cell r="R169">
            <v>10000</v>
          </cell>
          <cell r="S169">
            <v>10000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</row>
        <row r="170">
          <cell r="C170" t="str">
            <v>040160-TY6H-T</v>
          </cell>
          <cell r="D170">
            <v>1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</row>
        <row r="171">
          <cell r="C171" t="str">
            <v>060500-JM6R-DT</v>
          </cell>
          <cell r="D171">
            <v>1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</row>
        <row r="172">
          <cell r="C172" t="str">
            <v>040120-Z52K-H</v>
          </cell>
          <cell r="D172">
            <v>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</row>
        <row r="173">
          <cell r="C173" t="str">
            <v>030100-C62K-T</v>
          </cell>
          <cell r="D173">
            <v>1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</row>
        <row r="174">
          <cell r="C174" t="str">
            <v>060100-B51B-Z</v>
          </cell>
          <cell r="D174">
            <v>1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</row>
        <row r="175">
          <cell r="C175" t="str">
            <v>120362-UM1A-4A</v>
          </cell>
          <cell r="D175">
            <v>1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060200-T56R-T</v>
          </cell>
          <cell r="D176">
            <v>1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06P100-586H-S</v>
          </cell>
          <cell r="D177">
            <v>1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030120-PC2W</v>
          </cell>
          <cell r="D178">
            <v>1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040120-J22N</v>
          </cell>
          <cell r="D179">
            <v>1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040150-T15J-MZ</v>
          </cell>
          <cell r="D180">
            <v>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260080-PB1Y-Q</v>
          </cell>
          <cell r="D181">
            <v>1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050140-C62B-B</v>
          </cell>
          <cell r="D182">
            <v>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290190-P12W</v>
          </cell>
          <cell r="D183">
            <v>1</v>
          </cell>
          <cell r="E183">
            <v>0</v>
          </cell>
          <cell r="F183">
            <v>0</v>
          </cell>
          <cell r="G183">
            <v>8000</v>
          </cell>
          <cell r="H183">
            <v>8000</v>
          </cell>
          <cell r="I183">
            <v>8000</v>
          </cell>
          <cell r="J183">
            <v>0</v>
          </cell>
          <cell r="K183">
            <v>0</v>
          </cell>
          <cell r="L183">
            <v>8000</v>
          </cell>
          <cell r="M183">
            <v>8000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050200-J51W</v>
          </cell>
          <cell r="D184">
            <v>1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050300-J51W</v>
          </cell>
          <cell r="D185">
            <v>1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</row>
        <row r="186">
          <cell r="C186" t="str">
            <v>040060-U56H-P</v>
          </cell>
          <cell r="D186">
            <v>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</row>
        <row r="187">
          <cell r="C187" t="str">
            <v>064180-166H-2F</v>
          </cell>
          <cell r="D187">
            <v>1</v>
          </cell>
          <cell r="E187">
            <v>0</v>
          </cell>
          <cell r="F187">
            <v>0</v>
          </cell>
          <cell r="G187">
            <v>100</v>
          </cell>
          <cell r="H187">
            <v>100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100</v>
          </cell>
          <cell r="N187">
            <v>100</v>
          </cell>
          <cell r="O187">
            <v>100</v>
          </cell>
          <cell r="P187">
            <v>100</v>
          </cell>
          <cell r="Q187">
            <v>100</v>
          </cell>
          <cell r="R187">
            <v>100</v>
          </cell>
          <cell r="S187">
            <v>100</v>
          </cell>
          <cell r="T187">
            <v>100</v>
          </cell>
          <cell r="U187">
            <v>100</v>
          </cell>
          <cell r="V187">
            <v>100</v>
          </cell>
          <cell r="W187">
            <v>100</v>
          </cell>
        </row>
        <row r="188">
          <cell r="C188" t="str">
            <v>210600-600W-2</v>
          </cell>
          <cell r="D188">
            <v>1</v>
          </cell>
          <cell r="E188">
            <v>0</v>
          </cell>
          <cell r="F188">
            <v>0</v>
          </cell>
          <cell r="G188">
            <v>756</v>
          </cell>
          <cell r="H188">
            <v>756</v>
          </cell>
          <cell r="I188">
            <v>0</v>
          </cell>
          <cell r="J188">
            <v>150</v>
          </cell>
          <cell r="K188">
            <v>150</v>
          </cell>
          <cell r="L188">
            <v>300</v>
          </cell>
          <cell r="M188">
            <v>756</v>
          </cell>
          <cell r="N188">
            <v>756</v>
          </cell>
          <cell r="O188">
            <v>756</v>
          </cell>
          <cell r="P188">
            <v>606</v>
          </cell>
          <cell r="Q188">
            <v>606</v>
          </cell>
          <cell r="R188">
            <v>606</v>
          </cell>
          <cell r="S188">
            <v>606</v>
          </cell>
          <cell r="T188">
            <v>456</v>
          </cell>
          <cell r="U188">
            <v>456</v>
          </cell>
          <cell r="V188">
            <v>456</v>
          </cell>
          <cell r="W188">
            <v>456</v>
          </cell>
        </row>
        <row r="189">
          <cell r="C189" t="str">
            <v>086239-206H-2F</v>
          </cell>
          <cell r="D189">
            <v>1</v>
          </cell>
          <cell r="E189">
            <v>0</v>
          </cell>
          <cell r="F189">
            <v>0</v>
          </cell>
          <cell r="G189">
            <v>680</v>
          </cell>
          <cell r="H189">
            <v>680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680</v>
          </cell>
          <cell r="N189">
            <v>680</v>
          </cell>
          <cell r="O189">
            <v>680</v>
          </cell>
          <cell r="P189">
            <v>680</v>
          </cell>
          <cell r="Q189">
            <v>680</v>
          </cell>
          <cell r="R189">
            <v>680</v>
          </cell>
          <cell r="S189">
            <v>680</v>
          </cell>
          <cell r="T189">
            <v>680</v>
          </cell>
          <cell r="U189">
            <v>680</v>
          </cell>
          <cell r="V189">
            <v>680</v>
          </cell>
          <cell r="W189">
            <v>680</v>
          </cell>
        </row>
        <row r="190">
          <cell r="C190" t="str">
            <v>240048-PM2W-DM</v>
          </cell>
          <cell r="D190">
            <v>1</v>
          </cell>
          <cell r="E190">
            <v>0</v>
          </cell>
          <cell r="F190">
            <v>0</v>
          </cell>
          <cell r="G190">
            <v>120710</v>
          </cell>
          <cell r="H190">
            <v>120710</v>
          </cell>
          <cell r="I190">
            <v>30000</v>
          </cell>
          <cell r="J190">
            <v>30000</v>
          </cell>
          <cell r="K190">
            <v>60000</v>
          </cell>
          <cell r="L190">
            <v>120000</v>
          </cell>
          <cell r="M190">
            <v>120710</v>
          </cell>
          <cell r="N190">
            <v>90710</v>
          </cell>
          <cell r="O190">
            <v>90710</v>
          </cell>
          <cell r="P190">
            <v>60710</v>
          </cell>
          <cell r="Q190">
            <v>60710</v>
          </cell>
          <cell r="R190">
            <v>60710</v>
          </cell>
          <cell r="S190">
            <v>60710</v>
          </cell>
          <cell r="T190">
            <v>710</v>
          </cell>
          <cell r="U190">
            <v>710</v>
          </cell>
          <cell r="V190">
            <v>710</v>
          </cell>
          <cell r="W190">
            <v>710</v>
          </cell>
        </row>
        <row r="191">
          <cell r="C191" t="str">
            <v>040120-B62W-2</v>
          </cell>
          <cell r="D191">
            <v>1</v>
          </cell>
          <cell r="E191">
            <v>0</v>
          </cell>
          <cell r="F191">
            <v>0</v>
          </cell>
          <cell r="G191">
            <v>204000</v>
          </cell>
          <cell r="H191">
            <v>204000</v>
          </cell>
          <cell r="I191">
            <v>49000</v>
          </cell>
          <cell r="J191">
            <v>82544</v>
          </cell>
          <cell r="K191">
            <v>71706</v>
          </cell>
          <cell r="L191">
            <v>203250</v>
          </cell>
          <cell r="M191">
            <v>155000</v>
          </cell>
          <cell r="N191">
            <v>155000</v>
          </cell>
          <cell r="O191">
            <v>155000</v>
          </cell>
          <cell r="P191">
            <v>115000</v>
          </cell>
          <cell r="Q191">
            <v>115000</v>
          </cell>
          <cell r="R191">
            <v>87000</v>
          </cell>
          <cell r="S191">
            <v>72456</v>
          </cell>
          <cell r="T191">
            <v>750</v>
          </cell>
          <cell r="U191">
            <v>750</v>
          </cell>
          <cell r="V191">
            <v>750</v>
          </cell>
          <cell r="W191">
            <v>750</v>
          </cell>
        </row>
        <row r="192">
          <cell r="C192" t="str">
            <v>085180-166H-2</v>
          </cell>
          <cell r="D192">
            <v>1</v>
          </cell>
          <cell r="E192">
            <v>0</v>
          </cell>
          <cell r="F192">
            <v>0</v>
          </cell>
          <cell r="G192">
            <v>18000</v>
          </cell>
          <cell r="H192">
            <v>18000</v>
          </cell>
          <cell r="I192">
            <v>3000</v>
          </cell>
          <cell r="J192">
            <v>8000</v>
          </cell>
          <cell r="K192">
            <v>5000</v>
          </cell>
          <cell r="L192">
            <v>16000</v>
          </cell>
          <cell r="M192">
            <v>15000</v>
          </cell>
          <cell r="N192">
            <v>15000</v>
          </cell>
          <cell r="O192">
            <v>15000</v>
          </cell>
          <cell r="P192">
            <v>7000</v>
          </cell>
          <cell r="Q192">
            <v>7000</v>
          </cell>
          <cell r="R192">
            <v>7000</v>
          </cell>
          <cell r="S192">
            <v>7000</v>
          </cell>
          <cell r="T192">
            <v>2000</v>
          </cell>
          <cell r="U192">
            <v>2000</v>
          </cell>
          <cell r="V192">
            <v>2000</v>
          </cell>
          <cell r="W192">
            <v>2000</v>
          </cell>
        </row>
        <row r="193">
          <cell r="C193" t="str">
            <v>050140-U53W-P</v>
          </cell>
          <cell r="D193">
            <v>1</v>
          </cell>
          <cell r="E193">
            <v>0</v>
          </cell>
          <cell r="F193">
            <v>0</v>
          </cell>
          <cell r="G193">
            <v>2000</v>
          </cell>
          <cell r="H193">
            <v>2000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2000</v>
          </cell>
          <cell r="N193">
            <v>2000</v>
          </cell>
          <cell r="O193">
            <v>2000</v>
          </cell>
          <cell r="P193">
            <v>2000</v>
          </cell>
          <cell r="Q193">
            <v>2000</v>
          </cell>
          <cell r="R193">
            <v>2000</v>
          </cell>
          <cell r="S193">
            <v>2000</v>
          </cell>
          <cell r="T193">
            <v>2000</v>
          </cell>
          <cell r="U193">
            <v>2000</v>
          </cell>
          <cell r="V193">
            <v>2000</v>
          </cell>
          <cell r="W193">
            <v>2000</v>
          </cell>
        </row>
        <row r="194">
          <cell r="C194" t="str">
            <v>040160-T12W-6</v>
          </cell>
          <cell r="D194">
            <v>1</v>
          </cell>
          <cell r="E194">
            <v>0</v>
          </cell>
          <cell r="F194">
            <v>0</v>
          </cell>
          <cell r="G194">
            <v>2000</v>
          </cell>
          <cell r="H194">
            <v>2000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2000</v>
          </cell>
          <cell r="N194">
            <v>2000</v>
          </cell>
          <cell r="O194">
            <v>2000</v>
          </cell>
          <cell r="P194">
            <v>2000</v>
          </cell>
          <cell r="Q194">
            <v>2000</v>
          </cell>
          <cell r="R194">
            <v>2000</v>
          </cell>
          <cell r="S194">
            <v>2000</v>
          </cell>
          <cell r="T194">
            <v>2000</v>
          </cell>
          <cell r="U194">
            <v>2000</v>
          </cell>
          <cell r="V194">
            <v>2000</v>
          </cell>
          <cell r="W194">
            <v>2000</v>
          </cell>
        </row>
        <row r="195">
          <cell r="C195" t="str">
            <v>040080-Y62W</v>
          </cell>
          <cell r="D195">
            <v>1</v>
          </cell>
          <cell r="E195">
            <v>0</v>
          </cell>
          <cell r="F195">
            <v>0</v>
          </cell>
          <cell r="G195">
            <v>2000</v>
          </cell>
          <cell r="H195">
            <v>2000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2000</v>
          </cell>
          <cell r="N195">
            <v>2000</v>
          </cell>
          <cell r="O195">
            <v>2000</v>
          </cell>
          <cell r="P195">
            <v>2000</v>
          </cell>
          <cell r="Q195">
            <v>2000</v>
          </cell>
          <cell r="R195">
            <v>2000</v>
          </cell>
          <cell r="S195">
            <v>2000</v>
          </cell>
          <cell r="T195">
            <v>2000</v>
          </cell>
          <cell r="U195">
            <v>2000</v>
          </cell>
          <cell r="V195">
            <v>2000</v>
          </cell>
          <cell r="W195">
            <v>2000</v>
          </cell>
        </row>
        <row r="196">
          <cell r="C196" t="str">
            <v>050150-FS2W-P</v>
          </cell>
          <cell r="D196">
            <v>1</v>
          </cell>
          <cell r="E196">
            <v>0</v>
          </cell>
          <cell r="F196">
            <v>0</v>
          </cell>
          <cell r="G196">
            <v>2000</v>
          </cell>
          <cell r="H196">
            <v>2000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2000</v>
          </cell>
          <cell r="N196">
            <v>2000</v>
          </cell>
          <cell r="O196">
            <v>2000</v>
          </cell>
          <cell r="P196">
            <v>2000</v>
          </cell>
          <cell r="Q196">
            <v>2000</v>
          </cell>
          <cell r="R196">
            <v>2000</v>
          </cell>
          <cell r="S196">
            <v>2000</v>
          </cell>
          <cell r="T196">
            <v>2000</v>
          </cell>
          <cell r="U196">
            <v>2000</v>
          </cell>
          <cell r="V196">
            <v>2000</v>
          </cell>
          <cell r="W196">
            <v>2000</v>
          </cell>
        </row>
        <row r="197">
          <cell r="C197" t="str">
            <v>162280-408W-3F</v>
          </cell>
          <cell r="D197">
            <v>1</v>
          </cell>
          <cell r="E197">
            <v>0</v>
          </cell>
          <cell r="F197">
            <v>0</v>
          </cell>
          <cell r="G197">
            <v>2800</v>
          </cell>
          <cell r="H197">
            <v>2800</v>
          </cell>
          <cell r="I197">
            <v>0</v>
          </cell>
          <cell r="J197">
            <v>350</v>
          </cell>
          <cell r="K197">
            <v>350</v>
          </cell>
          <cell r="L197">
            <v>700</v>
          </cell>
          <cell r="M197">
            <v>2800</v>
          </cell>
          <cell r="N197">
            <v>2800</v>
          </cell>
          <cell r="O197">
            <v>2800</v>
          </cell>
          <cell r="P197">
            <v>2450</v>
          </cell>
          <cell r="Q197">
            <v>2450</v>
          </cell>
          <cell r="R197">
            <v>2450</v>
          </cell>
          <cell r="S197">
            <v>2450</v>
          </cell>
          <cell r="T197">
            <v>2100</v>
          </cell>
          <cell r="U197">
            <v>2100</v>
          </cell>
          <cell r="V197">
            <v>2100</v>
          </cell>
          <cell r="W197">
            <v>2100</v>
          </cell>
        </row>
        <row r="198">
          <cell r="C198" t="str">
            <v>030180-P611-Q</v>
          </cell>
          <cell r="D198">
            <v>1</v>
          </cell>
          <cell r="E198">
            <v>200000</v>
          </cell>
          <cell r="F198">
            <v>0</v>
          </cell>
          <cell r="G198">
            <v>50000</v>
          </cell>
          <cell r="H198">
            <v>50000</v>
          </cell>
          <cell r="I198">
            <v>7647</v>
          </cell>
          <cell r="J198">
            <v>22161</v>
          </cell>
          <cell r="K198">
            <v>17738</v>
          </cell>
          <cell r="L198">
            <v>47546</v>
          </cell>
          <cell r="M198">
            <v>50000</v>
          </cell>
          <cell r="N198">
            <v>42353</v>
          </cell>
          <cell r="O198">
            <v>42353</v>
          </cell>
          <cell r="P198">
            <v>42353</v>
          </cell>
          <cell r="Q198">
            <v>42353</v>
          </cell>
          <cell r="R198">
            <v>20192</v>
          </cell>
          <cell r="S198">
            <v>20192</v>
          </cell>
          <cell r="T198">
            <v>20192</v>
          </cell>
          <cell r="U198">
            <v>20192</v>
          </cell>
          <cell r="V198">
            <v>2454</v>
          </cell>
          <cell r="W198">
            <v>2454</v>
          </cell>
        </row>
        <row r="199">
          <cell r="C199" t="str">
            <v>060160-P56H</v>
          </cell>
          <cell r="D199">
            <v>1</v>
          </cell>
          <cell r="E199">
            <v>0</v>
          </cell>
          <cell r="F199">
            <v>0</v>
          </cell>
          <cell r="G199">
            <v>2500</v>
          </cell>
          <cell r="H199">
            <v>2500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2500</v>
          </cell>
          <cell r="N199">
            <v>2500</v>
          </cell>
          <cell r="O199">
            <v>2500</v>
          </cell>
          <cell r="P199">
            <v>2500</v>
          </cell>
          <cell r="Q199">
            <v>2500</v>
          </cell>
          <cell r="R199">
            <v>2500</v>
          </cell>
          <cell r="S199">
            <v>2500</v>
          </cell>
          <cell r="T199">
            <v>2500</v>
          </cell>
          <cell r="U199">
            <v>2500</v>
          </cell>
          <cell r="V199">
            <v>2500</v>
          </cell>
          <cell r="W199">
            <v>2500</v>
          </cell>
        </row>
        <row r="200">
          <cell r="C200" t="str">
            <v>040120-T65H-2</v>
          </cell>
          <cell r="D200">
            <v>1</v>
          </cell>
          <cell r="E200">
            <v>0</v>
          </cell>
          <cell r="F200">
            <v>0</v>
          </cell>
          <cell r="G200">
            <v>60000</v>
          </cell>
          <cell r="H200">
            <v>60000</v>
          </cell>
          <cell r="I200">
            <v>16000</v>
          </cell>
          <cell r="J200">
            <v>21280</v>
          </cell>
          <cell r="K200">
            <v>19842</v>
          </cell>
          <cell r="L200">
            <v>57122</v>
          </cell>
          <cell r="M200">
            <v>44000</v>
          </cell>
          <cell r="N200">
            <v>44000</v>
          </cell>
          <cell r="O200">
            <v>44000</v>
          </cell>
          <cell r="P200">
            <v>35000</v>
          </cell>
          <cell r="Q200">
            <v>35000</v>
          </cell>
          <cell r="R200">
            <v>27000</v>
          </cell>
          <cell r="S200">
            <v>22720</v>
          </cell>
          <cell r="T200">
            <v>2878</v>
          </cell>
          <cell r="U200">
            <v>2878</v>
          </cell>
          <cell r="V200">
            <v>2878</v>
          </cell>
          <cell r="W200">
            <v>2878</v>
          </cell>
        </row>
        <row r="201">
          <cell r="C201" t="str">
            <v>040100-T51W</v>
          </cell>
          <cell r="D201">
            <v>1</v>
          </cell>
          <cell r="E201">
            <v>0</v>
          </cell>
          <cell r="F201">
            <v>0</v>
          </cell>
          <cell r="G201">
            <v>30000</v>
          </cell>
          <cell r="H201">
            <v>30000</v>
          </cell>
          <cell r="I201">
            <v>10936</v>
          </cell>
          <cell r="J201">
            <v>0</v>
          </cell>
          <cell r="K201">
            <v>16084</v>
          </cell>
          <cell r="L201">
            <v>27020</v>
          </cell>
          <cell r="M201">
            <v>30000</v>
          </cell>
          <cell r="N201">
            <v>30000</v>
          </cell>
          <cell r="O201">
            <v>19064</v>
          </cell>
          <cell r="P201">
            <v>19064</v>
          </cell>
          <cell r="Q201">
            <v>19064</v>
          </cell>
          <cell r="R201">
            <v>19064</v>
          </cell>
          <cell r="S201">
            <v>19064</v>
          </cell>
          <cell r="T201">
            <v>2980</v>
          </cell>
          <cell r="U201">
            <v>2980</v>
          </cell>
          <cell r="V201">
            <v>2980</v>
          </cell>
          <cell r="W201">
            <v>2980</v>
          </cell>
        </row>
        <row r="202">
          <cell r="C202" t="str">
            <v>055120-086H-2</v>
          </cell>
          <cell r="D202">
            <v>1</v>
          </cell>
          <cell r="E202">
            <v>0</v>
          </cell>
          <cell r="F202">
            <v>0</v>
          </cell>
          <cell r="G202">
            <v>13000</v>
          </cell>
          <cell r="H202">
            <v>13000</v>
          </cell>
          <cell r="I202">
            <v>2000</v>
          </cell>
          <cell r="J202">
            <v>4000</v>
          </cell>
          <cell r="K202">
            <v>4000</v>
          </cell>
          <cell r="L202">
            <v>10000</v>
          </cell>
          <cell r="M202">
            <v>11000</v>
          </cell>
          <cell r="N202">
            <v>11000</v>
          </cell>
          <cell r="O202">
            <v>11000</v>
          </cell>
          <cell r="P202">
            <v>7000</v>
          </cell>
          <cell r="Q202">
            <v>7000</v>
          </cell>
          <cell r="R202">
            <v>7000</v>
          </cell>
          <cell r="S202">
            <v>7000</v>
          </cell>
          <cell r="T202">
            <v>3000</v>
          </cell>
          <cell r="U202">
            <v>3000</v>
          </cell>
          <cell r="V202">
            <v>3000</v>
          </cell>
          <cell r="W202">
            <v>3000</v>
          </cell>
        </row>
        <row r="203">
          <cell r="C203" t="str">
            <v>390082-P62W-B</v>
          </cell>
          <cell r="D203">
            <v>1</v>
          </cell>
          <cell r="E203">
            <v>0</v>
          </cell>
          <cell r="F203">
            <v>0</v>
          </cell>
          <cell r="G203">
            <v>30000</v>
          </cell>
          <cell r="H203">
            <v>30000</v>
          </cell>
          <cell r="I203">
            <v>0</v>
          </cell>
          <cell r="J203">
            <v>0</v>
          </cell>
          <cell r="K203">
            <v>27000</v>
          </cell>
          <cell r="L203">
            <v>27000</v>
          </cell>
          <cell r="M203">
            <v>30000</v>
          </cell>
          <cell r="N203">
            <v>30000</v>
          </cell>
          <cell r="O203">
            <v>30000</v>
          </cell>
          <cell r="P203">
            <v>30000</v>
          </cell>
          <cell r="Q203">
            <v>30000</v>
          </cell>
          <cell r="R203">
            <v>30000</v>
          </cell>
          <cell r="S203">
            <v>30000</v>
          </cell>
          <cell r="T203">
            <v>3000</v>
          </cell>
          <cell r="U203">
            <v>3000</v>
          </cell>
          <cell r="V203">
            <v>3000</v>
          </cell>
          <cell r="W203">
            <v>3000</v>
          </cell>
        </row>
        <row r="204">
          <cell r="C204" t="str">
            <v>060500-P56H</v>
          </cell>
          <cell r="D204">
            <v>1</v>
          </cell>
          <cell r="E204">
            <v>0</v>
          </cell>
          <cell r="F204">
            <v>0</v>
          </cell>
          <cell r="G204">
            <v>3400</v>
          </cell>
          <cell r="H204">
            <v>3400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3400</v>
          </cell>
          <cell r="N204">
            <v>3400</v>
          </cell>
          <cell r="O204">
            <v>3400</v>
          </cell>
          <cell r="P204">
            <v>3400</v>
          </cell>
          <cell r="Q204">
            <v>3400</v>
          </cell>
          <cell r="R204">
            <v>3400</v>
          </cell>
          <cell r="S204">
            <v>3400</v>
          </cell>
          <cell r="T204">
            <v>3400</v>
          </cell>
          <cell r="U204">
            <v>3400</v>
          </cell>
          <cell r="V204">
            <v>3400</v>
          </cell>
          <cell r="W204">
            <v>3400</v>
          </cell>
        </row>
        <row r="205">
          <cell r="C205" t="str">
            <v>04P070-251W</v>
          </cell>
          <cell r="D205">
            <v>2</v>
          </cell>
          <cell r="E205">
            <v>0</v>
          </cell>
          <cell r="F205">
            <v>0</v>
          </cell>
          <cell r="G205">
            <v>45000</v>
          </cell>
          <cell r="H205">
            <v>45000</v>
          </cell>
          <cell r="I205">
            <v>17712</v>
          </cell>
          <cell r="J205">
            <v>18940</v>
          </cell>
          <cell r="K205">
            <v>4764</v>
          </cell>
          <cell r="L205">
            <v>41416</v>
          </cell>
          <cell r="M205">
            <v>36244</v>
          </cell>
          <cell r="N205">
            <v>28278</v>
          </cell>
          <cell r="O205">
            <v>27288</v>
          </cell>
          <cell r="P205">
            <v>21256</v>
          </cell>
          <cell r="Q205">
            <v>18264</v>
          </cell>
          <cell r="R205">
            <v>14226</v>
          </cell>
          <cell r="S205">
            <v>8348</v>
          </cell>
          <cell r="T205">
            <v>3584</v>
          </cell>
          <cell r="U205">
            <v>3584</v>
          </cell>
          <cell r="V205">
            <v>3584</v>
          </cell>
          <cell r="W205">
            <v>3584</v>
          </cell>
        </row>
        <row r="206">
          <cell r="C206" t="str">
            <v>040060-B22W-A</v>
          </cell>
          <cell r="D206">
            <v>1</v>
          </cell>
          <cell r="E206">
            <v>0</v>
          </cell>
          <cell r="F206">
            <v>0</v>
          </cell>
          <cell r="G206">
            <v>4000</v>
          </cell>
          <cell r="H206">
            <v>4000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4000</v>
          </cell>
          <cell r="N206">
            <v>4000</v>
          </cell>
          <cell r="O206">
            <v>4000</v>
          </cell>
          <cell r="P206">
            <v>4000</v>
          </cell>
          <cell r="Q206">
            <v>4000</v>
          </cell>
          <cell r="R206">
            <v>4000</v>
          </cell>
          <cell r="S206">
            <v>4000</v>
          </cell>
          <cell r="T206">
            <v>4000</v>
          </cell>
          <cell r="U206">
            <v>4000</v>
          </cell>
          <cell r="V206">
            <v>4000</v>
          </cell>
          <cell r="W206">
            <v>4000</v>
          </cell>
        </row>
        <row r="207">
          <cell r="C207" t="str">
            <v>040230-B52B</v>
          </cell>
          <cell r="D207">
            <v>1</v>
          </cell>
          <cell r="E207">
            <v>0</v>
          </cell>
          <cell r="F207">
            <v>0</v>
          </cell>
          <cell r="G207">
            <v>4000</v>
          </cell>
          <cell r="H207">
            <v>4000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4000</v>
          </cell>
          <cell r="N207">
            <v>4000</v>
          </cell>
          <cell r="O207">
            <v>4000</v>
          </cell>
          <cell r="P207">
            <v>4000</v>
          </cell>
          <cell r="Q207">
            <v>4000</v>
          </cell>
          <cell r="R207">
            <v>4000</v>
          </cell>
          <cell r="S207">
            <v>4000</v>
          </cell>
          <cell r="T207">
            <v>4000</v>
          </cell>
          <cell r="U207">
            <v>4000</v>
          </cell>
          <cell r="V207">
            <v>4000</v>
          </cell>
          <cell r="W207">
            <v>4000</v>
          </cell>
        </row>
        <row r="208">
          <cell r="C208" t="str">
            <v>050180-K54A-AZ</v>
          </cell>
          <cell r="D208">
            <v>1</v>
          </cell>
          <cell r="E208">
            <v>0</v>
          </cell>
          <cell r="F208">
            <v>0</v>
          </cell>
          <cell r="G208">
            <v>4000</v>
          </cell>
          <cell r="H208">
            <v>4000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4000</v>
          </cell>
          <cell r="N208">
            <v>4000</v>
          </cell>
          <cell r="O208">
            <v>4000</v>
          </cell>
          <cell r="P208">
            <v>4000</v>
          </cell>
          <cell r="Q208">
            <v>4000</v>
          </cell>
          <cell r="R208">
            <v>4000</v>
          </cell>
          <cell r="S208">
            <v>4000</v>
          </cell>
          <cell r="T208">
            <v>4000</v>
          </cell>
          <cell r="U208">
            <v>4000</v>
          </cell>
          <cell r="V208">
            <v>4000</v>
          </cell>
          <cell r="W208">
            <v>4000</v>
          </cell>
        </row>
        <row r="209">
          <cell r="C209" t="str">
            <v>050160-P62W</v>
          </cell>
          <cell r="D209">
            <v>1</v>
          </cell>
          <cell r="E209">
            <v>0</v>
          </cell>
          <cell r="F209">
            <v>0</v>
          </cell>
          <cell r="G209">
            <v>4000</v>
          </cell>
          <cell r="H209">
            <v>4000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4000</v>
          </cell>
          <cell r="N209">
            <v>4000</v>
          </cell>
          <cell r="O209">
            <v>4000</v>
          </cell>
          <cell r="P209">
            <v>4000</v>
          </cell>
          <cell r="Q209">
            <v>4000</v>
          </cell>
          <cell r="R209">
            <v>4000</v>
          </cell>
          <cell r="S209">
            <v>4000</v>
          </cell>
          <cell r="T209">
            <v>4000</v>
          </cell>
          <cell r="U209">
            <v>4000</v>
          </cell>
          <cell r="V209">
            <v>4000</v>
          </cell>
          <cell r="W209">
            <v>4000</v>
          </cell>
        </row>
        <row r="210">
          <cell r="C210" t="str">
            <v>040240-T12G</v>
          </cell>
          <cell r="D210">
            <v>1</v>
          </cell>
          <cell r="E210">
            <v>0</v>
          </cell>
          <cell r="F210">
            <v>0</v>
          </cell>
          <cell r="G210">
            <v>4500</v>
          </cell>
          <cell r="H210">
            <v>4500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4500</v>
          </cell>
          <cell r="N210">
            <v>4500</v>
          </cell>
          <cell r="O210">
            <v>4500</v>
          </cell>
          <cell r="P210">
            <v>4500</v>
          </cell>
          <cell r="Q210">
            <v>4500</v>
          </cell>
          <cell r="R210">
            <v>4500</v>
          </cell>
          <cell r="S210">
            <v>4500</v>
          </cell>
          <cell r="T210">
            <v>4500</v>
          </cell>
          <cell r="U210">
            <v>4500</v>
          </cell>
          <cell r="V210">
            <v>4500</v>
          </cell>
          <cell r="W210">
            <v>4500</v>
          </cell>
        </row>
        <row r="211">
          <cell r="C211" t="str">
            <v>030080-YM1W-A</v>
          </cell>
          <cell r="D211">
            <v>1</v>
          </cell>
          <cell r="E211">
            <v>0</v>
          </cell>
          <cell r="F211">
            <v>0</v>
          </cell>
          <cell r="G211">
            <v>5000</v>
          </cell>
          <cell r="H211">
            <v>5000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5000</v>
          </cell>
          <cell r="N211">
            <v>5000</v>
          </cell>
          <cell r="O211">
            <v>5000</v>
          </cell>
          <cell r="P211">
            <v>5000</v>
          </cell>
          <cell r="Q211">
            <v>5000</v>
          </cell>
          <cell r="R211">
            <v>5000</v>
          </cell>
          <cell r="S211">
            <v>5000</v>
          </cell>
          <cell r="T211">
            <v>5000</v>
          </cell>
          <cell r="U211">
            <v>5000</v>
          </cell>
          <cell r="V211">
            <v>5000</v>
          </cell>
          <cell r="W211">
            <v>5000</v>
          </cell>
        </row>
        <row r="212">
          <cell r="C212" t="str">
            <v>040100-TS2W-1</v>
          </cell>
          <cell r="D212">
            <v>1</v>
          </cell>
          <cell r="E212">
            <v>0</v>
          </cell>
          <cell r="F212">
            <v>45000</v>
          </cell>
          <cell r="G212">
            <v>0</v>
          </cell>
          <cell r="H212">
            <v>45000</v>
          </cell>
          <cell r="I212">
            <v>0</v>
          </cell>
          <cell r="J212">
            <v>40000</v>
          </cell>
          <cell r="K212">
            <v>0</v>
          </cell>
          <cell r="L212">
            <v>40000</v>
          </cell>
          <cell r="M212">
            <v>45000</v>
          </cell>
          <cell r="N212">
            <v>45000</v>
          </cell>
          <cell r="O212">
            <v>45000</v>
          </cell>
          <cell r="P212">
            <v>5000</v>
          </cell>
          <cell r="Q212">
            <v>5000</v>
          </cell>
          <cell r="R212">
            <v>5000</v>
          </cell>
          <cell r="S212">
            <v>5000</v>
          </cell>
          <cell r="T212">
            <v>5000</v>
          </cell>
          <cell r="U212">
            <v>5000</v>
          </cell>
          <cell r="V212">
            <v>5000</v>
          </cell>
          <cell r="W212">
            <v>5000</v>
          </cell>
        </row>
        <row r="213">
          <cell r="C213" t="str">
            <v>045100-160W-2F</v>
          </cell>
          <cell r="D213">
            <v>1</v>
          </cell>
          <cell r="E213">
            <v>0</v>
          </cell>
          <cell r="F213">
            <v>0</v>
          </cell>
          <cell r="G213">
            <v>35000</v>
          </cell>
          <cell r="H213">
            <v>35000</v>
          </cell>
          <cell r="I213">
            <v>15000</v>
          </cell>
          <cell r="J213">
            <v>15000</v>
          </cell>
          <cell r="K213">
            <v>0</v>
          </cell>
          <cell r="L213">
            <v>30000</v>
          </cell>
          <cell r="M213">
            <v>35000</v>
          </cell>
          <cell r="N213">
            <v>35000</v>
          </cell>
          <cell r="O213">
            <v>20000</v>
          </cell>
          <cell r="P213">
            <v>20000</v>
          </cell>
          <cell r="Q213">
            <v>20000</v>
          </cell>
          <cell r="R213">
            <v>20000</v>
          </cell>
          <cell r="S213">
            <v>5000</v>
          </cell>
          <cell r="T213">
            <v>5000</v>
          </cell>
          <cell r="U213">
            <v>5000</v>
          </cell>
          <cell r="V213">
            <v>5000</v>
          </cell>
          <cell r="W213">
            <v>5000</v>
          </cell>
        </row>
        <row r="214">
          <cell r="C214" t="str">
            <v>080400-HM7H-4</v>
          </cell>
          <cell r="D214">
            <v>1</v>
          </cell>
          <cell r="E214">
            <v>0</v>
          </cell>
          <cell r="F214">
            <v>0</v>
          </cell>
          <cell r="G214">
            <v>6450</v>
          </cell>
          <cell r="H214">
            <v>6450</v>
          </cell>
          <cell r="I214">
            <v>300</v>
          </cell>
          <cell r="J214">
            <v>450</v>
          </cell>
          <cell r="K214">
            <v>450</v>
          </cell>
          <cell r="L214">
            <v>1200</v>
          </cell>
          <cell r="M214">
            <v>6150</v>
          </cell>
          <cell r="N214">
            <v>6150</v>
          </cell>
          <cell r="O214">
            <v>6150</v>
          </cell>
          <cell r="P214">
            <v>5700</v>
          </cell>
          <cell r="Q214">
            <v>5700</v>
          </cell>
          <cell r="R214">
            <v>5700</v>
          </cell>
          <cell r="S214">
            <v>5700</v>
          </cell>
          <cell r="T214">
            <v>5250</v>
          </cell>
          <cell r="U214">
            <v>5250</v>
          </cell>
          <cell r="V214">
            <v>5250</v>
          </cell>
          <cell r="W214">
            <v>5250</v>
          </cell>
        </row>
        <row r="215">
          <cell r="C215" t="str">
            <v>040080-T56R-BT</v>
          </cell>
          <cell r="D215">
            <v>1</v>
          </cell>
          <cell r="E215">
            <v>0</v>
          </cell>
          <cell r="F215">
            <v>0</v>
          </cell>
          <cell r="G215">
            <v>5340</v>
          </cell>
          <cell r="H215">
            <v>5340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5340</v>
          </cell>
          <cell r="N215">
            <v>5340</v>
          </cell>
          <cell r="O215">
            <v>5340</v>
          </cell>
          <cell r="P215">
            <v>5340</v>
          </cell>
          <cell r="Q215">
            <v>5340</v>
          </cell>
          <cell r="R215">
            <v>5340</v>
          </cell>
          <cell r="S215">
            <v>5340</v>
          </cell>
          <cell r="T215">
            <v>5340</v>
          </cell>
          <cell r="U215">
            <v>5340</v>
          </cell>
          <cell r="V215">
            <v>5340</v>
          </cell>
          <cell r="W215">
            <v>5340</v>
          </cell>
        </row>
        <row r="216">
          <cell r="C216" t="str">
            <v>SET-002</v>
          </cell>
          <cell r="D216">
            <v>1</v>
          </cell>
          <cell r="E216">
            <v>0</v>
          </cell>
          <cell r="F216">
            <v>0</v>
          </cell>
          <cell r="G216">
            <v>5800</v>
          </cell>
          <cell r="H216">
            <v>5800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5800</v>
          </cell>
          <cell r="N216">
            <v>5800</v>
          </cell>
          <cell r="O216">
            <v>5800</v>
          </cell>
          <cell r="P216">
            <v>5800</v>
          </cell>
          <cell r="Q216">
            <v>5800</v>
          </cell>
          <cell r="R216">
            <v>5800</v>
          </cell>
          <cell r="S216">
            <v>5800</v>
          </cell>
          <cell r="T216">
            <v>5800</v>
          </cell>
          <cell r="U216">
            <v>5800</v>
          </cell>
          <cell r="V216">
            <v>5800</v>
          </cell>
          <cell r="W216">
            <v>5800</v>
          </cell>
        </row>
        <row r="217">
          <cell r="C217" t="str">
            <v>040220-P51W-3</v>
          </cell>
          <cell r="D217">
            <v>1</v>
          </cell>
          <cell r="E217">
            <v>0</v>
          </cell>
          <cell r="F217">
            <v>0</v>
          </cell>
          <cell r="G217">
            <v>5978</v>
          </cell>
          <cell r="H217">
            <v>5978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5978</v>
          </cell>
          <cell r="N217">
            <v>5978</v>
          </cell>
          <cell r="O217">
            <v>5978</v>
          </cell>
          <cell r="P217">
            <v>5978</v>
          </cell>
          <cell r="Q217">
            <v>5978</v>
          </cell>
          <cell r="R217">
            <v>5978</v>
          </cell>
          <cell r="S217">
            <v>5978</v>
          </cell>
          <cell r="T217">
            <v>5978</v>
          </cell>
          <cell r="U217">
            <v>5978</v>
          </cell>
          <cell r="V217">
            <v>5978</v>
          </cell>
          <cell r="W217">
            <v>5978</v>
          </cell>
        </row>
        <row r="218">
          <cell r="C218" t="str">
            <v>080130-ZM6R-D</v>
          </cell>
          <cell r="D218">
            <v>1</v>
          </cell>
          <cell r="E218">
            <v>52000</v>
          </cell>
          <cell r="F218">
            <v>20000</v>
          </cell>
          <cell r="G218">
            <v>0</v>
          </cell>
          <cell r="H218">
            <v>20000</v>
          </cell>
          <cell r="I218">
            <v>0</v>
          </cell>
          <cell r="J218">
            <v>14000</v>
          </cell>
          <cell r="K218">
            <v>0</v>
          </cell>
          <cell r="L218">
            <v>14000</v>
          </cell>
          <cell r="M218">
            <v>20000</v>
          </cell>
          <cell r="N218">
            <v>20000</v>
          </cell>
          <cell r="O218">
            <v>20000</v>
          </cell>
          <cell r="P218">
            <v>6000</v>
          </cell>
          <cell r="Q218">
            <v>6000</v>
          </cell>
          <cell r="R218">
            <v>6000</v>
          </cell>
          <cell r="S218">
            <v>6000</v>
          </cell>
          <cell r="T218">
            <v>6000</v>
          </cell>
          <cell r="U218">
            <v>6000</v>
          </cell>
          <cell r="V218">
            <v>6000</v>
          </cell>
          <cell r="W218">
            <v>6000</v>
          </cell>
        </row>
        <row r="219">
          <cell r="C219" t="str">
            <v>030140-P51N-4</v>
          </cell>
          <cell r="D219">
            <v>1</v>
          </cell>
          <cell r="E219">
            <v>0</v>
          </cell>
          <cell r="F219">
            <v>0</v>
          </cell>
          <cell r="G219">
            <v>16000</v>
          </cell>
          <cell r="H219">
            <v>16000</v>
          </cell>
          <cell r="I219">
            <v>0</v>
          </cell>
          <cell r="J219">
            <v>0</v>
          </cell>
          <cell r="K219">
            <v>10000</v>
          </cell>
          <cell r="L219">
            <v>10000</v>
          </cell>
          <cell r="M219">
            <v>16000</v>
          </cell>
          <cell r="N219">
            <v>16000</v>
          </cell>
          <cell r="O219">
            <v>16000</v>
          </cell>
          <cell r="P219">
            <v>16000</v>
          </cell>
          <cell r="Q219">
            <v>16000</v>
          </cell>
          <cell r="R219">
            <v>16000</v>
          </cell>
          <cell r="S219">
            <v>16000</v>
          </cell>
          <cell r="T219">
            <v>6000</v>
          </cell>
          <cell r="U219">
            <v>6000</v>
          </cell>
          <cell r="V219">
            <v>6000</v>
          </cell>
          <cell r="W219">
            <v>6000</v>
          </cell>
        </row>
        <row r="220">
          <cell r="C220" t="str">
            <v>050250-P56H</v>
          </cell>
          <cell r="D220">
            <v>1</v>
          </cell>
          <cell r="E220">
            <v>0</v>
          </cell>
          <cell r="F220">
            <v>0</v>
          </cell>
          <cell r="G220">
            <v>6000</v>
          </cell>
          <cell r="H220">
            <v>6000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6000</v>
          </cell>
          <cell r="N220">
            <v>6000</v>
          </cell>
          <cell r="O220">
            <v>6000</v>
          </cell>
          <cell r="P220">
            <v>6000</v>
          </cell>
          <cell r="Q220">
            <v>6000</v>
          </cell>
          <cell r="R220">
            <v>6000</v>
          </cell>
          <cell r="S220">
            <v>6000</v>
          </cell>
          <cell r="T220">
            <v>6000</v>
          </cell>
          <cell r="U220">
            <v>6000</v>
          </cell>
          <cell r="V220">
            <v>6000</v>
          </cell>
          <cell r="W220">
            <v>6000</v>
          </cell>
        </row>
        <row r="221">
          <cell r="C221" t="str">
            <v>030080-P65G</v>
          </cell>
          <cell r="D221">
            <v>1</v>
          </cell>
          <cell r="E221">
            <v>0</v>
          </cell>
          <cell r="F221">
            <v>0</v>
          </cell>
          <cell r="G221">
            <v>6000</v>
          </cell>
          <cell r="H221">
            <v>6000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6000</v>
          </cell>
          <cell r="N221">
            <v>6000</v>
          </cell>
          <cell r="O221">
            <v>6000</v>
          </cell>
          <cell r="P221">
            <v>6000</v>
          </cell>
          <cell r="Q221">
            <v>6000</v>
          </cell>
          <cell r="R221">
            <v>6000</v>
          </cell>
          <cell r="S221">
            <v>6000</v>
          </cell>
          <cell r="T221">
            <v>6000</v>
          </cell>
          <cell r="U221">
            <v>6000</v>
          </cell>
          <cell r="V221">
            <v>6000</v>
          </cell>
          <cell r="W221">
            <v>6000</v>
          </cell>
        </row>
        <row r="222">
          <cell r="C222" t="str">
            <v>040150-BC2W</v>
          </cell>
          <cell r="D222">
            <v>1</v>
          </cell>
          <cell r="E222">
            <v>0</v>
          </cell>
          <cell r="F222">
            <v>0</v>
          </cell>
          <cell r="G222">
            <v>27000</v>
          </cell>
          <cell r="H222">
            <v>27000</v>
          </cell>
          <cell r="I222">
            <v>0</v>
          </cell>
          <cell r="J222">
            <v>0</v>
          </cell>
          <cell r="K222">
            <v>20000</v>
          </cell>
          <cell r="L222">
            <v>20000</v>
          </cell>
          <cell r="M222">
            <v>27000</v>
          </cell>
          <cell r="N222">
            <v>27000</v>
          </cell>
          <cell r="O222">
            <v>27000</v>
          </cell>
          <cell r="P222">
            <v>27000</v>
          </cell>
          <cell r="Q222">
            <v>27000</v>
          </cell>
          <cell r="R222">
            <v>27000</v>
          </cell>
          <cell r="S222">
            <v>27000</v>
          </cell>
          <cell r="T222">
            <v>7000</v>
          </cell>
          <cell r="U222">
            <v>7000</v>
          </cell>
          <cell r="V222">
            <v>7000</v>
          </cell>
          <cell r="W222">
            <v>7000</v>
          </cell>
        </row>
        <row r="223">
          <cell r="C223" t="str">
            <v>030040-P51N</v>
          </cell>
          <cell r="D223">
            <v>1</v>
          </cell>
          <cell r="E223">
            <v>0</v>
          </cell>
          <cell r="F223">
            <v>0</v>
          </cell>
          <cell r="G223">
            <v>17000</v>
          </cell>
          <cell r="H223">
            <v>17000</v>
          </cell>
          <cell r="I223">
            <v>0</v>
          </cell>
          <cell r="J223">
            <v>0</v>
          </cell>
          <cell r="K223">
            <v>10000</v>
          </cell>
          <cell r="L223">
            <v>10000</v>
          </cell>
          <cell r="M223">
            <v>17000</v>
          </cell>
          <cell r="N223">
            <v>17000</v>
          </cell>
          <cell r="O223">
            <v>17000</v>
          </cell>
          <cell r="P223">
            <v>17000</v>
          </cell>
          <cell r="Q223">
            <v>17000</v>
          </cell>
          <cell r="R223">
            <v>17000</v>
          </cell>
          <cell r="S223">
            <v>17000</v>
          </cell>
          <cell r="T223">
            <v>7000</v>
          </cell>
          <cell r="U223">
            <v>7000</v>
          </cell>
          <cell r="V223">
            <v>7000</v>
          </cell>
          <cell r="W223">
            <v>7000</v>
          </cell>
        </row>
        <row r="224">
          <cell r="C224" t="str">
            <v>060080-TM6H</v>
          </cell>
          <cell r="D224">
            <v>1</v>
          </cell>
          <cell r="E224">
            <v>0</v>
          </cell>
          <cell r="F224">
            <v>0</v>
          </cell>
          <cell r="G224">
            <v>7000</v>
          </cell>
          <cell r="H224">
            <v>7000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7000</v>
          </cell>
          <cell r="N224">
            <v>7000</v>
          </cell>
          <cell r="O224">
            <v>7000</v>
          </cell>
          <cell r="P224">
            <v>7000</v>
          </cell>
          <cell r="Q224">
            <v>7000</v>
          </cell>
          <cell r="R224">
            <v>7000</v>
          </cell>
          <cell r="S224">
            <v>7000</v>
          </cell>
          <cell r="T224">
            <v>7000</v>
          </cell>
          <cell r="U224">
            <v>7000</v>
          </cell>
          <cell r="V224">
            <v>7000</v>
          </cell>
          <cell r="W224">
            <v>7000</v>
          </cell>
        </row>
        <row r="225">
          <cell r="C225" t="str">
            <v>030060-PB2W</v>
          </cell>
          <cell r="D225">
            <v>4</v>
          </cell>
          <cell r="E225">
            <v>500000</v>
          </cell>
          <cell r="F225">
            <v>0</v>
          </cell>
          <cell r="G225">
            <v>210000</v>
          </cell>
          <cell r="H225">
            <v>210000</v>
          </cell>
          <cell r="I225">
            <v>0</v>
          </cell>
          <cell r="J225">
            <v>187040</v>
          </cell>
          <cell r="K225">
            <v>15468</v>
          </cell>
          <cell r="L225">
            <v>202508</v>
          </cell>
          <cell r="M225">
            <v>210000</v>
          </cell>
          <cell r="N225">
            <v>210000</v>
          </cell>
          <cell r="O225">
            <v>210000</v>
          </cell>
          <cell r="P225">
            <v>25000</v>
          </cell>
          <cell r="Q225">
            <v>25000</v>
          </cell>
          <cell r="R225">
            <v>25000</v>
          </cell>
          <cell r="S225">
            <v>22960</v>
          </cell>
          <cell r="T225">
            <v>7492</v>
          </cell>
          <cell r="U225">
            <v>7492</v>
          </cell>
          <cell r="V225">
            <v>7492</v>
          </cell>
          <cell r="W225">
            <v>7492</v>
          </cell>
        </row>
        <row r="226">
          <cell r="C226" t="str">
            <v>040080-P61W</v>
          </cell>
          <cell r="D226">
            <v>1</v>
          </cell>
          <cell r="E226">
            <v>0</v>
          </cell>
          <cell r="F226">
            <v>0</v>
          </cell>
          <cell r="G226">
            <v>8000</v>
          </cell>
          <cell r="H226">
            <v>8000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8000</v>
          </cell>
          <cell r="N226">
            <v>8000</v>
          </cell>
          <cell r="O226">
            <v>8000</v>
          </cell>
          <cell r="P226">
            <v>8000</v>
          </cell>
          <cell r="Q226">
            <v>8000</v>
          </cell>
          <cell r="R226">
            <v>8000</v>
          </cell>
          <cell r="S226">
            <v>8000</v>
          </cell>
          <cell r="T226">
            <v>8000</v>
          </cell>
          <cell r="U226">
            <v>8000</v>
          </cell>
          <cell r="V226">
            <v>8000</v>
          </cell>
          <cell r="W226">
            <v>8000</v>
          </cell>
        </row>
        <row r="227">
          <cell r="C227" t="str">
            <v>040160-T12W-2</v>
          </cell>
          <cell r="D227">
            <v>1</v>
          </cell>
          <cell r="E227">
            <v>0</v>
          </cell>
          <cell r="F227">
            <v>0</v>
          </cell>
          <cell r="G227">
            <v>8000</v>
          </cell>
          <cell r="H227">
            <v>8000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8000</v>
          </cell>
          <cell r="N227">
            <v>8000</v>
          </cell>
          <cell r="O227">
            <v>8000</v>
          </cell>
          <cell r="P227">
            <v>8000</v>
          </cell>
          <cell r="Q227">
            <v>8000</v>
          </cell>
          <cell r="R227">
            <v>8000</v>
          </cell>
          <cell r="S227">
            <v>8000</v>
          </cell>
          <cell r="T227">
            <v>8000</v>
          </cell>
          <cell r="U227">
            <v>8000</v>
          </cell>
          <cell r="V227">
            <v>8000</v>
          </cell>
          <cell r="W227">
            <v>8000</v>
          </cell>
        </row>
        <row r="228">
          <cell r="C228" t="str">
            <v>040120-T16H-5</v>
          </cell>
          <cell r="D228">
            <v>1</v>
          </cell>
          <cell r="E228">
            <v>0</v>
          </cell>
          <cell r="F228">
            <v>0</v>
          </cell>
          <cell r="G228">
            <v>8000</v>
          </cell>
          <cell r="H228">
            <v>8000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8000</v>
          </cell>
          <cell r="N228">
            <v>8000</v>
          </cell>
          <cell r="O228">
            <v>8000</v>
          </cell>
          <cell r="P228">
            <v>8000</v>
          </cell>
          <cell r="Q228">
            <v>8000</v>
          </cell>
          <cell r="R228">
            <v>8000</v>
          </cell>
          <cell r="S228">
            <v>8000</v>
          </cell>
          <cell r="T228">
            <v>8000</v>
          </cell>
          <cell r="U228">
            <v>8000</v>
          </cell>
          <cell r="V228">
            <v>8000</v>
          </cell>
          <cell r="W228">
            <v>8000</v>
          </cell>
        </row>
        <row r="229">
          <cell r="C229" t="str">
            <v>040300-Z51W</v>
          </cell>
          <cell r="D229">
            <v>1</v>
          </cell>
          <cell r="E229">
            <v>0</v>
          </cell>
          <cell r="F229">
            <v>50000</v>
          </cell>
          <cell r="G229">
            <v>8000</v>
          </cell>
          <cell r="H229">
            <v>58000</v>
          </cell>
          <cell r="I229">
            <v>50000</v>
          </cell>
          <cell r="J229">
            <v>0</v>
          </cell>
          <cell r="K229">
            <v>0</v>
          </cell>
          <cell r="L229">
            <v>50000</v>
          </cell>
          <cell r="M229">
            <v>8000</v>
          </cell>
          <cell r="N229">
            <v>8000</v>
          </cell>
          <cell r="O229">
            <v>8000</v>
          </cell>
          <cell r="P229">
            <v>8000</v>
          </cell>
          <cell r="Q229">
            <v>8000</v>
          </cell>
          <cell r="R229">
            <v>8000</v>
          </cell>
          <cell r="S229">
            <v>8000</v>
          </cell>
          <cell r="T229">
            <v>8000</v>
          </cell>
          <cell r="U229">
            <v>8000</v>
          </cell>
          <cell r="V229">
            <v>8000</v>
          </cell>
          <cell r="W229">
            <v>8000</v>
          </cell>
        </row>
        <row r="230">
          <cell r="C230" t="str">
            <v>040080-B65G</v>
          </cell>
          <cell r="D230">
            <v>1</v>
          </cell>
          <cell r="E230">
            <v>0</v>
          </cell>
          <cell r="F230">
            <v>0</v>
          </cell>
          <cell r="G230">
            <v>8000</v>
          </cell>
          <cell r="H230">
            <v>8000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8000</v>
          </cell>
          <cell r="N230">
            <v>8000</v>
          </cell>
          <cell r="O230">
            <v>8000</v>
          </cell>
          <cell r="P230">
            <v>8000</v>
          </cell>
          <cell r="Q230">
            <v>8000</v>
          </cell>
          <cell r="R230">
            <v>8000</v>
          </cell>
          <cell r="S230">
            <v>8000</v>
          </cell>
          <cell r="T230">
            <v>8000</v>
          </cell>
          <cell r="U230">
            <v>8000</v>
          </cell>
          <cell r="V230">
            <v>8000</v>
          </cell>
          <cell r="W230">
            <v>8000</v>
          </cell>
        </row>
        <row r="231">
          <cell r="C231" t="str">
            <v>071600-F14W</v>
          </cell>
          <cell r="D231">
            <v>1</v>
          </cell>
          <cell r="E231">
            <v>0</v>
          </cell>
          <cell r="F231">
            <v>4000</v>
          </cell>
          <cell r="G231">
            <v>76400</v>
          </cell>
          <cell r="H231">
            <v>80400</v>
          </cell>
          <cell r="I231">
            <v>15201.33333333335</v>
          </cell>
          <cell r="J231">
            <v>28548</v>
          </cell>
          <cell r="K231">
            <v>28000</v>
          </cell>
          <cell r="L231">
            <v>71749.333333333343</v>
          </cell>
          <cell r="M231">
            <v>72799.333333333328</v>
          </cell>
          <cell r="N231">
            <v>65198.666666666657</v>
          </cell>
          <cell r="O231">
            <v>65198.666666666657</v>
          </cell>
          <cell r="P231">
            <v>58061.666666666657</v>
          </cell>
          <cell r="Q231">
            <v>50924.666666666657</v>
          </cell>
          <cell r="R231">
            <v>43787.666666666657</v>
          </cell>
          <cell r="S231">
            <v>36650.666666666657</v>
          </cell>
          <cell r="T231">
            <v>29650.666666666657</v>
          </cell>
          <cell r="U231">
            <v>22650.666666666657</v>
          </cell>
          <cell r="V231">
            <v>15650.666666666657</v>
          </cell>
          <cell r="W231">
            <v>8650.666666666657</v>
          </cell>
        </row>
        <row r="232">
          <cell r="C232" t="str">
            <v>050250-HM3W</v>
          </cell>
          <cell r="D232">
            <v>1</v>
          </cell>
          <cell r="E232">
            <v>0</v>
          </cell>
          <cell r="F232">
            <v>0</v>
          </cell>
          <cell r="G232">
            <v>9000</v>
          </cell>
          <cell r="H232">
            <v>9000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9000</v>
          </cell>
          <cell r="N232">
            <v>9000</v>
          </cell>
          <cell r="O232">
            <v>9000</v>
          </cell>
          <cell r="P232">
            <v>9000</v>
          </cell>
          <cell r="Q232">
            <v>9000</v>
          </cell>
          <cell r="R232">
            <v>9000</v>
          </cell>
          <cell r="S232">
            <v>9000</v>
          </cell>
          <cell r="T232">
            <v>9000</v>
          </cell>
          <cell r="U232">
            <v>9000</v>
          </cell>
          <cell r="V232">
            <v>9000</v>
          </cell>
          <cell r="W232">
            <v>9000</v>
          </cell>
        </row>
        <row r="233">
          <cell r="C233" t="str">
            <v>030120-J62G</v>
          </cell>
          <cell r="D233">
            <v>1</v>
          </cell>
          <cell r="E233">
            <v>0</v>
          </cell>
          <cell r="F233">
            <v>0</v>
          </cell>
          <cell r="G233">
            <v>70000</v>
          </cell>
          <cell r="H233">
            <v>70000</v>
          </cell>
          <cell r="I233">
            <v>18948</v>
          </cell>
          <cell r="J233">
            <v>19998</v>
          </cell>
          <cell r="K233">
            <v>21876</v>
          </cell>
          <cell r="L233">
            <v>60822</v>
          </cell>
          <cell r="M233">
            <v>70000</v>
          </cell>
          <cell r="N233">
            <v>51052</v>
          </cell>
          <cell r="O233">
            <v>51052</v>
          </cell>
          <cell r="P233">
            <v>51052</v>
          </cell>
          <cell r="Q233">
            <v>51052</v>
          </cell>
          <cell r="R233">
            <v>31054</v>
          </cell>
          <cell r="S233">
            <v>31054</v>
          </cell>
          <cell r="T233">
            <v>31054</v>
          </cell>
          <cell r="U233">
            <v>31054</v>
          </cell>
          <cell r="V233">
            <v>9178</v>
          </cell>
          <cell r="W233">
            <v>9178</v>
          </cell>
        </row>
        <row r="234">
          <cell r="C234" t="str">
            <v>040140-J12W-B</v>
          </cell>
          <cell r="D234">
            <v>1</v>
          </cell>
          <cell r="E234">
            <v>0</v>
          </cell>
          <cell r="F234">
            <v>0</v>
          </cell>
          <cell r="G234">
            <v>98000</v>
          </cell>
          <cell r="H234">
            <v>98000</v>
          </cell>
          <cell r="I234">
            <v>22707</v>
          </cell>
          <cell r="J234">
            <v>45523</v>
          </cell>
          <cell r="K234">
            <v>20415</v>
          </cell>
          <cell r="L234">
            <v>88645</v>
          </cell>
          <cell r="M234">
            <v>89067</v>
          </cell>
          <cell r="N234">
            <v>78867</v>
          </cell>
          <cell r="O234">
            <v>75293</v>
          </cell>
          <cell r="P234">
            <v>60604</v>
          </cell>
          <cell r="Q234">
            <v>51835</v>
          </cell>
          <cell r="R234">
            <v>43190</v>
          </cell>
          <cell r="S234">
            <v>29770</v>
          </cell>
          <cell r="T234">
            <v>16353</v>
          </cell>
          <cell r="U234">
            <v>9355</v>
          </cell>
          <cell r="V234">
            <v>9355</v>
          </cell>
          <cell r="W234">
            <v>9355</v>
          </cell>
        </row>
        <row r="235">
          <cell r="C235" t="str">
            <v>202338-518W-3F</v>
          </cell>
          <cell r="D235">
            <v>1</v>
          </cell>
          <cell r="E235">
            <v>0</v>
          </cell>
          <cell r="F235">
            <v>0</v>
          </cell>
          <cell r="G235">
            <v>10200</v>
          </cell>
          <cell r="H235">
            <v>10200</v>
          </cell>
          <cell r="I235">
            <v>0</v>
          </cell>
          <cell r="J235">
            <v>0</v>
          </cell>
          <cell r="K235">
            <v>600</v>
          </cell>
          <cell r="L235">
            <v>600</v>
          </cell>
          <cell r="M235">
            <v>10200</v>
          </cell>
          <cell r="N235">
            <v>10200</v>
          </cell>
          <cell r="O235">
            <v>10200</v>
          </cell>
          <cell r="P235">
            <v>10200</v>
          </cell>
          <cell r="Q235">
            <v>10200</v>
          </cell>
          <cell r="R235">
            <v>10200</v>
          </cell>
          <cell r="S235">
            <v>10200</v>
          </cell>
          <cell r="T235">
            <v>9600</v>
          </cell>
          <cell r="U235">
            <v>9600</v>
          </cell>
          <cell r="V235">
            <v>9600</v>
          </cell>
          <cell r="W235">
            <v>9600</v>
          </cell>
        </row>
        <row r="236">
          <cell r="C236" t="str">
            <v>081570-F62W-P</v>
          </cell>
          <cell r="D236">
            <v>1</v>
          </cell>
          <cell r="E236">
            <v>0</v>
          </cell>
          <cell r="F236">
            <v>0</v>
          </cell>
          <cell r="G236">
            <v>9600</v>
          </cell>
          <cell r="H236">
            <v>9600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9600</v>
          </cell>
          <cell r="N236">
            <v>9600</v>
          </cell>
          <cell r="O236">
            <v>9600</v>
          </cell>
          <cell r="P236">
            <v>9600</v>
          </cell>
          <cell r="Q236">
            <v>9600</v>
          </cell>
          <cell r="R236">
            <v>9600</v>
          </cell>
          <cell r="S236">
            <v>9600</v>
          </cell>
          <cell r="T236">
            <v>9600</v>
          </cell>
          <cell r="U236">
            <v>9600</v>
          </cell>
          <cell r="V236">
            <v>9600</v>
          </cell>
          <cell r="W236">
            <v>9600</v>
          </cell>
        </row>
        <row r="237">
          <cell r="C237" t="str">
            <v>030100-P51N-4</v>
          </cell>
          <cell r="D237">
            <v>1</v>
          </cell>
          <cell r="E237">
            <v>0</v>
          </cell>
          <cell r="F237">
            <v>0</v>
          </cell>
          <cell r="G237">
            <v>20000</v>
          </cell>
          <cell r="H237">
            <v>20000</v>
          </cell>
          <cell r="I237">
            <v>0</v>
          </cell>
          <cell r="J237">
            <v>0</v>
          </cell>
          <cell r="K237">
            <v>10000</v>
          </cell>
          <cell r="L237">
            <v>10000</v>
          </cell>
          <cell r="M237">
            <v>20000</v>
          </cell>
          <cell r="N237">
            <v>20000</v>
          </cell>
          <cell r="O237">
            <v>20000</v>
          </cell>
          <cell r="P237">
            <v>20000</v>
          </cell>
          <cell r="Q237">
            <v>20000</v>
          </cell>
          <cell r="R237">
            <v>20000</v>
          </cell>
          <cell r="S237">
            <v>20000</v>
          </cell>
          <cell r="T237">
            <v>10000</v>
          </cell>
          <cell r="U237">
            <v>10000</v>
          </cell>
          <cell r="V237">
            <v>10000</v>
          </cell>
          <cell r="W237">
            <v>10000</v>
          </cell>
        </row>
        <row r="238">
          <cell r="C238" t="str">
            <v>030060-J51N</v>
          </cell>
          <cell r="D238">
            <v>1</v>
          </cell>
          <cell r="E238">
            <v>0</v>
          </cell>
          <cell r="F238">
            <v>0</v>
          </cell>
          <cell r="G238">
            <v>10000</v>
          </cell>
          <cell r="H238">
            <v>10000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10000</v>
          </cell>
          <cell r="N238">
            <v>10000</v>
          </cell>
          <cell r="O238">
            <v>10000</v>
          </cell>
          <cell r="P238">
            <v>10000</v>
          </cell>
          <cell r="Q238">
            <v>10000</v>
          </cell>
          <cell r="R238">
            <v>10000</v>
          </cell>
          <cell r="S238">
            <v>10000</v>
          </cell>
          <cell r="T238">
            <v>10000</v>
          </cell>
          <cell r="U238">
            <v>10000</v>
          </cell>
          <cell r="V238">
            <v>10000</v>
          </cell>
          <cell r="W238">
            <v>10000</v>
          </cell>
        </row>
        <row r="239">
          <cell r="C239" t="str">
            <v>030270-T62W-AD</v>
          </cell>
          <cell r="D239">
            <v>1</v>
          </cell>
          <cell r="E239">
            <v>0</v>
          </cell>
          <cell r="F239">
            <v>0</v>
          </cell>
          <cell r="G239">
            <v>10000</v>
          </cell>
          <cell r="H239">
            <v>10000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10000</v>
          </cell>
          <cell r="N239">
            <v>10000</v>
          </cell>
          <cell r="O239">
            <v>10000</v>
          </cell>
          <cell r="P239">
            <v>10000</v>
          </cell>
          <cell r="Q239">
            <v>10000</v>
          </cell>
          <cell r="R239">
            <v>10000</v>
          </cell>
          <cell r="S239">
            <v>10000</v>
          </cell>
          <cell r="T239">
            <v>10000</v>
          </cell>
          <cell r="U239">
            <v>10000</v>
          </cell>
          <cell r="V239">
            <v>10000</v>
          </cell>
          <cell r="W239">
            <v>10000</v>
          </cell>
        </row>
        <row r="240">
          <cell r="C240" t="str">
            <v>030030-Z54B-H</v>
          </cell>
          <cell r="D240">
            <v>1</v>
          </cell>
          <cell r="E240">
            <v>0</v>
          </cell>
          <cell r="F240">
            <v>0</v>
          </cell>
          <cell r="G240">
            <v>10000</v>
          </cell>
          <cell r="H240">
            <v>10000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10000</v>
          </cell>
          <cell r="N240">
            <v>10000</v>
          </cell>
          <cell r="O240">
            <v>10000</v>
          </cell>
          <cell r="P240">
            <v>10000</v>
          </cell>
          <cell r="Q240">
            <v>10000</v>
          </cell>
          <cell r="R240">
            <v>10000</v>
          </cell>
          <cell r="S240">
            <v>10000</v>
          </cell>
          <cell r="T240">
            <v>10000</v>
          </cell>
          <cell r="U240">
            <v>10000</v>
          </cell>
          <cell r="V240">
            <v>10000</v>
          </cell>
          <cell r="W240">
            <v>10000</v>
          </cell>
        </row>
        <row r="241">
          <cell r="C241" t="str">
            <v>050120-C62W</v>
          </cell>
          <cell r="D241">
            <v>1</v>
          </cell>
          <cell r="E241">
            <v>200000</v>
          </cell>
          <cell r="F241">
            <v>0</v>
          </cell>
          <cell r="G241">
            <v>61500</v>
          </cell>
          <cell r="H241">
            <v>61500</v>
          </cell>
          <cell r="I241">
            <v>0</v>
          </cell>
          <cell r="J241">
            <v>50000</v>
          </cell>
          <cell r="K241">
            <v>0</v>
          </cell>
          <cell r="L241">
            <v>50000</v>
          </cell>
          <cell r="M241">
            <v>61500</v>
          </cell>
          <cell r="N241">
            <v>61500</v>
          </cell>
          <cell r="O241">
            <v>61500</v>
          </cell>
          <cell r="P241">
            <v>11500</v>
          </cell>
          <cell r="Q241">
            <v>11500</v>
          </cell>
          <cell r="R241">
            <v>11500</v>
          </cell>
          <cell r="S241">
            <v>11500</v>
          </cell>
          <cell r="T241">
            <v>11500</v>
          </cell>
          <cell r="U241">
            <v>11500</v>
          </cell>
          <cell r="V241">
            <v>11500</v>
          </cell>
          <cell r="W241">
            <v>11500</v>
          </cell>
        </row>
        <row r="242">
          <cell r="C242" t="str">
            <v>040050-T5EW-S</v>
          </cell>
          <cell r="D242">
            <v>1</v>
          </cell>
          <cell r="E242">
            <v>0</v>
          </cell>
          <cell r="F242">
            <v>0</v>
          </cell>
          <cell r="G242">
            <v>92000</v>
          </cell>
          <cell r="H242">
            <v>92000</v>
          </cell>
          <cell r="I242">
            <v>48052</v>
          </cell>
          <cell r="J242">
            <v>0</v>
          </cell>
          <cell r="K242">
            <v>31920</v>
          </cell>
          <cell r="L242">
            <v>79972</v>
          </cell>
          <cell r="M242">
            <v>72000</v>
          </cell>
          <cell r="N242">
            <v>72000</v>
          </cell>
          <cell r="O242">
            <v>43948</v>
          </cell>
          <cell r="P242">
            <v>43948</v>
          </cell>
          <cell r="Q242">
            <v>43948</v>
          </cell>
          <cell r="R242">
            <v>43948</v>
          </cell>
          <cell r="S242">
            <v>43948</v>
          </cell>
          <cell r="T242">
            <v>12028</v>
          </cell>
          <cell r="U242">
            <v>12028</v>
          </cell>
          <cell r="V242">
            <v>12028</v>
          </cell>
          <cell r="W242">
            <v>12028</v>
          </cell>
        </row>
        <row r="243">
          <cell r="C243" t="str">
            <v>040120-J42B</v>
          </cell>
          <cell r="D243">
            <v>1</v>
          </cell>
          <cell r="E243">
            <v>0</v>
          </cell>
          <cell r="F243">
            <v>50000</v>
          </cell>
          <cell r="G243">
            <v>44000</v>
          </cell>
          <cell r="H243">
            <v>94000</v>
          </cell>
          <cell r="I243">
            <v>51151</v>
          </cell>
          <cell r="J243">
            <v>0</v>
          </cell>
          <cell r="K243">
            <v>30016</v>
          </cell>
          <cell r="L243">
            <v>81167</v>
          </cell>
          <cell r="M243">
            <v>84000</v>
          </cell>
          <cell r="N243">
            <v>84000</v>
          </cell>
          <cell r="O243">
            <v>42849</v>
          </cell>
          <cell r="P243">
            <v>42849</v>
          </cell>
          <cell r="Q243">
            <v>42849</v>
          </cell>
          <cell r="R243">
            <v>42849</v>
          </cell>
          <cell r="S243">
            <v>42849</v>
          </cell>
          <cell r="T243">
            <v>12833</v>
          </cell>
          <cell r="U243">
            <v>12833</v>
          </cell>
          <cell r="V243">
            <v>12833</v>
          </cell>
          <cell r="W243">
            <v>12833</v>
          </cell>
        </row>
        <row r="244">
          <cell r="C244" t="str">
            <v>055130-250W-2F</v>
          </cell>
          <cell r="D244">
            <v>1</v>
          </cell>
          <cell r="E244">
            <v>0</v>
          </cell>
          <cell r="F244">
            <v>0</v>
          </cell>
          <cell r="G244">
            <v>13000</v>
          </cell>
          <cell r="H244">
            <v>13000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13000</v>
          </cell>
          <cell r="N244">
            <v>13000</v>
          </cell>
          <cell r="O244">
            <v>13000</v>
          </cell>
          <cell r="P244">
            <v>13000</v>
          </cell>
          <cell r="Q244">
            <v>13000</v>
          </cell>
          <cell r="R244">
            <v>13000</v>
          </cell>
          <cell r="S244">
            <v>13000</v>
          </cell>
          <cell r="T244">
            <v>13000</v>
          </cell>
          <cell r="U244">
            <v>13000</v>
          </cell>
          <cell r="V244">
            <v>13000</v>
          </cell>
          <cell r="W244">
            <v>13000</v>
          </cell>
        </row>
        <row r="245">
          <cell r="C245" t="str">
            <v>050150-P56H</v>
          </cell>
          <cell r="D245">
            <v>1</v>
          </cell>
          <cell r="E245">
            <v>0</v>
          </cell>
          <cell r="F245">
            <v>0</v>
          </cell>
          <cell r="G245">
            <v>13000</v>
          </cell>
          <cell r="H245">
            <v>13000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13000</v>
          </cell>
          <cell r="N245">
            <v>13000</v>
          </cell>
          <cell r="O245">
            <v>13000</v>
          </cell>
          <cell r="P245">
            <v>13000</v>
          </cell>
          <cell r="Q245">
            <v>13000</v>
          </cell>
          <cell r="R245">
            <v>13000</v>
          </cell>
          <cell r="S245">
            <v>13000</v>
          </cell>
          <cell r="T245">
            <v>13000</v>
          </cell>
          <cell r="U245">
            <v>13000</v>
          </cell>
          <cell r="V245">
            <v>13000</v>
          </cell>
          <cell r="W245">
            <v>13000</v>
          </cell>
        </row>
        <row r="246">
          <cell r="C246" t="str">
            <v>040080-PC2W-1R</v>
          </cell>
          <cell r="D246">
            <v>1</v>
          </cell>
          <cell r="E246">
            <v>0</v>
          </cell>
          <cell r="F246">
            <v>0</v>
          </cell>
          <cell r="G246">
            <v>14000</v>
          </cell>
          <cell r="H246">
            <v>14000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14000</v>
          </cell>
          <cell r="N246">
            <v>14000</v>
          </cell>
          <cell r="O246">
            <v>14000</v>
          </cell>
          <cell r="P246">
            <v>14000</v>
          </cell>
          <cell r="Q246">
            <v>14000</v>
          </cell>
          <cell r="R246">
            <v>14000</v>
          </cell>
          <cell r="S246">
            <v>14000</v>
          </cell>
          <cell r="T246">
            <v>14000</v>
          </cell>
          <cell r="U246">
            <v>14000</v>
          </cell>
          <cell r="V246">
            <v>14000</v>
          </cell>
          <cell r="W246">
            <v>14000</v>
          </cell>
        </row>
        <row r="247">
          <cell r="C247" t="str">
            <v>082154-206H-3F</v>
          </cell>
          <cell r="D247">
            <v>1</v>
          </cell>
          <cell r="E247">
            <v>0</v>
          </cell>
          <cell r="F247">
            <v>0</v>
          </cell>
          <cell r="G247">
            <v>32000</v>
          </cell>
          <cell r="H247">
            <v>32000</v>
          </cell>
          <cell r="I247">
            <v>6000</v>
          </cell>
          <cell r="J247">
            <v>6000</v>
          </cell>
          <cell r="K247">
            <v>6000</v>
          </cell>
          <cell r="L247">
            <v>18000</v>
          </cell>
          <cell r="M247">
            <v>26000</v>
          </cell>
          <cell r="N247">
            <v>26000</v>
          </cell>
          <cell r="O247">
            <v>26000</v>
          </cell>
          <cell r="P247">
            <v>20000</v>
          </cell>
          <cell r="Q247">
            <v>20000</v>
          </cell>
          <cell r="R247">
            <v>20000</v>
          </cell>
          <cell r="S247">
            <v>20000</v>
          </cell>
          <cell r="T247">
            <v>14000</v>
          </cell>
          <cell r="U247">
            <v>14000</v>
          </cell>
          <cell r="V247">
            <v>14000</v>
          </cell>
          <cell r="W247">
            <v>14000</v>
          </cell>
        </row>
        <row r="248">
          <cell r="C248" t="str">
            <v>065114-120W-2</v>
          </cell>
          <cell r="D248">
            <v>1</v>
          </cell>
          <cell r="E248">
            <v>0</v>
          </cell>
          <cell r="F248">
            <v>0</v>
          </cell>
          <cell r="G248">
            <v>14000</v>
          </cell>
          <cell r="H248">
            <v>14000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14000</v>
          </cell>
          <cell r="N248">
            <v>14000</v>
          </cell>
          <cell r="O248">
            <v>14000</v>
          </cell>
          <cell r="P248">
            <v>14000</v>
          </cell>
          <cell r="Q248">
            <v>14000</v>
          </cell>
          <cell r="R248">
            <v>14000</v>
          </cell>
          <cell r="S248">
            <v>14000</v>
          </cell>
          <cell r="T248">
            <v>14000</v>
          </cell>
          <cell r="U248">
            <v>14000</v>
          </cell>
          <cell r="V248">
            <v>14000</v>
          </cell>
          <cell r="W248">
            <v>14000</v>
          </cell>
        </row>
        <row r="249">
          <cell r="C249" t="str">
            <v>040100-J12W-BZ</v>
          </cell>
          <cell r="D249">
            <v>1</v>
          </cell>
          <cell r="E249">
            <v>0</v>
          </cell>
          <cell r="F249">
            <v>0</v>
          </cell>
          <cell r="G249">
            <v>28000</v>
          </cell>
          <cell r="H249">
            <v>28000</v>
          </cell>
          <cell r="I249">
            <v>4288</v>
          </cell>
          <cell r="J249">
            <v>7093</v>
          </cell>
          <cell r="K249">
            <v>2267</v>
          </cell>
          <cell r="L249">
            <v>13648</v>
          </cell>
          <cell r="M249">
            <v>26202</v>
          </cell>
          <cell r="N249">
            <v>24732</v>
          </cell>
          <cell r="O249">
            <v>23712</v>
          </cell>
          <cell r="P249">
            <v>22012</v>
          </cell>
          <cell r="Q249">
            <v>19461</v>
          </cell>
          <cell r="R249">
            <v>18314</v>
          </cell>
          <cell r="S249">
            <v>16619</v>
          </cell>
          <cell r="T249">
            <v>14352</v>
          </cell>
          <cell r="U249">
            <v>14352</v>
          </cell>
          <cell r="V249">
            <v>14352</v>
          </cell>
          <cell r="W249">
            <v>14352</v>
          </cell>
        </row>
        <row r="250">
          <cell r="C250" t="str">
            <v>U40500-UM1W-4A</v>
          </cell>
          <cell r="D250">
            <v>1</v>
          </cell>
          <cell r="E250">
            <v>0</v>
          </cell>
          <cell r="F250">
            <v>0</v>
          </cell>
          <cell r="G250">
            <v>31800</v>
          </cell>
          <cell r="H250">
            <v>31800</v>
          </cell>
          <cell r="I250">
            <v>0</v>
          </cell>
          <cell r="J250">
            <v>10050</v>
          </cell>
          <cell r="K250">
            <v>6750</v>
          </cell>
          <cell r="L250">
            <v>16800</v>
          </cell>
          <cell r="M250">
            <v>31800</v>
          </cell>
          <cell r="N250">
            <v>31800</v>
          </cell>
          <cell r="O250">
            <v>31800</v>
          </cell>
          <cell r="P250">
            <v>21750</v>
          </cell>
          <cell r="Q250">
            <v>21750</v>
          </cell>
          <cell r="R250">
            <v>21750</v>
          </cell>
          <cell r="S250">
            <v>21750</v>
          </cell>
          <cell r="T250">
            <v>15000</v>
          </cell>
          <cell r="U250">
            <v>15000</v>
          </cell>
          <cell r="V250">
            <v>15000</v>
          </cell>
          <cell r="W250">
            <v>15000</v>
          </cell>
        </row>
        <row r="251">
          <cell r="C251" t="str">
            <v>030100-P51W-4</v>
          </cell>
          <cell r="D251">
            <v>1</v>
          </cell>
          <cell r="E251">
            <v>0</v>
          </cell>
          <cell r="F251">
            <v>0</v>
          </cell>
          <cell r="G251">
            <v>45000</v>
          </cell>
          <cell r="H251">
            <v>45000</v>
          </cell>
          <cell r="I251">
            <v>0</v>
          </cell>
          <cell r="J251">
            <v>0</v>
          </cell>
          <cell r="K251">
            <v>30000</v>
          </cell>
          <cell r="L251">
            <v>30000</v>
          </cell>
          <cell r="M251">
            <v>45000</v>
          </cell>
          <cell r="N251">
            <v>45000</v>
          </cell>
          <cell r="O251">
            <v>45000</v>
          </cell>
          <cell r="P251">
            <v>45000</v>
          </cell>
          <cell r="Q251">
            <v>45000</v>
          </cell>
          <cell r="R251">
            <v>45000</v>
          </cell>
          <cell r="S251">
            <v>45000</v>
          </cell>
          <cell r="T251">
            <v>15000</v>
          </cell>
          <cell r="U251">
            <v>15000</v>
          </cell>
          <cell r="V251">
            <v>15000</v>
          </cell>
          <cell r="W251">
            <v>15000</v>
          </cell>
        </row>
        <row r="252">
          <cell r="C252" t="str">
            <v>030100-P51N-A</v>
          </cell>
          <cell r="D252">
            <v>1</v>
          </cell>
          <cell r="E252">
            <v>0</v>
          </cell>
          <cell r="F252">
            <v>0</v>
          </cell>
          <cell r="G252">
            <v>15000</v>
          </cell>
          <cell r="H252">
            <v>15000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15000</v>
          </cell>
          <cell r="N252">
            <v>15000</v>
          </cell>
          <cell r="O252">
            <v>15000</v>
          </cell>
          <cell r="P252">
            <v>15000</v>
          </cell>
          <cell r="Q252">
            <v>15000</v>
          </cell>
          <cell r="R252">
            <v>15000</v>
          </cell>
          <cell r="S252">
            <v>15000</v>
          </cell>
          <cell r="T252">
            <v>15000</v>
          </cell>
          <cell r="U252">
            <v>15000</v>
          </cell>
          <cell r="V252">
            <v>15000</v>
          </cell>
          <cell r="W252">
            <v>15000</v>
          </cell>
        </row>
        <row r="253">
          <cell r="C253" t="str">
            <v>030060-V22W</v>
          </cell>
          <cell r="D253">
            <v>1</v>
          </cell>
          <cell r="E253">
            <v>0</v>
          </cell>
          <cell r="F253">
            <v>0</v>
          </cell>
          <cell r="G253">
            <v>40000</v>
          </cell>
          <cell r="H253">
            <v>40000</v>
          </cell>
          <cell r="I253">
            <v>0</v>
          </cell>
          <cell r="J253">
            <v>15000</v>
          </cell>
          <cell r="K253">
            <v>10000</v>
          </cell>
          <cell r="L253">
            <v>25000</v>
          </cell>
          <cell r="M253">
            <v>40000</v>
          </cell>
          <cell r="N253">
            <v>40000</v>
          </cell>
          <cell r="O253">
            <v>40000</v>
          </cell>
          <cell r="P253">
            <v>40000</v>
          </cell>
          <cell r="Q253">
            <v>25000</v>
          </cell>
          <cell r="R253">
            <v>25000</v>
          </cell>
          <cell r="S253">
            <v>25000</v>
          </cell>
          <cell r="T253">
            <v>25000</v>
          </cell>
          <cell r="U253">
            <v>25000</v>
          </cell>
          <cell r="V253">
            <v>25000</v>
          </cell>
          <cell r="W253">
            <v>15000</v>
          </cell>
        </row>
        <row r="254">
          <cell r="C254" t="str">
            <v>040060-P51W-3</v>
          </cell>
          <cell r="D254">
            <v>1</v>
          </cell>
          <cell r="E254">
            <v>0</v>
          </cell>
          <cell r="F254">
            <v>0</v>
          </cell>
          <cell r="G254">
            <v>44000</v>
          </cell>
          <cell r="H254">
            <v>44000</v>
          </cell>
          <cell r="I254">
            <v>0</v>
          </cell>
          <cell r="J254">
            <v>16000</v>
          </cell>
          <cell r="K254">
            <v>10000</v>
          </cell>
          <cell r="L254">
            <v>26000</v>
          </cell>
          <cell r="M254">
            <v>44000</v>
          </cell>
          <cell r="N254">
            <v>44000</v>
          </cell>
          <cell r="O254">
            <v>44000</v>
          </cell>
          <cell r="P254">
            <v>28000</v>
          </cell>
          <cell r="Q254">
            <v>28000</v>
          </cell>
          <cell r="R254">
            <v>28000</v>
          </cell>
          <cell r="S254">
            <v>28000</v>
          </cell>
          <cell r="T254">
            <v>18000</v>
          </cell>
          <cell r="U254">
            <v>18000</v>
          </cell>
          <cell r="V254">
            <v>18000</v>
          </cell>
          <cell r="W254">
            <v>18000</v>
          </cell>
        </row>
        <row r="255">
          <cell r="C255" t="str">
            <v>050160-FM2W-P</v>
          </cell>
          <cell r="D255">
            <v>1</v>
          </cell>
          <cell r="E255">
            <v>0</v>
          </cell>
          <cell r="F255">
            <v>0</v>
          </cell>
          <cell r="G255">
            <v>38000</v>
          </cell>
          <cell r="H255">
            <v>38000</v>
          </cell>
          <cell r="I255">
            <v>0</v>
          </cell>
          <cell r="J255">
            <v>10000</v>
          </cell>
          <cell r="K255">
            <v>10000</v>
          </cell>
          <cell r="L255">
            <v>20000</v>
          </cell>
          <cell r="M255">
            <v>38000</v>
          </cell>
          <cell r="N255">
            <v>38000</v>
          </cell>
          <cell r="O255">
            <v>38000</v>
          </cell>
          <cell r="P255">
            <v>28000</v>
          </cell>
          <cell r="Q255">
            <v>28000</v>
          </cell>
          <cell r="R255">
            <v>28000</v>
          </cell>
          <cell r="S255">
            <v>28000</v>
          </cell>
          <cell r="T255">
            <v>18000</v>
          </cell>
          <cell r="U255">
            <v>18000</v>
          </cell>
          <cell r="V255">
            <v>18000</v>
          </cell>
          <cell r="W255">
            <v>18000</v>
          </cell>
        </row>
        <row r="256">
          <cell r="C256" t="str">
            <v>050160-H56H-4P</v>
          </cell>
          <cell r="D256">
            <v>1</v>
          </cell>
          <cell r="E256">
            <v>0</v>
          </cell>
          <cell r="F256">
            <v>0</v>
          </cell>
          <cell r="G256">
            <v>18000</v>
          </cell>
          <cell r="H256">
            <v>18000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18000</v>
          </cell>
          <cell r="N256">
            <v>18000</v>
          </cell>
          <cell r="O256">
            <v>18000</v>
          </cell>
          <cell r="P256">
            <v>18000</v>
          </cell>
          <cell r="Q256">
            <v>18000</v>
          </cell>
          <cell r="R256">
            <v>18000</v>
          </cell>
          <cell r="S256">
            <v>18000</v>
          </cell>
          <cell r="T256">
            <v>18000</v>
          </cell>
          <cell r="U256">
            <v>18000</v>
          </cell>
          <cell r="V256">
            <v>18000</v>
          </cell>
          <cell r="W256">
            <v>18000</v>
          </cell>
        </row>
        <row r="257">
          <cell r="C257" t="str">
            <v>050100-P57H-2</v>
          </cell>
          <cell r="D257">
            <v>1</v>
          </cell>
          <cell r="E257">
            <v>0</v>
          </cell>
          <cell r="F257">
            <v>0</v>
          </cell>
          <cell r="G257">
            <v>65000</v>
          </cell>
          <cell r="H257">
            <v>65000</v>
          </cell>
          <cell r="I257">
            <v>12000</v>
          </cell>
          <cell r="J257">
            <v>20000</v>
          </cell>
          <cell r="K257">
            <v>15000</v>
          </cell>
          <cell r="L257">
            <v>47000</v>
          </cell>
          <cell r="M257">
            <v>53000</v>
          </cell>
          <cell r="N257">
            <v>53000</v>
          </cell>
          <cell r="O257">
            <v>53000</v>
          </cell>
          <cell r="P257">
            <v>33000</v>
          </cell>
          <cell r="Q257">
            <v>33000</v>
          </cell>
          <cell r="R257">
            <v>33000</v>
          </cell>
          <cell r="S257">
            <v>33000</v>
          </cell>
          <cell r="T257">
            <v>18000</v>
          </cell>
          <cell r="U257">
            <v>18000</v>
          </cell>
          <cell r="V257">
            <v>18000</v>
          </cell>
          <cell r="W257">
            <v>18000</v>
          </cell>
        </row>
        <row r="258">
          <cell r="C258" t="str">
            <v>050160-T65H-B</v>
          </cell>
          <cell r="D258">
            <v>1</v>
          </cell>
          <cell r="E258">
            <v>0</v>
          </cell>
          <cell r="F258">
            <v>0</v>
          </cell>
          <cell r="G258">
            <v>19000</v>
          </cell>
          <cell r="H258">
            <v>19000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19000</v>
          </cell>
          <cell r="N258">
            <v>19000</v>
          </cell>
          <cell r="O258">
            <v>19000</v>
          </cell>
          <cell r="P258">
            <v>19000</v>
          </cell>
          <cell r="Q258">
            <v>19000</v>
          </cell>
          <cell r="R258">
            <v>19000</v>
          </cell>
          <cell r="S258">
            <v>19000</v>
          </cell>
          <cell r="T258">
            <v>19000</v>
          </cell>
          <cell r="U258">
            <v>19000</v>
          </cell>
          <cell r="V258">
            <v>19000</v>
          </cell>
          <cell r="W258">
            <v>19000</v>
          </cell>
        </row>
        <row r="259">
          <cell r="C259" t="str">
            <v>082154-208W-3F</v>
          </cell>
          <cell r="D259">
            <v>1</v>
          </cell>
          <cell r="E259">
            <v>0</v>
          </cell>
          <cell r="F259">
            <v>0</v>
          </cell>
          <cell r="G259">
            <v>62000</v>
          </cell>
          <cell r="H259">
            <v>62000</v>
          </cell>
          <cell r="I259">
            <v>8000</v>
          </cell>
          <cell r="J259">
            <v>20000</v>
          </cell>
          <cell r="K259">
            <v>15000</v>
          </cell>
          <cell r="L259">
            <v>43000</v>
          </cell>
          <cell r="M259">
            <v>54000</v>
          </cell>
          <cell r="N259">
            <v>54000</v>
          </cell>
          <cell r="O259">
            <v>54000</v>
          </cell>
          <cell r="P259">
            <v>34000</v>
          </cell>
          <cell r="Q259">
            <v>34000</v>
          </cell>
          <cell r="R259">
            <v>34000</v>
          </cell>
          <cell r="S259">
            <v>34000</v>
          </cell>
          <cell r="T259">
            <v>19000</v>
          </cell>
          <cell r="U259">
            <v>19000</v>
          </cell>
          <cell r="V259">
            <v>19000</v>
          </cell>
          <cell r="W259">
            <v>19000</v>
          </cell>
        </row>
        <row r="260">
          <cell r="C260" t="str">
            <v>045100-120W-2F</v>
          </cell>
          <cell r="D260">
            <v>1</v>
          </cell>
          <cell r="E260">
            <v>0</v>
          </cell>
          <cell r="F260">
            <v>0</v>
          </cell>
          <cell r="G260">
            <v>20000</v>
          </cell>
          <cell r="H260">
            <v>20000</v>
          </cell>
          <cell r="I260">
            <v>500</v>
          </cell>
          <cell r="J260">
            <v>500</v>
          </cell>
          <cell r="K260">
            <v>0</v>
          </cell>
          <cell r="L260">
            <v>1000</v>
          </cell>
          <cell r="M260">
            <v>20000</v>
          </cell>
          <cell r="N260">
            <v>20000</v>
          </cell>
          <cell r="O260">
            <v>19500</v>
          </cell>
          <cell r="P260">
            <v>19500</v>
          </cell>
          <cell r="Q260">
            <v>19500</v>
          </cell>
          <cell r="R260">
            <v>19500</v>
          </cell>
          <cell r="S260">
            <v>19000</v>
          </cell>
          <cell r="T260">
            <v>19000</v>
          </cell>
          <cell r="U260">
            <v>19000</v>
          </cell>
          <cell r="V260">
            <v>19000</v>
          </cell>
          <cell r="W260">
            <v>19000</v>
          </cell>
        </row>
        <row r="261">
          <cell r="C261" t="str">
            <v>040140-T16H</v>
          </cell>
          <cell r="D261">
            <v>1</v>
          </cell>
          <cell r="E261">
            <v>144000</v>
          </cell>
          <cell r="F261">
            <v>356000</v>
          </cell>
          <cell r="G261">
            <v>432000</v>
          </cell>
          <cell r="H261">
            <v>788000</v>
          </cell>
          <cell r="I261">
            <v>210024</v>
          </cell>
          <cell r="J261">
            <v>389016</v>
          </cell>
          <cell r="K261">
            <v>169807</v>
          </cell>
          <cell r="L261">
            <v>768847</v>
          </cell>
          <cell r="M261">
            <v>703980</v>
          </cell>
          <cell r="N261">
            <v>633909</v>
          </cell>
          <cell r="O261">
            <v>577976</v>
          </cell>
          <cell r="P261">
            <v>483066</v>
          </cell>
          <cell r="Q261">
            <v>343539</v>
          </cell>
          <cell r="R261">
            <v>273459</v>
          </cell>
          <cell r="S261">
            <v>188960</v>
          </cell>
          <cell r="T261">
            <v>100120</v>
          </cell>
          <cell r="U261">
            <v>19153</v>
          </cell>
          <cell r="V261">
            <v>19153</v>
          </cell>
          <cell r="W261">
            <v>19153</v>
          </cell>
        </row>
        <row r="262">
          <cell r="C262" t="str">
            <v>030060-J56H</v>
          </cell>
          <cell r="D262">
            <v>1</v>
          </cell>
          <cell r="E262">
            <v>0</v>
          </cell>
          <cell r="F262">
            <v>0</v>
          </cell>
          <cell r="G262">
            <v>20000</v>
          </cell>
          <cell r="H262">
            <v>20000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20000</v>
          </cell>
          <cell r="N262">
            <v>20000</v>
          </cell>
          <cell r="O262">
            <v>20000</v>
          </cell>
          <cell r="P262">
            <v>20000</v>
          </cell>
          <cell r="Q262">
            <v>20000</v>
          </cell>
          <cell r="R262">
            <v>20000</v>
          </cell>
          <cell r="S262">
            <v>20000</v>
          </cell>
          <cell r="T262">
            <v>20000</v>
          </cell>
          <cell r="U262">
            <v>20000</v>
          </cell>
          <cell r="V262">
            <v>20000</v>
          </cell>
          <cell r="W262">
            <v>20000</v>
          </cell>
        </row>
        <row r="263">
          <cell r="C263" t="str">
            <v>055100-086H-2</v>
          </cell>
          <cell r="D263">
            <v>1</v>
          </cell>
          <cell r="E263">
            <v>0</v>
          </cell>
          <cell r="F263">
            <v>0</v>
          </cell>
          <cell r="G263">
            <v>20000</v>
          </cell>
          <cell r="H263">
            <v>20000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20000</v>
          </cell>
          <cell r="N263">
            <v>20000</v>
          </cell>
          <cell r="O263">
            <v>20000</v>
          </cell>
          <cell r="P263">
            <v>20000</v>
          </cell>
          <cell r="Q263">
            <v>20000</v>
          </cell>
          <cell r="R263">
            <v>20000</v>
          </cell>
          <cell r="S263">
            <v>20000</v>
          </cell>
          <cell r="T263">
            <v>20000</v>
          </cell>
          <cell r="U263">
            <v>20000</v>
          </cell>
          <cell r="V263">
            <v>20000</v>
          </cell>
          <cell r="W263">
            <v>20000</v>
          </cell>
        </row>
        <row r="264">
          <cell r="C264" t="str">
            <v>030095-P12B-AD</v>
          </cell>
          <cell r="D264">
            <v>1</v>
          </cell>
          <cell r="E264">
            <v>0</v>
          </cell>
          <cell r="F264">
            <v>0</v>
          </cell>
          <cell r="G264">
            <v>60000</v>
          </cell>
          <cell r="H264">
            <v>60000</v>
          </cell>
          <cell r="I264">
            <v>0</v>
          </cell>
          <cell r="J264">
            <v>20000</v>
          </cell>
          <cell r="K264">
            <v>20000</v>
          </cell>
          <cell r="L264">
            <v>40000</v>
          </cell>
          <cell r="M264">
            <v>60000</v>
          </cell>
          <cell r="N264">
            <v>60000</v>
          </cell>
          <cell r="O264">
            <v>60000</v>
          </cell>
          <cell r="P264">
            <v>40000</v>
          </cell>
          <cell r="Q264">
            <v>40000</v>
          </cell>
          <cell r="R264">
            <v>40000</v>
          </cell>
          <cell r="S264">
            <v>40000</v>
          </cell>
          <cell r="T264">
            <v>40000</v>
          </cell>
          <cell r="U264">
            <v>40000</v>
          </cell>
          <cell r="V264">
            <v>20000</v>
          </cell>
          <cell r="W264">
            <v>20000</v>
          </cell>
        </row>
        <row r="265">
          <cell r="C265" t="str">
            <v>050100-C62W</v>
          </cell>
          <cell r="D265">
            <v>1</v>
          </cell>
          <cell r="E265">
            <v>0</v>
          </cell>
          <cell r="F265">
            <v>0</v>
          </cell>
          <cell r="G265">
            <v>40000</v>
          </cell>
          <cell r="H265">
            <v>40000</v>
          </cell>
          <cell r="I265">
            <v>0</v>
          </cell>
          <cell r="J265">
            <v>20000</v>
          </cell>
          <cell r="K265">
            <v>0</v>
          </cell>
          <cell r="L265">
            <v>20000</v>
          </cell>
          <cell r="M265">
            <v>40000</v>
          </cell>
          <cell r="N265">
            <v>40000</v>
          </cell>
          <cell r="O265">
            <v>40000</v>
          </cell>
          <cell r="P265">
            <v>20000</v>
          </cell>
          <cell r="Q265">
            <v>20000</v>
          </cell>
          <cell r="R265">
            <v>20000</v>
          </cell>
          <cell r="S265">
            <v>20000</v>
          </cell>
          <cell r="T265">
            <v>20000</v>
          </cell>
          <cell r="U265">
            <v>20000</v>
          </cell>
          <cell r="V265">
            <v>20000</v>
          </cell>
          <cell r="W265">
            <v>20000</v>
          </cell>
        </row>
        <row r="266">
          <cell r="C266" t="str">
            <v>040120-B65G</v>
          </cell>
          <cell r="D266">
            <v>1</v>
          </cell>
          <cell r="E266">
            <v>0</v>
          </cell>
          <cell r="F266">
            <v>0</v>
          </cell>
          <cell r="G266">
            <v>21000</v>
          </cell>
          <cell r="H266">
            <v>21000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21000</v>
          </cell>
          <cell r="N266">
            <v>21000</v>
          </cell>
          <cell r="O266">
            <v>21000</v>
          </cell>
          <cell r="P266">
            <v>21000</v>
          </cell>
          <cell r="Q266">
            <v>21000</v>
          </cell>
          <cell r="R266">
            <v>21000</v>
          </cell>
          <cell r="S266">
            <v>21000</v>
          </cell>
          <cell r="T266">
            <v>21000</v>
          </cell>
          <cell r="U266">
            <v>21000</v>
          </cell>
          <cell r="V266">
            <v>21000</v>
          </cell>
          <cell r="W266">
            <v>21000</v>
          </cell>
        </row>
        <row r="267">
          <cell r="C267" t="str">
            <v>040100-TC2J</v>
          </cell>
          <cell r="D267">
            <v>1</v>
          </cell>
          <cell r="E267">
            <v>0</v>
          </cell>
          <cell r="F267">
            <v>0</v>
          </cell>
          <cell r="G267">
            <v>21900</v>
          </cell>
          <cell r="H267">
            <v>21900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21900</v>
          </cell>
          <cell r="N267">
            <v>21900</v>
          </cell>
          <cell r="O267">
            <v>21900</v>
          </cell>
          <cell r="P267">
            <v>21900</v>
          </cell>
          <cell r="Q267">
            <v>21900</v>
          </cell>
          <cell r="R267">
            <v>21900</v>
          </cell>
          <cell r="S267">
            <v>21900</v>
          </cell>
          <cell r="T267">
            <v>21900</v>
          </cell>
          <cell r="U267">
            <v>21900</v>
          </cell>
          <cell r="V267">
            <v>21900</v>
          </cell>
          <cell r="W267">
            <v>21900</v>
          </cell>
        </row>
        <row r="268">
          <cell r="C268" t="str">
            <v>080140-ZM6L-D</v>
          </cell>
          <cell r="D268">
            <v>1</v>
          </cell>
          <cell r="E268">
            <v>0</v>
          </cell>
          <cell r="F268">
            <v>0</v>
          </cell>
          <cell r="G268">
            <v>22000</v>
          </cell>
          <cell r="H268">
            <v>22000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22000</v>
          </cell>
          <cell r="N268">
            <v>22000</v>
          </cell>
          <cell r="O268">
            <v>22000</v>
          </cell>
          <cell r="P268">
            <v>22000</v>
          </cell>
          <cell r="Q268">
            <v>22000</v>
          </cell>
          <cell r="R268">
            <v>22000</v>
          </cell>
          <cell r="S268">
            <v>22000</v>
          </cell>
          <cell r="T268">
            <v>22000</v>
          </cell>
          <cell r="U268">
            <v>22000</v>
          </cell>
          <cell r="V268">
            <v>22000</v>
          </cell>
          <cell r="W268">
            <v>22000</v>
          </cell>
        </row>
        <row r="269">
          <cell r="C269" t="str">
            <v>050120-C62B</v>
          </cell>
          <cell r="D269">
            <v>1</v>
          </cell>
          <cell r="E269">
            <v>100000</v>
          </cell>
          <cell r="F269">
            <v>0</v>
          </cell>
          <cell r="G269">
            <v>22000</v>
          </cell>
          <cell r="H269">
            <v>22000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22000</v>
          </cell>
          <cell r="N269">
            <v>22000</v>
          </cell>
          <cell r="O269">
            <v>22000</v>
          </cell>
          <cell r="P269">
            <v>22000</v>
          </cell>
          <cell r="Q269">
            <v>22000</v>
          </cell>
          <cell r="R269">
            <v>22000</v>
          </cell>
          <cell r="S269">
            <v>22000</v>
          </cell>
          <cell r="T269">
            <v>22000</v>
          </cell>
          <cell r="U269">
            <v>22000</v>
          </cell>
          <cell r="V269">
            <v>22000</v>
          </cell>
          <cell r="W269">
            <v>22000</v>
          </cell>
        </row>
        <row r="270">
          <cell r="C270" t="str">
            <v>030060-J51W</v>
          </cell>
          <cell r="D270">
            <v>1</v>
          </cell>
          <cell r="E270">
            <v>0</v>
          </cell>
          <cell r="F270">
            <v>0</v>
          </cell>
          <cell r="G270">
            <v>134160</v>
          </cell>
          <cell r="H270">
            <v>134160</v>
          </cell>
          <cell r="I270">
            <v>20000</v>
          </cell>
          <cell r="J270">
            <v>32000</v>
          </cell>
          <cell r="K270">
            <v>60000</v>
          </cell>
          <cell r="L270">
            <v>112000</v>
          </cell>
          <cell r="M270">
            <v>134160</v>
          </cell>
          <cell r="N270">
            <v>114160</v>
          </cell>
          <cell r="O270">
            <v>114160</v>
          </cell>
          <cell r="P270">
            <v>82160</v>
          </cell>
          <cell r="Q270">
            <v>82160</v>
          </cell>
          <cell r="R270">
            <v>82160</v>
          </cell>
          <cell r="S270">
            <v>82160</v>
          </cell>
          <cell r="T270">
            <v>22160</v>
          </cell>
          <cell r="U270">
            <v>22160</v>
          </cell>
          <cell r="V270">
            <v>22160</v>
          </cell>
          <cell r="W270">
            <v>22160</v>
          </cell>
        </row>
        <row r="271">
          <cell r="C271" t="str">
            <v>030100-B26H</v>
          </cell>
          <cell r="D271">
            <v>1</v>
          </cell>
          <cell r="E271">
            <v>0</v>
          </cell>
          <cell r="F271">
            <v>3000</v>
          </cell>
          <cell r="G271">
            <v>105000</v>
          </cell>
          <cell r="H271">
            <v>108000</v>
          </cell>
          <cell r="I271">
            <v>10000</v>
          </cell>
          <cell r="J271">
            <v>35000</v>
          </cell>
          <cell r="K271">
            <v>40000</v>
          </cell>
          <cell r="L271">
            <v>85000</v>
          </cell>
          <cell r="M271">
            <v>98000</v>
          </cell>
          <cell r="N271">
            <v>98000</v>
          </cell>
          <cell r="O271">
            <v>98000</v>
          </cell>
          <cell r="P271">
            <v>63000</v>
          </cell>
          <cell r="Q271">
            <v>63000</v>
          </cell>
          <cell r="R271">
            <v>63000</v>
          </cell>
          <cell r="S271">
            <v>63000</v>
          </cell>
          <cell r="T271">
            <v>23000</v>
          </cell>
          <cell r="U271">
            <v>23000</v>
          </cell>
          <cell r="V271">
            <v>23000</v>
          </cell>
          <cell r="W271">
            <v>23000</v>
          </cell>
        </row>
        <row r="272">
          <cell r="C272" t="str">
            <v>050160-C62W-B</v>
          </cell>
          <cell r="D272">
            <v>2</v>
          </cell>
          <cell r="E272">
            <v>0</v>
          </cell>
          <cell r="F272">
            <v>0</v>
          </cell>
          <cell r="G272">
            <v>23000</v>
          </cell>
          <cell r="H272">
            <v>23000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23000</v>
          </cell>
          <cell r="N272">
            <v>23000</v>
          </cell>
          <cell r="O272">
            <v>23000</v>
          </cell>
          <cell r="P272">
            <v>23000</v>
          </cell>
          <cell r="Q272">
            <v>23000</v>
          </cell>
          <cell r="R272">
            <v>23000</v>
          </cell>
          <cell r="S272">
            <v>23000</v>
          </cell>
          <cell r="T272">
            <v>23000</v>
          </cell>
          <cell r="U272">
            <v>23000</v>
          </cell>
          <cell r="V272">
            <v>23000</v>
          </cell>
          <cell r="W272">
            <v>23000</v>
          </cell>
        </row>
        <row r="273">
          <cell r="C273" t="str">
            <v>030080-JP2B</v>
          </cell>
          <cell r="D273">
            <v>1</v>
          </cell>
          <cell r="E273">
            <v>0</v>
          </cell>
          <cell r="F273">
            <v>0</v>
          </cell>
          <cell r="G273">
            <v>23366</v>
          </cell>
          <cell r="H273">
            <v>23366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23366</v>
          </cell>
          <cell r="N273">
            <v>23366</v>
          </cell>
          <cell r="O273">
            <v>23366</v>
          </cell>
          <cell r="P273">
            <v>23366</v>
          </cell>
          <cell r="Q273">
            <v>23366</v>
          </cell>
          <cell r="R273">
            <v>23366</v>
          </cell>
          <cell r="S273">
            <v>23366</v>
          </cell>
          <cell r="T273">
            <v>23366</v>
          </cell>
          <cell r="U273">
            <v>23366</v>
          </cell>
          <cell r="V273">
            <v>23366</v>
          </cell>
          <cell r="W273">
            <v>23366</v>
          </cell>
        </row>
        <row r="274">
          <cell r="C274" t="str">
            <v>050127-FC2W-P</v>
          </cell>
          <cell r="D274">
            <v>1</v>
          </cell>
          <cell r="E274">
            <v>0</v>
          </cell>
          <cell r="F274">
            <v>0</v>
          </cell>
          <cell r="G274">
            <v>59000</v>
          </cell>
          <cell r="H274">
            <v>59000</v>
          </cell>
          <cell r="I274">
            <v>12480</v>
          </cell>
          <cell r="J274">
            <v>22882</v>
          </cell>
          <cell r="K274">
            <v>0</v>
          </cell>
          <cell r="L274">
            <v>35362</v>
          </cell>
          <cell r="M274">
            <v>54352</v>
          </cell>
          <cell r="N274">
            <v>48340</v>
          </cell>
          <cell r="O274">
            <v>46520</v>
          </cell>
          <cell r="P274">
            <v>40975</v>
          </cell>
          <cell r="Q274">
            <v>35196</v>
          </cell>
          <cell r="R274">
            <v>29417</v>
          </cell>
          <cell r="S274">
            <v>23638</v>
          </cell>
          <cell r="T274">
            <v>23638</v>
          </cell>
          <cell r="U274">
            <v>23638</v>
          </cell>
          <cell r="V274">
            <v>23638</v>
          </cell>
          <cell r="W274">
            <v>23638</v>
          </cell>
        </row>
        <row r="275">
          <cell r="C275" t="str">
            <v>030140-PP2B</v>
          </cell>
          <cell r="D275">
            <v>1</v>
          </cell>
          <cell r="E275">
            <v>0</v>
          </cell>
          <cell r="F275">
            <v>0</v>
          </cell>
          <cell r="G275">
            <v>34100</v>
          </cell>
          <cell r="H275">
            <v>34100</v>
          </cell>
          <cell r="I275">
            <v>0</v>
          </cell>
          <cell r="J275">
            <v>0</v>
          </cell>
          <cell r="K275">
            <v>9472</v>
          </cell>
          <cell r="L275">
            <v>9472</v>
          </cell>
          <cell r="M275">
            <v>34100</v>
          </cell>
          <cell r="N275">
            <v>34100</v>
          </cell>
          <cell r="O275">
            <v>34100</v>
          </cell>
          <cell r="P275">
            <v>34100</v>
          </cell>
          <cell r="Q275">
            <v>34100</v>
          </cell>
          <cell r="R275">
            <v>34100</v>
          </cell>
          <cell r="S275">
            <v>34100</v>
          </cell>
          <cell r="T275">
            <v>24628</v>
          </cell>
          <cell r="U275">
            <v>24628</v>
          </cell>
          <cell r="V275">
            <v>24628</v>
          </cell>
          <cell r="W275">
            <v>24628</v>
          </cell>
        </row>
        <row r="276">
          <cell r="C276" t="str">
            <v>790210-Y010-R</v>
          </cell>
          <cell r="D276">
            <v>1</v>
          </cell>
          <cell r="E276">
            <v>0</v>
          </cell>
          <cell r="F276">
            <v>0</v>
          </cell>
          <cell r="G276">
            <v>37000</v>
          </cell>
          <cell r="H276">
            <v>37000</v>
          </cell>
          <cell r="I276">
            <v>4674</v>
          </cell>
          <cell r="J276">
            <v>7326</v>
          </cell>
          <cell r="K276">
            <v>0</v>
          </cell>
          <cell r="L276">
            <v>12000</v>
          </cell>
          <cell r="M276">
            <v>34560</v>
          </cell>
          <cell r="N276">
            <v>34054</v>
          </cell>
          <cell r="O276">
            <v>32326</v>
          </cell>
          <cell r="P276">
            <v>29770</v>
          </cell>
          <cell r="Q276">
            <v>27841</v>
          </cell>
          <cell r="R276">
            <v>25000</v>
          </cell>
          <cell r="S276">
            <v>25000</v>
          </cell>
          <cell r="T276">
            <v>25000</v>
          </cell>
          <cell r="U276">
            <v>25000</v>
          </cell>
          <cell r="V276">
            <v>25000</v>
          </cell>
          <cell r="W276">
            <v>25000</v>
          </cell>
        </row>
        <row r="277">
          <cell r="C277" t="str">
            <v>030060-BB2N</v>
          </cell>
          <cell r="D277">
            <v>1</v>
          </cell>
          <cell r="E277">
            <v>0</v>
          </cell>
          <cell r="F277">
            <v>0</v>
          </cell>
          <cell r="G277">
            <v>45000</v>
          </cell>
          <cell r="H277">
            <v>45000</v>
          </cell>
          <cell r="I277">
            <v>0</v>
          </cell>
          <cell r="J277">
            <v>0</v>
          </cell>
          <cell r="K277">
            <v>20000</v>
          </cell>
          <cell r="L277">
            <v>20000</v>
          </cell>
          <cell r="M277">
            <v>45000</v>
          </cell>
          <cell r="N277">
            <v>45000</v>
          </cell>
          <cell r="O277">
            <v>45000</v>
          </cell>
          <cell r="P277">
            <v>45000</v>
          </cell>
          <cell r="Q277">
            <v>45000</v>
          </cell>
          <cell r="R277">
            <v>45000</v>
          </cell>
          <cell r="S277">
            <v>45000</v>
          </cell>
          <cell r="T277">
            <v>25000</v>
          </cell>
          <cell r="U277">
            <v>25000</v>
          </cell>
          <cell r="V277">
            <v>25000</v>
          </cell>
          <cell r="W277">
            <v>25000</v>
          </cell>
        </row>
        <row r="278">
          <cell r="C278" t="str">
            <v>050100-C62W-B</v>
          </cell>
          <cell r="D278">
            <v>1</v>
          </cell>
          <cell r="E278">
            <v>80000</v>
          </cell>
          <cell r="F278">
            <v>5000</v>
          </cell>
          <cell r="G278">
            <v>20000</v>
          </cell>
          <cell r="H278">
            <v>25000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25000</v>
          </cell>
          <cell r="N278">
            <v>25000</v>
          </cell>
          <cell r="O278">
            <v>25000</v>
          </cell>
          <cell r="P278">
            <v>25000</v>
          </cell>
          <cell r="Q278">
            <v>25000</v>
          </cell>
          <cell r="R278">
            <v>25000</v>
          </cell>
          <cell r="S278">
            <v>25000</v>
          </cell>
          <cell r="T278">
            <v>25000</v>
          </cell>
          <cell r="U278">
            <v>25000</v>
          </cell>
          <cell r="V278">
            <v>25000</v>
          </cell>
          <cell r="W278">
            <v>25000</v>
          </cell>
        </row>
        <row r="279">
          <cell r="C279" t="str">
            <v>590073-Y01W-DZ</v>
          </cell>
          <cell r="D279">
            <v>1</v>
          </cell>
          <cell r="E279">
            <v>0</v>
          </cell>
          <cell r="F279">
            <v>0</v>
          </cell>
          <cell r="G279">
            <v>35000</v>
          </cell>
          <cell r="H279">
            <v>35000</v>
          </cell>
          <cell r="I279">
            <v>0</v>
          </cell>
          <cell r="J279">
            <v>5000</v>
          </cell>
          <cell r="K279">
            <v>5000</v>
          </cell>
          <cell r="L279">
            <v>10000</v>
          </cell>
          <cell r="M279">
            <v>35000</v>
          </cell>
          <cell r="N279">
            <v>35000</v>
          </cell>
          <cell r="O279">
            <v>35000</v>
          </cell>
          <cell r="P279">
            <v>35000</v>
          </cell>
          <cell r="Q279">
            <v>30000</v>
          </cell>
          <cell r="R279">
            <v>30000</v>
          </cell>
          <cell r="S279">
            <v>30000</v>
          </cell>
          <cell r="T279">
            <v>30000</v>
          </cell>
          <cell r="U279">
            <v>30000</v>
          </cell>
          <cell r="V279">
            <v>30000</v>
          </cell>
          <cell r="W279">
            <v>25000</v>
          </cell>
        </row>
        <row r="280">
          <cell r="C280" t="str">
            <v>050160-T22W</v>
          </cell>
          <cell r="D280">
            <v>1</v>
          </cell>
          <cell r="E280">
            <v>0</v>
          </cell>
          <cell r="F280">
            <v>0</v>
          </cell>
          <cell r="G280">
            <v>693000</v>
          </cell>
          <cell r="H280">
            <v>693000</v>
          </cell>
          <cell r="I280">
            <v>181262</v>
          </cell>
          <cell r="J280">
            <v>331820</v>
          </cell>
          <cell r="K280">
            <v>154832</v>
          </cell>
          <cell r="L280">
            <v>667914</v>
          </cell>
          <cell r="M280">
            <v>621372</v>
          </cell>
          <cell r="N280">
            <v>551546</v>
          </cell>
          <cell r="O280">
            <v>511738</v>
          </cell>
          <cell r="P280">
            <v>418238</v>
          </cell>
          <cell r="Q280">
            <v>334990</v>
          </cell>
          <cell r="R280">
            <v>270734</v>
          </cell>
          <cell r="S280">
            <v>179918</v>
          </cell>
          <cell r="T280">
            <v>92138</v>
          </cell>
          <cell r="U280">
            <v>25086</v>
          </cell>
          <cell r="V280">
            <v>25086</v>
          </cell>
          <cell r="W280">
            <v>25086</v>
          </cell>
        </row>
        <row r="281">
          <cell r="C281" t="str">
            <v>050100-J51B</v>
          </cell>
          <cell r="D281">
            <v>1</v>
          </cell>
          <cell r="E281">
            <v>0</v>
          </cell>
          <cell r="F281">
            <v>0</v>
          </cell>
          <cell r="G281">
            <v>26000</v>
          </cell>
          <cell r="H281">
            <v>26000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26000</v>
          </cell>
          <cell r="N281">
            <v>26000</v>
          </cell>
          <cell r="O281">
            <v>26000</v>
          </cell>
          <cell r="P281">
            <v>26000</v>
          </cell>
          <cell r="Q281">
            <v>26000</v>
          </cell>
          <cell r="R281">
            <v>26000</v>
          </cell>
          <cell r="S281">
            <v>26000</v>
          </cell>
          <cell r="T281">
            <v>26000</v>
          </cell>
          <cell r="U281">
            <v>26000</v>
          </cell>
          <cell r="V281">
            <v>26000</v>
          </cell>
          <cell r="W281">
            <v>26000</v>
          </cell>
        </row>
        <row r="282">
          <cell r="C282" t="str">
            <v>050145-F52W-DPS</v>
          </cell>
          <cell r="D282">
            <v>1</v>
          </cell>
          <cell r="E282">
            <v>0</v>
          </cell>
          <cell r="F282">
            <v>0</v>
          </cell>
          <cell r="G282">
            <v>30000</v>
          </cell>
          <cell r="H282">
            <v>30000</v>
          </cell>
          <cell r="I282">
            <v>3408</v>
          </cell>
          <cell r="J282">
            <v>0</v>
          </cell>
          <cell r="K282">
            <v>0</v>
          </cell>
          <cell r="L282">
            <v>3408</v>
          </cell>
          <cell r="M282">
            <v>30000</v>
          </cell>
          <cell r="N282">
            <v>30000</v>
          </cell>
          <cell r="O282">
            <v>26592</v>
          </cell>
          <cell r="P282">
            <v>26592</v>
          </cell>
          <cell r="Q282">
            <v>26592</v>
          </cell>
          <cell r="R282">
            <v>26592</v>
          </cell>
          <cell r="S282">
            <v>26592</v>
          </cell>
          <cell r="T282">
            <v>26592</v>
          </cell>
          <cell r="U282">
            <v>26592</v>
          </cell>
          <cell r="V282">
            <v>26592</v>
          </cell>
          <cell r="W282">
            <v>26592</v>
          </cell>
        </row>
        <row r="283">
          <cell r="C283" t="str">
            <v>050160-J52W</v>
          </cell>
          <cell r="D283">
            <v>1</v>
          </cell>
          <cell r="E283">
            <v>0</v>
          </cell>
          <cell r="F283">
            <v>0</v>
          </cell>
          <cell r="G283">
            <v>45000</v>
          </cell>
          <cell r="H283">
            <v>45000</v>
          </cell>
          <cell r="I283">
            <v>6608</v>
          </cell>
          <cell r="J283">
            <v>11571</v>
          </cell>
          <cell r="K283">
            <v>0</v>
          </cell>
          <cell r="L283">
            <v>18179</v>
          </cell>
          <cell r="M283">
            <v>42429</v>
          </cell>
          <cell r="N283">
            <v>40956</v>
          </cell>
          <cell r="O283">
            <v>38392</v>
          </cell>
          <cell r="P283">
            <v>36112</v>
          </cell>
          <cell r="Q283">
            <v>33015</v>
          </cell>
          <cell r="R283">
            <v>29918</v>
          </cell>
          <cell r="S283">
            <v>26821</v>
          </cell>
          <cell r="T283">
            <v>26821</v>
          </cell>
          <cell r="U283">
            <v>26821</v>
          </cell>
          <cell r="V283">
            <v>26821</v>
          </cell>
          <cell r="W283">
            <v>26821</v>
          </cell>
        </row>
        <row r="284">
          <cell r="C284" t="str">
            <v>065130-160W-2F</v>
          </cell>
          <cell r="D284">
            <v>1</v>
          </cell>
          <cell r="E284">
            <v>0</v>
          </cell>
          <cell r="F284">
            <v>0</v>
          </cell>
          <cell r="G284">
            <v>40000</v>
          </cell>
          <cell r="H284">
            <v>40000</v>
          </cell>
          <cell r="I284">
            <v>6095</v>
          </cell>
          <cell r="J284">
            <v>6000</v>
          </cell>
          <cell r="K284">
            <v>0</v>
          </cell>
          <cell r="L284">
            <v>12095</v>
          </cell>
          <cell r="M284">
            <v>40000</v>
          </cell>
          <cell r="N284">
            <v>40000</v>
          </cell>
          <cell r="O284">
            <v>33905</v>
          </cell>
          <cell r="P284">
            <v>33905</v>
          </cell>
          <cell r="Q284">
            <v>33905</v>
          </cell>
          <cell r="R284">
            <v>33905</v>
          </cell>
          <cell r="S284">
            <v>27905</v>
          </cell>
          <cell r="T284">
            <v>27905</v>
          </cell>
          <cell r="U284">
            <v>27905</v>
          </cell>
          <cell r="V284">
            <v>27905</v>
          </cell>
          <cell r="W284">
            <v>27905</v>
          </cell>
        </row>
        <row r="285">
          <cell r="C285" t="str">
            <v>120150-ZE1W-C</v>
          </cell>
          <cell r="D285">
            <v>1</v>
          </cell>
          <cell r="E285">
            <v>0</v>
          </cell>
          <cell r="F285">
            <v>0</v>
          </cell>
          <cell r="G285">
            <v>33100</v>
          </cell>
          <cell r="H285">
            <v>33100</v>
          </cell>
          <cell r="I285">
            <v>1719</v>
          </cell>
          <cell r="J285">
            <v>3438.6</v>
          </cell>
          <cell r="K285">
            <v>0</v>
          </cell>
          <cell r="L285">
            <v>5157.6000000000004</v>
          </cell>
          <cell r="M285">
            <v>33100</v>
          </cell>
          <cell r="N285">
            <v>33100</v>
          </cell>
          <cell r="O285">
            <v>31381</v>
          </cell>
          <cell r="P285">
            <v>31381</v>
          </cell>
          <cell r="Q285">
            <v>31381</v>
          </cell>
          <cell r="R285">
            <v>31381</v>
          </cell>
          <cell r="S285">
            <v>27942.400000000001</v>
          </cell>
          <cell r="T285">
            <v>27942.400000000001</v>
          </cell>
          <cell r="U285">
            <v>27942.400000000001</v>
          </cell>
          <cell r="V285">
            <v>27942.400000000001</v>
          </cell>
          <cell r="W285">
            <v>27942.400000000001</v>
          </cell>
        </row>
        <row r="286">
          <cell r="C286" t="str">
            <v>040360-T62G</v>
          </cell>
          <cell r="D286">
            <v>1</v>
          </cell>
          <cell r="E286">
            <v>0</v>
          </cell>
          <cell r="F286">
            <v>0</v>
          </cell>
          <cell r="G286">
            <v>28000</v>
          </cell>
          <cell r="H286">
            <v>28000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28000</v>
          </cell>
          <cell r="N286">
            <v>28000</v>
          </cell>
          <cell r="O286">
            <v>28000</v>
          </cell>
          <cell r="P286">
            <v>28000</v>
          </cell>
          <cell r="Q286">
            <v>28000</v>
          </cell>
          <cell r="R286">
            <v>28000</v>
          </cell>
          <cell r="S286">
            <v>28000</v>
          </cell>
          <cell r="T286">
            <v>28000</v>
          </cell>
          <cell r="U286">
            <v>28000</v>
          </cell>
          <cell r="V286">
            <v>28000</v>
          </cell>
          <cell r="W286">
            <v>28000</v>
          </cell>
        </row>
        <row r="287">
          <cell r="C287" t="str">
            <v>030200-T56H</v>
          </cell>
          <cell r="D287">
            <v>1</v>
          </cell>
          <cell r="E287">
            <v>0</v>
          </cell>
          <cell r="F287">
            <v>0</v>
          </cell>
          <cell r="G287">
            <v>28000</v>
          </cell>
          <cell r="H287">
            <v>28000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28000</v>
          </cell>
          <cell r="N287">
            <v>28000</v>
          </cell>
          <cell r="O287">
            <v>28000</v>
          </cell>
          <cell r="P287">
            <v>28000</v>
          </cell>
          <cell r="Q287">
            <v>28000</v>
          </cell>
          <cell r="R287">
            <v>28000</v>
          </cell>
          <cell r="S287">
            <v>28000</v>
          </cell>
          <cell r="T287">
            <v>28000</v>
          </cell>
          <cell r="U287">
            <v>28000</v>
          </cell>
          <cell r="V287">
            <v>28000</v>
          </cell>
          <cell r="W287">
            <v>28000</v>
          </cell>
        </row>
        <row r="288">
          <cell r="C288" t="str">
            <v>061122-156H-3F</v>
          </cell>
          <cell r="D288">
            <v>1</v>
          </cell>
          <cell r="E288">
            <v>0</v>
          </cell>
          <cell r="F288">
            <v>0</v>
          </cell>
          <cell r="G288">
            <v>32000</v>
          </cell>
          <cell r="H288">
            <v>32000</v>
          </cell>
          <cell r="I288">
            <v>0</v>
          </cell>
          <cell r="J288">
            <v>2000</v>
          </cell>
          <cell r="K288">
            <v>2000</v>
          </cell>
          <cell r="L288">
            <v>4000</v>
          </cell>
          <cell r="M288">
            <v>32000</v>
          </cell>
          <cell r="N288">
            <v>32000</v>
          </cell>
          <cell r="O288">
            <v>32000</v>
          </cell>
          <cell r="P288">
            <v>30000</v>
          </cell>
          <cell r="Q288">
            <v>30000</v>
          </cell>
          <cell r="R288">
            <v>30000</v>
          </cell>
          <cell r="S288">
            <v>30000</v>
          </cell>
          <cell r="T288">
            <v>28000</v>
          </cell>
          <cell r="U288">
            <v>28000</v>
          </cell>
          <cell r="V288">
            <v>28000</v>
          </cell>
          <cell r="W288">
            <v>28000</v>
          </cell>
        </row>
        <row r="289">
          <cell r="C289" t="str">
            <v>040080-P51W-3</v>
          </cell>
          <cell r="D289">
            <v>1</v>
          </cell>
          <cell r="E289">
            <v>0</v>
          </cell>
          <cell r="F289">
            <v>0</v>
          </cell>
          <cell r="G289">
            <v>28000</v>
          </cell>
          <cell r="H289">
            <v>28000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28000</v>
          </cell>
          <cell r="N289">
            <v>28000</v>
          </cell>
          <cell r="O289">
            <v>28000</v>
          </cell>
          <cell r="P289">
            <v>28000</v>
          </cell>
          <cell r="Q289">
            <v>28000</v>
          </cell>
          <cell r="R289">
            <v>28000</v>
          </cell>
          <cell r="S289">
            <v>28000</v>
          </cell>
          <cell r="T289">
            <v>28000</v>
          </cell>
          <cell r="U289">
            <v>28000</v>
          </cell>
          <cell r="V289">
            <v>28000</v>
          </cell>
          <cell r="W289">
            <v>28000</v>
          </cell>
        </row>
        <row r="290">
          <cell r="C290" t="str">
            <v>350155-Z06H</v>
          </cell>
          <cell r="D290">
            <v>1</v>
          </cell>
          <cell r="E290">
            <v>0</v>
          </cell>
          <cell r="F290">
            <v>0</v>
          </cell>
          <cell r="G290">
            <v>29000</v>
          </cell>
          <cell r="H290">
            <v>29000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29000</v>
          </cell>
          <cell r="N290">
            <v>29000</v>
          </cell>
          <cell r="O290">
            <v>29000</v>
          </cell>
          <cell r="P290">
            <v>29000</v>
          </cell>
          <cell r="Q290">
            <v>29000</v>
          </cell>
          <cell r="R290">
            <v>29000</v>
          </cell>
          <cell r="S290">
            <v>29000</v>
          </cell>
          <cell r="T290">
            <v>29000</v>
          </cell>
          <cell r="U290">
            <v>29000</v>
          </cell>
          <cell r="V290">
            <v>29000</v>
          </cell>
          <cell r="W290">
            <v>29000</v>
          </cell>
        </row>
        <row r="291">
          <cell r="C291" t="str">
            <v>050160-T51W</v>
          </cell>
          <cell r="D291">
            <v>1</v>
          </cell>
          <cell r="E291">
            <v>0</v>
          </cell>
          <cell r="F291">
            <v>0</v>
          </cell>
          <cell r="G291">
            <v>29000</v>
          </cell>
          <cell r="H291">
            <v>29000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29000</v>
          </cell>
          <cell r="N291">
            <v>29000</v>
          </cell>
          <cell r="O291">
            <v>29000</v>
          </cell>
          <cell r="P291">
            <v>29000</v>
          </cell>
          <cell r="Q291">
            <v>29000</v>
          </cell>
          <cell r="R291">
            <v>29000</v>
          </cell>
          <cell r="S291">
            <v>29000</v>
          </cell>
          <cell r="T291">
            <v>29000</v>
          </cell>
          <cell r="U291">
            <v>29000</v>
          </cell>
          <cell r="V291">
            <v>29000</v>
          </cell>
          <cell r="W291">
            <v>29000</v>
          </cell>
        </row>
        <row r="292">
          <cell r="C292" t="str">
            <v>050230-J56H-B</v>
          </cell>
          <cell r="D292">
            <v>1</v>
          </cell>
          <cell r="E292">
            <v>0</v>
          </cell>
          <cell r="F292">
            <v>0</v>
          </cell>
          <cell r="G292">
            <v>29000</v>
          </cell>
          <cell r="H292">
            <v>29000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29000</v>
          </cell>
          <cell r="N292">
            <v>29000</v>
          </cell>
          <cell r="O292">
            <v>29000</v>
          </cell>
          <cell r="P292">
            <v>29000</v>
          </cell>
          <cell r="Q292">
            <v>29000</v>
          </cell>
          <cell r="R292">
            <v>29000</v>
          </cell>
          <cell r="S292">
            <v>29000</v>
          </cell>
          <cell r="T292">
            <v>29000</v>
          </cell>
          <cell r="U292">
            <v>29000</v>
          </cell>
          <cell r="V292">
            <v>29000</v>
          </cell>
          <cell r="W292">
            <v>29000</v>
          </cell>
        </row>
        <row r="293">
          <cell r="C293" t="str">
            <v>020030-YB2B</v>
          </cell>
          <cell r="D293">
            <v>1</v>
          </cell>
          <cell r="E293">
            <v>0</v>
          </cell>
          <cell r="F293">
            <v>0</v>
          </cell>
          <cell r="G293">
            <v>29181</v>
          </cell>
          <cell r="H293">
            <v>29181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29181</v>
          </cell>
          <cell r="N293">
            <v>29181</v>
          </cell>
          <cell r="O293">
            <v>29181</v>
          </cell>
          <cell r="P293">
            <v>29181</v>
          </cell>
          <cell r="Q293">
            <v>29181</v>
          </cell>
          <cell r="R293">
            <v>29181</v>
          </cell>
          <cell r="S293">
            <v>29181</v>
          </cell>
          <cell r="T293">
            <v>29181</v>
          </cell>
          <cell r="U293">
            <v>29181</v>
          </cell>
          <cell r="V293">
            <v>29181</v>
          </cell>
          <cell r="W293">
            <v>29181</v>
          </cell>
        </row>
        <row r="294">
          <cell r="C294" t="str">
            <v>080150-ZE1W-C</v>
          </cell>
          <cell r="D294">
            <v>1</v>
          </cell>
          <cell r="E294">
            <v>0</v>
          </cell>
          <cell r="F294">
            <v>0</v>
          </cell>
          <cell r="G294">
            <v>39000</v>
          </cell>
          <cell r="H294">
            <v>39000</v>
          </cell>
          <cell r="I294">
            <v>3177</v>
          </cell>
          <cell r="J294">
            <v>6353.4</v>
          </cell>
          <cell r="K294">
            <v>0</v>
          </cell>
          <cell r="L294">
            <v>9530.4</v>
          </cell>
          <cell r="M294">
            <v>39000</v>
          </cell>
          <cell r="N294">
            <v>39000</v>
          </cell>
          <cell r="O294">
            <v>35823</v>
          </cell>
          <cell r="P294">
            <v>35823</v>
          </cell>
          <cell r="Q294">
            <v>35823</v>
          </cell>
          <cell r="R294">
            <v>35823</v>
          </cell>
          <cell r="S294">
            <v>29469.599999999999</v>
          </cell>
          <cell r="T294">
            <v>29469.599999999999</v>
          </cell>
          <cell r="U294">
            <v>29469.599999999999</v>
          </cell>
          <cell r="V294">
            <v>29469.599999999999</v>
          </cell>
          <cell r="W294">
            <v>29469.599999999999</v>
          </cell>
        </row>
        <row r="295">
          <cell r="C295" t="str">
            <v>590058-Y01W-DZ</v>
          </cell>
          <cell r="D295">
            <v>1</v>
          </cell>
          <cell r="E295">
            <v>35000</v>
          </cell>
          <cell r="F295">
            <v>0</v>
          </cell>
          <cell r="G295">
            <v>50000</v>
          </cell>
          <cell r="H295">
            <v>50000</v>
          </cell>
          <cell r="I295">
            <v>0</v>
          </cell>
          <cell r="J295">
            <v>10000</v>
          </cell>
          <cell r="K295">
            <v>10000</v>
          </cell>
          <cell r="L295">
            <v>20000</v>
          </cell>
          <cell r="M295">
            <v>50000</v>
          </cell>
          <cell r="N295">
            <v>50000</v>
          </cell>
          <cell r="O295">
            <v>50000</v>
          </cell>
          <cell r="P295">
            <v>40000</v>
          </cell>
          <cell r="Q295">
            <v>40000</v>
          </cell>
          <cell r="R295">
            <v>40000</v>
          </cell>
          <cell r="S295">
            <v>40000</v>
          </cell>
          <cell r="T295">
            <v>40000</v>
          </cell>
          <cell r="U295">
            <v>40000</v>
          </cell>
          <cell r="V295">
            <v>40000</v>
          </cell>
          <cell r="W295">
            <v>30000</v>
          </cell>
        </row>
        <row r="296">
          <cell r="C296" t="str">
            <v>043080-056H-2F</v>
          </cell>
          <cell r="D296">
            <v>1</v>
          </cell>
          <cell r="E296">
            <v>0</v>
          </cell>
          <cell r="F296">
            <v>0</v>
          </cell>
          <cell r="G296">
            <v>30000</v>
          </cell>
          <cell r="H296">
            <v>30000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30000</v>
          </cell>
          <cell r="N296">
            <v>30000</v>
          </cell>
          <cell r="O296">
            <v>30000</v>
          </cell>
          <cell r="P296">
            <v>30000</v>
          </cell>
          <cell r="Q296">
            <v>30000</v>
          </cell>
          <cell r="R296">
            <v>30000</v>
          </cell>
          <cell r="S296">
            <v>30000</v>
          </cell>
          <cell r="T296">
            <v>30000</v>
          </cell>
          <cell r="U296">
            <v>30000</v>
          </cell>
          <cell r="V296">
            <v>30000</v>
          </cell>
          <cell r="W296">
            <v>30000</v>
          </cell>
        </row>
        <row r="297">
          <cell r="C297" t="str">
            <v>030120-J52N-B</v>
          </cell>
          <cell r="D297">
            <v>1</v>
          </cell>
          <cell r="E297">
            <v>0</v>
          </cell>
          <cell r="F297">
            <v>0</v>
          </cell>
          <cell r="G297">
            <v>50000</v>
          </cell>
          <cell r="H297">
            <v>50000</v>
          </cell>
          <cell r="I297">
            <v>20000</v>
          </cell>
          <cell r="J297">
            <v>0</v>
          </cell>
          <cell r="K297">
            <v>0</v>
          </cell>
          <cell r="L297">
            <v>20000</v>
          </cell>
          <cell r="M297">
            <v>30000</v>
          </cell>
          <cell r="N297">
            <v>30000</v>
          </cell>
          <cell r="O297">
            <v>30000</v>
          </cell>
          <cell r="P297">
            <v>30000</v>
          </cell>
          <cell r="Q297">
            <v>30000</v>
          </cell>
          <cell r="R297">
            <v>30000</v>
          </cell>
          <cell r="S297">
            <v>30000</v>
          </cell>
          <cell r="T297">
            <v>30000</v>
          </cell>
          <cell r="U297">
            <v>30000</v>
          </cell>
          <cell r="V297">
            <v>30000</v>
          </cell>
          <cell r="W297">
            <v>30000</v>
          </cell>
        </row>
        <row r="298">
          <cell r="C298" t="str">
            <v>065300-200W-2F</v>
          </cell>
          <cell r="D298">
            <v>1</v>
          </cell>
          <cell r="E298">
            <v>0</v>
          </cell>
          <cell r="F298">
            <v>0</v>
          </cell>
          <cell r="G298">
            <v>33000</v>
          </cell>
          <cell r="H298">
            <v>33000</v>
          </cell>
          <cell r="I298">
            <v>1000</v>
          </cell>
          <cell r="J298">
            <v>500</v>
          </cell>
          <cell r="K298">
            <v>0</v>
          </cell>
          <cell r="L298">
            <v>1500</v>
          </cell>
          <cell r="M298">
            <v>33000</v>
          </cell>
          <cell r="N298">
            <v>33000</v>
          </cell>
          <cell r="O298">
            <v>32000</v>
          </cell>
          <cell r="P298">
            <v>32000</v>
          </cell>
          <cell r="Q298">
            <v>32000</v>
          </cell>
          <cell r="R298">
            <v>32000</v>
          </cell>
          <cell r="S298">
            <v>31500</v>
          </cell>
          <cell r="T298">
            <v>31500</v>
          </cell>
          <cell r="U298">
            <v>31500</v>
          </cell>
          <cell r="V298">
            <v>31500</v>
          </cell>
          <cell r="W298">
            <v>31500</v>
          </cell>
        </row>
        <row r="299">
          <cell r="C299" t="str">
            <v>040120-Y12W-P</v>
          </cell>
          <cell r="D299">
            <v>1</v>
          </cell>
          <cell r="E299">
            <v>0</v>
          </cell>
          <cell r="F299">
            <v>0</v>
          </cell>
          <cell r="G299">
            <v>34000</v>
          </cell>
          <cell r="H299">
            <v>34000</v>
          </cell>
          <cell r="I299">
            <v>1018</v>
          </cell>
          <cell r="J299">
            <v>1152</v>
          </cell>
          <cell r="K299">
            <v>288</v>
          </cell>
          <cell r="L299">
            <v>2458</v>
          </cell>
          <cell r="M299">
            <v>33712</v>
          </cell>
          <cell r="N299">
            <v>33126</v>
          </cell>
          <cell r="O299">
            <v>32982</v>
          </cell>
          <cell r="P299">
            <v>32838</v>
          </cell>
          <cell r="Q299">
            <v>32654</v>
          </cell>
          <cell r="R299">
            <v>32406</v>
          </cell>
          <cell r="S299">
            <v>31830</v>
          </cell>
          <cell r="T299">
            <v>31542</v>
          </cell>
          <cell r="U299">
            <v>31542</v>
          </cell>
          <cell r="V299">
            <v>31542</v>
          </cell>
          <cell r="W299">
            <v>31542</v>
          </cell>
        </row>
        <row r="300">
          <cell r="C300" t="str">
            <v>030080-JP2W</v>
          </cell>
          <cell r="D300">
            <v>1</v>
          </cell>
          <cell r="E300">
            <v>0</v>
          </cell>
          <cell r="F300">
            <v>0</v>
          </cell>
          <cell r="G300">
            <v>31711</v>
          </cell>
          <cell r="H300">
            <v>31711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31711</v>
          </cell>
          <cell r="N300">
            <v>31711</v>
          </cell>
          <cell r="O300">
            <v>31711</v>
          </cell>
          <cell r="P300">
            <v>31711</v>
          </cell>
          <cell r="Q300">
            <v>31711</v>
          </cell>
          <cell r="R300">
            <v>31711</v>
          </cell>
          <cell r="S300">
            <v>31711</v>
          </cell>
          <cell r="T300">
            <v>31711</v>
          </cell>
          <cell r="U300">
            <v>31711</v>
          </cell>
          <cell r="V300">
            <v>31711</v>
          </cell>
          <cell r="W300">
            <v>31711</v>
          </cell>
        </row>
        <row r="301">
          <cell r="C301" t="str">
            <v>040200-P22W</v>
          </cell>
          <cell r="D301">
            <v>1</v>
          </cell>
          <cell r="E301">
            <v>0</v>
          </cell>
          <cell r="F301">
            <v>0</v>
          </cell>
          <cell r="G301">
            <v>32000</v>
          </cell>
          <cell r="H301">
            <v>32000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32000</v>
          </cell>
          <cell r="N301">
            <v>32000</v>
          </cell>
          <cell r="O301">
            <v>32000</v>
          </cell>
          <cell r="P301">
            <v>32000</v>
          </cell>
          <cell r="Q301">
            <v>32000</v>
          </cell>
          <cell r="R301">
            <v>32000</v>
          </cell>
          <cell r="S301">
            <v>32000</v>
          </cell>
          <cell r="T301">
            <v>32000</v>
          </cell>
          <cell r="U301">
            <v>32000</v>
          </cell>
          <cell r="V301">
            <v>32000</v>
          </cell>
          <cell r="W301">
            <v>32000</v>
          </cell>
        </row>
        <row r="302">
          <cell r="C302" t="str">
            <v>040100-PB6H</v>
          </cell>
          <cell r="D302">
            <v>1</v>
          </cell>
          <cell r="E302">
            <v>0</v>
          </cell>
          <cell r="F302">
            <v>0</v>
          </cell>
          <cell r="G302">
            <v>32000</v>
          </cell>
          <cell r="H302">
            <v>32000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32000</v>
          </cell>
          <cell r="N302">
            <v>32000</v>
          </cell>
          <cell r="O302">
            <v>32000</v>
          </cell>
          <cell r="P302">
            <v>32000</v>
          </cell>
          <cell r="Q302">
            <v>32000</v>
          </cell>
          <cell r="R302">
            <v>32000</v>
          </cell>
          <cell r="S302">
            <v>32000</v>
          </cell>
          <cell r="T302">
            <v>32000</v>
          </cell>
          <cell r="U302">
            <v>32000</v>
          </cell>
          <cell r="V302">
            <v>32000</v>
          </cell>
          <cell r="W302">
            <v>32000</v>
          </cell>
        </row>
        <row r="303">
          <cell r="C303" t="str">
            <v>050400-BS2W-D</v>
          </cell>
          <cell r="D303">
            <v>1</v>
          </cell>
          <cell r="E303">
            <v>0</v>
          </cell>
          <cell r="F303">
            <v>0</v>
          </cell>
          <cell r="G303">
            <v>36000</v>
          </cell>
          <cell r="H303">
            <v>36000</v>
          </cell>
          <cell r="I303">
            <v>1018</v>
          </cell>
          <cell r="J303">
            <v>1152</v>
          </cell>
          <cell r="K303">
            <v>288</v>
          </cell>
          <cell r="L303">
            <v>2458</v>
          </cell>
          <cell r="M303">
            <v>35712</v>
          </cell>
          <cell r="N303">
            <v>35126</v>
          </cell>
          <cell r="O303">
            <v>34982</v>
          </cell>
          <cell r="P303">
            <v>34838</v>
          </cell>
          <cell r="Q303">
            <v>34654</v>
          </cell>
          <cell r="R303">
            <v>34406</v>
          </cell>
          <cell r="S303">
            <v>33830</v>
          </cell>
          <cell r="T303">
            <v>33542</v>
          </cell>
          <cell r="U303">
            <v>33542</v>
          </cell>
          <cell r="V303">
            <v>33542</v>
          </cell>
          <cell r="W303">
            <v>33542</v>
          </cell>
        </row>
        <row r="304">
          <cell r="C304" t="str">
            <v>051092-138W-3F</v>
          </cell>
          <cell r="D304">
            <v>2</v>
          </cell>
          <cell r="E304">
            <v>0</v>
          </cell>
          <cell r="F304">
            <v>100000</v>
          </cell>
          <cell r="G304">
            <v>35000</v>
          </cell>
          <cell r="H304">
            <v>135000</v>
          </cell>
          <cell r="I304">
            <v>23936</v>
          </cell>
          <cell r="J304">
            <v>40000</v>
          </cell>
          <cell r="K304">
            <v>36484</v>
          </cell>
          <cell r="L304">
            <v>100420</v>
          </cell>
          <cell r="M304">
            <v>115000</v>
          </cell>
          <cell r="N304">
            <v>115000</v>
          </cell>
          <cell r="O304">
            <v>111064</v>
          </cell>
          <cell r="P304">
            <v>71064</v>
          </cell>
          <cell r="Q304">
            <v>71064</v>
          </cell>
          <cell r="R304">
            <v>71064</v>
          </cell>
          <cell r="S304">
            <v>71064</v>
          </cell>
          <cell r="T304">
            <v>34580</v>
          </cell>
          <cell r="U304">
            <v>34580</v>
          </cell>
          <cell r="V304">
            <v>34580</v>
          </cell>
          <cell r="W304">
            <v>34580</v>
          </cell>
        </row>
        <row r="305">
          <cell r="C305" t="str">
            <v>101443-F14W-AB</v>
          </cell>
          <cell r="D305">
            <v>1</v>
          </cell>
          <cell r="E305">
            <v>0</v>
          </cell>
          <cell r="F305">
            <v>0</v>
          </cell>
          <cell r="G305">
            <v>34600</v>
          </cell>
          <cell r="H305">
            <v>34600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34600</v>
          </cell>
          <cell r="N305">
            <v>34600</v>
          </cell>
          <cell r="O305">
            <v>34600</v>
          </cell>
          <cell r="P305">
            <v>34600</v>
          </cell>
          <cell r="Q305">
            <v>34600</v>
          </cell>
          <cell r="R305">
            <v>34600</v>
          </cell>
          <cell r="S305">
            <v>34600</v>
          </cell>
          <cell r="T305">
            <v>34600</v>
          </cell>
          <cell r="U305">
            <v>34600</v>
          </cell>
          <cell r="V305">
            <v>34600</v>
          </cell>
          <cell r="W305">
            <v>34600</v>
          </cell>
        </row>
        <row r="306">
          <cell r="C306" t="str">
            <v>030080-BB2B</v>
          </cell>
          <cell r="D306">
            <v>1</v>
          </cell>
          <cell r="E306">
            <v>0</v>
          </cell>
          <cell r="F306">
            <v>0</v>
          </cell>
          <cell r="G306">
            <v>125000</v>
          </cell>
          <cell r="H306">
            <v>125000</v>
          </cell>
          <cell r="I306">
            <v>0</v>
          </cell>
          <cell r="J306">
            <v>30000</v>
          </cell>
          <cell r="K306">
            <v>60000</v>
          </cell>
          <cell r="L306">
            <v>90000</v>
          </cell>
          <cell r="M306">
            <v>125000</v>
          </cell>
          <cell r="N306">
            <v>125000</v>
          </cell>
          <cell r="O306">
            <v>125000</v>
          </cell>
          <cell r="P306">
            <v>95000</v>
          </cell>
          <cell r="Q306">
            <v>95000</v>
          </cell>
          <cell r="R306">
            <v>95000</v>
          </cell>
          <cell r="S306">
            <v>95000</v>
          </cell>
          <cell r="T306">
            <v>35000</v>
          </cell>
          <cell r="U306">
            <v>35000</v>
          </cell>
          <cell r="V306">
            <v>35000</v>
          </cell>
          <cell r="W306">
            <v>35000</v>
          </cell>
        </row>
        <row r="307">
          <cell r="C307" t="str">
            <v>030080-J62B</v>
          </cell>
          <cell r="D307">
            <v>1</v>
          </cell>
          <cell r="E307">
            <v>0</v>
          </cell>
          <cell r="F307">
            <v>0</v>
          </cell>
          <cell r="G307">
            <v>65000</v>
          </cell>
          <cell r="H307">
            <v>65000</v>
          </cell>
          <cell r="I307">
            <v>0</v>
          </cell>
          <cell r="J307">
            <v>0</v>
          </cell>
          <cell r="K307">
            <v>30000</v>
          </cell>
          <cell r="L307">
            <v>30000</v>
          </cell>
          <cell r="M307">
            <v>65000</v>
          </cell>
          <cell r="N307">
            <v>65000</v>
          </cell>
          <cell r="O307">
            <v>65000</v>
          </cell>
          <cell r="P307">
            <v>65000</v>
          </cell>
          <cell r="Q307">
            <v>65000</v>
          </cell>
          <cell r="R307">
            <v>65000</v>
          </cell>
          <cell r="S307">
            <v>65000</v>
          </cell>
          <cell r="T307">
            <v>65000</v>
          </cell>
          <cell r="U307">
            <v>65000</v>
          </cell>
          <cell r="V307">
            <v>35000</v>
          </cell>
          <cell r="W307">
            <v>35000</v>
          </cell>
        </row>
        <row r="308">
          <cell r="C308" t="str">
            <v>030100-B22W</v>
          </cell>
          <cell r="D308">
            <v>1</v>
          </cell>
          <cell r="E308">
            <v>0</v>
          </cell>
          <cell r="F308">
            <v>0</v>
          </cell>
          <cell r="G308">
            <v>65000</v>
          </cell>
          <cell r="H308">
            <v>65000</v>
          </cell>
          <cell r="I308">
            <v>0</v>
          </cell>
          <cell r="J308">
            <v>10000</v>
          </cell>
          <cell r="K308">
            <v>20000</v>
          </cell>
          <cell r="L308">
            <v>30000</v>
          </cell>
          <cell r="M308">
            <v>65000</v>
          </cell>
          <cell r="N308">
            <v>65000</v>
          </cell>
          <cell r="O308">
            <v>65000</v>
          </cell>
          <cell r="P308">
            <v>55000</v>
          </cell>
          <cell r="Q308">
            <v>55000</v>
          </cell>
          <cell r="R308">
            <v>55000</v>
          </cell>
          <cell r="S308">
            <v>55000</v>
          </cell>
          <cell r="T308">
            <v>35000</v>
          </cell>
          <cell r="U308">
            <v>35000</v>
          </cell>
          <cell r="V308">
            <v>35000</v>
          </cell>
          <cell r="W308">
            <v>35000</v>
          </cell>
        </row>
        <row r="309">
          <cell r="C309" t="str">
            <v>080160-HM3W</v>
          </cell>
          <cell r="D309">
            <v>1</v>
          </cell>
          <cell r="E309">
            <v>11000</v>
          </cell>
          <cell r="F309">
            <v>0</v>
          </cell>
          <cell r="G309">
            <v>35400</v>
          </cell>
          <cell r="H309">
            <v>35400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35400</v>
          </cell>
          <cell r="N309">
            <v>35400</v>
          </cell>
          <cell r="O309">
            <v>35400</v>
          </cell>
          <cell r="P309">
            <v>35400</v>
          </cell>
          <cell r="Q309">
            <v>35400</v>
          </cell>
          <cell r="R309">
            <v>35400</v>
          </cell>
          <cell r="S309">
            <v>35400</v>
          </cell>
          <cell r="T309">
            <v>35400</v>
          </cell>
          <cell r="U309">
            <v>35400</v>
          </cell>
          <cell r="V309">
            <v>35400</v>
          </cell>
          <cell r="W309">
            <v>35400</v>
          </cell>
        </row>
        <row r="310">
          <cell r="C310" t="str">
            <v>040100-B59B-ADM</v>
          </cell>
          <cell r="D310">
            <v>1</v>
          </cell>
          <cell r="E310">
            <v>0</v>
          </cell>
          <cell r="F310">
            <v>0</v>
          </cell>
          <cell r="G310">
            <v>35430</v>
          </cell>
          <cell r="H310">
            <v>35430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35430</v>
          </cell>
          <cell r="N310">
            <v>35430</v>
          </cell>
          <cell r="O310">
            <v>35430</v>
          </cell>
          <cell r="P310">
            <v>35430</v>
          </cell>
          <cell r="Q310">
            <v>35430</v>
          </cell>
          <cell r="R310">
            <v>35430</v>
          </cell>
          <cell r="S310">
            <v>35430</v>
          </cell>
          <cell r="T310">
            <v>35430</v>
          </cell>
          <cell r="U310">
            <v>35430</v>
          </cell>
          <cell r="V310">
            <v>35430</v>
          </cell>
          <cell r="W310">
            <v>35430</v>
          </cell>
        </row>
        <row r="311">
          <cell r="C311" t="str">
            <v>040120-P56H-4</v>
          </cell>
          <cell r="D311">
            <v>1</v>
          </cell>
          <cell r="E311">
            <v>0</v>
          </cell>
          <cell r="F311">
            <v>0</v>
          </cell>
          <cell r="G311">
            <v>36000</v>
          </cell>
          <cell r="H311">
            <v>36000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36000</v>
          </cell>
          <cell r="N311">
            <v>36000</v>
          </cell>
          <cell r="O311">
            <v>36000</v>
          </cell>
          <cell r="P311">
            <v>36000</v>
          </cell>
          <cell r="Q311">
            <v>36000</v>
          </cell>
          <cell r="R311">
            <v>36000</v>
          </cell>
          <cell r="S311">
            <v>36000</v>
          </cell>
          <cell r="T311">
            <v>36000</v>
          </cell>
          <cell r="U311">
            <v>36000</v>
          </cell>
          <cell r="V311">
            <v>36000</v>
          </cell>
          <cell r="W311">
            <v>36000</v>
          </cell>
        </row>
        <row r="312">
          <cell r="C312" t="str">
            <v>040120-T65H</v>
          </cell>
          <cell r="D312">
            <v>2</v>
          </cell>
          <cell r="E312">
            <v>0</v>
          </cell>
          <cell r="F312">
            <v>0</v>
          </cell>
          <cell r="G312">
            <v>368000</v>
          </cell>
          <cell r="H312">
            <v>368000</v>
          </cell>
          <cell r="I312">
            <v>87645</v>
          </cell>
          <cell r="J312">
            <v>160121</v>
          </cell>
          <cell r="K312">
            <v>83420</v>
          </cell>
          <cell r="L312">
            <v>331186</v>
          </cell>
          <cell r="M312">
            <v>337528</v>
          </cell>
          <cell r="N312">
            <v>308866</v>
          </cell>
          <cell r="O312">
            <v>280355</v>
          </cell>
          <cell r="P312">
            <v>235908</v>
          </cell>
          <cell r="Q312">
            <v>195148</v>
          </cell>
          <cell r="R312">
            <v>160146</v>
          </cell>
          <cell r="S312">
            <v>120234</v>
          </cell>
          <cell r="T312">
            <v>75678</v>
          </cell>
          <cell r="U312">
            <v>36814</v>
          </cell>
          <cell r="V312">
            <v>36814</v>
          </cell>
          <cell r="W312">
            <v>36814</v>
          </cell>
        </row>
        <row r="313">
          <cell r="C313" t="str">
            <v>040900-J121-D</v>
          </cell>
          <cell r="D313">
            <v>1</v>
          </cell>
          <cell r="E313">
            <v>0</v>
          </cell>
          <cell r="F313">
            <v>0</v>
          </cell>
          <cell r="G313">
            <v>38700</v>
          </cell>
          <cell r="H313">
            <v>38700</v>
          </cell>
          <cell r="I313">
            <v>1200</v>
          </cell>
          <cell r="J313">
            <v>0</v>
          </cell>
          <cell r="K313">
            <v>562</v>
          </cell>
          <cell r="L313">
            <v>1762</v>
          </cell>
          <cell r="M313">
            <v>37500</v>
          </cell>
          <cell r="N313">
            <v>37500</v>
          </cell>
          <cell r="O313">
            <v>37500</v>
          </cell>
          <cell r="P313">
            <v>37500</v>
          </cell>
          <cell r="Q313">
            <v>37500</v>
          </cell>
          <cell r="R313">
            <v>37500</v>
          </cell>
          <cell r="S313">
            <v>37500</v>
          </cell>
          <cell r="T313">
            <v>37500</v>
          </cell>
          <cell r="U313">
            <v>37500</v>
          </cell>
          <cell r="V313">
            <v>37500</v>
          </cell>
          <cell r="W313">
            <v>36938</v>
          </cell>
        </row>
        <row r="314">
          <cell r="C314" t="str">
            <v>050160-J51W</v>
          </cell>
          <cell r="D314">
            <v>1</v>
          </cell>
          <cell r="E314">
            <v>0</v>
          </cell>
          <cell r="F314">
            <v>0</v>
          </cell>
          <cell r="G314">
            <v>37000</v>
          </cell>
          <cell r="H314">
            <v>37000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37000</v>
          </cell>
          <cell r="N314">
            <v>37000</v>
          </cell>
          <cell r="O314">
            <v>37000</v>
          </cell>
          <cell r="P314">
            <v>37000</v>
          </cell>
          <cell r="Q314">
            <v>37000</v>
          </cell>
          <cell r="R314">
            <v>37000</v>
          </cell>
          <cell r="S314">
            <v>37000</v>
          </cell>
          <cell r="T314">
            <v>37000</v>
          </cell>
          <cell r="U314">
            <v>37000</v>
          </cell>
          <cell r="V314">
            <v>37000</v>
          </cell>
          <cell r="W314">
            <v>37000</v>
          </cell>
        </row>
        <row r="315">
          <cell r="C315" t="str">
            <v>040060-P62W</v>
          </cell>
          <cell r="D315">
            <v>1</v>
          </cell>
          <cell r="E315">
            <v>0</v>
          </cell>
          <cell r="F315">
            <v>101000</v>
          </cell>
          <cell r="G315">
            <v>16000</v>
          </cell>
          <cell r="H315">
            <v>117000</v>
          </cell>
          <cell r="I315">
            <v>0</v>
          </cell>
          <cell r="J315">
            <v>40000</v>
          </cell>
          <cell r="K315">
            <v>40000</v>
          </cell>
          <cell r="L315">
            <v>80000</v>
          </cell>
          <cell r="M315">
            <v>117000</v>
          </cell>
          <cell r="N315">
            <v>117000</v>
          </cell>
          <cell r="O315">
            <v>117000</v>
          </cell>
          <cell r="P315">
            <v>77000</v>
          </cell>
          <cell r="Q315">
            <v>77000</v>
          </cell>
          <cell r="R315">
            <v>77000</v>
          </cell>
          <cell r="S315">
            <v>77000</v>
          </cell>
          <cell r="T315">
            <v>37000</v>
          </cell>
          <cell r="U315">
            <v>37000</v>
          </cell>
          <cell r="V315">
            <v>37000</v>
          </cell>
          <cell r="W315">
            <v>37000</v>
          </cell>
        </row>
        <row r="316">
          <cell r="C316" t="str">
            <v>045240-200W-2F</v>
          </cell>
          <cell r="D316">
            <v>1</v>
          </cell>
          <cell r="E316">
            <v>0</v>
          </cell>
          <cell r="F316">
            <v>0</v>
          </cell>
          <cell r="G316">
            <v>37301</v>
          </cell>
          <cell r="H316">
            <v>37301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37301</v>
          </cell>
          <cell r="N316">
            <v>37301</v>
          </cell>
          <cell r="O316">
            <v>37301</v>
          </cell>
          <cell r="P316">
            <v>37301</v>
          </cell>
          <cell r="Q316">
            <v>37301</v>
          </cell>
          <cell r="R316">
            <v>37301</v>
          </cell>
          <cell r="S316">
            <v>37301</v>
          </cell>
          <cell r="T316">
            <v>37301</v>
          </cell>
          <cell r="U316">
            <v>37301</v>
          </cell>
          <cell r="V316">
            <v>37301</v>
          </cell>
          <cell r="W316">
            <v>37301</v>
          </cell>
        </row>
        <row r="317">
          <cell r="C317" t="str">
            <v>050120-C62B-H</v>
          </cell>
          <cell r="D317">
            <v>1</v>
          </cell>
          <cell r="E317">
            <v>0</v>
          </cell>
          <cell r="F317">
            <v>51000</v>
          </cell>
          <cell r="G317">
            <v>115000</v>
          </cell>
          <cell r="H317">
            <v>166000</v>
          </cell>
          <cell r="I317">
            <v>0</v>
          </cell>
          <cell r="J317">
            <v>128000</v>
          </cell>
          <cell r="K317">
            <v>0</v>
          </cell>
          <cell r="L317">
            <v>128000</v>
          </cell>
          <cell r="M317">
            <v>166000</v>
          </cell>
          <cell r="N317">
            <v>166000</v>
          </cell>
          <cell r="O317">
            <v>166000</v>
          </cell>
          <cell r="P317">
            <v>38000</v>
          </cell>
          <cell r="Q317">
            <v>38000</v>
          </cell>
          <cell r="R317">
            <v>38000</v>
          </cell>
          <cell r="S317">
            <v>38000</v>
          </cell>
          <cell r="T317">
            <v>38000</v>
          </cell>
          <cell r="U317">
            <v>38000</v>
          </cell>
          <cell r="V317">
            <v>38000</v>
          </cell>
          <cell r="W317">
            <v>38000</v>
          </cell>
        </row>
        <row r="318">
          <cell r="C318" t="str">
            <v>040080-T46H-5</v>
          </cell>
          <cell r="D318">
            <v>1</v>
          </cell>
          <cell r="E318">
            <v>0</v>
          </cell>
          <cell r="F318">
            <v>0</v>
          </cell>
          <cell r="G318">
            <v>38000</v>
          </cell>
          <cell r="H318">
            <v>38000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38000</v>
          </cell>
          <cell r="N318">
            <v>38000</v>
          </cell>
          <cell r="O318">
            <v>38000</v>
          </cell>
          <cell r="P318">
            <v>38000</v>
          </cell>
          <cell r="Q318">
            <v>38000</v>
          </cell>
          <cell r="R318">
            <v>38000</v>
          </cell>
          <cell r="S318">
            <v>38000</v>
          </cell>
          <cell r="T318">
            <v>38000</v>
          </cell>
          <cell r="U318">
            <v>38000</v>
          </cell>
          <cell r="V318">
            <v>38000</v>
          </cell>
          <cell r="W318">
            <v>38000</v>
          </cell>
        </row>
        <row r="319">
          <cell r="C319" t="str">
            <v>040120-Y56H-Z</v>
          </cell>
          <cell r="D319">
            <v>1</v>
          </cell>
          <cell r="E319">
            <v>28000</v>
          </cell>
          <cell r="F319">
            <v>3000</v>
          </cell>
          <cell r="G319">
            <v>35000</v>
          </cell>
          <cell r="H319">
            <v>38000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38000</v>
          </cell>
          <cell r="N319">
            <v>38000</v>
          </cell>
          <cell r="O319">
            <v>38000</v>
          </cell>
          <cell r="P319">
            <v>38000</v>
          </cell>
          <cell r="Q319">
            <v>38000</v>
          </cell>
          <cell r="R319">
            <v>38000</v>
          </cell>
          <cell r="S319">
            <v>38000</v>
          </cell>
          <cell r="T319">
            <v>38000</v>
          </cell>
          <cell r="U319">
            <v>38000</v>
          </cell>
          <cell r="V319">
            <v>38000</v>
          </cell>
          <cell r="W319">
            <v>38000</v>
          </cell>
        </row>
        <row r="320">
          <cell r="C320" t="str">
            <v>102184-258W-3F</v>
          </cell>
          <cell r="D320">
            <v>1</v>
          </cell>
          <cell r="E320">
            <v>0</v>
          </cell>
          <cell r="F320">
            <v>0</v>
          </cell>
          <cell r="G320">
            <v>44500</v>
          </cell>
          <cell r="H320">
            <v>44500</v>
          </cell>
          <cell r="I320">
            <v>2000</v>
          </cell>
          <cell r="J320">
            <v>2000</v>
          </cell>
          <cell r="K320">
            <v>2000</v>
          </cell>
          <cell r="L320">
            <v>6000</v>
          </cell>
          <cell r="M320">
            <v>42500</v>
          </cell>
          <cell r="N320">
            <v>42500</v>
          </cell>
          <cell r="O320">
            <v>42500</v>
          </cell>
          <cell r="P320">
            <v>40500</v>
          </cell>
          <cell r="Q320">
            <v>40500</v>
          </cell>
          <cell r="R320">
            <v>40500</v>
          </cell>
          <cell r="S320">
            <v>40500</v>
          </cell>
          <cell r="T320">
            <v>38500</v>
          </cell>
          <cell r="U320">
            <v>38500</v>
          </cell>
          <cell r="V320">
            <v>38500</v>
          </cell>
          <cell r="W320">
            <v>38500</v>
          </cell>
        </row>
        <row r="321">
          <cell r="C321" t="str">
            <v>060351-FMFW-DP</v>
          </cell>
          <cell r="D321">
            <v>1</v>
          </cell>
          <cell r="E321">
            <v>0</v>
          </cell>
          <cell r="F321">
            <v>0</v>
          </cell>
          <cell r="G321">
            <v>329600</v>
          </cell>
          <cell r="H321">
            <v>329600</v>
          </cell>
          <cell r="I321">
            <v>107296</v>
          </cell>
          <cell r="J321">
            <v>135066.25</v>
          </cell>
          <cell r="K321">
            <v>47316</v>
          </cell>
          <cell r="L321">
            <v>289678.25</v>
          </cell>
          <cell r="M321">
            <v>304242</v>
          </cell>
          <cell r="N321">
            <v>260922</v>
          </cell>
          <cell r="O321">
            <v>222304</v>
          </cell>
          <cell r="P321">
            <v>184918</v>
          </cell>
          <cell r="Q321">
            <v>147724</v>
          </cell>
          <cell r="R321">
            <v>110872</v>
          </cell>
          <cell r="S321">
            <v>87237.75</v>
          </cell>
          <cell r="T321">
            <v>68823.75</v>
          </cell>
          <cell r="U321">
            <v>53289.75</v>
          </cell>
          <cell r="V321">
            <v>39921.75</v>
          </cell>
          <cell r="W321">
            <v>39921.75</v>
          </cell>
        </row>
        <row r="322">
          <cell r="C322" t="str">
            <v>040080-T56H</v>
          </cell>
          <cell r="D322">
            <v>1</v>
          </cell>
          <cell r="E322">
            <v>0</v>
          </cell>
          <cell r="F322">
            <v>0</v>
          </cell>
          <cell r="G322">
            <v>66000</v>
          </cell>
          <cell r="H322">
            <v>66000</v>
          </cell>
          <cell r="I322">
            <v>0</v>
          </cell>
          <cell r="J322">
            <v>15000</v>
          </cell>
          <cell r="K322">
            <v>10000</v>
          </cell>
          <cell r="L322">
            <v>25000</v>
          </cell>
          <cell r="M322">
            <v>66000</v>
          </cell>
          <cell r="N322">
            <v>66000</v>
          </cell>
          <cell r="O322">
            <v>66000</v>
          </cell>
          <cell r="P322">
            <v>51000</v>
          </cell>
          <cell r="Q322">
            <v>51000</v>
          </cell>
          <cell r="R322">
            <v>51000</v>
          </cell>
          <cell r="S322">
            <v>51000</v>
          </cell>
          <cell r="T322">
            <v>41000</v>
          </cell>
          <cell r="U322">
            <v>41000</v>
          </cell>
          <cell r="V322">
            <v>41000</v>
          </cell>
          <cell r="W322">
            <v>41000</v>
          </cell>
        </row>
        <row r="323">
          <cell r="C323" t="str">
            <v>060100-PM7H-2</v>
          </cell>
          <cell r="D323">
            <v>1</v>
          </cell>
          <cell r="E323">
            <v>0</v>
          </cell>
          <cell r="F323">
            <v>0</v>
          </cell>
          <cell r="G323">
            <v>54500</v>
          </cell>
          <cell r="H323">
            <v>54500</v>
          </cell>
          <cell r="I323">
            <v>3000</v>
          </cell>
          <cell r="J323">
            <v>5000</v>
          </cell>
          <cell r="K323">
            <v>5000</v>
          </cell>
          <cell r="L323">
            <v>13000</v>
          </cell>
          <cell r="M323">
            <v>51500</v>
          </cell>
          <cell r="N323">
            <v>51500</v>
          </cell>
          <cell r="O323">
            <v>51500</v>
          </cell>
          <cell r="P323">
            <v>46500</v>
          </cell>
          <cell r="Q323">
            <v>46500</v>
          </cell>
          <cell r="R323">
            <v>46500</v>
          </cell>
          <cell r="S323">
            <v>46500</v>
          </cell>
          <cell r="T323">
            <v>41500</v>
          </cell>
          <cell r="U323">
            <v>41500</v>
          </cell>
          <cell r="V323">
            <v>41500</v>
          </cell>
          <cell r="W323">
            <v>41500</v>
          </cell>
        </row>
        <row r="324">
          <cell r="C324" t="str">
            <v>064145-056H-1F</v>
          </cell>
          <cell r="D324">
            <v>1</v>
          </cell>
          <cell r="E324">
            <v>0</v>
          </cell>
          <cell r="F324">
            <v>0</v>
          </cell>
          <cell r="G324">
            <v>85000</v>
          </cell>
          <cell r="H324">
            <v>85000</v>
          </cell>
          <cell r="I324">
            <v>18747</v>
          </cell>
          <cell r="J324">
            <v>0</v>
          </cell>
          <cell r="K324">
            <v>24642</v>
          </cell>
          <cell r="L324">
            <v>43389</v>
          </cell>
          <cell r="M324">
            <v>85000</v>
          </cell>
          <cell r="N324">
            <v>85000</v>
          </cell>
          <cell r="O324">
            <v>66253</v>
          </cell>
          <cell r="P324">
            <v>66253</v>
          </cell>
          <cell r="Q324">
            <v>66253</v>
          </cell>
          <cell r="R324">
            <v>66253</v>
          </cell>
          <cell r="S324">
            <v>66253</v>
          </cell>
          <cell r="T324">
            <v>41611</v>
          </cell>
          <cell r="U324">
            <v>41611</v>
          </cell>
          <cell r="V324">
            <v>41611</v>
          </cell>
          <cell r="W324">
            <v>41611</v>
          </cell>
        </row>
        <row r="325">
          <cell r="C325" t="str">
            <v>540186-F66H</v>
          </cell>
          <cell r="D325">
            <v>1</v>
          </cell>
          <cell r="E325">
            <v>0</v>
          </cell>
          <cell r="F325">
            <v>0</v>
          </cell>
          <cell r="G325">
            <v>42000</v>
          </cell>
          <cell r="H325">
            <v>42000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42000</v>
          </cell>
          <cell r="N325">
            <v>42000</v>
          </cell>
          <cell r="O325">
            <v>42000</v>
          </cell>
          <cell r="P325">
            <v>42000</v>
          </cell>
          <cell r="Q325">
            <v>42000</v>
          </cell>
          <cell r="R325">
            <v>42000</v>
          </cell>
          <cell r="S325">
            <v>42000</v>
          </cell>
          <cell r="T325">
            <v>42000</v>
          </cell>
          <cell r="U325">
            <v>42000</v>
          </cell>
          <cell r="V325">
            <v>42000</v>
          </cell>
          <cell r="W325">
            <v>42000</v>
          </cell>
        </row>
        <row r="326">
          <cell r="C326" t="str">
            <v>790270-Y010-D</v>
          </cell>
          <cell r="D326">
            <v>1</v>
          </cell>
          <cell r="E326">
            <v>0</v>
          </cell>
          <cell r="F326">
            <v>0</v>
          </cell>
          <cell r="G326">
            <v>54097</v>
          </cell>
          <cell r="H326">
            <v>54097</v>
          </cell>
          <cell r="I326">
            <v>4674</v>
          </cell>
          <cell r="J326">
            <v>7326</v>
          </cell>
          <cell r="K326">
            <v>0</v>
          </cell>
          <cell r="L326">
            <v>12000</v>
          </cell>
          <cell r="M326">
            <v>51657</v>
          </cell>
          <cell r="N326">
            <v>51151</v>
          </cell>
          <cell r="O326">
            <v>49423</v>
          </cell>
          <cell r="P326">
            <v>46867</v>
          </cell>
          <cell r="Q326">
            <v>44938</v>
          </cell>
          <cell r="R326">
            <v>42097</v>
          </cell>
          <cell r="S326">
            <v>42097</v>
          </cell>
          <cell r="T326">
            <v>42097</v>
          </cell>
          <cell r="U326">
            <v>42097</v>
          </cell>
          <cell r="V326">
            <v>42097</v>
          </cell>
          <cell r="W326">
            <v>42097</v>
          </cell>
        </row>
        <row r="327">
          <cell r="C327" t="str">
            <v>350190-P12W-B</v>
          </cell>
          <cell r="D327">
            <v>1</v>
          </cell>
          <cell r="E327">
            <v>0</v>
          </cell>
          <cell r="F327">
            <v>51000</v>
          </cell>
          <cell r="G327">
            <v>44000</v>
          </cell>
          <cell r="H327">
            <v>95000</v>
          </cell>
          <cell r="I327">
            <v>26000</v>
          </cell>
          <cell r="J327">
            <v>0</v>
          </cell>
          <cell r="K327">
            <v>26000</v>
          </cell>
          <cell r="L327">
            <v>52000</v>
          </cell>
          <cell r="M327">
            <v>95000</v>
          </cell>
          <cell r="N327">
            <v>69000</v>
          </cell>
          <cell r="O327">
            <v>69000</v>
          </cell>
          <cell r="P327">
            <v>69000</v>
          </cell>
          <cell r="Q327">
            <v>69000</v>
          </cell>
          <cell r="R327">
            <v>69000</v>
          </cell>
          <cell r="S327">
            <v>69000</v>
          </cell>
          <cell r="T327">
            <v>43000</v>
          </cell>
          <cell r="U327">
            <v>43000</v>
          </cell>
          <cell r="V327">
            <v>43000</v>
          </cell>
          <cell r="W327">
            <v>43000</v>
          </cell>
        </row>
        <row r="328">
          <cell r="C328" t="str">
            <v>070420-ZM6H-D</v>
          </cell>
          <cell r="D328">
            <v>1</v>
          </cell>
          <cell r="E328">
            <v>0</v>
          </cell>
          <cell r="F328">
            <v>0</v>
          </cell>
          <cell r="G328">
            <v>43500</v>
          </cell>
          <cell r="H328">
            <v>43500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43500</v>
          </cell>
          <cell r="N328">
            <v>43500</v>
          </cell>
          <cell r="O328">
            <v>43500</v>
          </cell>
          <cell r="P328">
            <v>43500</v>
          </cell>
          <cell r="Q328">
            <v>43500</v>
          </cell>
          <cell r="R328">
            <v>43500</v>
          </cell>
          <cell r="S328">
            <v>43500</v>
          </cell>
          <cell r="T328">
            <v>43500</v>
          </cell>
          <cell r="U328">
            <v>43500</v>
          </cell>
          <cell r="V328">
            <v>43500</v>
          </cell>
          <cell r="W328">
            <v>43500</v>
          </cell>
        </row>
        <row r="329">
          <cell r="C329" t="str">
            <v>040100-T52W-S</v>
          </cell>
          <cell r="D329">
            <v>1</v>
          </cell>
          <cell r="E329">
            <v>0</v>
          </cell>
          <cell r="F329">
            <v>0</v>
          </cell>
          <cell r="G329">
            <v>43556</v>
          </cell>
          <cell r="H329">
            <v>43556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43556</v>
          </cell>
          <cell r="N329">
            <v>43556</v>
          </cell>
          <cell r="O329">
            <v>43556</v>
          </cell>
          <cell r="P329">
            <v>43556</v>
          </cell>
          <cell r="Q329">
            <v>43556</v>
          </cell>
          <cell r="R329">
            <v>43556</v>
          </cell>
          <cell r="S329">
            <v>43556</v>
          </cell>
          <cell r="T329">
            <v>43556</v>
          </cell>
          <cell r="U329">
            <v>43556</v>
          </cell>
          <cell r="V329">
            <v>43556</v>
          </cell>
          <cell r="W329">
            <v>43556</v>
          </cell>
        </row>
        <row r="330">
          <cell r="C330" t="str">
            <v>100350-HM3W</v>
          </cell>
          <cell r="D330">
            <v>1</v>
          </cell>
          <cell r="E330">
            <v>0</v>
          </cell>
          <cell r="F330">
            <v>0</v>
          </cell>
          <cell r="G330">
            <v>43800</v>
          </cell>
          <cell r="H330">
            <v>43800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43800</v>
          </cell>
          <cell r="N330">
            <v>43800</v>
          </cell>
          <cell r="O330">
            <v>43800</v>
          </cell>
          <cell r="P330">
            <v>43800</v>
          </cell>
          <cell r="Q330">
            <v>43800</v>
          </cell>
          <cell r="R330">
            <v>43800</v>
          </cell>
          <cell r="S330">
            <v>43800</v>
          </cell>
          <cell r="T330">
            <v>43800</v>
          </cell>
          <cell r="U330">
            <v>43800</v>
          </cell>
          <cell r="V330">
            <v>43800</v>
          </cell>
          <cell r="W330">
            <v>43800</v>
          </cell>
        </row>
        <row r="331">
          <cell r="C331" t="str">
            <v>040080-P62G</v>
          </cell>
          <cell r="D331">
            <v>1</v>
          </cell>
          <cell r="E331">
            <v>0</v>
          </cell>
          <cell r="F331">
            <v>0</v>
          </cell>
          <cell r="G331">
            <v>44000</v>
          </cell>
          <cell r="H331">
            <v>44000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44000</v>
          </cell>
          <cell r="N331">
            <v>44000</v>
          </cell>
          <cell r="O331">
            <v>44000</v>
          </cell>
          <cell r="P331">
            <v>44000</v>
          </cell>
          <cell r="Q331">
            <v>44000</v>
          </cell>
          <cell r="R331">
            <v>44000</v>
          </cell>
          <cell r="S331">
            <v>44000</v>
          </cell>
          <cell r="T331">
            <v>44000</v>
          </cell>
          <cell r="U331">
            <v>44000</v>
          </cell>
          <cell r="V331">
            <v>44000</v>
          </cell>
          <cell r="W331">
            <v>44000</v>
          </cell>
        </row>
        <row r="332">
          <cell r="C332" t="str">
            <v>100346-Y01B</v>
          </cell>
          <cell r="D332">
            <v>1</v>
          </cell>
          <cell r="E332">
            <v>0</v>
          </cell>
          <cell r="F332">
            <v>0</v>
          </cell>
          <cell r="G332">
            <v>47000</v>
          </cell>
          <cell r="H332">
            <v>47000</v>
          </cell>
          <cell r="I332">
            <v>1200</v>
          </cell>
          <cell r="J332">
            <v>1200</v>
          </cell>
          <cell r="K332">
            <v>400</v>
          </cell>
          <cell r="L332">
            <v>2800</v>
          </cell>
          <cell r="M332">
            <v>46200</v>
          </cell>
          <cell r="N332">
            <v>46000</v>
          </cell>
          <cell r="O332">
            <v>45800</v>
          </cell>
          <cell r="P332">
            <v>45800</v>
          </cell>
          <cell r="Q332">
            <v>45600</v>
          </cell>
          <cell r="R332">
            <v>44600</v>
          </cell>
          <cell r="S332">
            <v>44600</v>
          </cell>
          <cell r="T332">
            <v>44200</v>
          </cell>
          <cell r="U332">
            <v>44200</v>
          </cell>
          <cell r="V332">
            <v>44200</v>
          </cell>
          <cell r="W332">
            <v>44200</v>
          </cell>
        </row>
        <row r="333">
          <cell r="C333" t="str">
            <v>040180-T12P</v>
          </cell>
          <cell r="D333">
            <v>1</v>
          </cell>
          <cell r="E333">
            <v>0</v>
          </cell>
          <cell r="F333">
            <v>36000</v>
          </cell>
          <cell r="G333">
            <v>337000</v>
          </cell>
          <cell r="H333">
            <v>373000</v>
          </cell>
          <cell r="I333">
            <v>100000</v>
          </cell>
          <cell r="J333">
            <v>113744</v>
          </cell>
          <cell r="K333">
            <v>114876</v>
          </cell>
          <cell r="L333">
            <v>328620</v>
          </cell>
          <cell r="M333">
            <v>273000</v>
          </cell>
          <cell r="N333">
            <v>273000</v>
          </cell>
          <cell r="O333">
            <v>273000</v>
          </cell>
          <cell r="P333">
            <v>159256</v>
          </cell>
          <cell r="Q333">
            <v>159256</v>
          </cell>
          <cell r="R333">
            <v>159256</v>
          </cell>
          <cell r="S333">
            <v>159256</v>
          </cell>
          <cell r="T333">
            <v>44380</v>
          </cell>
          <cell r="U333">
            <v>44380</v>
          </cell>
          <cell r="V333">
            <v>44380</v>
          </cell>
          <cell r="W333">
            <v>44380</v>
          </cell>
        </row>
        <row r="334">
          <cell r="C334" t="str">
            <v>030060-C66H</v>
          </cell>
          <cell r="D334">
            <v>1</v>
          </cell>
          <cell r="E334">
            <v>0</v>
          </cell>
          <cell r="F334">
            <v>0</v>
          </cell>
          <cell r="G334">
            <v>45000</v>
          </cell>
          <cell r="H334">
            <v>45000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45000</v>
          </cell>
          <cell r="N334">
            <v>45000</v>
          </cell>
          <cell r="O334">
            <v>45000</v>
          </cell>
          <cell r="P334">
            <v>45000</v>
          </cell>
          <cell r="Q334">
            <v>45000</v>
          </cell>
          <cell r="R334">
            <v>45000</v>
          </cell>
          <cell r="S334">
            <v>45000</v>
          </cell>
          <cell r="T334">
            <v>45000</v>
          </cell>
          <cell r="U334">
            <v>45000</v>
          </cell>
          <cell r="V334">
            <v>45000</v>
          </cell>
          <cell r="W334">
            <v>45000</v>
          </cell>
        </row>
        <row r="335">
          <cell r="C335" t="str">
            <v>370170-Z06H</v>
          </cell>
          <cell r="D335">
            <v>1</v>
          </cell>
          <cell r="E335">
            <v>0</v>
          </cell>
          <cell r="F335">
            <v>0</v>
          </cell>
          <cell r="G335">
            <v>45000</v>
          </cell>
          <cell r="H335">
            <v>45000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45000</v>
          </cell>
          <cell r="N335">
            <v>45000</v>
          </cell>
          <cell r="O335">
            <v>45000</v>
          </cell>
          <cell r="P335">
            <v>45000</v>
          </cell>
          <cell r="Q335">
            <v>45000</v>
          </cell>
          <cell r="R335">
            <v>45000</v>
          </cell>
          <cell r="S335">
            <v>45000</v>
          </cell>
          <cell r="T335">
            <v>45000</v>
          </cell>
          <cell r="U335">
            <v>45000</v>
          </cell>
          <cell r="V335">
            <v>45000</v>
          </cell>
          <cell r="W335">
            <v>45000</v>
          </cell>
        </row>
        <row r="336">
          <cell r="C336" t="str">
            <v>040060-P51N-4</v>
          </cell>
          <cell r="D336">
            <v>1</v>
          </cell>
          <cell r="E336">
            <v>0</v>
          </cell>
          <cell r="F336">
            <v>0</v>
          </cell>
          <cell r="G336">
            <v>79000</v>
          </cell>
          <cell r="H336">
            <v>79000</v>
          </cell>
          <cell r="I336">
            <v>0</v>
          </cell>
          <cell r="J336">
            <v>0</v>
          </cell>
          <cell r="K336">
            <v>34000</v>
          </cell>
          <cell r="L336">
            <v>34000</v>
          </cell>
          <cell r="M336">
            <v>79000</v>
          </cell>
          <cell r="N336">
            <v>79000</v>
          </cell>
          <cell r="O336">
            <v>79000</v>
          </cell>
          <cell r="P336">
            <v>79000</v>
          </cell>
          <cell r="Q336">
            <v>79000</v>
          </cell>
          <cell r="R336">
            <v>79000</v>
          </cell>
          <cell r="S336">
            <v>79000</v>
          </cell>
          <cell r="T336">
            <v>45000</v>
          </cell>
          <cell r="U336">
            <v>45000</v>
          </cell>
          <cell r="V336">
            <v>45000</v>
          </cell>
          <cell r="W336">
            <v>45000</v>
          </cell>
        </row>
        <row r="337">
          <cell r="C337" t="str">
            <v>040120-TS2W-RS</v>
          </cell>
          <cell r="D337">
            <v>1</v>
          </cell>
          <cell r="E337">
            <v>95000</v>
          </cell>
          <cell r="F337">
            <v>111000</v>
          </cell>
          <cell r="G337">
            <v>0</v>
          </cell>
          <cell r="H337">
            <v>111000</v>
          </cell>
          <cell r="I337">
            <v>50</v>
          </cell>
          <cell r="J337">
            <v>36082</v>
          </cell>
          <cell r="K337">
            <v>29780</v>
          </cell>
          <cell r="L337">
            <v>65912</v>
          </cell>
          <cell r="M337">
            <v>111000</v>
          </cell>
          <cell r="N337">
            <v>110950</v>
          </cell>
          <cell r="O337">
            <v>110950</v>
          </cell>
          <cell r="P337">
            <v>74868</v>
          </cell>
          <cell r="Q337">
            <v>74868</v>
          </cell>
          <cell r="R337">
            <v>74868</v>
          </cell>
          <cell r="S337">
            <v>74868</v>
          </cell>
          <cell r="T337">
            <v>45088</v>
          </cell>
          <cell r="U337">
            <v>45088</v>
          </cell>
          <cell r="V337">
            <v>45088</v>
          </cell>
          <cell r="W337">
            <v>45088</v>
          </cell>
        </row>
        <row r="338">
          <cell r="C338" t="str">
            <v>040120-T16H</v>
          </cell>
          <cell r="D338">
            <v>3</v>
          </cell>
          <cell r="E338">
            <v>0</v>
          </cell>
          <cell r="F338">
            <v>0</v>
          </cell>
          <cell r="G338">
            <v>490000</v>
          </cell>
          <cell r="H338">
            <v>490000</v>
          </cell>
          <cell r="I338">
            <v>97710.200000000012</v>
          </cell>
          <cell r="J338">
            <v>267678</v>
          </cell>
          <cell r="K338">
            <v>78548.52</v>
          </cell>
          <cell r="L338">
            <v>443936.72000000003</v>
          </cell>
          <cell r="M338">
            <v>462918.8</v>
          </cell>
          <cell r="N338">
            <v>435506.39999999997</v>
          </cell>
          <cell r="O338">
            <v>392289.8</v>
          </cell>
          <cell r="P338">
            <v>278854.8</v>
          </cell>
          <cell r="Q338">
            <v>189448.4</v>
          </cell>
          <cell r="R338">
            <v>166750.19999999998</v>
          </cell>
          <cell r="S338">
            <v>124611.79999999999</v>
          </cell>
          <cell r="T338">
            <v>48615.679999999978</v>
          </cell>
          <cell r="U338">
            <v>46063.279999999977</v>
          </cell>
          <cell r="V338">
            <v>46063.279999999977</v>
          </cell>
          <cell r="W338">
            <v>46063.279999999977</v>
          </cell>
        </row>
        <row r="339">
          <cell r="C339" t="str">
            <v>040120-C54W-Z</v>
          </cell>
          <cell r="D339">
            <v>1</v>
          </cell>
          <cell r="E339">
            <v>22000</v>
          </cell>
          <cell r="F339">
            <v>4000</v>
          </cell>
          <cell r="G339">
            <v>71000</v>
          </cell>
          <cell r="H339">
            <v>75000</v>
          </cell>
          <cell r="I339">
            <v>26000</v>
          </cell>
          <cell r="J339">
            <v>0</v>
          </cell>
          <cell r="K339">
            <v>0</v>
          </cell>
          <cell r="L339">
            <v>26000</v>
          </cell>
          <cell r="M339">
            <v>49000</v>
          </cell>
          <cell r="N339">
            <v>49000</v>
          </cell>
          <cell r="O339">
            <v>49000</v>
          </cell>
          <cell r="P339">
            <v>49000</v>
          </cell>
          <cell r="Q339">
            <v>49000</v>
          </cell>
          <cell r="R339">
            <v>49000</v>
          </cell>
          <cell r="S339">
            <v>49000</v>
          </cell>
          <cell r="T339">
            <v>49000</v>
          </cell>
          <cell r="U339">
            <v>49000</v>
          </cell>
          <cell r="V339">
            <v>49000</v>
          </cell>
          <cell r="W339">
            <v>49000</v>
          </cell>
        </row>
        <row r="340">
          <cell r="C340" t="str">
            <v>060100-P56H</v>
          </cell>
          <cell r="D340">
            <v>1</v>
          </cell>
          <cell r="E340">
            <v>0</v>
          </cell>
          <cell r="F340">
            <v>0</v>
          </cell>
          <cell r="G340">
            <v>53000</v>
          </cell>
          <cell r="H340">
            <v>53000</v>
          </cell>
          <cell r="I340">
            <v>0</v>
          </cell>
          <cell r="J340">
            <v>2000</v>
          </cell>
          <cell r="K340">
            <v>1000</v>
          </cell>
          <cell r="L340">
            <v>3000</v>
          </cell>
          <cell r="M340">
            <v>53000</v>
          </cell>
          <cell r="N340">
            <v>53000</v>
          </cell>
          <cell r="O340">
            <v>53000</v>
          </cell>
          <cell r="P340">
            <v>51000</v>
          </cell>
          <cell r="Q340">
            <v>51000</v>
          </cell>
          <cell r="R340">
            <v>51000</v>
          </cell>
          <cell r="S340">
            <v>51000</v>
          </cell>
          <cell r="T340">
            <v>50000</v>
          </cell>
          <cell r="U340">
            <v>50000</v>
          </cell>
          <cell r="V340">
            <v>50000</v>
          </cell>
          <cell r="W340">
            <v>50000</v>
          </cell>
        </row>
        <row r="341">
          <cell r="C341" t="str">
            <v>040120-P51N-4</v>
          </cell>
          <cell r="D341">
            <v>1</v>
          </cell>
          <cell r="E341">
            <v>0</v>
          </cell>
          <cell r="F341">
            <v>0</v>
          </cell>
          <cell r="G341">
            <v>60000</v>
          </cell>
          <cell r="H341">
            <v>60000</v>
          </cell>
          <cell r="I341">
            <v>0</v>
          </cell>
          <cell r="J341">
            <v>0</v>
          </cell>
          <cell r="K341">
            <v>10000</v>
          </cell>
          <cell r="L341">
            <v>10000</v>
          </cell>
          <cell r="M341">
            <v>60000</v>
          </cell>
          <cell r="N341">
            <v>60000</v>
          </cell>
          <cell r="O341">
            <v>60000</v>
          </cell>
          <cell r="P341">
            <v>60000</v>
          </cell>
          <cell r="Q341">
            <v>60000</v>
          </cell>
          <cell r="R341">
            <v>60000</v>
          </cell>
          <cell r="S341">
            <v>60000</v>
          </cell>
          <cell r="T341">
            <v>50000</v>
          </cell>
          <cell r="U341">
            <v>50000</v>
          </cell>
          <cell r="V341">
            <v>50000</v>
          </cell>
          <cell r="W341">
            <v>50000</v>
          </cell>
        </row>
        <row r="342">
          <cell r="C342" t="str">
            <v>030110-P12B-AD</v>
          </cell>
          <cell r="D342">
            <v>1</v>
          </cell>
          <cell r="E342">
            <v>0</v>
          </cell>
          <cell r="F342">
            <v>0</v>
          </cell>
          <cell r="G342">
            <v>50000</v>
          </cell>
          <cell r="H342">
            <v>50000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50000</v>
          </cell>
          <cell r="N342">
            <v>50000</v>
          </cell>
          <cell r="O342">
            <v>50000</v>
          </cell>
          <cell r="P342">
            <v>50000</v>
          </cell>
          <cell r="Q342">
            <v>50000</v>
          </cell>
          <cell r="R342">
            <v>50000</v>
          </cell>
          <cell r="S342">
            <v>50000</v>
          </cell>
          <cell r="T342">
            <v>50000</v>
          </cell>
          <cell r="U342">
            <v>50000</v>
          </cell>
          <cell r="V342">
            <v>50000</v>
          </cell>
          <cell r="W342">
            <v>50000</v>
          </cell>
        </row>
        <row r="343">
          <cell r="C343" t="str">
            <v>030080-CP5W</v>
          </cell>
          <cell r="D343">
            <v>1</v>
          </cell>
          <cell r="E343">
            <v>50000</v>
          </cell>
          <cell r="F343">
            <v>0</v>
          </cell>
          <cell r="G343">
            <v>50000</v>
          </cell>
          <cell r="H343">
            <v>50000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50000</v>
          </cell>
          <cell r="N343">
            <v>50000</v>
          </cell>
          <cell r="O343">
            <v>50000</v>
          </cell>
          <cell r="P343">
            <v>50000</v>
          </cell>
          <cell r="Q343">
            <v>50000</v>
          </cell>
          <cell r="R343">
            <v>50000</v>
          </cell>
          <cell r="S343">
            <v>50000</v>
          </cell>
          <cell r="T343">
            <v>50000</v>
          </cell>
          <cell r="U343">
            <v>50000</v>
          </cell>
          <cell r="V343">
            <v>50000</v>
          </cell>
          <cell r="W343">
            <v>50000</v>
          </cell>
        </row>
        <row r="344">
          <cell r="C344" t="str">
            <v>050120-T62W-B</v>
          </cell>
          <cell r="D344">
            <v>1</v>
          </cell>
          <cell r="E344">
            <v>0</v>
          </cell>
          <cell r="F344">
            <v>0</v>
          </cell>
          <cell r="G344">
            <v>50600</v>
          </cell>
          <cell r="H344">
            <v>50600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50600</v>
          </cell>
          <cell r="N344">
            <v>50600</v>
          </cell>
          <cell r="O344">
            <v>50600</v>
          </cell>
          <cell r="P344">
            <v>50600</v>
          </cell>
          <cell r="Q344">
            <v>50600</v>
          </cell>
          <cell r="R344">
            <v>50600</v>
          </cell>
          <cell r="S344">
            <v>50600</v>
          </cell>
          <cell r="T344">
            <v>50600</v>
          </cell>
          <cell r="U344">
            <v>50600</v>
          </cell>
          <cell r="V344">
            <v>50600</v>
          </cell>
          <cell r="W344">
            <v>50600</v>
          </cell>
        </row>
        <row r="345">
          <cell r="C345" t="str">
            <v>040100-T51B-H</v>
          </cell>
          <cell r="D345">
            <v>1</v>
          </cell>
          <cell r="E345">
            <v>0</v>
          </cell>
          <cell r="F345">
            <v>0</v>
          </cell>
          <cell r="G345">
            <v>76000</v>
          </cell>
          <cell r="H345">
            <v>76000</v>
          </cell>
          <cell r="I345">
            <v>0</v>
          </cell>
          <cell r="J345">
            <v>25000</v>
          </cell>
          <cell r="K345">
            <v>0</v>
          </cell>
          <cell r="L345">
            <v>25000</v>
          </cell>
          <cell r="M345">
            <v>76000</v>
          </cell>
          <cell r="N345">
            <v>76000</v>
          </cell>
          <cell r="O345">
            <v>76000</v>
          </cell>
          <cell r="P345">
            <v>51000</v>
          </cell>
          <cell r="Q345">
            <v>51000</v>
          </cell>
          <cell r="R345">
            <v>51000</v>
          </cell>
          <cell r="S345">
            <v>51000</v>
          </cell>
          <cell r="T345">
            <v>51000</v>
          </cell>
          <cell r="U345">
            <v>51000</v>
          </cell>
          <cell r="V345">
            <v>51000</v>
          </cell>
          <cell r="W345">
            <v>51000</v>
          </cell>
        </row>
        <row r="346">
          <cell r="C346" t="str">
            <v>060350-UM1W-4P</v>
          </cell>
          <cell r="D346">
            <v>1</v>
          </cell>
          <cell r="E346">
            <v>0</v>
          </cell>
          <cell r="F346">
            <v>0</v>
          </cell>
          <cell r="G346">
            <v>71700</v>
          </cell>
          <cell r="H346">
            <v>71700</v>
          </cell>
          <cell r="I346">
            <v>0</v>
          </cell>
          <cell r="J346">
            <v>10200</v>
          </cell>
          <cell r="K346">
            <v>10200</v>
          </cell>
          <cell r="L346">
            <v>20400</v>
          </cell>
          <cell r="M346">
            <v>71700</v>
          </cell>
          <cell r="N346">
            <v>71700</v>
          </cell>
          <cell r="O346">
            <v>71700</v>
          </cell>
          <cell r="P346">
            <v>61500</v>
          </cell>
          <cell r="Q346">
            <v>61500</v>
          </cell>
          <cell r="R346">
            <v>61500</v>
          </cell>
          <cell r="S346">
            <v>61500</v>
          </cell>
          <cell r="T346">
            <v>51300</v>
          </cell>
          <cell r="U346">
            <v>51300</v>
          </cell>
          <cell r="V346">
            <v>51300</v>
          </cell>
          <cell r="W346">
            <v>51300</v>
          </cell>
        </row>
        <row r="347">
          <cell r="C347" t="str">
            <v>030100-PP2B</v>
          </cell>
          <cell r="D347">
            <v>1</v>
          </cell>
          <cell r="E347">
            <v>0</v>
          </cell>
          <cell r="F347">
            <v>0</v>
          </cell>
          <cell r="G347">
            <v>232000</v>
          </cell>
          <cell r="H347">
            <v>232000</v>
          </cell>
          <cell r="I347">
            <v>0</v>
          </cell>
          <cell r="J347">
            <v>20760</v>
          </cell>
          <cell r="K347">
            <v>159770</v>
          </cell>
          <cell r="L347">
            <v>180530</v>
          </cell>
          <cell r="M347">
            <v>232000</v>
          </cell>
          <cell r="N347">
            <v>232000</v>
          </cell>
          <cell r="O347">
            <v>232000</v>
          </cell>
          <cell r="P347">
            <v>232000</v>
          </cell>
          <cell r="Q347">
            <v>232000</v>
          </cell>
          <cell r="R347">
            <v>232000</v>
          </cell>
          <cell r="S347">
            <v>211240</v>
          </cell>
          <cell r="T347">
            <v>51470</v>
          </cell>
          <cell r="U347">
            <v>51470</v>
          </cell>
          <cell r="V347">
            <v>51470</v>
          </cell>
          <cell r="W347">
            <v>51470</v>
          </cell>
        </row>
        <row r="348">
          <cell r="C348" t="str">
            <v>050140-FS2W-ACP</v>
          </cell>
          <cell r="D348">
            <v>1</v>
          </cell>
          <cell r="E348">
            <v>0</v>
          </cell>
          <cell r="F348">
            <v>0</v>
          </cell>
          <cell r="G348">
            <v>101000</v>
          </cell>
          <cell r="H348">
            <v>101000</v>
          </cell>
          <cell r="I348">
            <v>21536</v>
          </cell>
          <cell r="J348">
            <v>0</v>
          </cell>
          <cell r="K348">
            <v>27484</v>
          </cell>
          <cell r="L348">
            <v>49020</v>
          </cell>
          <cell r="M348">
            <v>101000</v>
          </cell>
          <cell r="N348">
            <v>101000</v>
          </cell>
          <cell r="O348">
            <v>79464</v>
          </cell>
          <cell r="P348">
            <v>79464</v>
          </cell>
          <cell r="Q348">
            <v>79464</v>
          </cell>
          <cell r="R348">
            <v>79464</v>
          </cell>
          <cell r="S348">
            <v>79464</v>
          </cell>
          <cell r="T348">
            <v>51980</v>
          </cell>
          <cell r="U348">
            <v>51980</v>
          </cell>
          <cell r="V348">
            <v>51980</v>
          </cell>
          <cell r="W348">
            <v>51980</v>
          </cell>
        </row>
        <row r="349">
          <cell r="C349" t="str">
            <v>040300-C66H-BT</v>
          </cell>
          <cell r="D349">
            <v>1</v>
          </cell>
          <cell r="E349">
            <v>75000</v>
          </cell>
          <cell r="F349">
            <v>1000</v>
          </cell>
          <cell r="G349">
            <v>52000</v>
          </cell>
          <cell r="H349">
            <v>53000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53000</v>
          </cell>
          <cell r="N349">
            <v>53000</v>
          </cell>
          <cell r="O349">
            <v>53000</v>
          </cell>
          <cell r="P349">
            <v>53000</v>
          </cell>
          <cell r="Q349">
            <v>53000</v>
          </cell>
          <cell r="R349">
            <v>53000</v>
          </cell>
          <cell r="S349">
            <v>53000</v>
          </cell>
          <cell r="T349">
            <v>53000</v>
          </cell>
          <cell r="U349">
            <v>53000</v>
          </cell>
          <cell r="V349">
            <v>53000</v>
          </cell>
          <cell r="W349">
            <v>53000</v>
          </cell>
        </row>
        <row r="350">
          <cell r="C350" t="str">
            <v>040160-T15H</v>
          </cell>
          <cell r="D350">
            <v>1</v>
          </cell>
          <cell r="E350">
            <v>0</v>
          </cell>
          <cell r="F350">
            <v>0</v>
          </cell>
          <cell r="G350">
            <v>125000</v>
          </cell>
          <cell r="H350">
            <v>125000</v>
          </cell>
          <cell r="I350">
            <v>45052</v>
          </cell>
          <cell r="J350">
            <v>0</v>
          </cell>
          <cell r="K350">
            <v>26920</v>
          </cell>
          <cell r="L350">
            <v>71972</v>
          </cell>
          <cell r="M350">
            <v>105000</v>
          </cell>
          <cell r="N350">
            <v>105000</v>
          </cell>
          <cell r="O350">
            <v>79948</v>
          </cell>
          <cell r="P350">
            <v>79948</v>
          </cell>
          <cell r="Q350">
            <v>79948</v>
          </cell>
          <cell r="R350">
            <v>79948</v>
          </cell>
          <cell r="S350">
            <v>79948</v>
          </cell>
          <cell r="T350">
            <v>53028</v>
          </cell>
          <cell r="U350">
            <v>53028</v>
          </cell>
          <cell r="V350">
            <v>53028</v>
          </cell>
          <cell r="W350">
            <v>53028</v>
          </cell>
        </row>
        <row r="351">
          <cell r="C351" t="str">
            <v>060300-U34W-4</v>
          </cell>
          <cell r="D351">
            <v>1</v>
          </cell>
          <cell r="E351">
            <v>0</v>
          </cell>
          <cell r="F351">
            <v>0</v>
          </cell>
          <cell r="G351">
            <v>53100</v>
          </cell>
          <cell r="H351">
            <v>53100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53100</v>
          </cell>
          <cell r="N351">
            <v>53100</v>
          </cell>
          <cell r="O351">
            <v>53100</v>
          </cell>
          <cell r="P351">
            <v>53100</v>
          </cell>
          <cell r="Q351">
            <v>53100</v>
          </cell>
          <cell r="R351">
            <v>53100</v>
          </cell>
          <cell r="S351">
            <v>53100</v>
          </cell>
          <cell r="T351">
            <v>53100</v>
          </cell>
          <cell r="U351">
            <v>53100</v>
          </cell>
          <cell r="V351">
            <v>53100</v>
          </cell>
          <cell r="W351">
            <v>53100</v>
          </cell>
        </row>
        <row r="352">
          <cell r="C352" t="str">
            <v>050200-T22W</v>
          </cell>
          <cell r="D352">
            <v>1</v>
          </cell>
          <cell r="E352">
            <v>0</v>
          </cell>
          <cell r="F352">
            <v>0</v>
          </cell>
          <cell r="G352">
            <v>82000</v>
          </cell>
          <cell r="H352">
            <v>82000</v>
          </cell>
          <cell r="I352">
            <v>11108</v>
          </cell>
          <cell r="J352">
            <v>9010</v>
          </cell>
          <cell r="K352">
            <v>8324</v>
          </cell>
          <cell r="L352">
            <v>28442</v>
          </cell>
          <cell r="M352">
            <v>70892</v>
          </cell>
          <cell r="N352">
            <v>70892</v>
          </cell>
          <cell r="O352">
            <v>70892</v>
          </cell>
          <cell r="P352">
            <v>70892</v>
          </cell>
          <cell r="Q352">
            <v>70892</v>
          </cell>
          <cell r="R352">
            <v>70892</v>
          </cell>
          <cell r="S352">
            <v>61882</v>
          </cell>
          <cell r="T352">
            <v>61882</v>
          </cell>
          <cell r="U352">
            <v>61882</v>
          </cell>
          <cell r="V352">
            <v>61882</v>
          </cell>
          <cell r="W352">
            <v>53558</v>
          </cell>
        </row>
        <row r="353">
          <cell r="C353" t="str">
            <v>040180-T12B-H</v>
          </cell>
          <cell r="D353">
            <v>1</v>
          </cell>
          <cell r="E353">
            <v>0</v>
          </cell>
          <cell r="F353">
            <v>0</v>
          </cell>
          <cell r="G353">
            <v>54000</v>
          </cell>
          <cell r="H353">
            <v>54000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54000</v>
          </cell>
          <cell r="N353">
            <v>54000</v>
          </cell>
          <cell r="O353">
            <v>54000</v>
          </cell>
          <cell r="P353">
            <v>54000</v>
          </cell>
          <cell r="Q353">
            <v>54000</v>
          </cell>
          <cell r="R353">
            <v>54000</v>
          </cell>
          <cell r="S353">
            <v>54000</v>
          </cell>
          <cell r="T353">
            <v>54000</v>
          </cell>
          <cell r="U353">
            <v>54000</v>
          </cell>
          <cell r="V353">
            <v>54000</v>
          </cell>
          <cell r="W353">
            <v>54000</v>
          </cell>
        </row>
        <row r="354">
          <cell r="C354" t="str">
            <v>030060-P51N</v>
          </cell>
          <cell r="D354">
            <v>1</v>
          </cell>
          <cell r="E354">
            <v>0</v>
          </cell>
          <cell r="F354">
            <v>0</v>
          </cell>
          <cell r="G354">
            <v>60000</v>
          </cell>
          <cell r="H354">
            <v>60000</v>
          </cell>
          <cell r="I354">
            <v>0</v>
          </cell>
          <cell r="J354">
            <v>0</v>
          </cell>
          <cell r="K354">
            <v>5000</v>
          </cell>
          <cell r="L354">
            <v>5000</v>
          </cell>
          <cell r="M354">
            <v>60000</v>
          </cell>
          <cell r="N354">
            <v>60000</v>
          </cell>
          <cell r="O354">
            <v>60000</v>
          </cell>
          <cell r="P354">
            <v>60000</v>
          </cell>
          <cell r="Q354">
            <v>60000</v>
          </cell>
          <cell r="R354">
            <v>60000</v>
          </cell>
          <cell r="S354">
            <v>60000</v>
          </cell>
          <cell r="T354">
            <v>55000</v>
          </cell>
          <cell r="U354">
            <v>55000</v>
          </cell>
          <cell r="V354">
            <v>55000</v>
          </cell>
          <cell r="W354">
            <v>55000</v>
          </cell>
        </row>
        <row r="355">
          <cell r="C355" t="str">
            <v>030120-PB2W</v>
          </cell>
          <cell r="D355">
            <v>1</v>
          </cell>
          <cell r="E355">
            <v>0</v>
          </cell>
          <cell r="F355">
            <v>0</v>
          </cell>
          <cell r="G355">
            <v>55000</v>
          </cell>
          <cell r="H355">
            <v>55000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55000</v>
          </cell>
          <cell r="N355">
            <v>55000</v>
          </cell>
          <cell r="O355">
            <v>55000</v>
          </cell>
          <cell r="P355">
            <v>55000</v>
          </cell>
          <cell r="Q355">
            <v>55000</v>
          </cell>
          <cell r="R355">
            <v>55000</v>
          </cell>
          <cell r="S355">
            <v>55000</v>
          </cell>
          <cell r="T355">
            <v>55000</v>
          </cell>
          <cell r="U355">
            <v>55000</v>
          </cell>
          <cell r="V355">
            <v>55000</v>
          </cell>
          <cell r="W355">
            <v>55000</v>
          </cell>
        </row>
        <row r="356">
          <cell r="C356" t="str">
            <v>350090-JY4B</v>
          </cell>
          <cell r="D356">
            <v>1</v>
          </cell>
          <cell r="E356">
            <v>0</v>
          </cell>
          <cell r="F356">
            <v>0</v>
          </cell>
          <cell r="G356">
            <v>55000</v>
          </cell>
          <cell r="H356">
            <v>55000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55000</v>
          </cell>
          <cell r="N356">
            <v>55000</v>
          </cell>
          <cell r="O356">
            <v>55000</v>
          </cell>
          <cell r="P356">
            <v>55000</v>
          </cell>
          <cell r="Q356">
            <v>55000</v>
          </cell>
          <cell r="R356">
            <v>55000</v>
          </cell>
          <cell r="S356">
            <v>55000</v>
          </cell>
          <cell r="T356">
            <v>55000</v>
          </cell>
          <cell r="U356">
            <v>55000</v>
          </cell>
          <cell r="V356">
            <v>55000</v>
          </cell>
          <cell r="W356">
            <v>55000</v>
          </cell>
        </row>
        <row r="357">
          <cell r="C357" t="str">
            <v>040100-PP2B</v>
          </cell>
          <cell r="D357">
            <v>1</v>
          </cell>
          <cell r="E357">
            <v>0</v>
          </cell>
          <cell r="F357">
            <v>0</v>
          </cell>
          <cell r="G357">
            <v>82700</v>
          </cell>
          <cell r="H357">
            <v>82700</v>
          </cell>
          <cell r="I357">
            <v>0</v>
          </cell>
          <cell r="J357">
            <v>6120</v>
          </cell>
          <cell r="K357">
            <v>20928</v>
          </cell>
          <cell r="L357">
            <v>27048</v>
          </cell>
          <cell r="M357">
            <v>82700</v>
          </cell>
          <cell r="N357">
            <v>82700</v>
          </cell>
          <cell r="O357">
            <v>82700</v>
          </cell>
          <cell r="P357">
            <v>82700</v>
          </cell>
          <cell r="Q357">
            <v>82700</v>
          </cell>
          <cell r="R357">
            <v>82700</v>
          </cell>
          <cell r="S357">
            <v>76580</v>
          </cell>
          <cell r="T357">
            <v>55652</v>
          </cell>
          <cell r="U357">
            <v>55652</v>
          </cell>
          <cell r="V357">
            <v>55652</v>
          </cell>
          <cell r="W357">
            <v>55652</v>
          </cell>
        </row>
        <row r="358">
          <cell r="C358" t="str">
            <v>045150-200W-2F</v>
          </cell>
          <cell r="D358">
            <v>1</v>
          </cell>
          <cell r="E358">
            <v>0</v>
          </cell>
          <cell r="F358">
            <v>0</v>
          </cell>
          <cell r="G358">
            <v>58500</v>
          </cell>
          <cell r="H358">
            <v>58500</v>
          </cell>
          <cell r="I358">
            <v>1000</v>
          </cell>
          <cell r="J358">
            <v>500</v>
          </cell>
          <cell r="K358">
            <v>0</v>
          </cell>
          <cell r="L358">
            <v>1500</v>
          </cell>
          <cell r="M358">
            <v>58500</v>
          </cell>
          <cell r="N358">
            <v>58500</v>
          </cell>
          <cell r="O358">
            <v>57500</v>
          </cell>
          <cell r="P358">
            <v>57500</v>
          </cell>
          <cell r="Q358">
            <v>57500</v>
          </cell>
          <cell r="R358">
            <v>57500</v>
          </cell>
          <cell r="S358">
            <v>57000</v>
          </cell>
          <cell r="T358">
            <v>57000</v>
          </cell>
          <cell r="U358">
            <v>57000</v>
          </cell>
          <cell r="V358">
            <v>57000</v>
          </cell>
          <cell r="W358">
            <v>57000</v>
          </cell>
        </row>
        <row r="359">
          <cell r="C359" t="str">
            <v>040120-T22W</v>
          </cell>
          <cell r="D359">
            <v>2</v>
          </cell>
          <cell r="E359">
            <v>837000</v>
          </cell>
          <cell r="F359">
            <v>1039000</v>
          </cell>
          <cell r="G359">
            <v>64000</v>
          </cell>
          <cell r="H359">
            <v>1103000</v>
          </cell>
          <cell r="I359">
            <v>264522</v>
          </cell>
          <cell r="J359">
            <v>472686</v>
          </cell>
          <cell r="K359">
            <v>308770</v>
          </cell>
          <cell r="L359">
            <v>1045978</v>
          </cell>
          <cell r="M359">
            <v>993146</v>
          </cell>
          <cell r="N359">
            <v>838478</v>
          </cell>
          <cell r="O359">
            <v>838478</v>
          </cell>
          <cell r="P359">
            <v>716268</v>
          </cell>
          <cell r="Q359">
            <v>716268</v>
          </cell>
          <cell r="R359">
            <v>565792</v>
          </cell>
          <cell r="S359">
            <v>365792</v>
          </cell>
          <cell r="T359">
            <v>234642</v>
          </cell>
          <cell r="U359">
            <v>234642</v>
          </cell>
          <cell r="V359">
            <v>57022</v>
          </cell>
          <cell r="W359">
            <v>57022</v>
          </cell>
        </row>
        <row r="360">
          <cell r="C360" t="str">
            <v>08P125-251W-A</v>
          </cell>
          <cell r="D360">
            <v>2</v>
          </cell>
          <cell r="E360">
            <v>100000</v>
          </cell>
          <cell r="F360">
            <v>0</v>
          </cell>
          <cell r="G360">
            <v>155400</v>
          </cell>
          <cell r="H360">
            <v>155400</v>
          </cell>
          <cell r="I360">
            <v>42000</v>
          </cell>
          <cell r="J360">
            <v>56000</v>
          </cell>
          <cell r="K360">
            <v>0</v>
          </cell>
          <cell r="L360">
            <v>98000</v>
          </cell>
          <cell r="M360">
            <v>141400</v>
          </cell>
          <cell r="N360">
            <v>127400</v>
          </cell>
          <cell r="O360">
            <v>113400</v>
          </cell>
          <cell r="P360">
            <v>99400</v>
          </cell>
          <cell r="Q360">
            <v>85400</v>
          </cell>
          <cell r="R360">
            <v>71400</v>
          </cell>
          <cell r="S360">
            <v>57400</v>
          </cell>
          <cell r="T360">
            <v>57400</v>
          </cell>
          <cell r="U360">
            <v>57400</v>
          </cell>
          <cell r="V360">
            <v>57400</v>
          </cell>
          <cell r="W360">
            <v>57400</v>
          </cell>
        </row>
        <row r="361">
          <cell r="C361" t="str">
            <v>030040-B51N-S</v>
          </cell>
          <cell r="D361">
            <v>1</v>
          </cell>
          <cell r="E361">
            <v>0</v>
          </cell>
          <cell r="F361">
            <v>118000</v>
          </cell>
          <cell r="G361">
            <v>10000</v>
          </cell>
          <cell r="H361">
            <v>128000</v>
          </cell>
          <cell r="I361">
            <v>0</v>
          </cell>
          <cell r="J361">
            <v>0</v>
          </cell>
          <cell r="K361">
            <v>70000</v>
          </cell>
          <cell r="L361">
            <v>70000</v>
          </cell>
          <cell r="M361">
            <v>128000</v>
          </cell>
          <cell r="N361">
            <v>128000</v>
          </cell>
          <cell r="O361">
            <v>128000</v>
          </cell>
          <cell r="P361">
            <v>128000</v>
          </cell>
          <cell r="Q361">
            <v>128000</v>
          </cell>
          <cell r="R361">
            <v>128000</v>
          </cell>
          <cell r="S361">
            <v>128000</v>
          </cell>
          <cell r="T361">
            <v>58000</v>
          </cell>
          <cell r="U361">
            <v>58000</v>
          </cell>
          <cell r="V361">
            <v>58000</v>
          </cell>
          <cell r="W361">
            <v>58000</v>
          </cell>
        </row>
        <row r="362">
          <cell r="C362" t="str">
            <v>040120-K15H-2</v>
          </cell>
          <cell r="D362">
            <v>1</v>
          </cell>
          <cell r="E362">
            <v>0</v>
          </cell>
          <cell r="F362">
            <v>0</v>
          </cell>
          <cell r="G362">
            <v>58000</v>
          </cell>
          <cell r="H362">
            <v>58000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58000</v>
          </cell>
          <cell r="N362">
            <v>58000</v>
          </cell>
          <cell r="O362">
            <v>58000</v>
          </cell>
          <cell r="P362">
            <v>58000</v>
          </cell>
          <cell r="Q362">
            <v>58000</v>
          </cell>
          <cell r="R362">
            <v>58000</v>
          </cell>
          <cell r="S362">
            <v>58000</v>
          </cell>
          <cell r="T362">
            <v>58000</v>
          </cell>
          <cell r="U362">
            <v>58000</v>
          </cell>
          <cell r="V362">
            <v>58000</v>
          </cell>
          <cell r="W362">
            <v>58000</v>
          </cell>
        </row>
        <row r="363">
          <cell r="C363" t="str">
            <v>050220-T16H</v>
          </cell>
          <cell r="D363">
            <v>1</v>
          </cell>
          <cell r="E363">
            <v>0</v>
          </cell>
          <cell r="F363">
            <v>0</v>
          </cell>
          <cell r="G363">
            <v>59000</v>
          </cell>
          <cell r="H363">
            <v>59000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59000</v>
          </cell>
          <cell r="N363">
            <v>59000</v>
          </cell>
          <cell r="O363">
            <v>59000</v>
          </cell>
          <cell r="P363">
            <v>59000</v>
          </cell>
          <cell r="Q363">
            <v>59000</v>
          </cell>
          <cell r="R363">
            <v>59000</v>
          </cell>
          <cell r="S363">
            <v>59000</v>
          </cell>
          <cell r="T363">
            <v>59000</v>
          </cell>
          <cell r="U363">
            <v>59000</v>
          </cell>
          <cell r="V363">
            <v>59000</v>
          </cell>
          <cell r="W363">
            <v>59000</v>
          </cell>
        </row>
        <row r="364">
          <cell r="C364" t="str">
            <v>040090-V42W</v>
          </cell>
          <cell r="D364">
            <v>1</v>
          </cell>
          <cell r="E364">
            <v>0</v>
          </cell>
          <cell r="F364">
            <v>0</v>
          </cell>
          <cell r="G364">
            <v>460000</v>
          </cell>
          <cell r="H364">
            <v>460000</v>
          </cell>
          <cell r="I364">
            <v>100000</v>
          </cell>
          <cell r="J364">
            <v>150000</v>
          </cell>
          <cell r="K364">
            <v>150000</v>
          </cell>
          <cell r="L364">
            <v>400000</v>
          </cell>
          <cell r="M364">
            <v>410000</v>
          </cell>
          <cell r="N364">
            <v>360000</v>
          </cell>
          <cell r="O364">
            <v>360000</v>
          </cell>
          <cell r="P364">
            <v>310000</v>
          </cell>
          <cell r="Q364">
            <v>260000</v>
          </cell>
          <cell r="R364">
            <v>210000</v>
          </cell>
          <cell r="S364">
            <v>210000</v>
          </cell>
          <cell r="T364">
            <v>160000</v>
          </cell>
          <cell r="U364">
            <v>160000</v>
          </cell>
          <cell r="V364">
            <v>110000</v>
          </cell>
          <cell r="W364">
            <v>60000</v>
          </cell>
        </row>
        <row r="365">
          <cell r="C365" t="str">
            <v>061122-158W-3F</v>
          </cell>
          <cell r="D365">
            <v>1</v>
          </cell>
          <cell r="E365">
            <v>0</v>
          </cell>
          <cell r="F365">
            <v>0</v>
          </cell>
          <cell r="G365">
            <v>98000</v>
          </cell>
          <cell r="H365">
            <v>98000</v>
          </cell>
          <cell r="I365">
            <v>8000</v>
          </cell>
          <cell r="J365">
            <v>10000</v>
          </cell>
          <cell r="K365">
            <v>20000</v>
          </cell>
          <cell r="L365">
            <v>38000</v>
          </cell>
          <cell r="M365">
            <v>90000</v>
          </cell>
          <cell r="N365">
            <v>90000</v>
          </cell>
          <cell r="O365">
            <v>90000</v>
          </cell>
          <cell r="P365">
            <v>80000</v>
          </cell>
          <cell r="Q365">
            <v>80000</v>
          </cell>
          <cell r="R365">
            <v>80000</v>
          </cell>
          <cell r="S365">
            <v>80000</v>
          </cell>
          <cell r="T365">
            <v>60000</v>
          </cell>
          <cell r="U365">
            <v>60000</v>
          </cell>
          <cell r="V365">
            <v>60000</v>
          </cell>
          <cell r="W365">
            <v>60000</v>
          </cell>
        </row>
        <row r="366">
          <cell r="C366" t="str">
            <v>065180-160W-2F</v>
          </cell>
          <cell r="D366">
            <v>1</v>
          </cell>
          <cell r="E366">
            <v>0</v>
          </cell>
          <cell r="F366">
            <v>0</v>
          </cell>
          <cell r="G366">
            <v>62000</v>
          </cell>
          <cell r="H366">
            <v>62000</v>
          </cell>
          <cell r="I366">
            <v>1000</v>
          </cell>
          <cell r="J366">
            <v>1000</v>
          </cell>
          <cell r="K366">
            <v>0</v>
          </cell>
          <cell r="L366">
            <v>2000</v>
          </cell>
          <cell r="M366">
            <v>62000</v>
          </cell>
          <cell r="N366">
            <v>62000</v>
          </cell>
          <cell r="O366">
            <v>61000</v>
          </cell>
          <cell r="P366">
            <v>61000</v>
          </cell>
          <cell r="Q366">
            <v>61000</v>
          </cell>
          <cell r="R366">
            <v>61000</v>
          </cell>
          <cell r="S366">
            <v>60000</v>
          </cell>
          <cell r="T366">
            <v>60000</v>
          </cell>
          <cell r="U366">
            <v>60000</v>
          </cell>
          <cell r="V366">
            <v>60000</v>
          </cell>
          <cell r="W366">
            <v>60000</v>
          </cell>
        </row>
        <row r="367">
          <cell r="C367" t="str">
            <v>060160-W54H-Z</v>
          </cell>
          <cell r="D367">
            <v>1</v>
          </cell>
          <cell r="E367">
            <v>100000</v>
          </cell>
          <cell r="F367">
            <v>0</v>
          </cell>
          <cell r="G367">
            <v>110400</v>
          </cell>
          <cell r="H367">
            <v>110400</v>
          </cell>
          <cell r="I367">
            <v>0</v>
          </cell>
          <cell r="J367">
            <v>50400</v>
          </cell>
          <cell r="K367">
            <v>0</v>
          </cell>
          <cell r="L367">
            <v>50400</v>
          </cell>
          <cell r="M367">
            <v>110400</v>
          </cell>
          <cell r="N367">
            <v>110400</v>
          </cell>
          <cell r="O367">
            <v>110400</v>
          </cell>
          <cell r="P367">
            <v>60000</v>
          </cell>
          <cell r="Q367">
            <v>60000</v>
          </cell>
          <cell r="R367">
            <v>60000</v>
          </cell>
          <cell r="S367">
            <v>60000</v>
          </cell>
          <cell r="T367">
            <v>60000</v>
          </cell>
          <cell r="U367">
            <v>60000</v>
          </cell>
          <cell r="V367">
            <v>60000</v>
          </cell>
          <cell r="W367">
            <v>60000</v>
          </cell>
        </row>
        <row r="368">
          <cell r="C368" t="str">
            <v>030100-P51N</v>
          </cell>
          <cell r="D368">
            <v>1</v>
          </cell>
          <cell r="E368">
            <v>0</v>
          </cell>
          <cell r="F368">
            <v>0</v>
          </cell>
          <cell r="G368">
            <v>80000</v>
          </cell>
          <cell r="H368">
            <v>80000</v>
          </cell>
          <cell r="I368">
            <v>0</v>
          </cell>
          <cell r="J368">
            <v>0</v>
          </cell>
          <cell r="K368">
            <v>20000</v>
          </cell>
          <cell r="L368">
            <v>20000</v>
          </cell>
          <cell r="M368">
            <v>80000</v>
          </cell>
          <cell r="N368">
            <v>80000</v>
          </cell>
          <cell r="O368">
            <v>80000</v>
          </cell>
          <cell r="P368">
            <v>80000</v>
          </cell>
          <cell r="Q368">
            <v>80000</v>
          </cell>
          <cell r="R368">
            <v>80000</v>
          </cell>
          <cell r="S368">
            <v>80000</v>
          </cell>
          <cell r="T368">
            <v>60000</v>
          </cell>
          <cell r="U368">
            <v>60000</v>
          </cell>
          <cell r="V368">
            <v>60000</v>
          </cell>
          <cell r="W368">
            <v>60000</v>
          </cell>
        </row>
        <row r="369">
          <cell r="C369" t="str">
            <v>040200-P52W</v>
          </cell>
          <cell r="D369">
            <v>1</v>
          </cell>
          <cell r="E369">
            <v>0</v>
          </cell>
          <cell r="F369">
            <v>0</v>
          </cell>
          <cell r="G369">
            <v>102000</v>
          </cell>
          <cell r="H369">
            <v>102000</v>
          </cell>
          <cell r="I369">
            <v>17712</v>
          </cell>
          <cell r="J369">
            <v>18940</v>
          </cell>
          <cell r="K369">
            <v>4764</v>
          </cell>
          <cell r="L369">
            <v>41416</v>
          </cell>
          <cell r="M369">
            <v>93244</v>
          </cell>
          <cell r="N369">
            <v>85278</v>
          </cell>
          <cell r="O369">
            <v>84288</v>
          </cell>
          <cell r="P369">
            <v>78256</v>
          </cell>
          <cell r="Q369">
            <v>75264</v>
          </cell>
          <cell r="R369">
            <v>71226</v>
          </cell>
          <cell r="S369">
            <v>65348</v>
          </cell>
          <cell r="T369">
            <v>60584</v>
          </cell>
          <cell r="U369">
            <v>60584</v>
          </cell>
          <cell r="V369">
            <v>60584</v>
          </cell>
          <cell r="W369">
            <v>60584</v>
          </cell>
        </row>
        <row r="370">
          <cell r="C370" t="str">
            <v>040080-P62W-1</v>
          </cell>
          <cell r="D370">
            <v>1</v>
          </cell>
          <cell r="E370">
            <v>0</v>
          </cell>
          <cell r="F370">
            <v>0</v>
          </cell>
          <cell r="G370">
            <v>62000</v>
          </cell>
          <cell r="H370">
            <v>62000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62000</v>
          </cell>
          <cell r="N370">
            <v>62000</v>
          </cell>
          <cell r="O370">
            <v>62000</v>
          </cell>
          <cell r="P370">
            <v>62000</v>
          </cell>
          <cell r="Q370">
            <v>62000</v>
          </cell>
          <cell r="R370">
            <v>62000</v>
          </cell>
          <cell r="S370">
            <v>62000</v>
          </cell>
          <cell r="T370">
            <v>62000</v>
          </cell>
          <cell r="U370">
            <v>62000</v>
          </cell>
          <cell r="V370">
            <v>62000</v>
          </cell>
          <cell r="W370">
            <v>62000</v>
          </cell>
        </row>
        <row r="371">
          <cell r="C371" t="str">
            <v>040080-J56H-B</v>
          </cell>
          <cell r="D371">
            <v>1</v>
          </cell>
          <cell r="E371">
            <v>0</v>
          </cell>
          <cell r="F371">
            <v>0</v>
          </cell>
          <cell r="G371">
            <v>62000</v>
          </cell>
          <cell r="H371">
            <v>62000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62000</v>
          </cell>
          <cell r="N371">
            <v>62000</v>
          </cell>
          <cell r="O371">
            <v>62000</v>
          </cell>
          <cell r="P371">
            <v>62000</v>
          </cell>
          <cell r="Q371">
            <v>62000</v>
          </cell>
          <cell r="R371">
            <v>62000</v>
          </cell>
          <cell r="S371">
            <v>62000</v>
          </cell>
          <cell r="T371">
            <v>62000</v>
          </cell>
          <cell r="U371">
            <v>62000</v>
          </cell>
          <cell r="V371">
            <v>62000</v>
          </cell>
          <cell r="W371">
            <v>62000</v>
          </cell>
        </row>
        <row r="372">
          <cell r="C372" t="str">
            <v>030120-P51N-4</v>
          </cell>
          <cell r="D372">
            <v>1</v>
          </cell>
          <cell r="E372">
            <v>0</v>
          </cell>
          <cell r="F372">
            <v>0</v>
          </cell>
          <cell r="G372">
            <v>113000</v>
          </cell>
          <cell r="H372">
            <v>113000</v>
          </cell>
          <cell r="I372">
            <v>0</v>
          </cell>
          <cell r="J372">
            <v>0</v>
          </cell>
          <cell r="K372">
            <v>50000</v>
          </cell>
          <cell r="L372">
            <v>50000</v>
          </cell>
          <cell r="M372">
            <v>113000</v>
          </cell>
          <cell r="N372">
            <v>113000</v>
          </cell>
          <cell r="O372">
            <v>113000</v>
          </cell>
          <cell r="P372">
            <v>113000</v>
          </cell>
          <cell r="Q372">
            <v>113000</v>
          </cell>
          <cell r="R372">
            <v>113000</v>
          </cell>
          <cell r="S372">
            <v>113000</v>
          </cell>
          <cell r="T372">
            <v>63000</v>
          </cell>
          <cell r="U372">
            <v>63000</v>
          </cell>
          <cell r="V372">
            <v>63000</v>
          </cell>
          <cell r="W372">
            <v>63000</v>
          </cell>
        </row>
        <row r="373">
          <cell r="C373" t="str">
            <v>040250-P22W-Z</v>
          </cell>
          <cell r="D373">
            <v>1</v>
          </cell>
          <cell r="E373">
            <v>0</v>
          </cell>
          <cell r="F373">
            <v>0</v>
          </cell>
          <cell r="G373">
            <v>134000</v>
          </cell>
          <cell r="H373">
            <v>134000</v>
          </cell>
          <cell r="I373">
            <v>24236</v>
          </cell>
          <cell r="J373">
            <v>36210</v>
          </cell>
          <cell r="K373">
            <v>9988</v>
          </cell>
          <cell r="L373">
            <v>70434</v>
          </cell>
          <cell r="M373">
            <v>124200</v>
          </cell>
          <cell r="N373">
            <v>115528</v>
          </cell>
          <cell r="O373">
            <v>109764</v>
          </cell>
          <cell r="P373">
            <v>96704</v>
          </cell>
          <cell r="Q373">
            <v>89354</v>
          </cell>
          <cell r="R373">
            <v>81294</v>
          </cell>
          <cell r="S373">
            <v>73554</v>
          </cell>
          <cell r="T373">
            <v>63566</v>
          </cell>
          <cell r="U373">
            <v>63566</v>
          </cell>
          <cell r="V373">
            <v>63566</v>
          </cell>
          <cell r="W373">
            <v>63566</v>
          </cell>
        </row>
        <row r="374">
          <cell r="C374" t="str">
            <v>040320-T12P</v>
          </cell>
          <cell r="D374">
            <v>1</v>
          </cell>
          <cell r="E374">
            <v>0</v>
          </cell>
          <cell r="F374">
            <v>56000</v>
          </cell>
          <cell r="G374">
            <v>61280</v>
          </cell>
          <cell r="H374">
            <v>117280</v>
          </cell>
          <cell r="I374">
            <v>13945</v>
          </cell>
          <cell r="J374">
            <v>19540</v>
          </cell>
          <cell r="K374">
            <v>20164</v>
          </cell>
          <cell r="L374">
            <v>53649</v>
          </cell>
          <cell r="M374">
            <v>117280</v>
          </cell>
          <cell r="N374">
            <v>117280</v>
          </cell>
          <cell r="O374">
            <v>103335</v>
          </cell>
          <cell r="P374">
            <v>103335</v>
          </cell>
          <cell r="Q374">
            <v>103335</v>
          </cell>
          <cell r="R374">
            <v>103335</v>
          </cell>
          <cell r="S374">
            <v>83795</v>
          </cell>
          <cell r="T374">
            <v>83795</v>
          </cell>
          <cell r="U374">
            <v>63631</v>
          </cell>
          <cell r="V374">
            <v>63631</v>
          </cell>
          <cell r="W374">
            <v>63631</v>
          </cell>
        </row>
        <row r="375">
          <cell r="C375" t="str">
            <v>040100-T56H</v>
          </cell>
          <cell r="D375">
            <v>2</v>
          </cell>
          <cell r="E375">
            <v>0</v>
          </cell>
          <cell r="F375">
            <v>0</v>
          </cell>
          <cell r="G375">
            <v>74000</v>
          </cell>
          <cell r="H375">
            <v>74000</v>
          </cell>
          <cell r="I375">
            <v>0</v>
          </cell>
          <cell r="J375">
            <v>0</v>
          </cell>
          <cell r="K375">
            <v>10000</v>
          </cell>
          <cell r="L375">
            <v>10000</v>
          </cell>
          <cell r="M375">
            <v>74000</v>
          </cell>
          <cell r="N375">
            <v>74000</v>
          </cell>
          <cell r="O375">
            <v>74000</v>
          </cell>
          <cell r="P375">
            <v>74000</v>
          </cell>
          <cell r="Q375">
            <v>74000</v>
          </cell>
          <cell r="R375">
            <v>74000</v>
          </cell>
          <cell r="S375">
            <v>74000</v>
          </cell>
          <cell r="T375">
            <v>64000</v>
          </cell>
          <cell r="U375">
            <v>64000</v>
          </cell>
          <cell r="V375">
            <v>64000</v>
          </cell>
          <cell r="W375">
            <v>64000</v>
          </cell>
        </row>
        <row r="376">
          <cell r="C376" t="str">
            <v>040140-T42W-AD</v>
          </cell>
          <cell r="D376">
            <v>1</v>
          </cell>
          <cell r="E376">
            <v>0</v>
          </cell>
          <cell r="F376">
            <v>0</v>
          </cell>
          <cell r="G376">
            <v>64000</v>
          </cell>
          <cell r="H376">
            <v>64000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64000</v>
          </cell>
          <cell r="N376">
            <v>64000</v>
          </cell>
          <cell r="O376">
            <v>64000</v>
          </cell>
          <cell r="P376">
            <v>64000</v>
          </cell>
          <cell r="Q376">
            <v>64000</v>
          </cell>
          <cell r="R376">
            <v>64000</v>
          </cell>
          <cell r="S376">
            <v>64000</v>
          </cell>
          <cell r="T376">
            <v>64000</v>
          </cell>
          <cell r="U376">
            <v>64000</v>
          </cell>
          <cell r="V376">
            <v>64000</v>
          </cell>
          <cell r="W376">
            <v>64000</v>
          </cell>
        </row>
        <row r="377">
          <cell r="C377" t="str">
            <v>100550-YM1W-Z</v>
          </cell>
          <cell r="D377">
            <v>1</v>
          </cell>
          <cell r="E377">
            <v>62000</v>
          </cell>
          <cell r="F377">
            <v>88000</v>
          </cell>
          <cell r="G377">
            <v>0</v>
          </cell>
          <cell r="H377">
            <v>88000</v>
          </cell>
          <cell r="I377">
            <v>23101.66666666665</v>
          </cell>
          <cell r="J377">
            <v>0</v>
          </cell>
          <cell r="K377">
            <v>0</v>
          </cell>
          <cell r="L377">
            <v>23101.66666666665</v>
          </cell>
          <cell r="M377">
            <v>76449.166666666672</v>
          </cell>
          <cell r="N377">
            <v>64898.333333333343</v>
          </cell>
          <cell r="O377">
            <v>64898.333333333343</v>
          </cell>
          <cell r="P377">
            <v>64898.333333333343</v>
          </cell>
          <cell r="Q377">
            <v>64898.333333333343</v>
          </cell>
          <cell r="R377">
            <v>64898.333333333343</v>
          </cell>
          <cell r="S377">
            <v>64898.333333333343</v>
          </cell>
          <cell r="T377">
            <v>64898.333333333343</v>
          </cell>
          <cell r="U377">
            <v>64898.333333333343</v>
          </cell>
          <cell r="V377">
            <v>64898.333333333343</v>
          </cell>
          <cell r="W377">
            <v>64898.333333333343</v>
          </cell>
        </row>
        <row r="378">
          <cell r="C378" t="str">
            <v>030080-PB2N</v>
          </cell>
          <cell r="D378">
            <v>1</v>
          </cell>
          <cell r="E378">
            <v>0</v>
          </cell>
          <cell r="F378">
            <v>0</v>
          </cell>
          <cell r="G378">
            <v>120000</v>
          </cell>
          <cell r="H378">
            <v>120000</v>
          </cell>
          <cell r="I378">
            <v>0</v>
          </cell>
          <cell r="J378">
            <v>0</v>
          </cell>
          <cell r="K378">
            <v>55000</v>
          </cell>
          <cell r="L378">
            <v>55000</v>
          </cell>
          <cell r="M378">
            <v>120000</v>
          </cell>
          <cell r="N378">
            <v>120000</v>
          </cell>
          <cell r="O378">
            <v>120000</v>
          </cell>
          <cell r="P378">
            <v>120000</v>
          </cell>
          <cell r="Q378">
            <v>120000</v>
          </cell>
          <cell r="R378">
            <v>120000</v>
          </cell>
          <cell r="S378">
            <v>120000</v>
          </cell>
          <cell r="T378">
            <v>65000</v>
          </cell>
          <cell r="U378">
            <v>65000</v>
          </cell>
          <cell r="V378">
            <v>65000</v>
          </cell>
          <cell r="W378">
            <v>65000</v>
          </cell>
        </row>
        <row r="379">
          <cell r="C379" t="str">
            <v>040081-Y52W-T</v>
          </cell>
          <cell r="D379">
            <v>1</v>
          </cell>
          <cell r="E379">
            <v>0</v>
          </cell>
          <cell r="F379">
            <v>0</v>
          </cell>
          <cell r="G379">
            <v>85000</v>
          </cell>
          <cell r="H379">
            <v>85000</v>
          </cell>
          <cell r="I379">
            <v>0</v>
          </cell>
          <cell r="J379">
            <v>0</v>
          </cell>
          <cell r="K379">
            <v>20000</v>
          </cell>
          <cell r="L379">
            <v>20000</v>
          </cell>
          <cell r="M379">
            <v>85000</v>
          </cell>
          <cell r="N379">
            <v>85000</v>
          </cell>
          <cell r="O379">
            <v>85000</v>
          </cell>
          <cell r="P379">
            <v>85000</v>
          </cell>
          <cell r="Q379">
            <v>85000</v>
          </cell>
          <cell r="R379">
            <v>85000</v>
          </cell>
          <cell r="S379">
            <v>85000</v>
          </cell>
          <cell r="T379">
            <v>65000</v>
          </cell>
          <cell r="U379">
            <v>65000</v>
          </cell>
          <cell r="V379">
            <v>65000</v>
          </cell>
          <cell r="W379">
            <v>65000</v>
          </cell>
        </row>
        <row r="380">
          <cell r="C380" t="str">
            <v>350064-ZR6H-DZ</v>
          </cell>
          <cell r="D380">
            <v>1</v>
          </cell>
          <cell r="E380">
            <v>0</v>
          </cell>
          <cell r="F380">
            <v>0</v>
          </cell>
          <cell r="G380">
            <v>95000</v>
          </cell>
          <cell r="H380">
            <v>95000</v>
          </cell>
          <cell r="I380">
            <v>15000</v>
          </cell>
          <cell r="J380">
            <v>15000</v>
          </cell>
          <cell r="K380">
            <v>0</v>
          </cell>
          <cell r="L380">
            <v>30000</v>
          </cell>
          <cell r="M380">
            <v>95000</v>
          </cell>
          <cell r="N380">
            <v>95000</v>
          </cell>
          <cell r="O380">
            <v>80000</v>
          </cell>
          <cell r="P380">
            <v>80000</v>
          </cell>
          <cell r="Q380">
            <v>80000</v>
          </cell>
          <cell r="R380">
            <v>80000</v>
          </cell>
          <cell r="S380">
            <v>65000</v>
          </cell>
          <cell r="T380">
            <v>65000</v>
          </cell>
          <cell r="U380">
            <v>65000</v>
          </cell>
          <cell r="V380">
            <v>65000</v>
          </cell>
          <cell r="W380">
            <v>65000</v>
          </cell>
        </row>
        <row r="381">
          <cell r="C381" t="str">
            <v>040250-T22W-B</v>
          </cell>
          <cell r="D381">
            <v>1</v>
          </cell>
          <cell r="E381">
            <v>0</v>
          </cell>
          <cell r="F381">
            <v>0</v>
          </cell>
          <cell r="G381">
            <v>251000</v>
          </cell>
          <cell r="H381">
            <v>251000</v>
          </cell>
          <cell r="I381">
            <v>70000</v>
          </cell>
          <cell r="J381">
            <v>116000</v>
          </cell>
          <cell r="K381">
            <v>0</v>
          </cell>
          <cell r="L381">
            <v>186000</v>
          </cell>
          <cell r="M381">
            <v>221000</v>
          </cell>
          <cell r="N381">
            <v>191000</v>
          </cell>
          <cell r="O381">
            <v>181000</v>
          </cell>
          <cell r="P381">
            <v>151000</v>
          </cell>
          <cell r="Q381">
            <v>123000</v>
          </cell>
          <cell r="R381">
            <v>93000</v>
          </cell>
          <cell r="S381">
            <v>65000</v>
          </cell>
          <cell r="T381">
            <v>65000</v>
          </cell>
          <cell r="U381">
            <v>65000</v>
          </cell>
          <cell r="V381">
            <v>65000</v>
          </cell>
          <cell r="W381">
            <v>65000</v>
          </cell>
        </row>
        <row r="382">
          <cell r="C382" t="str">
            <v>040200-C62W-A</v>
          </cell>
          <cell r="D382">
            <v>1</v>
          </cell>
          <cell r="E382">
            <v>0</v>
          </cell>
          <cell r="F382">
            <v>0</v>
          </cell>
          <cell r="G382">
            <v>66000</v>
          </cell>
          <cell r="H382">
            <v>66000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66000</v>
          </cell>
          <cell r="N382">
            <v>66000</v>
          </cell>
          <cell r="O382">
            <v>66000</v>
          </cell>
          <cell r="P382">
            <v>66000</v>
          </cell>
          <cell r="Q382">
            <v>66000</v>
          </cell>
          <cell r="R382">
            <v>66000</v>
          </cell>
          <cell r="S382">
            <v>66000</v>
          </cell>
          <cell r="T382">
            <v>66000</v>
          </cell>
          <cell r="U382">
            <v>66000</v>
          </cell>
          <cell r="V382">
            <v>66000</v>
          </cell>
          <cell r="W382">
            <v>66000</v>
          </cell>
        </row>
        <row r="383">
          <cell r="C383" t="str">
            <v>030100-B66H</v>
          </cell>
          <cell r="D383">
            <v>1</v>
          </cell>
          <cell r="E383">
            <v>0</v>
          </cell>
          <cell r="F383">
            <v>0</v>
          </cell>
          <cell r="G383">
            <v>66000</v>
          </cell>
          <cell r="H383">
            <v>66000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66000</v>
          </cell>
          <cell r="N383">
            <v>66000</v>
          </cell>
          <cell r="O383">
            <v>66000</v>
          </cell>
          <cell r="P383">
            <v>66000</v>
          </cell>
          <cell r="Q383">
            <v>66000</v>
          </cell>
          <cell r="R383">
            <v>66000</v>
          </cell>
          <cell r="S383">
            <v>66000</v>
          </cell>
          <cell r="T383">
            <v>66000</v>
          </cell>
          <cell r="U383">
            <v>66000</v>
          </cell>
          <cell r="V383">
            <v>66000</v>
          </cell>
          <cell r="W383">
            <v>66000</v>
          </cell>
        </row>
        <row r="384">
          <cell r="C384" t="str">
            <v>030100-PB2N</v>
          </cell>
          <cell r="D384">
            <v>1</v>
          </cell>
          <cell r="E384">
            <v>0</v>
          </cell>
          <cell r="F384">
            <v>0</v>
          </cell>
          <cell r="G384">
            <v>132000</v>
          </cell>
          <cell r="H384">
            <v>132000</v>
          </cell>
          <cell r="I384">
            <v>0</v>
          </cell>
          <cell r="J384">
            <v>0</v>
          </cell>
          <cell r="K384">
            <v>65000</v>
          </cell>
          <cell r="L384">
            <v>65000</v>
          </cell>
          <cell r="M384">
            <v>132000</v>
          </cell>
          <cell r="N384">
            <v>132000</v>
          </cell>
          <cell r="O384">
            <v>132000</v>
          </cell>
          <cell r="P384">
            <v>132000</v>
          </cell>
          <cell r="Q384">
            <v>132000</v>
          </cell>
          <cell r="R384">
            <v>132000</v>
          </cell>
          <cell r="S384">
            <v>132000</v>
          </cell>
          <cell r="T384">
            <v>67000</v>
          </cell>
          <cell r="U384">
            <v>67000</v>
          </cell>
          <cell r="V384">
            <v>67000</v>
          </cell>
          <cell r="W384">
            <v>67000</v>
          </cell>
        </row>
        <row r="385">
          <cell r="C385" t="str">
            <v>020060-PB2W</v>
          </cell>
          <cell r="D385">
            <v>1</v>
          </cell>
          <cell r="E385">
            <v>0</v>
          </cell>
          <cell r="F385">
            <v>0</v>
          </cell>
          <cell r="G385">
            <v>93958</v>
          </cell>
          <cell r="H385">
            <v>93958</v>
          </cell>
          <cell r="I385">
            <v>0</v>
          </cell>
          <cell r="J385">
            <v>3060</v>
          </cell>
          <cell r="K385">
            <v>23202</v>
          </cell>
          <cell r="L385">
            <v>26262</v>
          </cell>
          <cell r="M385">
            <v>93958</v>
          </cell>
          <cell r="N385">
            <v>93958</v>
          </cell>
          <cell r="O385">
            <v>93958</v>
          </cell>
          <cell r="P385">
            <v>93958</v>
          </cell>
          <cell r="Q385">
            <v>93958</v>
          </cell>
          <cell r="R385">
            <v>93958</v>
          </cell>
          <cell r="S385">
            <v>90898</v>
          </cell>
          <cell r="T385">
            <v>67696</v>
          </cell>
          <cell r="U385">
            <v>67696</v>
          </cell>
          <cell r="V385">
            <v>67696</v>
          </cell>
          <cell r="W385">
            <v>67696</v>
          </cell>
        </row>
        <row r="386">
          <cell r="C386" t="str">
            <v>030100-JP2N</v>
          </cell>
          <cell r="D386">
            <v>1</v>
          </cell>
          <cell r="E386">
            <v>0</v>
          </cell>
          <cell r="F386">
            <v>0</v>
          </cell>
          <cell r="G386">
            <v>85000</v>
          </cell>
          <cell r="H386">
            <v>85000</v>
          </cell>
          <cell r="I386">
            <v>0</v>
          </cell>
          <cell r="J386">
            <v>0</v>
          </cell>
          <cell r="K386">
            <v>15000</v>
          </cell>
          <cell r="L386">
            <v>15000</v>
          </cell>
          <cell r="M386">
            <v>85000</v>
          </cell>
          <cell r="N386">
            <v>85000</v>
          </cell>
          <cell r="O386">
            <v>85000</v>
          </cell>
          <cell r="P386">
            <v>85000</v>
          </cell>
          <cell r="Q386">
            <v>85000</v>
          </cell>
          <cell r="R386">
            <v>85000</v>
          </cell>
          <cell r="S386">
            <v>85000</v>
          </cell>
          <cell r="T386">
            <v>70000</v>
          </cell>
          <cell r="U386">
            <v>70000</v>
          </cell>
          <cell r="V386">
            <v>70000</v>
          </cell>
          <cell r="W386">
            <v>70000</v>
          </cell>
        </row>
        <row r="387">
          <cell r="C387" t="str">
            <v>260050-P51A</v>
          </cell>
          <cell r="D387">
            <v>1</v>
          </cell>
          <cell r="E387">
            <v>0</v>
          </cell>
          <cell r="F387">
            <v>0</v>
          </cell>
          <cell r="G387">
            <v>70000</v>
          </cell>
          <cell r="H387">
            <v>70000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70000</v>
          </cell>
          <cell r="N387">
            <v>70000</v>
          </cell>
          <cell r="O387">
            <v>70000</v>
          </cell>
          <cell r="P387">
            <v>70000</v>
          </cell>
          <cell r="Q387">
            <v>70000</v>
          </cell>
          <cell r="R387">
            <v>70000</v>
          </cell>
          <cell r="S387">
            <v>70000</v>
          </cell>
          <cell r="T387">
            <v>70000</v>
          </cell>
          <cell r="U387">
            <v>70000</v>
          </cell>
          <cell r="V387">
            <v>70000</v>
          </cell>
          <cell r="W387">
            <v>70000</v>
          </cell>
        </row>
        <row r="388">
          <cell r="C388" t="str">
            <v>030080-PP2W</v>
          </cell>
          <cell r="D388">
            <v>1</v>
          </cell>
          <cell r="E388">
            <v>0</v>
          </cell>
          <cell r="F388">
            <v>0</v>
          </cell>
          <cell r="G388">
            <v>78000</v>
          </cell>
          <cell r="H388">
            <v>78000</v>
          </cell>
          <cell r="I388">
            <v>0</v>
          </cell>
          <cell r="J388">
            <v>1032</v>
          </cell>
          <cell r="K388">
            <v>3108</v>
          </cell>
          <cell r="L388">
            <v>4140</v>
          </cell>
          <cell r="M388">
            <v>78000</v>
          </cell>
          <cell r="N388">
            <v>78000</v>
          </cell>
          <cell r="O388">
            <v>78000</v>
          </cell>
          <cell r="P388">
            <v>78000</v>
          </cell>
          <cell r="Q388">
            <v>78000</v>
          </cell>
          <cell r="R388">
            <v>78000</v>
          </cell>
          <cell r="S388">
            <v>76968</v>
          </cell>
          <cell r="T388">
            <v>73860</v>
          </cell>
          <cell r="U388">
            <v>73860</v>
          </cell>
          <cell r="V388">
            <v>73860</v>
          </cell>
          <cell r="W388">
            <v>73860</v>
          </cell>
        </row>
        <row r="389">
          <cell r="C389" t="str">
            <v>040080-T42B</v>
          </cell>
          <cell r="D389">
            <v>1</v>
          </cell>
          <cell r="E389">
            <v>0</v>
          </cell>
          <cell r="F389">
            <v>0</v>
          </cell>
          <cell r="G389">
            <v>94000</v>
          </cell>
          <cell r="H389">
            <v>94000</v>
          </cell>
          <cell r="I389">
            <v>0</v>
          </cell>
          <cell r="J389">
            <v>10000</v>
          </cell>
          <cell r="K389">
            <v>10000</v>
          </cell>
          <cell r="L389">
            <v>20000</v>
          </cell>
          <cell r="M389">
            <v>94000</v>
          </cell>
          <cell r="N389">
            <v>94000</v>
          </cell>
          <cell r="O389">
            <v>94000</v>
          </cell>
          <cell r="P389">
            <v>84000</v>
          </cell>
          <cell r="Q389">
            <v>84000</v>
          </cell>
          <cell r="R389">
            <v>84000</v>
          </cell>
          <cell r="S389">
            <v>84000</v>
          </cell>
          <cell r="T389">
            <v>74000</v>
          </cell>
          <cell r="U389">
            <v>74000</v>
          </cell>
          <cell r="V389">
            <v>74000</v>
          </cell>
          <cell r="W389">
            <v>74000</v>
          </cell>
        </row>
        <row r="390">
          <cell r="C390" t="str">
            <v>040160-T12P</v>
          </cell>
          <cell r="D390">
            <v>1</v>
          </cell>
          <cell r="E390">
            <v>0</v>
          </cell>
          <cell r="F390">
            <v>68000</v>
          </cell>
          <cell r="G390">
            <v>74000</v>
          </cell>
          <cell r="H390">
            <v>142000</v>
          </cell>
          <cell r="I390">
            <v>17000</v>
          </cell>
          <cell r="J390">
            <v>35740</v>
          </cell>
          <cell r="K390">
            <v>14898</v>
          </cell>
          <cell r="L390">
            <v>67638</v>
          </cell>
          <cell r="M390">
            <v>134908</v>
          </cell>
          <cell r="N390">
            <v>127594</v>
          </cell>
          <cell r="O390">
            <v>125000</v>
          </cell>
          <cell r="P390">
            <v>113990</v>
          </cell>
          <cell r="Q390">
            <v>107520</v>
          </cell>
          <cell r="R390">
            <v>100894</v>
          </cell>
          <cell r="S390">
            <v>89260</v>
          </cell>
          <cell r="T390">
            <v>77896</v>
          </cell>
          <cell r="U390">
            <v>74362</v>
          </cell>
          <cell r="V390">
            <v>74362</v>
          </cell>
          <cell r="W390">
            <v>74362</v>
          </cell>
        </row>
        <row r="391">
          <cell r="C391" t="str">
            <v>040600-UM1W-PQ</v>
          </cell>
          <cell r="D391">
            <v>1</v>
          </cell>
          <cell r="E391">
            <v>0</v>
          </cell>
          <cell r="F391">
            <v>0</v>
          </cell>
          <cell r="G391">
            <v>276000</v>
          </cell>
          <cell r="H391">
            <v>276000</v>
          </cell>
          <cell r="I391">
            <v>100000</v>
          </cell>
          <cell r="J391">
            <v>100000</v>
          </cell>
          <cell r="K391">
            <v>0</v>
          </cell>
          <cell r="L391">
            <v>200000</v>
          </cell>
          <cell r="M391">
            <v>176000</v>
          </cell>
          <cell r="N391">
            <v>176000</v>
          </cell>
          <cell r="O391">
            <v>176000</v>
          </cell>
          <cell r="P391">
            <v>76000</v>
          </cell>
          <cell r="Q391">
            <v>76000</v>
          </cell>
          <cell r="R391">
            <v>76000</v>
          </cell>
          <cell r="S391">
            <v>76000</v>
          </cell>
          <cell r="T391">
            <v>76000</v>
          </cell>
          <cell r="U391">
            <v>76000</v>
          </cell>
          <cell r="V391">
            <v>76000</v>
          </cell>
          <cell r="W391">
            <v>76000</v>
          </cell>
        </row>
        <row r="392">
          <cell r="C392" t="str">
            <v>040120-J56H</v>
          </cell>
          <cell r="D392">
            <v>1</v>
          </cell>
          <cell r="E392">
            <v>0</v>
          </cell>
          <cell r="F392">
            <v>0</v>
          </cell>
          <cell r="G392">
            <v>76000</v>
          </cell>
          <cell r="H392">
            <v>76000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76000</v>
          </cell>
          <cell r="N392">
            <v>76000</v>
          </cell>
          <cell r="O392">
            <v>76000</v>
          </cell>
          <cell r="P392">
            <v>76000</v>
          </cell>
          <cell r="Q392">
            <v>76000</v>
          </cell>
          <cell r="R392">
            <v>76000</v>
          </cell>
          <cell r="S392">
            <v>76000</v>
          </cell>
          <cell r="T392">
            <v>76000</v>
          </cell>
          <cell r="U392">
            <v>76000</v>
          </cell>
          <cell r="V392">
            <v>76000</v>
          </cell>
          <cell r="W392">
            <v>76000</v>
          </cell>
        </row>
        <row r="393">
          <cell r="C393" t="str">
            <v>040250-P22W</v>
          </cell>
          <cell r="D393">
            <v>2</v>
          </cell>
          <cell r="E393">
            <v>0</v>
          </cell>
          <cell r="F393">
            <v>0</v>
          </cell>
          <cell r="G393">
            <v>126000</v>
          </cell>
          <cell r="H393">
            <v>126000</v>
          </cell>
          <cell r="I393">
            <v>0</v>
          </cell>
          <cell r="J393">
            <v>50000</v>
          </cell>
          <cell r="K393">
            <v>0</v>
          </cell>
          <cell r="L393">
            <v>50000</v>
          </cell>
          <cell r="M393">
            <v>126000</v>
          </cell>
          <cell r="N393">
            <v>126000</v>
          </cell>
          <cell r="O393">
            <v>126000</v>
          </cell>
          <cell r="P393">
            <v>76000</v>
          </cell>
          <cell r="Q393">
            <v>76000</v>
          </cell>
          <cell r="R393">
            <v>76000</v>
          </cell>
          <cell r="S393">
            <v>76000</v>
          </cell>
          <cell r="T393">
            <v>76000</v>
          </cell>
          <cell r="U393">
            <v>76000</v>
          </cell>
          <cell r="V393">
            <v>76000</v>
          </cell>
          <cell r="W393">
            <v>76000</v>
          </cell>
        </row>
        <row r="394">
          <cell r="C394" t="str">
            <v>040160-B22W</v>
          </cell>
          <cell r="D394">
            <v>1</v>
          </cell>
          <cell r="E394">
            <v>0</v>
          </cell>
          <cell r="F394">
            <v>0</v>
          </cell>
          <cell r="G394">
            <v>78000</v>
          </cell>
          <cell r="H394">
            <v>78000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78000</v>
          </cell>
          <cell r="N394">
            <v>78000</v>
          </cell>
          <cell r="O394">
            <v>78000</v>
          </cell>
          <cell r="P394">
            <v>78000</v>
          </cell>
          <cell r="Q394">
            <v>78000</v>
          </cell>
          <cell r="R394">
            <v>78000</v>
          </cell>
          <cell r="S394">
            <v>78000</v>
          </cell>
          <cell r="T394">
            <v>78000</v>
          </cell>
          <cell r="U394">
            <v>78000</v>
          </cell>
          <cell r="V394">
            <v>78000</v>
          </cell>
          <cell r="W394">
            <v>78000</v>
          </cell>
        </row>
        <row r="395">
          <cell r="C395" t="str">
            <v>065254-160W-2F</v>
          </cell>
          <cell r="D395">
            <v>1</v>
          </cell>
          <cell r="E395">
            <v>0</v>
          </cell>
          <cell r="F395">
            <v>0</v>
          </cell>
          <cell r="G395">
            <v>81500</v>
          </cell>
          <cell r="H395">
            <v>81500</v>
          </cell>
          <cell r="I395">
            <v>1000</v>
          </cell>
          <cell r="J395">
            <v>1000</v>
          </cell>
          <cell r="K395">
            <v>0</v>
          </cell>
          <cell r="L395">
            <v>2000</v>
          </cell>
          <cell r="M395">
            <v>81500</v>
          </cell>
          <cell r="N395">
            <v>81500</v>
          </cell>
          <cell r="O395">
            <v>80500</v>
          </cell>
          <cell r="P395">
            <v>80500</v>
          </cell>
          <cell r="Q395">
            <v>80500</v>
          </cell>
          <cell r="R395">
            <v>80500</v>
          </cell>
          <cell r="S395">
            <v>79500</v>
          </cell>
          <cell r="T395">
            <v>79500</v>
          </cell>
          <cell r="U395">
            <v>79500</v>
          </cell>
          <cell r="V395">
            <v>79500</v>
          </cell>
          <cell r="W395">
            <v>79500</v>
          </cell>
        </row>
        <row r="396">
          <cell r="C396" t="str">
            <v>030060-C52B-N</v>
          </cell>
          <cell r="D396">
            <v>1</v>
          </cell>
          <cell r="E396">
            <v>0</v>
          </cell>
          <cell r="F396">
            <v>0</v>
          </cell>
          <cell r="G396">
            <v>200000</v>
          </cell>
          <cell r="H396">
            <v>200000</v>
          </cell>
          <cell r="I396">
            <v>30000</v>
          </cell>
          <cell r="J396">
            <v>30000</v>
          </cell>
          <cell r="K396">
            <v>60000</v>
          </cell>
          <cell r="L396">
            <v>120000</v>
          </cell>
          <cell r="M396">
            <v>200000</v>
          </cell>
          <cell r="N396">
            <v>170000</v>
          </cell>
          <cell r="O396">
            <v>170000</v>
          </cell>
          <cell r="P396">
            <v>140000</v>
          </cell>
          <cell r="Q396">
            <v>140000</v>
          </cell>
          <cell r="R396">
            <v>140000</v>
          </cell>
          <cell r="S396">
            <v>140000</v>
          </cell>
          <cell r="T396">
            <v>80000</v>
          </cell>
          <cell r="U396">
            <v>80000</v>
          </cell>
          <cell r="V396">
            <v>80000</v>
          </cell>
          <cell r="W396">
            <v>80000</v>
          </cell>
        </row>
        <row r="397">
          <cell r="C397" t="str">
            <v>030080-J62N</v>
          </cell>
          <cell r="D397">
            <v>1</v>
          </cell>
          <cell r="E397">
            <v>0</v>
          </cell>
          <cell r="F397">
            <v>0</v>
          </cell>
          <cell r="G397">
            <v>80000</v>
          </cell>
          <cell r="H397">
            <v>80000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80000</v>
          </cell>
          <cell r="N397">
            <v>80000</v>
          </cell>
          <cell r="O397">
            <v>80000</v>
          </cell>
          <cell r="P397">
            <v>80000</v>
          </cell>
          <cell r="Q397">
            <v>80000</v>
          </cell>
          <cell r="R397">
            <v>80000</v>
          </cell>
          <cell r="S397">
            <v>80000</v>
          </cell>
          <cell r="T397">
            <v>80000</v>
          </cell>
          <cell r="U397">
            <v>80000</v>
          </cell>
          <cell r="V397">
            <v>80000</v>
          </cell>
          <cell r="W397">
            <v>80000</v>
          </cell>
        </row>
        <row r="398">
          <cell r="C398" t="str">
            <v>080660-U51A-2D</v>
          </cell>
          <cell r="D398">
            <v>1</v>
          </cell>
          <cell r="E398">
            <v>0</v>
          </cell>
          <cell r="F398">
            <v>71000</v>
          </cell>
          <cell r="G398">
            <v>9296</v>
          </cell>
          <cell r="H398">
            <v>80296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80296</v>
          </cell>
          <cell r="N398">
            <v>80296</v>
          </cell>
          <cell r="O398">
            <v>80296</v>
          </cell>
          <cell r="P398">
            <v>80296</v>
          </cell>
          <cell r="Q398">
            <v>80296</v>
          </cell>
          <cell r="R398">
            <v>80296</v>
          </cell>
          <cell r="S398">
            <v>80296</v>
          </cell>
          <cell r="T398">
            <v>80296</v>
          </cell>
          <cell r="U398">
            <v>80296</v>
          </cell>
          <cell r="V398">
            <v>80296</v>
          </cell>
          <cell r="W398">
            <v>80296</v>
          </cell>
        </row>
        <row r="399">
          <cell r="C399" t="str">
            <v>040065-TS2N</v>
          </cell>
          <cell r="D399">
            <v>1</v>
          </cell>
          <cell r="E399">
            <v>0</v>
          </cell>
          <cell r="F399">
            <v>0</v>
          </cell>
          <cell r="G399">
            <v>136000</v>
          </cell>
          <cell r="H399">
            <v>136000</v>
          </cell>
          <cell r="I399">
            <v>0</v>
          </cell>
          <cell r="J399">
            <v>5000</v>
          </cell>
          <cell r="K399">
            <v>50000</v>
          </cell>
          <cell r="L399">
            <v>55000</v>
          </cell>
          <cell r="M399">
            <v>136000</v>
          </cell>
          <cell r="N399">
            <v>136000</v>
          </cell>
          <cell r="O399">
            <v>136000</v>
          </cell>
          <cell r="P399">
            <v>131000</v>
          </cell>
          <cell r="Q399">
            <v>131000</v>
          </cell>
          <cell r="R399">
            <v>131000</v>
          </cell>
          <cell r="S399">
            <v>131000</v>
          </cell>
          <cell r="T399">
            <v>131000</v>
          </cell>
          <cell r="U399">
            <v>131000</v>
          </cell>
          <cell r="V399">
            <v>131000</v>
          </cell>
          <cell r="W399">
            <v>81000</v>
          </cell>
        </row>
        <row r="400">
          <cell r="C400" t="str">
            <v>040060-F56H-P</v>
          </cell>
          <cell r="D400">
            <v>1</v>
          </cell>
          <cell r="E400">
            <v>0</v>
          </cell>
          <cell r="F400">
            <v>0</v>
          </cell>
          <cell r="G400">
            <v>94000</v>
          </cell>
          <cell r="H400">
            <v>94000</v>
          </cell>
          <cell r="I400">
            <v>0</v>
          </cell>
          <cell r="J400">
            <v>10000</v>
          </cell>
          <cell r="K400">
            <v>0</v>
          </cell>
          <cell r="L400">
            <v>10000</v>
          </cell>
          <cell r="M400">
            <v>94000</v>
          </cell>
          <cell r="N400">
            <v>94000</v>
          </cell>
          <cell r="O400">
            <v>94000</v>
          </cell>
          <cell r="P400">
            <v>84000</v>
          </cell>
          <cell r="Q400">
            <v>84000</v>
          </cell>
          <cell r="R400">
            <v>84000</v>
          </cell>
          <cell r="S400">
            <v>84000</v>
          </cell>
          <cell r="T400">
            <v>84000</v>
          </cell>
          <cell r="U400">
            <v>84000</v>
          </cell>
          <cell r="V400">
            <v>84000</v>
          </cell>
          <cell r="W400">
            <v>84000</v>
          </cell>
        </row>
        <row r="401">
          <cell r="C401" t="str">
            <v>030080-JB2B</v>
          </cell>
          <cell r="D401">
            <v>1</v>
          </cell>
          <cell r="E401">
            <v>0</v>
          </cell>
          <cell r="F401">
            <v>0</v>
          </cell>
          <cell r="G401">
            <v>415000</v>
          </cell>
          <cell r="H401">
            <v>415000</v>
          </cell>
          <cell r="I401">
            <v>128967</v>
          </cell>
          <cell r="J401">
            <v>123552</v>
          </cell>
          <cell r="K401">
            <v>78008</v>
          </cell>
          <cell r="L401">
            <v>330527</v>
          </cell>
          <cell r="M401">
            <v>415000</v>
          </cell>
          <cell r="N401">
            <v>415000</v>
          </cell>
          <cell r="O401">
            <v>286033</v>
          </cell>
          <cell r="P401">
            <v>286033</v>
          </cell>
          <cell r="Q401">
            <v>286033</v>
          </cell>
          <cell r="R401">
            <v>286033</v>
          </cell>
          <cell r="S401">
            <v>162481</v>
          </cell>
          <cell r="T401">
            <v>162481</v>
          </cell>
          <cell r="U401">
            <v>162481</v>
          </cell>
          <cell r="V401">
            <v>162481</v>
          </cell>
          <cell r="W401">
            <v>84473</v>
          </cell>
        </row>
        <row r="402">
          <cell r="C402" t="str">
            <v>040100-T66H</v>
          </cell>
          <cell r="D402">
            <v>1</v>
          </cell>
          <cell r="E402">
            <v>0</v>
          </cell>
          <cell r="F402">
            <v>0</v>
          </cell>
          <cell r="G402">
            <v>86000</v>
          </cell>
          <cell r="H402">
            <v>86000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86000</v>
          </cell>
          <cell r="N402">
            <v>86000</v>
          </cell>
          <cell r="O402">
            <v>86000</v>
          </cell>
          <cell r="P402">
            <v>86000</v>
          </cell>
          <cell r="Q402">
            <v>86000</v>
          </cell>
          <cell r="R402">
            <v>86000</v>
          </cell>
          <cell r="S402">
            <v>86000</v>
          </cell>
          <cell r="T402">
            <v>86000</v>
          </cell>
          <cell r="U402">
            <v>86000</v>
          </cell>
          <cell r="V402">
            <v>86000</v>
          </cell>
          <cell r="W402">
            <v>86000</v>
          </cell>
        </row>
        <row r="403">
          <cell r="C403" t="str">
            <v>040100-BC2W</v>
          </cell>
          <cell r="D403">
            <v>1</v>
          </cell>
          <cell r="E403">
            <v>0</v>
          </cell>
          <cell r="F403">
            <v>0</v>
          </cell>
          <cell r="G403">
            <v>86000</v>
          </cell>
          <cell r="H403">
            <v>86000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86000</v>
          </cell>
          <cell r="N403">
            <v>86000</v>
          </cell>
          <cell r="O403">
            <v>86000</v>
          </cell>
          <cell r="P403">
            <v>86000</v>
          </cell>
          <cell r="Q403">
            <v>86000</v>
          </cell>
          <cell r="R403">
            <v>86000</v>
          </cell>
          <cell r="S403">
            <v>86000</v>
          </cell>
          <cell r="T403">
            <v>86000</v>
          </cell>
          <cell r="U403">
            <v>86000</v>
          </cell>
          <cell r="V403">
            <v>86000</v>
          </cell>
          <cell r="W403">
            <v>86000</v>
          </cell>
        </row>
        <row r="404">
          <cell r="C404" t="str">
            <v>030150-P66H-ADS</v>
          </cell>
          <cell r="D404">
            <v>1</v>
          </cell>
          <cell r="E404">
            <v>0</v>
          </cell>
          <cell r="F404">
            <v>0</v>
          </cell>
          <cell r="G404">
            <v>124000</v>
          </cell>
          <cell r="H404">
            <v>124000</v>
          </cell>
          <cell r="I404">
            <v>24356</v>
          </cell>
          <cell r="J404">
            <v>7808</v>
          </cell>
          <cell r="K404">
            <v>5588</v>
          </cell>
          <cell r="L404">
            <v>37752</v>
          </cell>
          <cell r="M404">
            <v>109940</v>
          </cell>
          <cell r="N404">
            <v>100028</v>
          </cell>
          <cell r="O404">
            <v>99644</v>
          </cell>
          <cell r="P404">
            <v>97160</v>
          </cell>
          <cell r="Q404">
            <v>95948</v>
          </cell>
          <cell r="R404">
            <v>94380</v>
          </cell>
          <cell r="S404">
            <v>91836</v>
          </cell>
          <cell r="T404">
            <v>89084</v>
          </cell>
          <cell r="U404">
            <v>86248</v>
          </cell>
          <cell r="V404">
            <v>86248</v>
          </cell>
          <cell r="W404">
            <v>86248</v>
          </cell>
        </row>
        <row r="405">
          <cell r="C405" t="str">
            <v>040120-P12W</v>
          </cell>
          <cell r="D405">
            <v>1</v>
          </cell>
          <cell r="E405">
            <v>0</v>
          </cell>
          <cell r="F405">
            <v>0</v>
          </cell>
          <cell r="G405">
            <v>88000</v>
          </cell>
          <cell r="H405">
            <v>88000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88000</v>
          </cell>
          <cell r="N405">
            <v>88000</v>
          </cell>
          <cell r="O405">
            <v>88000</v>
          </cell>
          <cell r="P405">
            <v>88000</v>
          </cell>
          <cell r="Q405">
            <v>88000</v>
          </cell>
          <cell r="R405">
            <v>88000</v>
          </cell>
          <cell r="S405">
            <v>88000</v>
          </cell>
          <cell r="T405">
            <v>88000</v>
          </cell>
          <cell r="U405">
            <v>88000</v>
          </cell>
          <cell r="V405">
            <v>88000</v>
          </cell>
          <cell r="W405">
            <v>88000</v>
          </cell>
        </row>
        <row r="406">
          <cell r="C406" t="str">
            <v>040060-B56H-D</v>
          </cell>
          <cell r="D406">
            <v>1</v>
          </cell>
          <cell r="E406">
            <v>0</v>
          </cell>
          <cell r="F406">
            <v>0</v>
          </cell>
          <cell r="G406">
            <v>90000</v>
          </cell>
          <cell r="H406">
            <v>90000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90000</v>
          </cell>
          <cell r="N406">
            <v>90000</v>
          </cell>
          <cell r="O406">
            <v>90000</v>
          </cell>
          <cell r="P406">
            <v>90000</v>
          </cell>
          <cell r="Q406">
            <v>90000</v>
          </cell>
          <cell r="R406">
            <v>90000</v>
          </cell>
          <cell r="S406">
            <v>90000</v>
          </cell>
          <cell r="T406">
            <v>90000</v>
          </cell>
          <cell r="U406">
            <v>90000</v>
          </cell>
          <cell r="V406">
            <v>90000</v>
          </cell>
          <cell r="W406">
            <v>90000</v>
          </cell>
        </row>
        <row r="407">
          <cell r="C407" t="str">
            <v>030080-P62G</v>
          </cell>
          <cell r="D407">
            <v>1</v>
          </cell>
          <cell r="E407">
            <v>0</v>
          </cell>
          <cell r="F407">
            <v>0</v>
          </cell>
          <cell r="G407">
            <v>90000</v>
          </cell>
          <cell r="H407">
            <v>90000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90000</v>
          </cell>
          <cell r="N407">
            <v>90000</v>
          </cell>
          <cell r="O407">
            <v>90000</v>
          </cell>
          <cell r="P407">
            <v>90000</v>
          </cell>
          <cell r="Q407">
            <v>90000</v>
          </cell>
          <cell r="R407">
            <v>90000</v>
          </cell>
          <cell r="S407">
            <v>90000</v>
          </cell>
          <cell r="T407">
            <v>90000</v>
          </cell>
          <cell r="U407">
            <v>90000</v>
          </cell>
          <cell r="V407">
            <v>90000</v>
          </cell>
          <cell r="W407">
            <v>90000</v>
          </cell>
        </row>
        <row r="408">
          <cell r="C408" t="str">
            <v>550160-T65H</v>
          </cell>
          <cell r="D408">
            <v>1</v>
          </cell>
          <cell r="E408">
            <v>11000</v>
          </cell>
          <cell r="F408">
            <v>168000</v>
          </cell>
          <cell r="G408">
            <v>499000</v>
          </cell>
          <cell r="H408">
            <v>667000</v>
          </cell>
          <cell r="I408">
            <v>165834</v>
          </cell>
          <cell r="J408">
            <v>273753</v>
          </cell>
          <cell r="K408">
            <v>136707</v>
          </cell>
          <cell r="L408">
            <v>576294</v>
          </cell>
          <cell r="M408">
            <v>595249</v>
          </cell>
          <cell r="N408">
            <v>543082</v>
          </cell>
          <cell r="O408">
            <v>501166</v>
          </cell>
          <cell r="P408">
            <v>422992</v>
          </cell>
          <cell r="Q408">
            <v>353050</v>
          </cell>
          <cell r="R408">
            <v>296809</v>
          </cell>
          <cell r="S408">
            <v>227413</v>
          </cell>
          <cell r="T408">
            <v>157471</v>
          </cell>
          <cell r="U408">
            <v>90706</v>
          </cell>
          <cell r="V408">
            <v>90706</v>
          </cell>
          <cell r="W408">
            <v>90706</v>
          </cell>
        </row>
        <row r="409">
          <cell r="C409" t="str">
            <v>040120-J42W</v>
          </cell>
          <cell r="D409">
            <v>1</v>
          </cell>
          <cell r="E409">
            <v>0</v>
          </cell>
          <cell r="F409">
            <v>103000</v>
          </cell>
          <cell r="G409">
            <v>4000</v>
          </cell>
          <cell r="H409">
            <v>107000</v>
          </cell>
          <cell r="I409">
            <v>10680</v>
          </cell>
          <cell r="J409">
            <v>0</v>
          </cell>
          <cell r="K409">
            <v>3080</v>
          </cell>
          <cell r="L409">
            <v>13760</v>
          </cell>
          <cell r="M409">
            <v>101000</v>
          </cell>
          <cell r="N409">
            <v>101000</v>
          </cell>
          <cell r="O409">
            <v>96320</v>
          </cell>
          <cell r="P409">
            <v>96320</v>
          </cell>
          <cell r="Q409">
            <v>96320</v>
          </cell>
          <cell r="R409">
            <v>96320</v>
          </cell>
          <cell r="S409">
            <v>96320</v>
          </cell>
          <cell r="T409">
            <v>93240</v>
          </cell>
          <cell r="U409">
            <v>93240</v>
          </cell>
          <cell r="V409">
            <v>93240</v>
          </cell>
          <cell r="W409">
            <v>93240</v>
          </cell>
        </row>
        <row r="410">
          <cell r="C410" t="str">
            <v>060160-U32W-PK</v>
          </cell>
          <cell r="D410">
            <v>1</v>
          </cell>
          <cell r="E410">
            <v>0</v>
          </cell>
          <cell r="F410">
            <v>0</v>
          </cell>
          <cell r="G410">
            <v>94000</v>
          </cell>
          <cell r="H410">
            <v>94000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94000</v>
          </cell>
          <cell r="N410">
            <v>94000</v>
          </cell>
          <cell r="O410">
            <v>94000</v>
          </cell>
          <cell r="P410">
            <v>94000</v>
          </cell>
          <cell r="Q410">
            <v>94000</v>
          </cell>
          <cell r="R410">
            <v>94000</v>
          </cell>
          <cell r="S410">
            <v>94000</v>
          </cell>
          <cell r="T410">
            <v>94000</v>
          </cell>
          <cell r="U410">
            <v>94000</v>
          </cell>
          <cell r="V410">
            <v>94000</v>
          </cell>
          <cell r="W410">
            <v>94000</v>
          </cell>
        </row>
        <row r="411">
          <cell r="C411" t="str">
            <v>040100-T62W</v>
          </cell>
          <cell r="D411">
            <v>1</v>
          </cell>
          <cell r="E411">
            <v>0</v>
          </cell>
          <cell r="F411">
            <v>0</v>
          </cell>
          <cell r="G411">
            <v>94000</v>
          </cell>
          <cell r="H411">
            <v>94000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94000</v>
          </cell>
          <cell r="N411">
            <v>94000</v>
          </cell>
          <cell r="O411">
            <v>94000</v>
          </cell>
          <cell r="P411">
            <v>94000</v>
          </cell>
          <cell r="Q411">
            <v>94000</v>
          </cell>
          <cell r="R411">
            <v>94000</v>
          </cell>
          <cell r="S411">
            <v>94000</v>
          </cell>
          <cell r="T411">
            <v>94000</v>
          </cell>
          <cell r="U411">
            <v>94000</v>
          </cell>
          <cell r="V411">
            <v>94000</v>
          </cell>
          <cell r="W411">
            <v>94000</v>
          </cell>
        </row>
        <row r="412">
          <cell r="C412" t="str">
            <v>030120-P6EW-Z</v>
          </cell>
          <cell r="D412">
            <v>1</v>
          </cell>
          <cell r="E412">
            <v>0</v>
          </cell>
          <cell r="F412">
            <v>0</v>
          </cell>
          <cell r="G412">
            <v>100000</v>
          </cell>
          <cell r="H412">
            <v>100000</v>
          </cell>
          <cell r="I412">
            <v>0</v>
          </cell>
          <cell r="J412">
            <v>0</v>
          </cell>
          <cell r="K412">
            <v>5000</v>
          </cell>
          <cell r="L412">
            <v>5000</v>
          </cell>
          <cell r="M412">
            <v>100000</v>
          </cell>
          <cell r="N412">
            <v>100000</v>
          </cell>
          <cell r="O412">
            <v>100000</v>
          </cell>
          <cell r="P412">
            <v>100000</v>
          </cell>
          <cell r="Q412">
            <v>100000</v>
          </cell>
          <cell r="R412">
            <v>100000</v>
          </cell>
          <cell r="S412">
            <v>100000</v>
          </cell>
          <cell r="T412">
            <v>95000</v>
          </cell>
          <cell r="U412">
            <v>95000</v>
          </cell>
          <cell r="V412">
            <v>95000</v>
          </cell>
          <cell r="W412">
            <v>95000</v>
          </cell>
        </row>
        <row r="413">
          <cell r="C413" t="str">
            <v>040090-P22W-A</v>
          </cell>
          <cell r="D413">
            <v>1</v>
          </cell>
          <cell r="E413">
            <v>0</v>
          </cell>
          <cell r="F413">
            <v>0</v>
          </cell>
          <cell r="G413">
            <v>96000</v>
          </cell>
          <cell r="H413">
            <v>96000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96000</v>
          </cell>
          <cell r="N413">
            <v>96000</v>
          </cell>
          <cell r="O413">
            <v>96000</v>
          </cell>
          <cell r="P413">
            <v>96000</v>
          </cell>
          <cell r="Q413">
            <v>96000</v>
          </cell>
          <cell r="R413">
            <v>96000</v>
          </cell>
          <cell r="S413">
            <v>96000</v>
          </cell>
          <cell r="T413">
            <v>96000</v>
          </cell>
          <cell r="U413">
            <v>96000</v>
          </cell>
          <cell r="V413">
            <v>96000</v>
          </cell>
          <cell r="W413">
            <v>96000</v>
          </cell>
        </row>
        <row r="414">
          <cell r="C414" t="str">
            <v>040100-T22W</v>
          </cell>
          <cell r="D414">
            <v>3</v>
          </cell>
          <cell r="E414">
            <v>0</v>
          </cell>
          <cell r="F414">
            <v>37000</v>
          </cell>
          <cell r="G414">
            <v>236000</v>
          </cell>
          <cell r="H414">
            <v>273000</v>
          </cell>
          <cell r="I414">
            <v>37954</v>
          </cell>
          <cell r="J414">
            <v>69351</v>
          </cell>
          <cell r="K414">
            <v>69266</v>
          </cell>
          <cell r="L414">
            <v>176571</v>
          </cell>
          <cell r="M414">
            <v>235046</v>
          </cell>
          <cell r="N414">
            <v>235046</v>
          </cell>
          <cell r="O414">
            <v>235046</v>
          </cell>
          <cell r="P414">
            <v>235046</v>
          </cell>
          <cell r="Q414">
            <v>215046</v>
          </cell>
          <cell r="R414">
            <v>215046</v>
          </cell>
          <cell r="S414">
            <v>165695</v>
          </cell>
          <cell r="T414">
            <v>165695</v>
          </cell>
          <cell r="U414">
            <v>165695</v>
          </cell>
          <cell r="V414">
            <v>145695</v>
          </cell>
          <cell r="W414">
            <v>96429</v>
          </cell>
        </row>
        <row r="415">
          <cell r="C415" t="str">
            <v>101653-F14W-AB</v>
          </cell>
          <cell r="D415">
            <v>1</v>
          </cell>
          <cell r="E415">
            <v>0</v>
          </cell>
          <cell r="F415">
            <v>0</v>
          </cell>
          <cell r="G415">
            <v>96900</v>
          </cell>
          <cell r="H415">
            <v>96900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96900</v>
          </cell>
          <cell r="N415">
            <v>96900</v>
          </cell>
          <cell r="O415">
            <v>96900</v>
          </cell>
          <cell r="P415">
            <v>96900</v>
          </cell>
          <cell r="Q415">
            <v>96900</v>
          </cell>
          <cell r="R415">
            <v>96900</v>
          </cell>
          <cell r="S415">
            <v>96900</v>
          </cell>
          <cell r="T415">
            <v>96900</v>
          </cell>
          <cell r="U415">
            <v>96900</v>
          </cell>
          <cell r="V415">
            <v>96900</v>
          </cell>
          <cell r="W415">
            <v>96900</v>
          </cell>
        </row>
        <row r="416">
          <cell r="C416" t="str">
            <v>060060-Y56H-B</v>
          </cell>
          <cell r="D416">
            <v>1</v>
          </cell>
          <cell r="E416">
            <v>0</v>
          </cell>
          <cell r="F416">
            <v>0</v>
          </cell>
          <cell r="G416">
            <v>97000</v>
          </cell>
          <cell r="H416">
            <v>97000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97000</v>
          </cell>
          <cell r="N416">
            <v>97000</v>
          </cell>
          <cell r="O416">
            <v>97000</v>
          </cell>
          <cell r="P416">
            <v>97000</v>
          </cell>
          <cell r="Q416">
            <v>97000</v>
          </cell>
          <cell r="R416">
            <v>97000</v>
          </cell>
          <cell r="S416">
            <v>97000</v>
          </cell>
          <cell r="T416">
            <v>97000</v>
          </cell>
          <cell r="U416">
            <v>97000</v>
          </cell>
          <cell r="V416">
            <v>97000</v>
          </cell>
          <cell r="W416">
            <v>97000</v>
          </cell>
        </row>
        <row r="417">
          <cell r="C417" t="str">
            <v>260060-PB2W</v>
          </cell>
          <cell r="D417">
            <v>1</v>
          </cell>
          <cell r="E417">
            <v>0</v>
          </cell>
          <cell r="F417">
            <v>0</v>
          </cell>
          <cell r="G417">
            <v>106000</v>
          </cell>
          <cell r="H417">
            <v>106000</v>
          </cell>
          <cell r="I417">
            <v>4000</v>
          </cell>
          <cell r="J417">
            <v>1016</v>
          </cell>
          <cell r="K417">
            <v>3462</v>
          </cell>
          <cell r="L417">
            <v>8478</v>
          </cell>
          <cell r="M417">
            <v>102000</v>
          </cell>
          <cell r="N417">
            <v>102000</v>
          </cell>
          <cell r="O417">
            <v>102000</v>
          </cell>
          <cell r="P417">
            <v>102000</v>
          </cell>
          <cell r="Q417">
            <v>102000</v>
          </cell>
          <cell r="R417">
            <v>102000</v>
          </cell>
          <cell r="S417">
            <v>100984</v>
          </cell>
          <cell r="T417">
            <v>97522</v>
          </cell>
          <cell r="U417">
            <v>97522</v>
          </cell>
          <cell r="V417">
            <v>97522</v>
          </cell>
          <cell r="W417">
            <v>97522</v>
          </cell>
        </row>
        <row r="418">
          <cell r="C418" t="str">
            <v>040140-CP2W</v>
          </cell>
          <cell r="D418">
            <v>1</v>
          </cell>
          <cell r="E418">
            <v>0</v>
          </cell>
          <cell r="F418">
            <v>0</v>
          </cell>
          <cell r="G418">
            <v>168000</v>
          </cell>
          <cell r="H418">
            <v>168000</v>
          </cell>
          <cell r="I418">
            <v>10000</v>
          </cell>
          <cell r="J418">
            <v>20000</v>
          </cell>
          <cell r="K418">
            <v>40000</v>
          </cell>
          <cell r="L418">
            <v>70000</v>
          </cell>
          <cell r="M418">
            <v>168000</v>
          </cell>
          <cell r="N418">
            <v>158000</v>
          </cell>
          <cell r="O418">
            <v>158000</v>
          </cell>
          <cell r="P418">
            <v>138000</v>
          </cell>
          <cell r="Q418">
            <v>138000</v>
          </cell>
          <cell r="R418">
            <v>138000</v>
          </cell>
          <cell r="S418">
            <v>138000</v>
          </cell>
          <cell r="T418">
            <v>98000</v>
          </cell>
          <cell r="U418">
            <v>98000</v>
          </cell>
          <cell r="V418">
            <v>98000</v>
          </cell>
          <cell r="W418">
            <v>98000</v>
          </cell>
        </row>
        <row r="419">
          <cell r="C419" t="str">
            <v>030100-CP2W</v>
          </cell>
          <cell r="D419">
            <v>1</v>
          </cell>
          <cell r="E419">
            <v>0</v>
          </cell>
          <cell r="F419">
            <v>0</v>
          </cell>
          <cell r="G419">
            <v>100000</v>
          </cell>
          <cell r="H419">
            <v>100000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100000</v>
          </cell>
          <cell r="N419">
            <v>100000</v>
          </cell>
          <cell r="O419">
            <v>100000</v>
          </cell>
          <cell r="P419">
            <v>100000</v>
          </cell>
          <cell r="Q419">
            <v>100000</v>
          </cell>
          <cell r="R419">
            <v>100000</v>
          </cell>
          <cell r="S419">
            <v>100000</v>
          </cell>
          <cell r="T419">
            <v>100000</v>
          </cell>
          <cell r="U419">
            <v>100000</v>
          </cell>
          <cell r="V419">
            <v>100000</v>
          </cell>
          <cell r="W419">
            <v>100000</v>
          </cell>
        </row>
        <row r="420">
          <cell r="C420" t="str">
            <v>056115-158W-3F</v>
          </cell>
          <cell r="D420">
            <v>1</v>
          </cell>
          <cell r="E420">
            <v>0</v>
          </cell>
          <cell r="F420">
            <v>0</v>
          </cell>
          <cell r="G420">
            <v>102000</v>
          </cell>
          <cell r="H420">
            <v>102000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102000</v>
          </cell>
          <cell r="N420">
            <v>102000</v>
          </cell>
          <cell r="O420">
            <v>102000</v>
          </cell>
          <cell r="P420">
            <v>102000</v>
          </cell>
          <cell r="Q420">
            <v>102000</v>
          </cell>
          <cell r="R420">
            <v>102000</v>
          </cell>
          <cell r="S420">
            <v>102000</v>
          </cell>
          <cell r="T420">
            <v>102000</v>
          </cell>
          <cell r="U420">
            <v>102000</v>
          </cell>
          <cell r="V420">
            <v>102000</v>
          </cell>
          <cell r="W420">
            <v>102000</v>
          </cell>
        </row>
        <row r="421">
          <cell r="C421" t="str">
            <v>040500-J121</v>
          </cell>
          <cell r="D421">
            <v>1</v>
          </cell>
          <cell r="E421">
            <v>0</v>
          </cell>
          <cell r="F421">
            <v>0</v>
          </cell>
          <cell r="G421">
            <v>109000</v>
          </cell>
          <cell r="H421">
            <v>109000</v>
          </cell>
          <cell r="I421">
            <v>3000</v>
          </cell>
          <cell r="J421">
            <v>0</v>
          </cell>
          <cell r="K421">
            <v>2534</v>
          </cell>
          <cell r="L421">
            <v>5534</v>
          </cell>
          <cell r="M421">
            <v>106000</v>
          </cell>
          <cell r="N421">
            <v>106000</v>
          </cell>
          <cell r="O421">
            <v>106000</v>
          </cell>
          <cell r="P421">
            <v>106000</v>
          </cell>
          <cell r="Q421">
            <v>106000</v>
          </cell>
          <cell r="R421">
            <v>106000</v>
          </cell>
          <cell r="S421">
            <v>106000</v>
          </cell>
          <cell r="T421">
            <v>106000</v>
          </cell>
          <cell r="U421">
            <v>106000</v>
          </cell>
          <cell r="V421">
            <v>106000</v>
          </cell>
          <cell r="W421">
            <v>103466</v>
          </cell>
        </row>
        <row r="422">
          <cell r="C422" t="str">
            <v>040080-T52W-1B</v>
          </cell>
          <cell r="D422">
            <v>1</v>
          </cell>
          <cell r="E422">
            <v>0</v>
          </cell>
          <cell r="F422">
            <v>0</v>
          </cell>
          <cell r="G422">
            <v>104000</v>
          </cell>
          <cell r="H422">
            <v>104000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104000</v>
          </cell>
          <cell r="N422">
            <v>104000</v>
          </cell>
          <cell r="O422">
            <v>104000</v>
          </cell>
          <cell r="P422">
            <v>104000</v>
          </cell>
          <cell r="Q422">
            <v>104000</v>
          </cell>
          <cell r="R422">
            <v>104000</v>
          </cell>
          <cell r="S422">
            <v>104000</v>
          </cell>
          <cell r="T422">
            <v>104000</v>
          </cell>
          <cell r="U422">
            <v>104000</v>
          </cell>
          <cell r="V422">
            <v>104000</v>
          </cell>
          <cell r="W422">
            <v>104000</v>
          </cell>
        </row>
        <row r="423">
          <cell r="C423" t="str">
            <v>030060-CP2N</v>
          </cell>
          <cell r="D423">
            <v>1</v>
          </cell>
          <cell r="E423">
            <v>0</v>
          </cell>
          <cell r="F423">
            <v>0</v>
          </cell>
          <cell r="G423">
            <v>104000</v>
          </cell>
          <cell r="H423">
            <v>104000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104000</v>
          </cell>
          <cell r="N423">
            <v>104000</v>
          </cell>
          <cell r="O423">
            <v>104000</v>
          </cell>
          <cell r="P423">
            <v>104000</v>
          </cell>
          <cell r="Q423">
            <v>104000</v>
          </cell>
          <cell r="R423">
            <v>104000</v>
          </cell>
          <cell r="S423">
            <v>104000</v>
          </cell>
          <cell r="T423">
            <v>104000</v>
          </cell>
          <cell r="U423">
            <v>104000</v>
          </cell>
          <cell r="V423">
            <v>104000</v>
          </cell>
          <cell r="W423">
            <v>104000</v>
          </cell>
        </row>
        <row r="424">
          <cell r="C424" t="str">
            <v>050146-JM2W-AB</v>
          </cell>
          <cell r="D424">
            <v>1</v>
          </cell>
          <cell r="E424">
            <v>0</v>
          </cell>
          <cell r="F424">
            <v>0</v>
          </cell>
          <cell r="G424">
            <v>105000</v>
          </cell>
          <cell r="H424">
            <v>105000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105000</v>
          </cell>
          <cell r="N424">
            <v>105000</v>
          </cell>
          <cell r="O424">
            <v>105000</v>
          </cell>
          <cell r="P424">
            <v>105000</v>
          </cell>
          <cell r="Q424">
            <v>105000</v>
          </cell>
          <cell r="R424">
            <v>105000</v>
          </cell>
          <cell r="S424">
            <v>105000</v>
          </cell>
          <cell r="T424">
            <v>105000</v>
          </cell>
          <cell r="U424">
            <v>105000</v>
          </cell>
          <cell r="V424">
            <v>105000</v>
          </cell>
          <cell r="W424">
            <v>105000</v>
          </cell>
        </row>
        <row r="425">
          <cell r="C425" t="str">
            <v>030060-C51W-S</v>
          </cell>
          <cell r="D425">
            <v>1</v>
          </cell>
          <cell r="E425">
            <v>0</v>
          </cell>
          <cell r="F425">
            <v>0</v>
          </cell>
          <cell r="G425">
            <v>130000</v>
          </cell>
          <cell r="H425">
            <v>130000</v>
          </cell>
          <cell r="I425">
            <v>0</v>
          </cell>
          <cell r="J425">
            <v>25000</v>
          </cell>
          <cell r="K425">
            <v>0</v>
          </cell>
          <cell r="L425">
            <v>25000</v>
          </cell>
          <cell r="M425">
            <v>130000</v>
          </cell>
          <cell r="N425">
            <v>130000</v>
          </cell>
          <cell r="O425">
            <v>130000</v>
          </cell>
          <cell r="P425">
            <v>105000</v>
          </cell>
          <cell r="Q425">
            <v>105000</v>
          </cell>
          <cell r="R425">
            <v>105000</v>
          </cell>
          <cell r="S425">
            <v>105000</v>
          </cell>
          <cell r="T425">
            <v>105000</v>
          </cell>
          <cell r="U425">
            <v>105000</v>
          </cell>
          <cell r="V425">
            <v>105000</v>
          </cell>
          <cell r="W425">
            <v>105000</v>
          </cell>
        </row>
        <row r="426">
          <cell r="C426" t="str">
            <v>040080-T26H</v>
          </cell>
          <cell r="D426">
            <v>1</v>
          </cell>
          <cell r="E426">
            <v>0</v>
          </cell>
          <cell r="F426">
            <v>0</v>
          </cell>
          <cell r="G426">
            <v>127400</v>
          </cell>
          <cell r="H426">
            <v>127400</v>
          </cell>
          <cell r="I426">
            <v>9333</v>
          </cell>
          <cell r="J426">
            <v>12518</v>
          </cell>
          <cell r="K426">
            <v>159</v>
          </cell>
          <cell r="L426">
            <v>22010</v>
          </cell>
          <cell r="M426">
            <v>124189</v>
          </cell>
          <cell r="N426">
            <v>121400</v>
          </cell>
          <cell r="O426">
            <v>118067</v>
          </cell>
          <cell r="P426">
            <v>114568</v>
          </cell>
          <cell r="Q426">
            <v>111808</v>
          </cell>
          <cell r="R426">
            <v>108309</v>
          </cell>
          <cell r="S426">
            <v>105549</v>
          </cell>
          <cell r="T426">
            <v>105390</v>
          </cell>
          <cell r="U426">
            <v>105390</v>
          </cell>
          <cell r="V426">
            <v>105390</v>
          </cell>
          <cell r="W426">
            <v>105390</v>
          </cell>
        </row>
        <row r="427">
          <cell r="C427" t="str">
            <v>040080-T66H</v>
          </cell>
          <cell r="D427">
            <v>1</v>
          </cell>
          <cell r="E427">
            <v>0</v>
          </cell>
          <cell r="F427">
            <v>0</v>
          </cell>
          <cell r="G427">
            <v>108000</v>
          </cell>
          <cell r="H427">
            <v>108000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108000</v>
          </cell>
          <cell r="N427">
            <v>108000</v>
          </cell>
          <cell r="O427">
            <v>108000</v>
          </cell>
          <cell r="P427">
            <v>108000</v>
          </cell>
          <cell r="Q427">
            <v>108000</v>
          </cell>
          <cell r="R427">
            <v>108000</v>
          </cell>
          <cell r="S427">
            <v>108000</v>
          </cell>
          <cell r="T427">
            <v>108000</v>
          </cell>
          <cell r="U427">
            <v>108000</v>
          </cell>
          <cell r="V427">
            <v>108000</v>
          </cell>
          <cell r="W427">
            <v>108000</v>
          </cell>
        </row>
        <row r="428">
          <cell r="C428" t="str">
            <v>030090-J51W-B</v>
          </cell>
          <cell r="D428">
            <v>1</v>
          </cell>
          <cell r="E428">
            <v>0</v>
          </cell>
          <cell r="F428">
            <v>0</v>
          </cell>
          <cell r="G428">
            <v>162000</v>
          </cell>
          <cell r="H428">
            <v>162000</v>
          </cell>
          <cell r="I428">
            <v>54000</v>
          </cell>
          <cell r="J428">
            <v>0</v>
          </cell>
          <cell r="K428">
            <v>0</v>
          </cell>
          <cell r="L428">
            <v>54000</v>
          </cell>
          <cell r="M428">
            <v>162000</v>
          </cell>
          <cell r="N428">
            <v>108000</v>
          </cell>
          <cell r="O428">
            <v>108000</v>
          </cell>
          <cell r="P428">
            <v>108000</v>
          </cell>
          <cell r="Q428">
            <v>108000</v>
          </cell>
          <cell r="R428">
            <v>108000</v>
          </cell>
          <cell r="S428">
            <v>108000</v>
          </cell>
          <cell r="T428">
            <v>108000</v>
          </cell>
          <cell r="U428">
            <v>108000</v>
          </cell>
          <cell r="V428">
            <v>108000</v>
          </cell>
          <cell r="W428">
            <v>108000</v>
          </cell>
        </row>
        <row r="429">
          <cell r="C429" t="str">
            <v>030100-PP5B</v>
          </cell>
          <cell r="D429">
            <v>1</v>
          </cell>
          <cell r="E429">
            <v>0</v>
          </cell>
          <cell r="F429">
            <v>0</v>
          </cell>
          <cell r="G429">
            <v>108000</v>
          </cell>
          <cell r="H429">
            <v>108000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108000</v>
          </cell>
          <cell r="N429">
            <v>108000</v>
          </cell>
          <cell r="O429">
            <v>108000</v>
          </cell>
          <cell r="P429">
            <v>108000</v>
          </cell>
          <cell r="Q429">
            <v>108000</v>
          </cell>
          <cell r="R429">
            <v>108000</v>
          </cell>
          <cell r="S429">
            <v>108000</v>
          </cell>
          <cell r="T429">
            <v>108000</v>
          </cell>
          <cell r="U429">
            <v>108000</v>
          </cell>
          <cell r="V429">
            <v>108000</v>
          </cell>
          <cell r="W429">
            <v>108000</v>
          </cell>
        </row>
        <row r="430">
          <cell r="C430" t="str">
            <v>030060-P62W</v>
          </cell>
          <cell r="D430">
            <v>1</v>
          </cell>
          <cell r="E430">
            <v>0</v>
          </cell>
          <cell r="F430">
            <v>0</v>
          </cell>
          <cell r="G430">
            <v>130000</v>
          </cell>
          <cell r="H430">
            <v>130000</v>
          </cell>
          <cell r="I430">
            <v>8160</v>
          </cell>
          <cell r="J430">
            <v>11900</v>
          </cell>
          <cell r="K430">
            <v>1000</v>
          </cell>
          <cell r="L430">
            <v>21060</v>
          </cell>
          <cell r="M430">
            <v>129600</v>
          </cell>
          <cell r="N430">
            <v>123840</v>
          </cell>
          <cell r="O430">
            <v>121840</v>
          </cell>
          <cell r="P430">
            <v>116840</v>
          </cell>
          <cell r="Q430">
            <v>114140</v>
          </cell>
          <cell r="R430">
            <v>112140</v>
          </cell>
          <cell r="S430">
            <v>109940</v>
          </cell>
          <cell r="T430">
            <v>108940</v>
          </cell>
          <cell r="U430">
            <v>108940</v>
          </cell>
          <cell r="V430">
            <v>108940</v>
          </cell>
          <cell r="W430">
            <v>108940</v>
          </cell>
        </row>
        <row r="431">
          <cell r="C431" t="str">
            <v>040120-F62Z-5P</v>
          </cell>
          <cell r="D431">
            <v>1</v>
          </cell>
          <cell r="E431">
            <v>0</v>
          </cell>
          <cell r="F431">
            <v>157000</v>
          </cell>
          <cell r="G431">
            <v>106000</v>
          </cell>
          <cell r="H431">
            <v>263000</v>
          </cell>
          <cell r="I431">
            <v>43236</v>
          </cell>
          <cell r="J431">
            <v>75117</v>
          </cell>
          <cell r="K431">
            <v>32263</v>
          </cell>
          <cell r="L431">
            <v>150616</v>
          </cell>
          <cell r="M431">
            <v>243466</v>
          </cell>
          <cell r="N431">
            <v>227190</v>
          </cell>
          <cell r="O431">
            <v>219764</v>
          </cell>
          <cell r="P431">
            <v>202382</v>
          </cell>
          <cell r="Q431">
            <v>186348</v>
          </cell>
          <cell r="R431">
            <v>169857</v>
          </cell>
          <cell r="S431">
            <v>144647</v>
          </cell>
          <cell r="T431">
            <v>129158</v>
          </cell>
          <cell r="U431">
            <v>112384</v>
          </cell>
          <cell r="V431">
            <v>112384</v>
          </cell>
          <cell r="W431">
            <v>112384</v>
          </cell>
        </row>
        <row r="432">
          <cell r="C432" t="str">
            <v>030100-PB6H</v>
          </cell>
          <cell r="D432">
            <v>2</v>
          </cell>
          <cell r="E432">
            <v>0</v>
          </cell>
          <cell r="F432">
            <v>134000</v>
          </cell>
          <cell r="G432">
            <v>5000</v>
          </cell>
          <cell r="H432">
            <v>139000</v>
          </cell>
          <cell r="I432">
            <v>0</v>
          </cell>
          <cell r="J432">
            <v>10000</v>
          </cell>
          <cell r="K432">
            <v>15000</v>
          </cell>
          <cell r="L432">
            <v>25000</v>
          </cell>
          <cell r="M432">
            <v>139000</v>
          </cell>
          <cell r="N432">
            <v>139000</v>
          </cell>
          <cell r="O432">
            <v>139000</v>
          </cell>
          <cell r="P432">
            <v>129000</v>
          </cell>
          <cell r="Q432">
            <v>129000</v>
          </cell>
          <cell r="R432">
            <v>129000</v>
          </cell>
          <cell r="S432">
            <v>129000</v>
          </cell>
          <cell r="T432">
            <v>114000</v>
          </cell>
          <cell r="U432">
            <v>114000</v>
          </cell>
          <cell r="V432">
            <v>114000</v>
          </cell>
          <cell r="W432">
            <v>114000</v>
          </cell>
        </row>
        <row r="433">
          <cell r="C433" t="str">
            <v>050120-F12W-PS</v>
          </cell>
          <cell r="D433">
            <v>1</v>
          </cell>
          <cell r="E433">
            <v>0</v>
          </cell>
          <cell r="F433">
            <v>0</v>
          </cell>
          <cell r="G433">
            <v>170000</v>
          </cell>
          <cell r="H433">
            <v>170000</v>
          </cell>
          <cell r="I433">
            <v>15115</v>
          </cell>
          <cell r="J433">
            <v>25624</v>
          </cell>
          <cell r="K433">
            <v>14074</v>
          </cell>
          <cell r="L433">
            <v>54813</v>
          </cell>
          <cell r="M433">
            <v>164342</v>
          </cell>
          <cell r="N433">
            <v>160342</v>
          </cell>
          <cell r="O433">
            <v>154885</v>
          </cell>
          <cell r="P433">
            <v>147967</v>
          </cell>
          <cell r="Q433">
            <v>141487</v>
          </cell>
          <cell r="R433">
            <v>135502</v>
          </cell>
          <cell r="S433">
            <v>129261</v>
          </cell>
          <cell r="T433">
            <v>121376</v>
          </cell>
          <cell r="U433">
            <v>115187</v>
          </cell>
          <cell r="V433">
            <v>115187</v>
          </cell>
          <cell r="W433">
            <v>115187</v>
          </cell>
        </row>
        <row r="434">
          <cell r="C434" t="str">
            <v>040080-T42W</v>
          </cell>
          <cell r="D434">
            <v>1</v>
          </cell>
          <cell r="E434">
            <v>0</v>
          </cell>
          <cell r="F434">
            <v>0</v>
          </cell>
          <cell r="G434">
            <v>176000</v>
          </cell>
          <cell r="H434">
            <v>176000</v>
          </cell>
          <cell r="I434">
            <v>0</v>
          </cell>
          <cell r="J434">
            <v>30000</v>
          </cell>
          <cell r="K434">
            <v>30000</v>
          </cell>
          <cell r="L434">
            <v>60000</v>
          </cell>
          <cell r="M434">
            <v>176000</v>
          </cell>
          <cell r="N434">
            <v>176000</v>
          </cell>
          <cell r="O434">
            <v>176000</v>
          </cell>
          <cell r="P434">
            <v>146000</v>
          </cell>
          <cell r="Q434">
            <v>146000</v>
          </cell>
          <cell r="R434">
            <v>146000</v>
          </cell>
          <cell r="S434">
            <v>146000</v>
          </cell>
          <cell r="T434">
            <v>116000</v>
          </cell>
          <cell r="U434">
            <v>116000</v>
          </cell>
          <cell r="V434">
            <v>116000</v>
          </cell>
          <cell r="W434">
            <v>116000</v>
          </cell>
        </row>
        <row r="435">
          <cell r="C435" t="str">
            <v>030080-P51N-4</v>
          </cell>
          <cell r="D435">
            <v>1</v>
          </cell>
          <cell r="E435">
            <v>0</v>
          </cell>
          <cell r="F435">
            <v>122000</v>
          </cell>
          <cell r="G435">
            <v>205000</v>
          </cell>
          <cell r="H435">
            <v>327000</v>
          </cell>
          <cell r="I435">
            <v>0</v>
          </cell>
          <cell r="J435">
            <v>0</v>
          </cell>
          <cell r="K435">
            <v>210000</v>
          </cell>
          <cell r="L435">
            <v>210000</v>
          </cell>
          <cell r="M435">
            <v>327000</v>
          </cell>
          <cell r="N435">
            <v>327000</v>
          </cell>
          <cell r="O435">
            <v>327000</v>
          </cell>
          <cell r="P435">
            <v>327000</v>
          </cell>
          <cell r="Q435">
            <v>327000</v>
          </cell>
          <cell r="R435">
            <v>327000</v>
          </cell>
          <cell r="S435">
            <v>327000</v>
          </cell>
          <cell r="T435">
            <v>117000</v>
          </cell>
          <cell r="U435">
            <v>117000</v>
          </cell>
          <cell r="V435">
            <v>117000</v>
          </cell>
          <cell r="W435">
            <v>117000</v>
          </cell>
        </row>
        <row r="436">
          <cell r="C436" t="str">
            <v>060200-FS2W-PS</v>
          </cell>
          <cell r="D436">
            <v>1</v>
          </cell>
          <cell r="E436">
            <v>0</v>
          </cell>
          <cell r="F436">
            <v>0</v>
          </cell>
          <cell r="G436">
            <v>117200</v>
          </cell>
          <cell r="H436">
            <v>117200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117200</v>
          </cell>
          <cell r="N436">
            <v>117200</v>
          </cell>
          <cell r="O436">
            <v>117200</v>
          </cell>
          <cell r="P436">
            <v>117200</v>
          </cell>
          <cell r="Q436">
            <v>117200</v>
          </cell>
          <cell r="R436">
            <v>117200</v>
          </cell>
          <cell r="S436">
            <v>117200</v>
          </cell>
          <cell r="T436">
            <v>117200</v>
          </cell>
          <cell r="U436">
            <v>117200</v>
          </cell>
          <cell r="V436">
            <v>117200</v>
          </cell>
          <cell r="W436">
            <v>117200</v>
          </cell>
        </row>
        <row r="437">
          <cell r="C437" t="str">
            <v>071145-F14W</v>
          </cell>
          <cell r="D437">
            <v>1</v>
          </cell>
          <cell r="E437">
            <v>0</v>
          </cell>
          <cell r="F437">
            <v>0</v>
          </cell>
          <cell r="G437">
            <v>280700</v>
          </cell>
          <cell r="H437">
            <v>280700</v>
          </cell>
          <cell r="I437">
            <v>37437.33333333335</v>
          </cell>
          <cell r="J437">
            <v>60549</v>
          </cell>
          <cell r="K437">
            <v>60000</v>
          </cell>
          <cell r="L437">
            <v>157986.33333333334</v>
          </cell>
          <cell r="M437">
            <v>261981.33333333331</v>
          </cell>
          <cell r="N437">
            <v>243262.66666666663</v>
          </cell>
          <cell r="O437">
            <v>243262.66666666663</v>
          </cell>
          <cell r="P437">
            <v>228125.41666666663</v>
          </cell>
          <cell r="Q437">
            <v>212988.16666666663</v>
          </cell>
          <cell r="R437">
            <v>197850.91666666663</v>
          </cell>
          <cell r="S437">
            <v>182713.66666666663</v>
          </cell>
          <cell r="T437">
            <v>167713.66666666663</v>
          </cell>
          <cell r="U437">
            <v>152713.66666666663</v>
          </cell>
          <cell r="V437">
            <v>137713.66666666663</v>
          </cell>
          <cell r="W437">
            <v>122713.66666666663</v>
          </cell>
        </row>
        <row r="438">
          <cell r="C438" t="str">
            <v>050120-Y52W-DP</v>
          </cell>
          <cell r="D438">
            <v>1</v>
          </cell>
          <cell r="E438">
            <v>0</v>
          </cell>
          <cell r="F438">
            <v>0</v>
          </cell>
          <cell r="G438">
            <v>143000</v>
          </cell>
          <cell r="H438">
            <v>143000</v>
          </cell>
          <cell r="I438">
            <v>0</v>
          </cell>
          <cell r="J438">
            <v>10000</v>
          </cell>
          <cell r="K438">
            <v>10000</v>
          </cell>
          <cell r="L438">
            <v>20000</v>
          </cell>
          <cell r="M438">
            <v>143000</v>
          </cell>
          <cell r="N438">
            <v>143000</v>
          </cell>
          <cell r="O438">
            <v>143000</v>
          </cell>
          <cell r="P438">
            <v>133000</v>
          </cell>
          <cell r="Q438">
            <v>133000</v>
          </cell>
          <cell r="R438">
            <v>133000</v>
          </cell>
          <cell r="S438">
            <v>133000</v>
          </cell>
          <cell r="T438">
            <v>133000</v>
          </cell>
          <cell r="U438">
            <v>133000</v>
          </cell>
          <cell r="V438">
            <v>133000</v>
          </cell>
          <cell r="W438">
            <v>123000</v>
          </cell>
        </row>
        <row r="439">
          <cell r="C439" t="str">
            <v>040080-T62G</v>
          </cell>
          <cell r="D439">
            <v>1</v>
          </cell>
          <cell r="E439">
            <v>0</v>
          </cell>
          <cell r="F439">
            <v>0</v>
          </cell>
          <cell r="G439">
            <v>124000</v>
          </cell>
          <cell r="H439">
            <v>124000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124000</v>
          </cell>
          <cell r="N439">
            <v>124000</v>
          </cell>
          <cell r="O439">
            <v>124000</v>
          </cell>
          <cell r="P439">
            <v>124000</v>
          </cell>
          <cell r="Q439">
            <v>124000</v>
          </cell>
          <cell r="R439">
            <v>124000</v>
          </cell>
          <cell r="S439">
            <v>124000</v>
          </cell>
          <cell r="T439">
            <v>124000</v>
          </cell>
          <cell r="U439">
            <v>124000</v>
          </cell>
          <cell r="V439">
            <v>124000</v>
          </cell>
          <cell r="W439">
            <v>124000</v>
          </cell>
        </row>
        <row r="440">
          <cell r="C440" t="str">
            <v>040060-P57H-3</v>
          </cell>
          <cell r="D440">
            <v>1</v>
          </cell>
          <cell r="E440">
            <v>0</v>
          </cell>
          <cell r="F440">
            <v>0</v>
          </cell>
          <cell r="G440">
            <v>124000</v>
          </cell>
          <cell r="H440">
            <v>124000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124000</v>
          </cell>
          <cell r="N440">
            <v>124000</v>
          </cell>
          <cell r="O440">
            <v>124000</v>
          </cell>
          <cell r="P440">
            <v>124000</v>
          </cell>
          <cell r="Q440">
            <v>124000</v>
          </cell>
          <cell r="R440">
            <v>124000</v>
          </cell>
          <cell r="S440">
            <v>124000</v>
          </cell>
          <cell r="T440">
            <v>124000</v>
          </cell>
          <cell r="U440">
            <v>124000</v>
          </cell>
          <cell r="V440">
            <v>124000</v>
          </cell>
          <cell r="W440">
            <v>124000</v>
          </cell>
        </row>
        <row r="441">
          <cell r="C441" t="str">
            <v>030060-CB2W</v>
          </cell>
          <cell r="D441">
            <v>1</v>
          </cell>
          <cell r="E441">
            <v>0</v>
          </cell>
          <cell r="F441">
            <v>0</v>
          </cell>
          <cell r="G441">
            <v>125000</v>
          </cell>
          <cell r="H441">
            <v>125000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125000</v>
          </cell>
          <cell r="N441">
            <v>125000</v>
          </cell>
          <cell r="O441">
            <v>125000</v>
          </cell>
          <cell r="P441">
            <v>125000</v>
          </cell>
          <cell r="Q441">
            <v>125000</v>
          </cell>
          <cell r="R441">
            <v>125000</v>
          </cell>
          <cell r="S441">
            <v>125000</v>
          </cell>
          <cell r="T441">
            <v>125000</v>
          </cell>
          <cell r="U441">
            <v>125000</v>
          </cell>
          <cell r="V441">
            <v>125000</v>
          </cell>
          <cell r="W441">
            <v>125000</v>
          </cell>
        </row>
        <row r="442">
          <cell r="C442" t="str">
            <v>050160-U62W-P</v>
          </cell>
          <cell r="D442">
            <v>1</v>
          </cell>
          <cell r="E442">
            <v>0</v>
          </cell>
          <cell r="F442">
            <v>0</v>
          </cell>
          <cell r="G442">
            <v>318000</v>
          </cell>
          <cell r="H442">
            <v>318000</v>
          </cell>
          <cell r="I442">
            <v>53817.5</v>
          </cell>
          <cell r="J442">
            <v>92778</v>
          </cell>
          <cell r="K442">
            <v>45890</v>
          </cell>
          <cell r="L442">
            <v>192485.5</v>
          </cell>
          <cell r="M442">
            <v>296113</v>
          </cell>
          <cell r="N442">
            <v>278016</v>
          </cell>
          <cell r="O442">
            <v>264182.5</v>
          </cell>
          <cell r="P442">
            <v>237889.5</v>
          </cell>
          <cell r="Q442">
            <v>214407</v>
          </cell>
          <cell r="R442">
            <v>195298.5</v>
          </cell>
          <cell r="S442">
            <v>171404.5</v>
          </cell>
          <cell r="T442">
            <v>147931.5</v>
          </cell>
          <cell r="U442">
            <v>125514.5</v>
          </cell>
          <cell r="V442">
            <v>125514.5</v>
          </cell>
          <cell r="W442">
            <v>125514.5</v>
          </cell>
        </row>
        <row r="443">
          <cell r="C443" t="str">
            <v>040140-Z12P-B</v>
          </cell>
          <cell r="D443">
            <v>1</v>
          </cell>
          <cell r="E443">
            <v>0</v>
          </cell>
          <cell r="F443">
            <v>1079000</v>
          </cell>
          <cell r="G443">
            <v>128000</v>
          </cell>
          <cell r="H443">
            <v>1207000</v>
          </cell>
          <cell r="I443">
            <v>308896</v>
          </cell>
          <cell r="J443">
            <v>382563</v>
          </cell>
          <cell r="K443">
            <v>386408</v>
          </cell>
          <cell r="L443">
            <v>1077867</v>
          </cell>
          <cell r="M443">
            <v>1007000</v>
          </cell>
          <cell r="N443">
            <v>1007000</v>
          </cell>
          <cell r="O443">
            <v>898104</v>
          </cell>
          <cell r="P443">
            <v>575541</v>
          </cell>
          <cell r="Q443">
            <v>575541</v>
          </cell>
          <cell r="R443">
            <v>575541</v>
          </cell>
          <cell r="S443">
            <v>515541</v>
          </cell>
          <cell r="T443">
            <v>199133</v>
          </cell>
          <cell r="U443">
            <v>199133</v>
          </cell>
          <cell r="V443">
            <v>199133</v>
          </cell>
          <cell r="W443">
            <v>129133</v>
          </cell>
        </row>
        <row r="444">
          <cell r="C444" t="str">
            <v>020060-B62W</v>
          </cell>
          <cell r="D444">
            <v>1</v>
          </cell>
          <cell r="E444">
            <v>0</v>
          </cell>
          <cell r="F444">
            <v>0</v>
          </cell>
          <cell r="G444">
            <v>165000</v>
          </cell>
          <cell r="H444">
            <v>165000</v>
          </cell>
          <cell r="I444">
            <v>15000</v>
          </cell>
          <cell r="J444">
            <v>12364</v>
          </cell>
          <cell r="K444">
            <v>8370</v>
          </cell>
          <cell r="L444">
            <v>35734</v>
          </cell>
          <cell r="M444">
            <v>150000</v>
          </cell>
          <cell r="N444">
            <v>150000</v>
          </cell>
          <cell r="O444">
            <v>150000</v>
          </cell>
          <cell r="P444">
            <v>150000</v>
          </cell>
          <cell r="Q444">
            <v>150000</v>
          </cell>
          <cell r="R444">
            <v>150000</v>
          </cell>
          <cell r="S444">
            <v>137636</v>
          </cell>
          <cell r="T444">
            <v>129266</v>
          </cell>
          <cell r="U444">
            <v>129266</v>
          </cell>
          <cell r="V444">
            <v>129266</v>
          </cell>
          <cell r="W444">
            <v>129266</v>
          </cell>
        </row>
        <row r="445">
          <cell r="C445" t="str">
            <v>030080-BB2N</v>
          </cell>
          <cell r="D445">
            <v>1</v>
          </cell>
          <cell r="E445">
            <v>0</v>
          </cell>
          <cell r="F445">
            <v>0</v>
          </cell>
          <cell r="G445">
            <v>170000</v>
          </cell>
          <cell r="H445">
            <v>170000</v>
          </cell>
          <cell r="I445">
            <v>0</v>
          </cell>
          <cell r="J445">
            <v>0</v>
          </cell>
          <cell r="K445">
            <v>40000</v>
          </cell>
          <cell r="L445">
            <v>40000</v>
          </cell>
          <cell r="M445">
            <v>170000</v>
          </cell>
          <cell r="N445">
            <v>170000</v>
          </cell>
          <cell r="O445">
            <v>170000</v>
          </cell>
          <cell r="P445">
            <v>170000</v>
          </cell>
          <cell r="Q445">
            <v>170000</v>
          </cell>
          <cell r="R445">
            <v>170000</v>
          </cell>
          <cell r="S445">
            <v>170000</v>
          </cell>
          <cell r="T445">
            <v>130000</v>
          </cell>
          <cell r="U445">
            <v>130000</v>
          </cell>
          <cell r="V445">
            <v>130000</v>
          </cell>
          <cell r="W445">
            <v>130000</v>
          </cell>
        </row>
        <row r="446">
          <cell r="C446" t="str">
            <v>060350-UM1W-DP</v>
          </cell>
          <cell r="D446">
            <v>1</v>
          </cell>
          <cell r="E446">
            <v>0</v>
          </cell>
          <cell r="F446">
            <v>0</v>
          </cell>
          <cell r="G446">
            <v>134000</v>
          </cell>
          <cell r="H446">
            <v>134000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134000</v>
          </cell>
          <cell r="N446">
            <v>134000</v>
          </cell>
          <cell r="O446">
            <v>134000</v>
          </cell>
          <cell r="P446">
            <v>134000</v>
          </cell>
          <cell r="Q446">
            <v>134000</v>
          </cell>
          <cell r="R446">
            <v>134000</v>
          </cell>
          <cell r="S446">
            <v>134000</v>
          </cell>
          <cell r="T446">
            <v>134000</v>
          </cell>
          <cell r="U446">
            <v>134000</v>
          </cell>
          <cell r="V446">
            <v>134000</v>
          </cell>
          <cell r="W446">
            <v>134000</v>
          </cell>
        </row>
        <row r="447">
          <cell r="C447" t="str">
            <v>040100-PP2W</v>
          </cell>
          <cell r="D447">
            <v>1</v>
          </cell>
          <cell r="E447">
            <v>0</v>
          </cell>
          <cell r="F447">
            <v>0</v>
          </cell>
          <cell r="G447">
            <v>162200</v>
          </cell>
          <cell r="H447">
            <v>162200</v>
          </cell>
          <cell r="I447">
            <v>0</v>
          </cell>
          <cell r="J447">
            <v>2040</v>
          </cell>
          <cell r="K447">
            <v>25920</v>
          </cell>
          <cell r="L447">
            <v>27960</v>
          </cell>
          <cell r="M447">
            <v>162200</v>
          </cell>
          <cell r="N447">
            <v>162200</v>
          </cell>
          <cell r="O447">
            <v>162200</v>
          </cell>
          <cell r="P447">
            <v>162200</v>
          </cell>
          <cell r="Q447">
            <v>162200</v>
          </cell>
          <cell r="R447">
            <v>162200</v>
          </cell>
          <cell r="S447">
            <v>160160</v>
          </cell>
          <cell r="T447">
            <v>134240</v>
          </cell>
          <cell r="U447">
            <v>134240</v>
          </cell>
          <cell r="V447">
            <v>134240</v>
          </cell>
          <cell r="W447">
            <v>134240</v>
          </cell>
        </row>
        <row r="448">
          <cell r="C448" t="str">
            <v>030040-C51N</v>
          </cell>
          <cell r="D448">
            <v>1</v>
          </cell>
          <cell r="E448">
            <v>0</v>
          </cell>
          <cell r="F448">
            <v>0</v>
          </cell>
          <cell r="G448">
            <v>185000</v>
          </cell>
          <cell r="H448">
            <v>185000</v>
          </cell>
          <cell r="I448">
            <v>0</v>
          </cell>
          <cell r="J448">
            <v>0</v>
          </cell>
          <cell r="K448">
            <v>50000</v>
          </cell>
          <cell r="L448">
            <v>50000</v>
          </cell>
          <cell r="M448">
            <v>185000</v>
          </cell>
          <cell r="N448">
            <v>185000</v>
          </cell>
          <cell r="O448">
            <v>185000</v>
          </cell>
          <cell r="P448">
            <v>185000</v>
          </cell>
          <cell r="Q448">
            <v>185000</v>
          </cell>
          <cell r="R448">
            <v>185000</v>
          </cell>
          <cell r="S448">
            <v>185000</v>
          </cell>
          <cell r="T448">
            <v>135000</v>
          </cell>
          <cell r="U448">
            <v>135000</v>
          </cell>
          <cell r="V448">
            <v>135000</v>
          </cell>
          <cell r="W448">
            <v>135000</v>
          </cell>
        </row>
        <row r="449">
          <cell r="C449" t="str">
            <v>040100-B66H</v>
          </cell>
          <cell r="D449">
            <v>1</v>
          </cell>
          <cell r="E449">
            <v>0</v>
          </cell>
          <cell r="F449">
            <v>0</v>
          </cell>
          <cell r="G449">
            <v>136000</v>
          </cell>
          <cell r="H449">
            <v>136000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136000</v>
          </cell>
          <cell r="N449">
            <v>136000</v>
          </cell>
          <cell r="O449">
            <v>136000</v>
          </cell>
          <cell r="P449">
            <v>136000</v>
          </cell>
          <cell r="Q449">
            <v>136000</v>
          </cell>
          <cell r="R449">
            <v>136000</v>
          </cell>
          <cell r="S449">
            <v>136000</v>
          </cell>
          <cell r="T449">
            <v>136000</v>
          </cell>
          <cell r="U449">
            <v>136000</v>
          </cell>
          <cell r="V449">
            <v>136000</v>
          </cell>
          <cell r="W449">
            <v>136000</v>
          </cell>
        </row>
        <row r="450">
          <cell r="C450" t="str">
            <v>030080-P51N</v>
          </cell>
          <cell r="D450">
            <v>1</v>
          </cell>
          <cell r="E450">
            <v>0</v>
          </cell>
          <cell r="F450">
            <v>0</v>
          </cell>
          <cell r="G450">
            <v>189870</v>
          </cell>
          <cell r="H450">
            <v>189870</v>
          </cell>
          <cell r="I450">
            <v>0</v>
          </cell>
          <cell r="J450">
            <v>0</v>
          </cell>
          <cell r="K450">
            <v>50000</v>
          </cell>
          <cell r="L450">
            <v>50000</v>
          </cell>
          <cell r="M450">
            <v>189870</v>
          </cell>
          <cell r="N450">
            <v>189870</v>
          </cell>
          <cell r="O450">
            <v>189870</v>
          </cell>
          <cell r="P450">
            <v>189870</v>
          </cell>
          <cell r="Q450">
            <v>189870</v>
          </cell>
          <cell r="R450">
            <v>189870</v>
          </cell>
          <cell r="S450">
            <v>189870</v>
          </cell>
          <cell r="T450">
            <v>139870</v>
          </cell>
          <cell r="U450">
            <v>139870</v>
          </cell>
          <cell r="V450">
            <v>139870</v>
          </cell>
          <cell r="W450">
            <v>139870</v>
          </cell>
        </row>
        <row r="451">
          <cell r="C451" t="str">
            <v>040095-PM1W-3</v>
          </cell>
          <cell r="D451">
            <v>1</v>
          </cell>
          <cell r="E451">
            <v>0</v>
          </cell>
          <cell r="F451">
            <v>148000</v>
          </cell>
          <cell r="G451">
            <v>92000</v>
          </cell>
          <cell r="H451">
            <v>240000</v>
          </cell>
          <cell r="I451">
            <v>0</v>
          </cell>
          <cell r="J451">
            <v>50000</v>
          </cell>
          <cell r="K451">
            <v>50000</v>
          </cell>
          <cell r="L451">
            <v>100000</v>
          </cell>
          <cell r="M451">
            <v>240000</v>
          </cell>
          <cell r="N451">
            <v>240000</v>
          </cell>
          <cell r="O451">
            <v>240000</v>
          </cell>
          <cell r="P451">
            <v>190000</v>
          </cell>
          <cell r="Q451">
            <v>190000</v>
          </cell>
          <cell r="R451">
            <v>190000</v>
          </cell>
          <cell r="S451">
            <v>190000</v>
          </cell>
          <cell r="T451">
            <v>140000</v>
          </cell>
          <cell r="U451">
            <v>140000</v>
          </cell>
          <cell r="V451">
            <v>140000</v>
          </cell>
          <cell r="W451">
            <v>140000</v>
          </cell>
        </row>
        <row r="452">
          <cell r="C452" t="str">
            <v>030060-P51N-4</v>
          </cell>
          <cell r="D452">
            <v>1</v>
          </cell>
          <cell r="E452">
            <v>0</v>
          </cell>
          <cell r="F452">
            <v>0</v>
          </cell>
          <cell r="G452">
            <v>290000</v>
          </cell>
          <cell r="H452">
            <v>290000</v>
          </cell>
          <cell r="I452">
            <v>0</v>
          </cell>
          <cell r="J452">
            <v>0</v>
          </cell>
          <cell r="K452">
            <v>150000</v>
          </cell>
          <cell r="L452">
            <v>150000</v>
          </cell>
          <cell r="M452">
            <v>290000</v>
          </cell>
          <cell r="N452">
            <v>290000</v>
          </cell>
          <cell r="O452">
            <v>290000</v>
          </cell>
          <cell r="P452">
            <v>290000</v>
          </cell>
          <cell r="Q452">
            <v>290000</v>
          </cell>
          <cell r="R452">
            <v>290000</v>
          </cell>
          <cell r="S452">
            <v>290000</v>
          </cell>
          <cell r="T452">
            <v>140000</v>
          </cell>
          <cell r="U452">
            <v>140000</v>
          </cell>
          <cell r="V452">
            <v>140000</v>
          </cell>
          <cell r="W452">
            <v>140000</v>
          </cell>
        </row>
        <row r="453">
          <cell r="C453" t="str">
            <v>040080-PB2W</v>
          </cell>
          <cell r="D453">
            <v>1</v>
          </cell>
          <cell r="E453">
            <v>0</v>
          </cell>
          <cell r="F453">
            <v>0</v>
          </cell>
          <cell r="G453">
            <v>140000</v>
          </cell>
          <cell r="H453">
            <v>140000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140000</v>
          </cell>
          <cell r="N453">
            <v>140000</v>
          </cell>
          <cell r="O453">
            <v>140000</v>
          </cell>
          <cell r="P453">
            <v>140000</v>
          </cell>
          <cell r="Q453">
            <v>140000</v>
          </cell>
          <cell r="R453">
            <v>140000</v>
          </cell>
          <cell r="S453">
            <v>140000</v>
          </cell>
          <cell r="T453">
            <v>140000</v>
          </cell>
          <cell r="U453">
            <v>140000</v>
          </cell>
          <cell r="V453">
            <v>140000</v>
          </cell>
          <cell r="W453">
            <v>140000</v>
          </cell>
        </row>
        <row r="454">
          <cell r="C454" t="str">
            <v>030100-B51W-M</v>
          </cell>
          <cell r="D454">
            <v>1</v>
          </cell>
          <cell r="E454">
            <v>0</v>
          </cell>
          <cell r="F454">
            <v>0</v>
          </cell>
          <cell r="G454">
            <v>145000</v>
          </cell>
          <cell r="H454">
            <v>145000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145000</v>
          </cell>
          <cell r="N454">
            <v>145000</v>
          </cell>
          <cell r="O454">
            <v>145000</v>
          </cell>
          <cell r="P454">
            <v>145000</v>
          </cell>
          <cell r="Q454">
            <v>145000</v>
          </cell>
          <cell r="R454">
            <v>145000</v>
          </cell>
          <cell r="S454">
            <v>145000</v>
          </cell>
          <cell r="T454">
            <v>145000</v>
          </cell>
          <cell r="U454">
            <v>145000</v>
          </cell>
          <cell r="V454">
            <v>145000</v>
          </cell>
          <cell r="W454">
            <v>145000</v>
          </cell>
        </row>
        <row r="455">
          <cell r="C455" t="str">
            <v>030100-C66H-T</v>
          </cell>
          <cell r="D455">
            <v>1</v>
          </cell>
          <cell r="E455">
            <v>0</v>
          </cell>
          <cell r="F455">
            <v>0</v>
          </cell>
          <cell r="G455">
            <v>165000</v>
          </cell>
          <cell r="H455">
            <v>165000</v>
          </cell>
          <cell r="I455">
            <v>0</v>
          </cell>
          <cell r="J455">
            <v>0</v>
          </cell>
          <cell r="K455">
            <v>20000</v>
          </cell>
          <cell r="L455">
            <v>20000</v>
          </cell>
          <cell r="M455">
            <v>165000</v>
          </cell>
          <cell r="N455">
            <v>165000</v>
          </cell>
          <cell r="O455">
            <v>165000</v>
          </cell>
          <cell r="P455">
            <v>165000</v>
          </cell>
          <cell r="Q455">
            <v>165000</v>
          </cell>
          <cell r="R455">
            <v>165000</v>
          </cell>
          <cell r="S455">
            <v>165000</v>
          </cell>
          <cell r="T455">
            <v>145000</v>
          </cell>
          <cell r="U455">
            <v>145000</v>
          </cell>
          <cell r="V455">
            <v>145000</v>
          </cell>
          <cell r="W455">
            <v>145000</v>
          </cell>
        </row>
        <row r="456">
          <cell r="C456" t="str">
            <v>040060-T62W</v>
          </cell>
          <cell r="D456">
            <v>2</v>
          </cell>
          <cell r="E456">
            <v>0</v>
          </cell>
          <cell r="F456">
            <v>0</v>
          </cell>
          <cell r="G456">
            <v>153000</v>
          </cell>
          <cell r="H456">
            <v>153000</v>
          </cell>
          <cell r="I456">
            <v>0</v>
          </cell>
          <cell r="J456">
            <v>2000</v>
          </cell>
          <cell r="K456">
            <v>2000</v>
          </cell>
          <cell r="L456">
            <v>4000</v>
          </cell>
          <cell r="M456">
            <v>153000</v>
          </cell>
          <cell r="N456">
            <v>153000</v>
          </cell>
          <cell r="O456">
            <v>153000</v>
          </cell>
          <cell r="P456">
            <v>151000</v>
          </cell>
          <cell r="Q456">
            <v>151000</v>
          </cell>
          <cell r="R456">
            <v>151000</v>
          </cell>
          <cell r="S456">
            <v>151000</v>
          </cell>
          <cell r="T456">
            <v>149000</v>
          </cell>
          <cell r="U456">
            <v>149000</v>
          </cell>
          <cell r="V456">
            <v>149000</v>
          </cell>
          <cell r="W456">
            <v>149000</v>
          </cell>
        </row>
        <row r="457">
          <cell r="C457" t="str">
            <v>030160-JB2W</v>
          </cell>
          <cell r="D457">
            <v>1</v>
          </cell>
          <cell r="E457">
            <v>0</v>
          </cell>
          <cell r="F457">
            <v>0</v>
          </cell>
          <cell r="G457">
            <v>180000</v>
          </cell>
          <cell r="H457">
            <v>180000</v>
          </cell>
          <cell r="I457">
            <v>0</v>
          </cell>
          <cell r="J457">
            <v>30000</v>
          </cell>
          <cell r="K457">
            <v>0</v>
          </cell>
          <cell r="L457">
            <v>30000</v>
          </cell>
          <cell r="M457">
            <v>180000</v>
          </cell>
          <cell r="N457">
            <v>180000</v>
          </cell>
          <cell r="O457">
            <v>180000</v>
          </cell>
          <cell r="P457">
            <v>180000</v>
          </cell>
          <cell r="Q457">
            <v>180000</v>
          </cell>
          <cell r="R457">
            <v>180000</v>
          </cell>
          <cell r="S457">
            <v>150000</v>
          </cell>
          <cell r="T457">
            <v>150000</v>
          </cell>
          <cell r="U457">
            <v>150000</v>
          </cell>
          <cell r="V457">
            <v>150000</v>
          </cell>
          <cell r="W457">
            <v>150000</v>
          </cell>
        </row>
        <row r="458">
          <cell r="C458" t="str">
            <v>030100-PP2W</v>
          </cell>
          <cell r="D458">
            <v>1</v>
          </cell>
          <cell r="E458">
            <v>0</v>
          </cell>
          <cell r="F458">
            <v>0</v>
          </cell>
          <cell r="G458">
            <v>402997</v>
          </cell>
          <cell r="H458">
            <v>402997</v>
          </cell>
          <cell r="I458">
            <v>32000</v>
          </cell>
          <cell r="J458">
            <v>30180</v>
          </cell>
          <cell r="K458">
            <v>188968</v>
          </cell>
          <cell r="L458">
            <v>251148</v>
          </cell>
          <cell r="M458">
            <v>370997</v>
          </cell>
          <cell r="N458">
            <v>370997</v>
          </cell>
          <cell r="O458">
            <v>370997</v>
          </cell>
          <cell r="P458">
            <v>370997</v>
          </cell>
          <cell r="Q458">
            <v>370997</v>
          </cell>
          <cell r="R458">
            <v>370997</v>
          </cell>
          <cell r="S458">
            <v>340817</v>
          </cell>
          <cell r="T458">
            <v>151849</v>
          </cell>
          <cell r="U458">
            <v>151849</v>
          </cell>
          <cell r="V458">
            <v>151849</v>
          </cell>
          <cell r="W458">
            <v>151849</v>
          </cell>
        </row>
        <row r="459">
          <cell r="C459" t="str">
            <v>060430-UM1W-4P</v>
          </cell>
          <cell r="D459">
            <v>1</v>
          </cell>
          <cell r="E459">
            <v>0</v>
          </cell>
          <cell r="F459">
            <v>0</v>
          </cell>
          <cell r="G459">
            <v>152600</v>
          </cell>
          <cell r="H459">
            <v>152600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152600</v>
          </cell>
          <cell r="N459">
            <v>152600</v>
          </cell>
          <cell r="O459">
            <v>152600</v>
          </cell>
          <cell r="P459">
            <v>152600</v>
          </cell>
          <cell r="Q459">
            <v>152600</v>
          </cell>
          <cell r="R459">
            <v>152600</v>
          </cell>
          <cell r="S459">
            <v>152600</v>
          </cell>
          <cell r="T459">
            <v>152600</v>
          </cell>
          <cell r="U459">
            <v>152600</v>
          </cell>
          <cell r="V459">
            <v>152600</v>
          </cell>
          <cell r="W459">
            <v>152600</v>
          </cell>
        </row>
        <row r="460">
          <cell r="C460" t="str">
            <v>030050-P52W-3N</v>
          </cell>
          <cell r="D460">
            <v>1</v>
          </cell>
          <cell r="E460">
            <v>0</v>
          </cell>
          <cell r="F460">
            <v>0</v>
          </cell>
          <cell r="G460">
            <v>374632</v>
          </cell>
          <cell r="H460">
            <v>374632</v>
          </cell>
          <cell r="I460">
            <v>73676</v>
          </cell>
          <cell r="J460">
            <v>100980</v>
          </cell>
          <cell r="K460">
            <v>47364</v>
          </cell>
          <cell r="L460">
            <v>222020</v>
          </cell>
          <cell r="M460">
            <v>350032</v>
          </cell>
          <cell r="N460">
            <v>320080</v>
          </cell>
          <cell r="O460">
            <v>300956</v>
          </cell>
          <cell r="P460">
            <v>280088</v>
          </cell>
          <cell r="Q460">
            <v>249348</v>
          </cell>
          <cell r="R460">
            <v>229564</v>
          </cell>
          <cell r="S460">
            <v>199976</v>
          </cell>
          <cell r="T460">
            <v>169828</v>
          </cell>
          <cell r="U460">
            <v>152612</v>
          </cell>
          <cell r="V460">
            <v>152612</v>
          </cell>
          <cell r="W460">
            <v>152612</v>
          </cell>
        </row>
        <row r="461">
          <cell r="C461" t="str">
            <v>080260-U51W-D</v>
          </cell>
          <cell r="D461">
            <v>1</v>
          </cell>
          <cell r="E461">
            <v>0</v>
          </cell>
          <cell r="F461">
            <v>0</v>
          </cell>
          <cell r="G461">
            <v>303000</v>
          </cell>
          <cell r="H461">
            <v>303000</v>
          </cell>
          <cell r="I461">
            <v>64125</v>
          </cell>
          <cell r="J461">
            <v>85500</v>
          </cell>
          <cell r="K461">
            <v>0</v>
          </cell>
          <cell r="L461">
            <v>149625</v>
          </cell>
          <cell r="M461">
            <v>281625</v>
          </cell>
          <cell r="N461">
            <v>260250</v>
          </cell>
          <cell r="O461">
            <v>238875</v>
          </cell>
          <cell r="P461">
            <v>217500</v>
          </cell>
          <cell r="Q461">
            <v>196125</v>
          </cell>
          <cell r="R461">
            <v>174750</v>
          </cell>
          <cell r="S461">
            <v>153375</v>
          </cell>
          <cell r="T461">
            <v>153375</v>
          </cell>
          <cell r="U461">
            <v>153375</v>
          </cell>
          <cell r="V461">
            <v>153375</v>
          </cell>
          <cell r="W461">
            <v>153375</v>
          </cell>
        </row>
        <row r="462">
          <cell r="C462" t="str">
            <v>040041-Y52W-T</v>
          </cell>
          <cell r="D462">
            <v>1</v>
          </cell>
          <cell r="E462">
            <v>0</v>
          </cell>
          <cell r="F462">
            <v>306000</v>
          </cell>
          <cell r="G462">
            <v>90000</v>
          </cell>
          <cell r="H462">
            <v>396000</v>
          </cell>
          <cell r="I462">
            <v>30000</v>
          </cell>
          <cell r="J462">
            <v>90000</v>
          </cell>
          <cell r="K462">
            <v>120000</v>
          </cell>
          <cell r="L462">
            <v>240000</v>
          </cell>
          <cell r="M462">
            <v>396000</v>
          </cell>
          <cell r="N462">
            <v>366000</v>
          </cell>
          <cell r="O462">
            <v>366000</v>
          </cell>
          <cell r="P462">
            <v>276000</v>
          </cell>
          <cell r="Q462">
            <v>276000</v>
          </cell>
          <cell r="R462">
            <v>276000</v>
          </cell>
          <cell r="S462">
            <v>276000</v>
          </cell>
          <cell r="T462">
            <v>156000</v>
          </cell>
          <cell r="U462">
            <v>156000</v>
          </cell>
          <cell r="V462">
            <v>156000</v>
          </cell>
          <cell r="W462">
            <v>156000</v>
          </cell>
        </row>
        <row r="463">
          <cell r="C463" t="str">
            <v>050100-J51N</v>
          </cell>
          <cell r="D463">
            <v>1</v>
          </cell>
          <cell r="E463">
            <v>0</v>
          </cell>
          <cell r="F463">
            <v>0</v>
          </cell>
          <cell r="G463">
            <v>168000</v>
          </cell>
          <cell r="H463">
            <v>168000</v>
          </cell>
          <cell r="I463">
            <v>0</v>
          </cell>
          <cell r="J463">
            <v>0</v>
          </cell>
          <cell r="K463">
            <v>10000</v>
          </cell>
          <cell r="L463">
            <v>10000</v>
          </cell>
          <cell r="M463">
            <v>168000</v>
          </cell>
          <cell r="N463">
            <v>168000</v>
          </cell>
          <cell r="O463">
            <v>168000</v>
          </cell>
          <cell r="P463">
            <v>168000</v>
          </cell>
          <cell r="Q463">
            <v>168000</v>
          </cell>
          <cell r="R463">
            <v>168000</v>
          </cell>
          <cell r="S463">
            <v>168000</v>
          </cell>
          <cell r="T463">
            <v>158000</v>
          </cell>
          <cell r="U463">
            <v>158000</v>
          </cell>
          <cell r="V463">
            <v>158000</v>
          </cell>
          <cell r="W463">
            <v>158000</v>
          </cell>
        </row>
        <row r="464">
          <cell r="C464" t="str">
            <v>020130-Z06H</v>
          </cell>
          <cell r="D464">
            <v>1</v>
          </cell>
          <cell r="E464">
            <v>0</v>
          </cell>
          <cell r="F464">
            <v>0</v>
          </cell>
          <cell r="G464">
            <v>160000</v>
          </cell>
          <cell r="H464">
            <v>160000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160000</v>
          </cell>
          <cell r="N464">
            <v>160000</v>
          </cell>
          <cell r="O464">
            <v>160000</v>
          </cell>
          <cell r="P464">
            <v>160000</v>
          </cell>
          <cell r="Q464">
            <v>160000</v>
          </cell>
          <cell r="R464">
            <v>160000</v>
          </cell>
          <cell r="S464">
            <v>160000</v>
          </cell>
          <cell r="T464">
            <v>160000</v>
          </cell>
          <cell r="U464">
            <v>160000</v>
          </cell>
          <cell r="V464">
            <v>160000</v>
          </cell>
          <cell r="W464">
            <v>160000</v>
          </cell>
        </row>
        <row r="465">
          <cell r="C465" t="str">
            <v>040160-PP2W</v>
          </cell>
          <cell r="D465">
            <v>1</v>
          </cell>
          <cell r="E465">
            <v>0</v>
          </cell>
          <cell r="F465">
            <v>0</v>
          </cell>
          <cell r="G465">
            <v>160000</v>
          </cell>
          <cell r="H465">
            <v>160000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160000</v>
          </cell>
          <cell r="N465">
            <v>160000</v>
          </cell>
          <cell r="O465">
            <v>160000</v>
          </cell>
          <cell r="P465">
            <v>160000</v>
          </cell>
          <cell r="Q465">
            <v>160000</v>
          </cell>
          <cell r="R465">
            <v>160000</v>
          </cell>
          <cell r="S465">
            <v>160000</v>
          </cell>
          <cell r="T465">
            <v>160000</v>
          </cell>
          <cell r="U465">
            <v>160000</v>
          </cell>
          <cell r="V465">
            <v>160000</v>
          </cell>
          <cell r="W465">
            <v>160000</v>
          </cell>
        </row>
        <row r="466">
          <cell r="C466" t="str">
            <v>030095-P12W-AD</v>
          </cell>
          <cell r="D466">
            <v>1</v>
          </cell>
          <cell r="E466">
            <v>0</v>
          </cell>
          <cell r="F466">
            <v>101000</v>
          </cell>
          <cell r="G466">
            <v>840000</v>
          </cell>
          <cell r="H466">
            <v>941000</v>
          </cell>
          <cell r="I466">
            <v>180000</v>
          </cell>
          <cell r="J466">
            <v>300000</v>
          </cell>
          <cell r="K466">
            <v>300000</v>
          </cell>
          <cell r="L466">
            <v>780000</v>
          </cell>
          <cell r="M466">
            <v>881000</v>
          </cell>
          <cell r="N466">
            <v>821000</v>
          </cell>
          <cell r="O466">
            <v>761000</v>
          </cell>
          <cell r="P466">
            <v>686000</v>
          </cell>
          <cell r="Q466">
            <v>611000</v>
          </cell>
          <cell r="R466">
            <v>536000</v>
          </cell>
          <cell r="S466">
            <v>461000</v>
          </cell>
          <cell r="T466">
            <v>386000</v>
          </cell>
          <cell r="U466">
            <v>311000</v>
          </cell>
          <cell r="V466">
            <v>236000</v>
          </cell>
          <cell r="W466">
            <v>161000</v>
          </cell>
        </row>
        <row r="467">
          <cell r="C467" t="str">
            <v>030100-B62W</v>
          </cell>
          <cell r="D467">
            <v>1</v>
          </cell>
          <cell r="E467">
            <v>0</v>
          </cell>
          <cell r="F467">
            <v>0</v>
          </cell>
          <cell r="G467">
            <v>555000</v>
          </cell>
          <cell r="H467">
            <v>555000</v>
          </cell>
          <cell r="I467">
            <v>95000</v>
          </cell>
          <cell r="J467">
            <v>155407</v>
          </cell>
          <cell r="K467">
            <v>139834</v>
          </cell>
          <cell r="L467">
            <v>390241</v>
          </cell>
          <cell r="M467">
            <v>460000</v>
          </cell>
          <cell r="N467">
            <v>460000</v>
          </cell>
          <cell r="O467">
            <v>460000</v>
          </cell>
          <cell r="P467">
            <v>390000</v>
          </cell>
          <cell r="Q467">
            <v>390000</v>
          </cell>
          <cell r="R467">
            <v>325000</v>
          </cell>
          <cell r="S467">
            <v>304593</v>
          </cell>
          <cell r="T467">
            <v>164759</v>
          </cell>
          <cell r="U467">
            <v>164759</v>
          </cell>
          <cell r="V467">
            <v>164759</v>
          </cell>
          <cell r="W467">
            <v>164759</v>
          </cell>
        </row>
        <row r="468">
          <cell r="C468" t="str">
            <v>040140-T12B-H</v>
          </cell>
          <cell r="D468">
            <v>1</v>
          </cell>
          <cell r="E468">
            <v>0</v>
          </cell>
          <cell r="F468">
            <v>0</v>
          </cell>
          <cell r="G468">
            <v>192000</v>
          </cell>
          <cell r="H468">
            <v>192000</v>
          </cell>
          <cell r="I468">
            <v>0</v>
          </cell>
          <cell r="J468">
            <v>25000</v>
          </cell>
          <cell r="K468">
            <v>0</v>
          </cell>
          <cell r="L468">
            <v>25000</v>
          </cell>
          <cell r="M468">
            <v>192000</v>
          </cell>
          <cell r="N468">
            <v>192000</v>
          </cell>
          <cell r="O468">
            <v>192000</v>
          </cell>
          <cell r="P468">
            <v>167000</v>
          </cell>
          <cell r="Q468">
            <v>167000</v>
          </cell>
          <cell r="R468">
            <v>167000</v>
          </cell>
          <cell r="S468">
            <v>167000</v>
          </cell>
          <cell r="T468">
            <v>167000</v>
          </cell>
          <cell r="U468">
            <v>167000</v>
          </cell>
          <cell r="V468">
            <v>167000</v>
          </cell>
          <cell r="W468">
            <v>167000</v>
          </cell>
        </row>
        <row r="469">
          <cell r="C469" t="str">
            <v>040040-P51N</v>
          </cell>
          <cell r="D469">
            <v>1</v>
          </cell>
          <cell r="E469">
            <v>0</v>
          </cell>
          <cell r="F469">
            <v>0</v>
          </cell>
          <cell r="G469">
            <v>170000</v>
          </cell>
          <cell r="H469">
            <v>170000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170000</v>
          </cell>
          <cell r="N469">
            <v>170000</v>
          </cell>
          <cell r="O469">
            <v>170000</v>
          </cell>
          <cell r="P469">
            <v>170000</v>
          </cell>
          <cell r="Q469">
            <v>170000</v>
          </cell>
          <cell r="R469">
            <v>170000</v>
          </cell>
          <cell r="S469">
            <v>170000</v>
          </cell>
          <cell r="T469">
            <v>170000</v>
          </cell>
          <cell r="U469">
            <v>170000</v>
          </cell>
          <cell r="V469">
            <v>170000</v>
          </cell>
          <cell r="W469">
            <v>170000</v>
          </cell>
        </row>
        <row r="470">
          <cell r="C470" t="str">
            <v>040250-T12W</v>
          </cell>
          <cell r="D470">
            <v>1</v>
          </cell>
          <cell r="E470">
            <v>0</v>
          </cell>
          <cell r="F470">
            <v>0</v>
          </cell>
          <cell r="G470">
            <v>172000</v>
          </cell>
          <cell r="H470">
            <v>172000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172000</v>
          </cell>
          <cell r="N470">
            <v>172000</v>
          </cell>
          <cell r="O470">
            <v>172000</v>
          </cell>
          <cell r="P470">
            <v>172000</v>
          </cell>
          <cell r="Q470">
            <v>172000</v>
          </cell>
          <cell r="R470">
            <v>172000</v>
          </cell>
          <cell r="S470">
            <v>172000</v>
          </cell>
          <cell r="T470">
            <v>172000</v>
          </cell>
          <cell r="U470">
            <v>172000</v>
          </cell>
          <cell r="V470">
            <v>172000</v>
          </cell>
          <cell r="W470">
            <v>172000</v>
          </cell>
        </row>
        <row r="471">
          <cell r="C471" t="str">
            <v>040140-T25H</v>
          </cell>
          <cell r="D471">
            <v>1</v>
          </cell>
          <cell r="E471">
            <v>0</v>
          </cell>
          <cell r="F471">
            <v>0</v>
          </cell>
          <cell r="G471">
            <v>388000</v>
          </cell>
          <cell r="H471">
            <v>388000</v>
          </cell>
          <cell r="I471">
            <v>56000</v>
          </cell>
          <cell r="J471">
            <v>79049</v>
          </cell>
          <cell r="K471">
            <v>79170</v>
          </cell>
          <cell r="L471">
            <v>214219</v>
          </cell>
          <cell r="M471">
            <v>332000</v>
          </cell>
          <cell r="N471">
            <v>332000</v>
          </cell>
          <cell r="O471">
            <v>332000</v>
          </cell>
          <cell r="P471">
            <v>300000</v>
          </cell>
          <cell r="Q471">
            <v>300000</v>
          </cell>
          <cell r="R471">
            <v>258000</v>
          </cell>
          <cell r="S471">
            <v>252951</v>
          </cell>
          <cell r="T471">
            <v>173781</v>
          </cell>
          <cell r="U471">
            <v>173781</v>
          </cell>
          <cell r="V471">
            <v>173781</v>
          </cell>
          <cell r="W471">
            <v>173781</v>
          </cell>
        </row>
        <row r="472">
          <cell r="C472" t="str">
            <v>060160-U56H-4P</v>
          </cell>
          <cell r="D472">
            <v>1</v>
          </cell>
          <cell r="E472">
            <v>0</v>
          </cell>
          <cell r="F472">
            <v>23000</v>
          </cell>
          <cell r="G472">
            <v>152000</v>
          </cell>
          <cell r="H472">
            <v>175000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175000</v>
          </cell>
          <cell r="N472">
            <v>175000</v>
          </cell>
          <cell r="O472">
            <v>175000</v>
          </cell>
          <cell r="P472">
            <v>175000</v>
          </cell>
          <cell r="Q472">
            <v>175000</v>
          </cell>
          <cell r="R472">
            <v>175000</v>
          </cell>
          <cell r="S472">
            <v>175000</v>
          </cell>
          <cell r="T472">
            <v>175000</v>
          </cell>
          <cell r="U472">
            <v>175000</v>
          </cell>
          <cell r="V472">
            <v>175000</v>
          </cell>
          <cell r="W472">
            <v>175000</v>
          </cell>
        </row>
        <row r="473">
          <cell r="C473" t="str">
            <v>030100-J51W-B</v>
          </cell>
          <cell r="D473">
            <v>1</v>
          </cell>
          <cell r="E473">
            <v>0</v>
          </cell>
          <cell r="F473">
            <v>0</v>
          </cell>
          <cell r="G473">
            <v>180000</v>
          </cell>
          <cell r="H473">
            <v>180000</v>
          </cell>
          <cell r="I473">
            <v>0</v>
          </cell>
          <cell r="J473">
            <v>0</v>
          </cell>
          <cell r="K473">
            <v>5000</v>
          </cell>
          <cell r="L473">
            <v>5000</v>
          </cell>
          <cell r="M473">
            <v>180000</v>
          </cell>
          <cell r="N473">
            <v>180000</v>
          </cell>
          <cell r="O473">
            <v>180000</v>
          </cell>
          <cell r="P473">
            <v>180000</v>
          </cell>
          <cell r="Q473">
            <v>180000</v>
          </cell>
          <cell r="R473">
            <v>180000</v>
          </cell>
          <cell r="S473">
            <v>180000</v>
          </cell>
          <cell r="T473">
            <v>175000</v>
          </cell>
          <cell r="U473">
            <v>175000</v>
          </cell>
          <cell r="V473">
            <v>175000</v>
          </cell>
          <cell r="W473">
            <v>175000</v>
          </cell>
        </row>
        <row r="474">
          <cell r="C474" t="str">
            <v>040120-T46H-5</v>
          </cell>
          <cell r="D474">
            <v>1</v>
          </cell>
          <cell r="E474">
            <v>0</v>
          </cell>
          <cell r="F474">
            <v>70000</v>
          </cell>
          <cell r="G474">
            <v>106000</v>
          </cell>
          <cell r="H474">
            <v>176000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176000</v>
          </cell>
          <cell r="N474">
            <v>176000</v>
          </cell>
          <cell r="O474">
            <v>176000</v>
          </cell>
          <cell r="P474">
            <v>176000</v>
          </cell>
          <cell r="Q474">
            <v>176000</v>
          </cell>
          <cell r="R474">
            <v>176000</v>
          </cell>
          <cell r="S474">
            <v>176000</v>
          </cell>
          <cell r="T474">
            <v>176000</v>
          </cell>
          <cell r="U474">
            <v>176000</v>
          </cell>
          <cell r="V474">
            <v>176000</v>
          </cell>
          <cell r="W474">
            <v>176000</v>
          </cell>
        </row>
        <row r="475">
          <cell r="C475" t="str">
            <v>030145-Y52W-DP</v>
          </cell>
          <cell r="D475">
            <v>1</v>
          </cell>
          <cell r="E475">
            <v>0</v>
          </cell>
          <cell r="F475">
            <v>0</v>
          </cell>
          <cell r="G475">
            <v>177000</v>
          </cell>
          <cell r="H475">
            <v>177000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177000</v>
          </cell>
          <cell r="N475">
            <v>177000</v>
          </cell>
          <cell r="O475">
            <v>177000</v>
          </cell>
          <cell r="P475">
            <v>177000</v>
          </cell>
          <cell r="Q475">
            <v>177000</v>
          </cell>
          <cell r="R475">
            <v>177000</v>
          </cell>
          <cell r="S475">
            <v>177000</v>
          </cell>
          <cell r="T475">
            <v>177000</v>
          </cell>
          <cell r="U475">
            <v>177000</v>
          </cell>
          <cell r="V475">
            <v>177000</v>
          </cell>
          <cell r="W475">
            <v>177000</v>
          </cell>
        </row>
        <row r="476">
          <cell r="C476" t="str">
            <v>060430-U51W-DP</v>
          </cell>
          <cell r="D476">
            <v>1</v>
          </cell>
          <cell r="E476">
            <v>0</v>
          </cell>
          <cell r="F476">
            <v>0</v>
          </cell>
          <cell r="G476">
            <v>240000</v>
          </cell>
          <cell r="H476">
            <v>240000</v>
          </cell>
          <cell r="I476">
            <v>30000</v>
          </cell>
          <cell r="J476">
            <v>30000</v>
          </cell>
          <cell r="K476">
            <v>0</v>
          </cell>
          <cell r="L476">
            <v>60000</v>
          </cell>
          <cell r="M476">
            <v>210000</v>
          </cell>
          <cell r="N476">
            <v>210000</v>
          </cell>
          <cell r="O476">
            <v>210000</v>
          </cell>
          <cell r="P476">
            <v>180000</v>
          </cell>
          <cell r="Q476">
            <v>180000</v>
          </cell>
          <cell r="R476">
            <v>180000</v>
          </cell>
          <cell r="S476">
            <v>180000</v>
          </cell>
          <cell r="T476">
            <v>180000</v>
          </cell>
          <cell r="U476">
            <v>180000</v>
          </cell>
          <cell r="V476">
            <v>180000</v>
          </cell>
          <cell r="W476">
            <v>180000</v>
          </cell>
        </row>
        <row r="477">
          <cell r="C477" t="str">
            <v>030046-B62W</v>
          </cell>
          <cell r="D477">
            <v>1</v>
          </cell>
          <cell r="E477">
            <v>0</v>
          </cell>
          <cell r="F477">
            <v>0</v>
          </cell>
          <cell r="G477">
            <v>220000</v>
          </cell>
          <cell r="H477">
            <v>220000</v>
          </cell>
          <cell r="I477">
            <v>0</v>
          </cell>
          <cell r="J477">
            <v>40000</v>
          </cell>
          <cell r="K477">
            <v>0</v>
          </cell>
          <cell r="L477">
            <v>40000</v>
          </cell>
          <cell r="M477">
            <v>220000</v>
          </cell>
          <cell r="N477">
            <v>220000</v>
          </cell>
          <cell r="O477">
            <v>220000</v>
          </cell>
          <cell r="P477">
            <v>220000</v>
          </cell>
          <cell r="Q477">
            <v>220000</v>
          </cell>
          <cell r="R477">
            <v>220000</v>
          </cell>
          <cell r="S477">
            <v>180000</v>
          </cell>
          <cell r="T477">
            <v>180000</v>
          </cell>
          <cell r="U477">
            <v>180000</v>
          </cell>
          <cell r="V477">
            <v>180000</v>
          </cell>
          <cell r="W477">
            <v>180000</v>
          </cell>
        </row>
        <row r="478">
          <cell r="C478" t="str">
            <v>030120-P12W</v>
          </cell>
          <cell r="D478">
            <v>1</v>
          </cell>
          <cell r="E478">
            <v>0</v>
          </cell>
          <cell r="F478">
            <v>0</v>
          </cell>
          <cell r="G478">
            <v>208740</v>
          </cell>
          <cell r="H478">
            <v>208740</v>
          </cell>
          <cell r="I478">
            <v>13950</v>
          </cell>
          <cell r="J478">
            <v>0</v>
          </cell>
          <cell r="K478">
            <v>14400</v>
          </cell>
          <cell r="L478">
            <v>28350</v>
          </cell>
          <cell r="M478">
            <v>208740</v>
          </cell>
          <cell r="N478">
            <v>208740</v>
          </cell>
          <cell r="O478">
            <v>194790</v>
          </cell>
          <cell r="P478">
            <v>194790</v>
          </cell>
          <cell r="Q478">
            <v>194790</v>
          </cell>
          <cell r="R478">
            <v>194790</v>
          </cell>
          <cell r="S478">
            <v>194790</v>
          </cell>
          <cell r="T478">
            <v>180390</v>
          </cell>
          <cell r="U478">
            <v>180390</v>
          </cell>
          <cell r="V478">
            <v>180390</v>
          </cell>
          <cell r="W478">
            <v>180390</v>
          </cell>
        </row>
        <row r="479">
          <cell r="C479" t="str">
            <v>040160-J16H</v>
          </cell>
          <cell r="D479">
            <v>1</v>
          </cell>
          <cell r="E479">
            <v>0</v>
          </cell>
          <cell r="F479">
            <v>0</v>
          </cell>
          <cell r="G479">
            <v>200788</v>
          </cell>
          <cell r="H479">
            <v>200788</v>
          </cell>
          <cell r="I479">
            <v>2400</v>
          </cell>
          <cell r="J479">
            <v>15464</v>
          </cell>
          <cell r="K479">
            <v>0</v>
          </cell>
          <cell r="L479">
            <v>17864</v>
          </cell>
          <cell r="M479">
            <v>200788</v>
          </cell>
          <cell r="N479">
            <v>199188</v>
          </cell>
          <cell r="O479">
            <v>198388</v>
          </cell>
          <cell r="P479">
            <v>198388</v>
          </cell>
          <cell r="Q479">
            <v>182924</v>
          </cell>
          <cell r="R479">
            <v>182924</v>
          </cell>
          <cell r="S479">
            <v>182924</v>
          </cell>
          <cell r="T479">
            <v>182924</v>
          </cell>
          <cell r="U479">
            <v>182924</v>
          </cell>
          <cell r="V479">
            <v>182924</v>
          </cell>
          <cell r="W479">
            <v>182924</v>
          </cell>
        </row>
        <row r="480">
          <cell r="C480" t="str">
            <v>050250-T51W</v>
          </cell>
          <cell r="D480">
            <v>1</v>
          </cell>
          <cell r="E480">
            <v>0</v>
          </cell>
          <cell r="F480">
            <v>10000</v>
          </cell>
          <cell r="G480">
            <v>395200</v>
          </cell>
          <cell r="H480">
            <v>405200</v>
          </cell>
          <cell r="I480">
            <v>76870</v>
          </cell>
          <cell r="J480">
            <v>111457</v>
          </cell>
          <cell r="K480">
            <v>33281</v>
          </cell>
          <cell r="L480">
            <v>221608</v>
          </cell>
          <cell r="M480">
            <v>374854</v>
          </cell>
          <cell r="N480">
            <v>339112</v>
          </cell>
          <cell r="O480">
            <v>328330</v>
          </cell>
          <cell r="P480">
            <v>300446</v>
          </cell>
          <cell r="Q480">
            <v>270667</v>
          </cell>
          <cell r="R480">
            <v>247272</v>
          </cell>
          <cell r="S480">
            <v>216873</v>
          </cell>
          <cell r="T480">
            <v>183592</v>
          </cell>
          <cell r="U480">
            <v>183592</v>
          </cell>
          <cell r="V480">
            <v>183592</v>
          </cell>
          <cell r="W480">
            <v>183592</v>
          </cell>
        </row>
        <row r="481">
          <cell r="C481" t="str">
            <v>080220-U51W-3</v>
          </cell>
          <cell r="D481">
            <v>1</v>
          </cell>
          <cell r="E481">
            <v>0</v>
          </cell>
          <cell r="F481">
            <v>19000</v>
          </cell>
          <cell r="G481">
            <v>165001</v>
          </cell>
          <cell r="H481">
            <v>184001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184001</v>
          </cell>
          <cell r="N481">
            <v>184001</v>
          </cell>
          <cell r="O481">
            <v>184001</v>
          </cell>
          <cell r="P481">
            <v>184001</v>
          </cell>
          <cell r="Q481">
            <v>184001</v>
          </cell>
          <cell r="R481">
            <v>184001</v>
          </cell>
          <cell r="S481">
            <v>184001</v>
          </cell>
          <cell r="T481">
            <v>184001</v>
          </cell>
          <cell r="U481">
            <v>184001</v>
          </cell>
          <cell r="V481">
            <v>184001</v>
          </cell>
          <cell r="W481">
            <v>184001</v>
          </cell>
        </row>
        <row r="482">
          <cell r="C482" t="str">
            <v>040120-K15H</v>
          </cell>
          <cell r="D482">
            <v>1</v>
          </cell>
          <cell r="E482">
            <v>59000</v>
          </cell>
          <cell r="F482">
            <v>0</v>
          </cell>
          <cell r="G482">
            <v>665589</v>
          </cell>
          <cell r="H482">
            <v>665589</v>
          </cell>
          <cell r="I482">
            <v>147028</v>
          </cell>
          <cell r="J482">
            <v>243384</v>
          </cell>
          <cell r="K482">
            <v>88954</v>
          </cell>
          <cell r="L482">
            <v>479366</v>
          </cell>
          <cell r="M482">
            <v>613883</v>
          </cell>
          <cell r="N482">
            <v>561739</v>
          </cell>
          <cell r="O482">
            <v>518561</v>
          </cell>
          <cell r="P482">
            <v>465411</v>
          </cell>
          <cell r="Q482">
            <v>392067</v>
          </cell>
          <cell r="R482">
            <v>335115</v>
          </cell>
          <cell r="S482">
            <v>275177</v>
          </cell>
          <cell r="T482">
            <v>229485</v>
          </cell>
          <cell r="U482">
            <v>186223</v>
          </cell>
          <cell r="V482">
            <v>186223</v>
          </cell>
          <cell r="W482">
            <v>186223</v>
          </cell>
        </row>
        <row r="483">
          <cell r="C483" t="str">
            <v>040120-T62W-2</v>
          </cell>
          <cell r="D483">
            <v>1</v>
          </cell>
          <cell r="E483">
            <v>0</v>
          </cell>
          <cell r="F483">
            <v>192000</v>
          </cell>
          <cell r="G483">
            <v>47000</v>
          </cell>
          <cell r="H483">
            <v>239000</v>
          </cell>
          <cell r="I483">
            <v>0</v>
          </cell>
          <cell r="J483">
            <v>17427.960000000003</v>
          </cell>
          <cell r="K483">
            <v>32759.640000000003</v>
          </cell>
          <cell r="L483">
            <v>50187.600000000006</v>
          </cell>
          <cell r="M483">
            <v>239000</v>
          </cell>
          <cell r="N483">
            <v>239000</v>
          </cell>
          <cell r="O483">
            <v>239000</v>
          </cell>
          <cell r="P483">
            <v>221572.04</v>
          </cell>
          <cell r="Q483">
            <v>221572.04</v>
          </cell>
          <cell r="R483">
            <v>221572.04</v>
          </cell>
          <cell r="S483">
            <v>221572.04</v>
          </cell>
          <cell r="T483">
            <v>188812.4</v>
          </cell>
          <cell r="U483">
            <v>188812.4</v>
          </cell>
          <cell r="V483">
            <v>188812.4</v>
          </cell>
          <cell r="W483">
            <v>188812.4</v>
          </cell>
        </row>
        <row r="484">
          <cell r="C484" t="str">
            <v>030080-J52N</v>
          </cell>
          <cell r="D484">
            <v>1</v>
          </cell>
          <cell r="E484">
            <v>0</v>
          </cell>
          <cell r="F484">
            <v>203000</v>
          </cell>
          <cell r="G484">
            <v>96000</v>
          </cell>
          <cell r="H484">
            <v>299000</v>
          </cell>
          <cell r="I484">
            <v>110000</v>
          </cell>
          <cell r="J484">
            <v>0</v>
          </cell>
          <cell r="K484">
            <v>0</v>
          </cell>
          <cell r="L484">
            <v>110000</v>
          </cell>
          <cell r="M484">
            <v>189000</v>
          </cell>
          <cell r="N484">
            <v>189000</v>
          </cell>
          <cell r="O484">
            <v>189000</v>
          </cell>
          <cell r="P484">
            <v>189000</v>
          </cell>
          <cell r="Q484">
            <v>189000</v>
          </cell>
          <cell r="R484">
            <v>189000</v>
          </cell>
          <cell r="S484">
            <v>189000</v>
          </cell>
          <cell r="T484">
            <v>189000</v>
          </cell>
          <cell r="U484">
            <v>189000</v>
          </cell>
          <cell r="V484">
            <v>189000</v>
          </cell>
          <cell r="W484">
            <v>189000</v>
          </cell>
        </row>
        <row r="485">
          <cell r="C485" t="str">
            <v>040120-B66H</v>
          </cell>
          <cell r="D485">
            <v>1</v>
          </cell>
          <cell r="E485">
            <v>0</v>
          </cell>
          <cell r="F485">
            <v>0</v>
          </cell>
          <cell r="G485">
            <v>190000</v>
          </cell>
          <cell r="H485">
            <v>190000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190000</v>
          </cell>
          <cell r="N485">
            <v>190000</v>
          </cell>
          <cell r="O485">
            <v>190000</v>
          </cell>
          <cell r="P485">
            <v>190000</v>
          </cell>
          <cell r="Q485">
            <v>190000</v>
          </cell>
          <cell r="R485">
            <v>190000</v>
          </cell>
          <cell r="S485">
            <v>190000</v>
          </cell>
          <cell r="T485">
            <v>190000</v>
          </cell>
          <cell r="U485">
            <v>190000</v>
          </cell>
          <cell r="V485">
            <v>190000</v>
          </cell>
          <cell r="W485">
            <v>190000</v>
          </cell>
        </row>
        <row r="486">
          <cell r="C486" t="str">
            <v>040145-PM6H-MZ</v>
          </cell>
          <cell r="D486">
            <v>1</v>
          </cell>
          <cell r="E486">
            <v>0</v>
          </cell>
          <cell r="F486">
            <v>0</v>
          </cell>
          <cell r="G486">
            <v>340000</v>
          </cell>
          <cell r="H486">
            <v>340000</v>
          </cell>
          <cell r="I486">
            <v>0</v>
          </cell>
          <cell r="J486">
            <v>150000</v>
          </cell>
          <cell r="K486">
            <v>0</v>
          </cell>
          <cell r="L486">
            <v>150000</v>
          </cell>
          <cell r="M486">
            <v>340000</v>
          </cell>
          <cell r="N486">
            <v>340000</v>
          </cell>
          <cell r="O486">
            <v>340000</v>
          </cell>
          <cell r="P486">
            <v>190000</v>
          </cell>
          <cell r="Q486">
            <v>190000</v>
          </cell>
          <cell r="R486">
            <v>190000</v>
          </cell>
          <cell r="S486">
            <v>190000</v>
          </cell>
          <cell r="T486">
            <v>190000</v>
          </cell>
          <cell r="U486">
            <v>190000</v>
          </cell>
          <cell r="V486">
            <v>190000</v>
          </cell>
          <cell r="W486">
            <v>190000</v>
          </cell>
        </row>
        <row r="487">
          <cell r="C487" t="str">
            <v>040160-J15H</v>
          </cell>
          <cell r="D487">
            <v>1</v>
          </cell>
          <cell r="E487">
            <v>0</v>
          </cell>
          <cell r="F487">
            <v>1000</v>
          </cell>
          <cell r="G487">
            <v>272000</v>
          </cell>
          <cell r="H487">
            <v>273000</v>
          </cell>
          <cell r="I487">
            <v>27665</v>
          </cell>
          <cell r="J487">
            <v>48267</v>
          </cell>
          <cell r="K487">
            <v>6436</v>
          </cell>
          <cell r="L487">
            <v>82368</v>
          </cell>
          <cell r="M487">
            <v>258758</v>
          </cell>
          <cell r="N487">
            <v>250458</v>
          </cell>
          <cell r="O487">
            <v>245335</v>
          </cell>
          <cell r="P487">
            <v>229852</v>
          </cell>
          <cell r="Q487">
            <v>217381</v>
          </cell>
          <cell r="R487">
            <v>208752</v>
          </cell>
          <cell r="S487">
            <v>197068</v>
          </cell>
          <cell r="T487">
            <v>190632</v>
          </cell>
          <cell r="U487">
            <v>190632</v>
          </cell>
          <cell r="V487">
            <v>190632</v>
          </cell>
          <cell r="W487">
            <v>190632</v>
          </cell>
        </row>
        <row r="488">
          <cell r="C488" t="str">
            <v>030060-C51N</v>
          </cell>
          <cell r="D488">
            <v>1</v>
          </cell>
          <cell r="E488">
            <v>0</v>
          </cell>
          <cell r="F488">
            <v>0</v>
          </cell>
          <cell r="G488">
            <v>204000</v>
          </cell>
          <cell r="H488">
            <v>204000</v>
          </cell>
          <cell r="I488">
            <v>0</v>
          </cell>
          <cell r="J488">
            <v>0</v>
          </cell>
          <cell r="K488">
            <v>10000</v>
          </cell>
          <cell r="L488">
            <v>10000</v>
          </cell>
          <cell r="M488">
            <v>204000</v>
          </cell>
          <cell r="N488">
            <v>204000</v>
          </cell>
          <cell r="O488">
            <v>204000</v>
          </cell>
          <cell r="P488">
            <v>204000</v>
          </cell>
          <cell r="Q488">
            <v>204000</v>
          </cell>
          <cell r="R488">
            <v>204000</v>
          </cell>
          <cell r="S488">
            <v>204000</v>
          </cell>
          <cell r="T488">
            <v>194000</v>
          </cell>
          <cell r="U488">
            <v>194000</v>
          </cell>
          <cell r="V488">
            <v>194000</v>
          </cell>
          <cell r="W488">
            <v>194000</v>
          </cell>
        </row>
        <row r="489">
          <cell r="C489" t="str">
            <v>060500-C14W-BZ</v>
          </cell>
          <cell r="D489">
            <v>1</v>
          </cell>
          <cell r="E489">
            <v>0</v>
          </cell>
          <cell r="F489">
            <v>0</v>
          </cell>
          <cell r="G489">
            <v>194000</v>
          </cell>
          <cell r="H489">
            <v>194000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194000</v>
          </cell>
          <cell r="N489">
            <v>194000</v>
          </cell>
          <cell r="O489">
            <v>194000</v>
          </cell>
          <cell r="P489">
            <v>194000</v>
          </cell>
          <cell r="Q489">
            <v>194000</v>
          </cell>
          <cell r="R489">
            <v>194000</v>
          </cell>
          <cell r="S489">
            <v>194000</v>
          </cell>
          <cell r="T489">
            <v>194000</v>
          </cell>
          <cell r="U489">
            <v>194000</v>
          </cell>
          <cell r="V489">
            <v>194000</v>
          </cell>
          <cell r="W489">
            <v>194000</v>
          </cell>
        </row>
        <row r="490">
          <cell r="C490" t="str">
            <v>030045-B62W-Z</v>
          </cell>
          <cell r="D490">
            <v>1</v>
          </cell>
          <cell r="E490">
            <v>0</v>
          </cell>
          <cell r="F490">
            <v>0</v>
          </cell>
          <cell r="G490">
            <v>596739</v>
          </cell>
          <cell r="H490">
            <v>596739</v>
          </cell>
          <cell r="I490">
            <v>0</v>
          </cell>
          <cell r="J490">
            <v>200000</v>
          </cell>
          <cell r="K490">
            <v>200000</v>
          </cell>
          <cell r="L490">
            <v>400000</v>
          </cell>
          <cell r="M490">
            <v>596739</v>
          </cell>
          <cell r="N490">
            <v>596739</v>
          </cell>
          <cell r="O490">
            <v>596739</v>
          </cell>
          <cell r="P490">
            <v>596739</v>
          </cell>
          <cell r="Q490">
            <v>396739</v>
          </cell>
          <cell r="R490">
            <v>396739</v>
          </cell>
          <cell r="S490">
            <v>396739</v>
          </cell>
          <cell r="T490">
            <v>396739</v>
          </cell>
          <cell r="U490">
            <v>396739</v>
          </cell>
          <cell r="V490">
            <v>196739</v>
          </cell>
          <cell r="W490">
            <v>196739</v>
          </cell>
        </row>
        <row r="491">
          <cell r="C491" t="str">
            <v>050160-TM5R</v>
          </cell>
          <cell r="D491">
            <v>1</v>
          </cell>
          <cell r="E491">
            <v>0</v>
          </cell>
          <cell r="F491">
            <v>40000</v>
          </cell>
          <cell r="G491">
            <v>572000</v>
          </cell>
          <cell r="H491">
            <v>612000</v>
          </cell>
          <cell r="I491">
            <v>114213</v>
          </cell>
          <cell r="J491">
            <v>209149</v>
          </cell>
          <cell r="K491">
            <v>91209</v>
          </cell>
          <cell r="L491">
            <v>414571</v>
          </cell>
          <cell r="M491">
            <v>565095</v>
          </cell>
          <cell r="N491">
            <v>522928</v>
          </cell>
          <cell r="O491">
            <v>497787</v>
          </cell>
          <cell r="P491">
            <v>441771</v>
          </cell>
          <cell r="Q491">
            <v>374789</v>
          </cell>
          <cell r="R491">
            <v>337907</v>
          </cell>
          <cell r="S491">
            <v>288638</v>
          </cell>
          <cell r="T491">
            <v>243755</v>
          </cell>
          <cell r="U491">
            <v>197429</v>
          </cell>
          <cell r="V491">
            <v>197429</v>
          </cell>
          <cell r="W491">
            <v>197429</v>
          </cell>
        </row>
        <row r="492">
          <cell r="C492" t="str">
            <v>030080-PB2B</v>
          </cell>
          <cell r="D492">
            <v>1</v>
          </cell>
          <cell r="E492">
            <v>0</v>
          </cell>
          <cell r="F492">
            <v>0</v>
          </cell>
          <cell r="G492">
            <v>200000</v>
          </cell>
          <cell r="H492">
            <v>200000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200000</v>
          </cell>
          <cell r="N492">
            <v>200000</v>
          </cell>
          <cell r="O492">
            <v>200000</v>
          </cell>
          <cell r="P492">
            <v>200000</v>
          </cell>
          <cell r="Q492">
            <v>200000</v>
          </cell>
          <cell r="R492">
            <v>200000</v>
          </cell>
          <cell r="S492">
            <v>200000</v>
          </cell>
          <cell r="T492">
            <v>200000</v>
          </cell>
          <cell r="U492">
            <v>200000</v>
          </cell>
          <cell r="V492">
            <v>200000</v>
          </cell>
          <cell r="W492">
            <v>200000</v>
          </cell>
        </row>
        <row r="493">
          <cell r="C493" t="str">
            <v>040200-J11N</v>
          </cell>
          <cell r="D493">
            <v>1</v>
          </cell>
          <cell r="E493">
            <v>0</v>
          </cell>
          <cell r="F493">
            <v>0</v>
          </cell>
          <cell r="G493">
            <v>204000</v>
          </cell>
          <cell r="H493">
            <v>204000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204000</v>
          </cell>
          <cell r="N493">
            <v>204000</v>
          </cell>
          <cell r="O493">
            <v>204000</v>
          </cell>
          <cell r="P493">
            <v>204000</v>
          </cell>
          <cell r="Q493">
            <v>204000</v>
          </cell>
          <cell r="R493">
            <v>204000</v>
          </cell>
          <cell r="S493">
            <v>204000</v>
          </cell>
          <cell r="T493">
            <v>204000</v>
          </cell>
          <cell r="U493">
            <v>204000</v>
          </cell>
          <cell r="V493">
            <v>204000</v>
          </cell>
          <cell r="W493">
            <v>204000</v>
          </cell>
        </row>
        <row r="494">
          <cell r="C494" t="str">
            <v>050195-T62W-DZ</v>
          </cell>
          <cell r="D494">
            <v>1</v>
          </cell>
          <cell r="E494">
            <v>0</v>
          </cell>
          <cell r="F494">
            <v>0</v>
          </cell>
          <cell r="G494">
            <v>379450</v>
          </cell>
          <cell r="H494">
            <v>379450</v>
          </cell>
          <cell r="I494">
            <v>49392</v>
          </cell>
          <cell r="J494">
            <v>77948</v>
          </cell>
          <cell r="K494">
            <v>44488</v>
          </cell>
          <cell r="L494">
            <v>171828</v>
          </cell>
          <cell r="M494">
            <v>359830</v>
          </cell>
          <cell r="N494">
            <v>344786</v>
          </cell>
          <cell r="O494">
            <v>330058</v>
          </cell>
          <cell r="P494">
            <v>308730</v>
          </cell>
          <cell r="Q494">
            <v>289948</v>
          </cell>
          <cell r="R494">
            <v>271540</v>
          </cell>
          <cell r="S494">
            <v>252110</v>
          </cell>
          <cell r="T494">
            <v>229464</v>
          </cell>
          <cell r="U494">
            <v>207622</v>
          </cell>
          <cell r="V494">
            <v>207622</v>
          </cell>
          <cell r="W494">
            <v>207622</v>
          </cell>
        </row>
        <row r="495">
          <cell r="C495" t="str">
            <v>040140-PB2W</v>
          </cell>
          <cell r="D495">
            <v>1</v>
          </cell>
          <cell r="E495">
            <v>0</v>
          </cell>
          <cell r="F495">
            <v>0</v>
          </cell>
          <cell r="G495">
            <v>208000</v>
          </cell>
          <cell r="H495">
            <v>208000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208000</v>
          </cell>
          <cell r="N495">
            <v>208000</v>
          </cell>
          <cell r="O495">
            <v>208000</v>
          </cell>
          <cell r="P495">
            <v>208000</v>
          </cell>
          <cell r="Q495">
            <v>208000</v>
          </cell>
          <cell r="R495">
            <v>208000</v>
          </cell>
          <cell r="S495">
            <v>208000</v>
          </cell>
          <cell r="T495">
            <v>208000</v>
          </cell>
          <cell r="U495">
            <v>208000</v>
          </cell>
          <cell r="V495">
            <v>208000</v>
          </cell>
          <cell r="W495">
            <v>208000</v>
          </cell>
        </row>
        <row r="496">
          <cell r="C496" t="str">
            <v>040100-PB2B</v>
          </cell>
          <cell r="D496">
            <v>1</v>
          </cell>
          <cell r="E496">
            <v>0</v>
          </cell>
          <cell r="F496">
            <v>330000</v>
          </cell>
          <cell r="G496">
            <v>126000</v>
          </cell>
          <cell r="H496">
            <v>456000</v>
          </cell>
          <cell r="I496">
            <v>0</v>
          </cell>
          <cell r="J496">
            <v>140000</v>
          </cell>
          <cell r="K496">
            <v>100000</v>
          </cell>
          <cell r="L496">
            <v>240000</v>
          </cell>
          <cell r="M496">
            <v>456000</v>
          </cell>
          <cell r="N496">
            <v>456000</v>
          </cell>
          <cell r="O496">
            <v>456000</v>
          </cell>
          <cell r="P496">
            <v>316000</v>
          </cell>
          <cell r="Q496">
            <v>316000</v>
          </cell>
          <cell r="R496">
            <v>316000</v>
          </cell>
          <cell r="S496">
            <v>316000</v>
          </cell>
          <cell r="T496">
            <v>216000</v>
          </cell>
          <cell r="U496">
            <v>216000</v>
          </cell>
          <cell r="V496">
            <v>216000</v>
          </cell>
          <cell r="W496">
            <v>216000</v>
          </cell>
        </row>
        <row r="497">
          <cell r="C497" t="str">
            <v>040200-Y12W-DP</v>
          </cell>
          <cell r="D497">
            <v>1</v>
          </cell>
          <cell r="E497">
            <v>0</v>
          </cell>
          <cell r="F497">
            <v>0</v>
          </cell>
          <cell r="G497">
            <v>216800</v>
          </cell>
          <cell r="H497">
            <v>216800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216800</v>
          </cell>
          <cell r="N497">
            <v>216800</v>
          </cell>
          <cell r="O497">
            <v>216800</v>
          </cell>
          <cell r="P497">
            <v>216800</v>
          </cell>
          <cell r="Q497">
            <v>216800</v>
          </cell>
          <cell r="R497">
            <v>216800</v>
          </cell>
          <cell r="S497">
            <v>216800</v>
          </cell>
          <cell r="T497">
            <v>216800</v>
          </cell>
          <cell r="U497">
            <v>216800</v>
          </cell>
          <cell r="V497">
            <v>216800</v>
          </cell>
          <cell r="W497">
            <v>216800</v>
          </cell>
        </row>
        <row r="498">
          <cell r="C498" t="str">
            <v>040045-PS2W</v>
          </cell>
          <cell r="D498">
            <v>1</v>
          </cell>
          <cell r="E498">
            <v>0</v>
          </cell>
          <cell r="F498">
            <v>0</v>
          </cell>
          <cell r="G498">
            <v>228000</v>
          </cell>
          <cell r="H498">
            <v>228000</v>
          </cell>
          <cell r="I498">
            <v>10776</v>
          </cell>
          <cell r="J498">
            <v>0</v>
          </cell>
          <cell r="K498">
            <v>0</v>
          </cell>
          <cell r="L498">
            <v>10776</v>
          </cell>
          <cell r="M498">
            <v>225724</v>
          </cell>
          <cell r="N498">
            <v>217224</v>
          </cell>
          <cell r="O498">
            <v>217224</v>
          </cell>
          <cell r="P498">
            <v>217224</v>
          </cell>
          <cell r="Q498">
            <v>217224</v>
          </cell>
          <cell r="R498">
            <v>217224</v>
          </cell>
          <cell r="S498">
            <v>217224</v>
          </cell>
          <cell r="T498">
            <v>217224</v>
          </cell>
          <cell r="U498">
            <v>217224</v>
          </cell>
          <cell r="V498">
            <v>217224</v>
          </cell>
          <cell r="W498">
            <v>217224</v>
          </cell>
        </row>
        <row r="499">
          <cell r="C499" t="str">
            <v>050160-ZY4W-T</v>
          </cell>
          <cell r="D499">
            <v>1</v>
          </cell>
          <cell r="E499">
            <v>0</v>
          </cell>
          <cell r="F499">
            <v>0</v>
          </cell>
          <cell r="G499">
            <v>231000</v>
          </cell>
          <cell r="H499">
            <v>231000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231000</v>
          </cell>
          <cell r="N499">
            <v>231000</v>
          </cell>
          <cell r="O499">
            <v>231000</v>
          </cell>
          <cell r="P499">
            <v>231000</v>
          </cell>
          <cell r="Q499">
            <v>231000</v>
          </cell>
          <cell r="R499">
            <v>231000</v>
          </cell>
          <cell r="S499">
            <v>231000</v>
          </cell>
          <cell r="T499">
            <v>231000</v>
          </cell>
          <cell r="U499">
            <v>231000</v>
          </cell>
          <cell r="V499">
            <v>231000</v>
          </cell>
          <cell r="W499">
            <v>231000</v>
          </cell>
        </row>
        <row r="500">
          <cell r="C500" t="str">
            <v>040100-P51W-3</v>
          </cell>
          <cell r="D500">
            <v>1</v>
          </cell>
          <cell r="E500">
            <v>0</v>
          </cell>
          <cell r="F500">
            <v>142000</v>
          </cell>
          <cell r="G500">
            <v>290000</v>
          </cell>
          <cell r="H500">
            <v>432000</v>
          </cell>
          <cell r="I500">
            <v>0</v>
          </cell>
          <cell r="J500">
            <v>100000</v>
          </cell>
          <cell r="K500">
            <v>100000</v>
          </cell>
          <cell r="L500">
            <v>200000</v>
          </cell>
          <cell r="M500">
            <v>432000</v>
          </cell>
          <cell r="N500">
            <v>432000</v>
          </cell>
          <cell r="O500">
            <v>432000</v>
          </cell>
          <cell r="P500">
            <v>382000</v>
          </cell>
          <cell r="Q500">
            <v>382000</v>
          </cell>
          <cell r="R500">
            <v>332000</v>
          </cell>
          <cell r="S500">
            <v>332000</v>
          </cell>
          <cell r="T500">
            <v>332000</v>
          </cell>
          <cell r="U500">
            <v>282000</v>
          </cell>
          <cell r="V500">
            <v>282000</v>
          </cell>
          <cell r="W500">
            <v>232000</v>
          </cell>
        </row>
        <row r="501">
          <cell r="C501" t="str">
            <v>060100-U22W-P</v>
          </cell>
          <cell r="D501">
            <v>1</v>
          </cell>
          <cell r="E501">
            <v>0</v>
          </cell>
          <cell r="F501">
            <v>0</v>
          </cell>
          <cell r="G501">
            <v>274524</v>
          </cell>
          <cell r="H501">
            <v>274524</v>
          </cell>
          <cell r="I501">
            <v>10608</v>
          </cell>
          <cell r="J501">
            <v>12913</v>
          </cell>
          <cell r="K501">
            <v>13057</v>
          </cell>
          <cell r="L501">
            <v>36578</v>
          </cell>
          <cell r="M501">
            <v>274524</v>
          </cell>
          <cell r="N501">
            <v>263916</v>
          </cell>
          <cell r="O501">
            <v>263916</v>
          </cell>
          <cell r="P501">
            <v>251003</v>
          </cell>
          <cell r="Q501">
            <v>251003</v>
          </cell>
          <cell r="R501">
            <v>251003</v>
          </cell>
          <cell r="S501">
            <v>251003</v>
          </cell>
          <cell r="T501">
            <v>237946</v>
          </cell>
          <cell r="U501">
            <v>237946</v>
          </cell>
          <cell r="V501">
            <v>237946</v>
          </cell>
          <cell r="W501">
            <v>237946</v>
          </cell>
        </row>
        <row r="502">
          <cell r="C502" t="str">
            <v>320080-Z0AH</v>
          </cell>
          <cell r="D502">
            <v>1</v>
          </cell>
          <cell r="E502">
            <v>0</v>
          </cell>
          <cell r="F502">
            <v>0</v>
          </cell>
          <cell r="G502">
            <v>248000</v>
          </cell>
          <cell r="H502">
            <v>248000</v>
          </cell>
          <cell r="I502">
            <v>4420</v>
          </cell>
          <cell r="J502">
            <v>2964</v>
          </cell>
          <cell r="K502">
            <v>0</v>
          </cell>
          <cell r="L502">
            <v>7384</v>
          </cell>
          <cell r="M502">
            <v>243580</v>
          </cell>
          <cell r="N502">
            <v>243580</v>
          </cell>
          <cell r="O502">
            <v>243580</v>
          </cell>
          <cell r="P502">
            <v>243580</v>
          </cell>
          <cell r="Q502">
            <v>240616</v>
          </cell>
          <cell r="R502">
            <v>240616</v>
          </cell>
          <cell r="S502">
            <v>240616</v>
          </cell>
          <cell r="T502">
            <v>240616</v>
          </cell>
          <cell r="U502">
            <v>240616</v>
          </cell>
          <cell r="V502">
            <v>240616</v>
          </cell>
          <cell r="W502">
            <v>240616</v>
          </cell>
        </row>
        <row r="503">
          <cell r="C503" t="str">
            <v>040160-T31W-3K</v>
          </cell>
          <cell r="D503">
            <v>1</v>
          </cell>
          <cell r="E503">
            <v>0</v>
          </cell>
          <cell r="F503">
            <v>334000</v>
          </cell>
          <cell r="G503">
            <v>78000</v>
          </cell>
          <cell r="H503">
            <v>412000</v>
          </cell>
          <cell r="I503">
            <v>50000</v>
          </cell>
          <cell r="J503">
            <v>55902</v>
          </cell>
          <cell r="K503">
            <v>57513</v>
          </cell>
          <cell r="L503">
            <v>163415</v>
          </cell>
          <cell r="M503">
            <v>362000</v>
          </cell>
          <cell r="N503">
            <v>362000</v>
          </cell>
          <cell r="O503">
            <v>362000</v>
          </cell>
          <cell r="P503">
            <v>306098</v>
          </cell>
          <cell r="Q503">
            <v>306098</v>
          </cell>
          <cell r="R503">
            <v>306098</v>
          </cell>
          <cell r="S503">
            <v>306098</v>
          </cell>
          <cell r="T503">
            <v>248585</v>
          </cell>
          <cell r="U503">
            <v>248585</v>
          </cell>
          <cell r="V503">
            <v>248585</v>
          </cell>
          <cell r="W503">
            <v>248585</v>
          </cell>
        </row>
        <row r="504">
          <cell r="C504" t="str">
            <v>450230-Z06H</v>
          </cell>
          <cell r="D504">
            <v>1</v>
          </cell>
          <cell r="E504">
            <v>0</v>
          </cell>
          <cell r="F504">
            <v>1000</v>
          </cell>
          <cell r="G504">
            <v>334256</v>
          </cell>
          <cell r="H504">
            <v>335256</v>
          </cell>
          <cell r="I504">
            <v>22819</v>
          </cell>
          <cell r="J504">
            <v>46247</v>
          </cell>
          <cell r="K504">
            <v>14630</v>
          </cell>
          <cell r="L504">
            <v>83696</v>
          </cell>
          <cell r="M504">
            <v>326868</v>
          </cell>
          <cell r="N504">
            <v>319120</v>
          </cell>
          <cell r="O504">
            <v>312437</v>
          </cell>
          <cell r="P504">
            <v>294690</v>
          </cell>
          <cell r="Q504">
            <v>280865</v>
          </cell>
          <cell r="R504">
            <v>275014</v>
          </cell>
          <cell r="S504">
            <v>266190</v>
          </cell>
          <cell r="T504">
            <v>251560</v>
          </cell>
          <cell r="U504">
            <v>251560</v>
          </cell>
          <cell r="V504">
            <v>251560</v>
          </cell>
          <cell r="W504">
            <v>251560</v>
          </cell>
        </row>
        <row r="505">
          <cell r="C505" t="str">
            <v>560380-FY1W-DP</v>
          </cell>
          <cell r="D505">
            <v>1</v>
          </cell>
          <cell r="E505">
            <v>0</v>
          </cell>
          <cell r="F505">
            <v>353000</v>
          </cell>
          <cell r="G505">
            <v>140001</v>
          </cell>
          <cell r="H505">
            <v>493001</v>
          </cell>
          <cell r="I505">
            <v>120000</v>
          </cell>
          <cell r="J505">
            <v>120000</v>
          </cell>
          <cell r="K505">
            <v>0</v>
          </cell>
          <cell r="L505">
            <v>240000</v>
          </cell>
          <cell r="M505">
            <v>373001</v>
          </cell>
          <cell r="N505">
            <v>373001</v>
          </cell>
          <cell r="O505">
            <v>373001</v>
          </cell>
          <cell r="P505">
            <v>253001</v>
          </cell>
          <cell r="Q505">
            <v>253001</v>
          </cell>
          <cell r="R505">
            <v>253001</v>
          </cell>
          <cell r="S505">
            <v>253001</v>
          </cell>
          <cell r="T505">
            <v>253001</v>
          </cell>
          <cell r="U505">
            <v>253001</v>
          </cell>
          <cell r="V505">
            <v>253001</v>
          </cell>
          <cell r="W505">
            <v>253001</v>
          </cell>
        </row>
        <row r="506">
          <cell r="C506" t="str">
            <v>040100-P62W</v>
          </cell>
          <cell r="D506">
            <v>2</v>
          </cell>
          <cell r="E506">
            <v>0</v>
          </cell>
          <cell r="F506">
            <v>0</v>
          </cell>
          <cell r="G506">
            <v>429112</v>
          </cell>
          <cell r="H506">
            <v>429112</v>
          </cell>
          <cell r="I506">
            <v>42000</v>
          </cell>
          <cell r="J506">
            <v>68962</v>
          </cell>
          <cell r="K506">
            <v>58104</v>
          </cell>
          <cell r="L506">
            <v>169066</v>
          </cell>
          <cell r="M506">
            <v>387112</v>
          </cell>
          <cell r="N506">
            <v>387112</v>
          </cell>
          <cell r="O506">
            <v>387112</v>
          </cell>
          <cell r="P506">
            <v>353112</v>
          </cell>
          <cell r="Q506">
            <v>353112</v>
          </cell>
          <cell r="R506">
            <v>327112</v>
          </cell>
          <cell r="S506">
            <v>318150</v>
          </cell>
          <cell r="T506">
            <v>260046</v>
          </cell>
          <cell r="U506">
            <v>260046</v>
          </cell>
          <cell r="V506">
            <v>260046</v>
          </cell>
          <cell r="W506">
            <v>260046</v>
          </cell>
        </row>
        <row r="507">
          <cell r="C507" t="str">
            <v>260635-B62W</v>
          </cell>
          <cell r="D507">
            <v>1</v>
          </cell>
          <cell r="E507">
            <v>0</v>
          </cell>
          <cell r="F507">
            <v>0</v>
          </cell>
          <cell r="G507">
            <v>290000</v>
          </cell>
          <cell r="H507">
            <v>290000</v>
          </cell>
          <cell r="I507">
            <v>20000</v>
          </cell>
          <cell r="J507">
            <v>0</v>
          </cell>
          <cell r="K507">
            <v>0</v>
          </cell>
          <cell r="L507">
            <v>20000</v>
          </cell>
          <cell r="M507">
            <v>290000</v>
          </cell>
          <cell r="N507">
            <v>270000</v>
          </cell>
          <cell r="O507">
            <v>270000</v>
          </cell>
          <cell r="P507">
            <v>270000</v>
          </cell>
          <cell r="Q507">
            <v>270000</v>
          </cell>
          <cell r="R507">
            <v>270000</v>
          </cell>
          <cell r="S507">
            <v>270000</v>
          </cell>
          <cell r="T507">
            <v>270000</v>
          </cell>
          <cell r="U507">
            <v>270000</v>
          </cell>
          <cell r="V507">
            <v>270000</v>
          </cell>
          <cell r="W507">
            <v>270000</v>
          </cell>
        </row>
        <row r="508">
          <cell r="C508" t="str">
            <v>560300-FY1W-DP</v>
          </cell>
          <cell r="D508">
            <v>1</v>
          </cell>
          <cell r="E508">
            <v>0</v>
          </cell>
          <cell r="F508">
            <v>0</v>
          </cell>
          <cell r="G508">
            <v>522000</v>
          </cell>
          <cell r="H508">
            <v>522000</v>
          </cell>
          <cell r="I508">
            <v>150000</v>
          </cell>
          <cell r="J508">
            <v>100000</v>
          </cell>
          <cell r="K508">
            <v>0</v>
          </cell>
          <cell r="L508">
            <v>250000</v>
          </cell>
          <cell r="M508">
            <v>372000</v>
          </cell>
          <cell r="N508">
            <v>372000</v>
          </cell>
          <cell r="O508">
            <v>372000</v>
          </cell>
          <cell r="P508">
            <v>272000</v>
          </cell>
          <cell r="Q508">
            <v>272000</v>
          </cell>
          <cell r="R508">
            <v>272000</v>
          </cell>
          <cell r="S508">
            <v>272000</v>
          </cell>
          <cell r="T508">
            <v>272000</v>
          </cell>
          <cell r="U508">
            <v>272000</v>
          </cell>
          <cell r="V508">
            <v>272000</v>
          </cell>
          <cell r="W508">
            <v>272000</v>
          </cell>
        </row>
        <row r="509">
          <cell r="C509" t="str">
            <v>040120-K54B-DZ</v>
          </cell>
          <cell r="D509">
            <v>1</v>
          </cell>
          <cell r="E509">
            <v>0</v>
          </cell>
          <cell r="F509">
            <v>0</v>
          </cell>
          <cell r="G509">
            <v>555000</v>
          </cell>
          <cell r="H509">
            <v>555000</v>
          </cell>
          <cell r="I509">
            <v>280000</v>
          </cell>
          <cell r="J509">
            <v>0</v>
          </cell>
          <cell r="K509">
            <v>0</v>
          </cell>
          <cell r="L509">
            <v>280000</v>
          </cell>
          <cell r="M509">
            <v>275000</v>
          </cell>
          <cell r="N509">
            <v>275000</v>
          </cell>
          <cell r="O509">
            <v>275000</v>
          </cell>
          <cell r="P509">
            <v>275000</v>
          </cell>
          <cell r="Q509">
            <v>275000</v>
          </cell>
          <cell r="R509">
            <v>275000</v>
          </cell>
          <cell r="S509">
            <v>275000</v>
          </cell>
          <cell r="T509">
            <v>275000</v>
          </cell>
          <cell r="U509">
            <v>275000</v>
          </cell>
          <cell r="V509">
            <v>275000</v>
          </cell>
          <cell r="W509">
            <v>275000</v>
          </cell>
        </row>
        <row r="510">
          <cell r="C510" t="str">
            <v>030080-PB2W-Z</v>
          </cell>
          <cell r="D510">
            <v>1</v>
          </cell>
          <cell r="E510">
            <v>0</v>
          </cell>
          <cell r="F510">
            <v>0</v>
          </cell>
          <cell r="G510">
            <v>680000</v>
          </cell>
          <cell r="H510">
            <v>680000</v>
          </cell>
          <cell r="I510">
            <v>100000</v>
          </cell>
          <cell r="J510">
            <v>150000</v>
          </cell>
          <cell r="K510">
            <v>150000</v>
          </cell>
          <cell r="L510">
            <v>400000</v>
          </cell>
          <cell r="M510">
            <v>630000</v>
          </cell>
          <cell r="N510">
            <v>580000</v>
          </cell>
          <cell r="O510">
            <v>580000</v>
          </cell>
          <cell r="P510">
            <v>530000</v>
          </cell>
          <cell r="Q510">
            <v>480000</v>
          </cell>
          <cell r="R510">
            <v>430000</v>
          </cell>
          <cell r="S510">
            <v>430000</v>
          </cell>
          <cell r="T510">
            <v>380000</v>
          </cell>
          <cell r="U510">
            <v>330000</v>
          </cell>
          <cell r="V510">
            <v>280000</v>
          </cell>
          <cell r="W510">
            <v>280000</v>
          </cell>
        </row>
        <row r="511">
          <cell r="C511" t="str">
            <v>030120-P51W</v>
          </cell>
          <cell r="D511">
            <v>1</v>
          </cell>
          <cell r="E511">
            <v>0</v>
          </cell>
          <cell r="F511">
            <v>321000</v>
          </cell>
          <cell r="G511">
            <v>50000</v>
          </cell>
          <cell r="H511">
            <v>371000</v>
          </cell>
          <cell r="I511">
            <v>0</v>
          </cell>
          <cell r="J511">
            <v>90000</v>
          </cell>
          <cell r="K511">
            <v>0</v>
          </cell>
          <cell r="L511">
            <v>90000</v>
          </cell>
          <cell r="M511">
            <v>371000</v>
          </cell>
          <cell r="N511">
            <v>371000</v>
          </cell>
          <cell r="O511">
            <v>371000</v>
          </cell>
          <cell r="P511">
            <v>281000</v>
          </cell>
          <cell r="Q511">
            <v>281000</v>
          </cell>
          <cell r="R511">
            <v>281000</v>
          </cell>
          <cell r="S511">
            <v>281000</v>
          </cell>
          <cell r="T511">
            <v>281000</v>
          </cell>
          <cell r="U511">
            <v>281000</v>
          </cell>
          <cell r="V511">
            <v>281000</v>
          </cell>
          <cell r="W511">
            <v>281000</v>
          </cell>
        </row>
        <row r="512">
          <cell r="C512" t="str">
            <v>420140-JDEZ-B</v>
          </cell>
          <cell r="D512">
            <v>1</v>
          </cell>
          <cell r="E512">
            <v>0</v>
          </cell>
          <cell r="F512">
            <v>0</v>
          </cell>
          <cell r="G512">
            <v>285000</v>
          </cell>
          <cell r="H512">
            <v>285000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285000</v>
          </cell>
          <cell r="N512">
            <v>285000</v>
          </cell>
          <cell r="O512">
            <v>285000</v>
          </cell>
          <cell r="P512">
            <v>285000</v>
          </cell>
          <cell r="Q512">
            <v>285000</v>
          </cell>
          <cell r="R512">
            <v>285000</v>
          </cell>
          <cell r="S512">
            <v>285000</v>
          </cell>
          <cell r="T512">
            <v>285000</v>
          </cell>
          <cell r="U512">
            <v>285000</v>
          </cell>
          <cell r="V512">
            <v>285000</v>
          </cell>
          <cell r="W512">
            <v>285000</v>
          </cell>
        </row>
        <row r="513">
          <cell r="C513" t="str">
            <v>030100-P52W</v>
          </cell>
          <cell r="D513">
            <v>1</v>
          </cell>
          <cell r="E513">
            <v>0</v>
          </cell>
          <cell r="F513">
            <v>0</v>
          </cell>
          <cell r="G513">
            <v>295000</v>
          </cell>
          <cell r="H513">
            <v>295000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295000</v>
          </cell>
          <cell r="N513">
            <v>295000</v>
          </cell>
          <cell r="O513">
            <v>295000</v>
          </cell>
          <cell r="P513">
            <v>295000</v>
          </cell>
          <cell r="Q513">
            <v>295000</v>
          </cell>
          <cell r="R513">
            <v>295000</v>
          </cell>
          <cell r="S513">
            <v>295000</v>
          </cell>
          <cell r="T513">
            <v>295000</v>
          </cell>
          <cell r="U513">
            <v>295000</v>
          </cell>
          <cell r="V513">
            <v>295000</v>
          </cell>
          <cell r="W513">
            <v>295000</v>
          </cell>
        </row>
        <row r="514">
          <cell r="C514" t="str">
            <v>050550-U12B-P</v>
          </cell>
          <cell r="D514">
            <v>1</v>
          </cell>
          <cell r="E514">
            <v>1700000</v>
          </cell>
          <cell r="F514">
            <v>298000</v>
          </cell>
          <cell r="G514">
            <v>0</v>
          </cell>
          <cell r="H514">
            <v>298000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298000</v>
          </cell>
          <cell r="N514">
            <v>298000</v>
          </cell>
          <cell r="O514">
            <v>298000</v>
          </cell>
          <cell r="P514">
            <v>298000</v>
          </cell>
          <cell r="Q514">
            <v>298000</v>
          </cell>
          <cell r="R514">
            <v>298000</v>
          </cell>
          <cell r="S514">
            <v>298000</v>
          </cell>
          <cell r="T514">
            <v>298000</v>
          </cell>
          <cell r="U514">
            <v>298000</v>
          </cell>
          <cell r="V514">
            <v>298000</v>
          </cell>
          <cell r="W514">
            <v>298000</v>
          </cell>
        </row>
        <row r="515">
          <cell r="C515" t="str">
            <v>030120-P621</v>
          </cell>
          <cell r="D515">
            <v>1</v>
          </cell>
          <cell r="E515">
            <v>0</v>
          </cell>
          <cell r="F515">
            <v>0</v>
          </cell>
          <cell r="G515">
            <v>630000</v>
          </cell>
          <cell r="H515">
            <v>630000</v>
          </cell>
          <cell r="I515">
            <v>119087</v>
          </cell>
          <cell r="J515">
            <v>138780</v>
          </cell>
          <cell r="K515">
            <v>68132</v>
          </cell>
          <cell r="L515">
            <v>325999</v>
          </cell>
          <cell r="M515">
            <v>510913</v>
          </cell>
          <cell r="N515">
            <v>510913</v>
          </cell>
          <cell r="O515">
            <v>510913</v>
          </cell>
          <cell r="P515">
            <v>510913</v>
          </cell>
          <cell r="Q515">
            <v>510913</v>
          </cell>
          <cell r="R515">
            <v>510913</v>
          </cell>
          <cell r="S515">
            <v>372133</v>
          </cell>
          <cell r="T515">
            <v>372133</v>
          </cell>
          <cell r="U515">
            <v>372133</v>
          </cell>
          <cell r="V515">
            <v>372133</v>
          </cell>
          <cell r="W515">
            <v>304001</v>
          </cell>
        </row>
        <row r="516">
          <cell r="C516" t="str">
            <v>030080-B22W</v>
          </cell>
          <cell r="D516">
            <v>1</v>
          </cell>
          <cell r="E516">
            <v>0</v>
          </cell>
          <cell r="F516">
            <v>0</v>
          </cell>
          <cell r="G516">
            <v>305000</v>
          </cell>
          <cell r="H516">
            <v>305000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305000</v>
          </cell>
          <cell r="N516">
            <v>305000</v>
          </cell>
          <cell r="O516">
            <v>305000</v>
          </cell>
          <cell r="P516">
            <v>305000</v>
          </cell>
          <cell r="Q516">
            <v>305000</v>
          </cell>
          <cell r="R516">
            <v>305000</v>
          </cell>
          <cell r="S516">
            <v>305000</v>
          </cell>
          <cell r="T516">
            <v>305000</v>
          </cell>
          <cell r="U516">
            <v>305000</v>
          </cell>
          <cell r="V516">
            <v>305000</v>
          </cell>
          <cell r="W516">
            <v>305000</v>
          </cell>
        </row>
        <row r="517">
          <cell r="C517" t="str">
            <v>040080-TS2W</v>
          </cell>
          <cell r="D517">
            <v>1</v>
          </cell>
          <cell r="E517">
            <v>0</v>
          </cell>
          <cell r="F517">
            <v>0</v>
          </cell>
          <cell r="G517">
            <v>642000</v>
          </cell>
          <cell r="H517">
            <v>642000</v>
          </cell>
          <cell r="I517">
            <v>91225</v>
          </cell>
          <cell r="J517">
            <v>156064</v>
          </cell>
          <cell r="K517">
            <v>75812</v>
          </cell>
          <cell r="L517">
            <v>323101</v>
          </cell>
          <cell r="M517">
            <v>604308</v>
          </cell>
          <cell r="N517">
            <v>572600</v>
          </cell>
          <cell r="O517">
            <v>550775</v>
          </cell>
          <cell r="P517">
            <v>505958</v>
          </cell>
          <cell r="Q517">
            <v>466141</v>
          </cell>
          <cell r="R517">
            <v>434780</v>
          </cell>
          <cell r="S517">
            <v>394711</v>
          </cell>
          <cell r="T517">
            <v>356592</v>
          </cell>
          <cell r="U517">
            <v>318899</v>
          </cell>
          <cell r="V517">
            <v>318899</v>
          </cell>
          <cell r="W517">
            <v>318899</v>
          </cell>
        </row>
        <row r="518">
          <cell r="C518" t="str">
            <v>040080-T22W-Z</v>
          </cell>
          <cell r="D518">
            <v>1</v>
          </cell>
          <cell r="E518">
            <v>0</v>
          </cell>
          <cell r="F518">
            <v>238000</v>
          </cell>
          <cell r="G518">
            <v>668000</v>
          </cell>
          <cell r="H518">
            <v>906000</v>
          </cell>
          <cell r="I518">
            <v>200000</v>
          </cell>
          <cell r="J518">
            <v>188761</v>
          </cell>
          <cell r="K518">
            <v>196008</v>
          </cell>
          <cell r="L518">
            <v>584769</v>
          </cell>
          <cell r="M518">
            <v>706000</v>
          </cell>
          <cell r="N518">
            <v>706000</v>
          </cell>
          <cell r="O518">
            <v>706000</v>
          </cell>
          <cell r="P518">
            <v>527342</v>
          </cell>
          <cell r="Q518">
            <v>517239</v>
          </cell>
          <cell r="R518">
            <v>517239</v>
          </cell>
          <cell r="S518">
            <v>517239</v>
          </cell>
          <cell r="T518">
            <v>332273</v>
          </cell>
          <cell r="U518">
            <v>321231</v>
          </cell>
          <cell r="V518">
            <v>321231</v>
          </cell>
          <cell r="W518">
            <v>321231</v>
          </cell>
        </row>
        <row r="519">
          <cell r="C519" t="str">
            <v>060350-U51W-DP</v>
          </cell>
          <cell r="D519">
            <v>1</v>
          </cell>
          <cell r="E519">
            <v>0</v>
          </cell>
          <cell r="F519">
            <v>0</v>
          </cell>
          <cell r="G519">
            <v>322000</v>
          </cell>
          <cell r="H519">
            <v>322000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322000</v>
          </cell>
          <cell r="N519">
            <v>322000</v>
          </cell>
          <cell r="O519">
            <v>322000</v>
          </cell>
          <cell r="P519">
            <v>322000</v>
          </cell>
          <cell r="Q519">
            <v>322000</v>
          </cell>
          <cell r="R519">
            <v>322000</v>
          </cell>
          <cell r="S519">
            <v>322000</v>
          </cell>
          <cell r="T519">
            <v>322000</v>
          </cell>
          <cell r="U519">
            <v>322000</v>
          </cell>
          <cell r="V519">
            <v>322000</v>
          </cell>
          <cell r="W519">
            <v>322000</v>
          </cell>
        </row>
        <row r="520">
          <cell r="C520" t="str">
            <v>040080-T22P</v>
          </cell>
          <cell r="D520">
            <v>1</v>
          </cell>
          <cell r="E520">
            <v>0</v>
          </cell>
          <cell r="F520">
            <v>0</v>
          </cell>
          <cell r="G520">
            <v>966140</v>
          </cell>
          <cell r="H520">
            <v>966140</v>
          </cell>
          <cell r="I520">
            <v>130944</v>
          </cell>
          <cell r="J520">
            <v>310612</v>
          </cell>
          <cell r="K520">
            <v>172847</v>
          </cell>
          <cell r="L520">
            <v>614403</v>
          </cell>
          <cell r="M520">
            <v>835196</v>
          </cell>
          <cell r="N520">
            <v>835196</v>
          </cell>
          <cell r="O520">
            <v>835196</v>
          </cell>
          <cell r="P520">
            <v>735196</v>
          </cell>
          <cell r="Q520">
            <v>735196</v>
          </cell>
          <cell r="R520">
            <v>735196</v>
          </cell>
          <cell r="S520">
            <v>524584</v>
          </cell>
          <cell r="T520">
            <v>524584</v>
          </cell>
          <cell r="U520">
            <v>524584</v>
          </cell>
          <cell r="V520">
            <v>524584</v>
          </cell>
          <cell r="W520">
            <v>351737</v>
          </cell>
        </row>
        <row r="521">
          <cell r="C521" t="str">
            <v>020075-PP2B</v>
          </cell>
          <cell r="D521">
            <v>1</v>
          </cell>
          <cell r="E521">
            <v>0</v>
          </cell>
          <cell r="F521">
            <v>314000</v>
          </cell>
          <cell r="G521">
            <v>540000</v>
          </cell>
          <cell r="H521">
            <v>854000</v>
          </cell>
          <cell r="I521">
            <v>100000</v>
          </cell>
          <cell r="J521">
            <v>200000</v>
          </cell>
          <cell r="K521">
            <v>200000</v>
          </cell>
          <cell r="L521">
            <v>500000</v>
          </cell>
          <cell r="M521">
            <v>754000</v>
          </cell>
          <cell r="N521">
            <v>754000</v>
          </cell>
          <cell r="O521">
            <v>754000</v>
          </cell>
          <cell r="P521">
            <v>654000</v>
          </cell>
          <cell r="Q521">
            <v>654000</v>
          </cell>
          <cell r="R521">
            <v>554000</v>
          </cell>
          <cell r="S521">
            <v>554000</v>
          </cell>
          <cell r="T521">
            <v>554000</v>
          </cell>
          <cell r="U521">
            <v>454000</v>
          </cell>
          <cell r="V521">
            <v>454000</v>
          </cell>
          <cell r="W521">
            <v>354000</v>
          </cell>
        </row>
        <row r="522">
          <cell r="C522" t="str">
            <v>030100-J51N</v>
          </cell>
          <cell r="D522">
            <v>1</v>
          </cell>
          <cell r="E522">
            <v>0</v>
          </cell>
          <cell r="F522">
            <v>0</v>
          </cell>
          <cell r="G522">
            <v>425000</v>
          </cell>
          <cell r="H522">
            <v>425000</v>
          </cell>
          <cell r="I522">
            <v>25000</v>
          </cell>
          <cell r="J522">
            <v>0</v>
          </cell>
          <cell r="K522">
            <v>25000</v>
          </cell>
          <cell r="L522">
            <v>50000</v>
          </cell>
          <cell r="M522">
            <v>425000</v>
          </cell>
          <cell r="N522">
            <v>400000</v>
          </cell>
          <cell r="O522">
            <v>400000</v>
          </cell>
          <cell r="P522">
            <v>400000</v>
          </cell>
          <cell r="Q522">
            <v>400000</v>
          </cell>
          <cell r="R522">
            <v>400000</v>
          </cell>
          <cell r="S522">
            <v>400000</v>
          </cell>
          <cell r="T522">
            <v>375000</v>
          </cell>
          <cell r="U522">
            <v>375000</v>
          </cell>
          <cell r="V522">
            <v>375000</v>
          </cell>
          <cell r="W522">
            <v>375000</v>
          </cell>
        </row>
        <row r="523">
          <cell r="C523" t="str">
            <v>030080-V62W</v>
          </cell>
          <cell r="D523">
            <v>1</v>
          </cell>
          <cell r="E523">
            <v>0</v>
          </cell>
          <cell r="F523">
            <v>0</v>
          </cell>
          <cell r="G523">
            <v>665000</v>
          </cell>
          <cell r="H523">
            <v>665000</v>
          </cell>
          <cell r="I523">
            <v>40213</v>
          </cell>
          <cell r="J523">
            <v>88560</v>
          </cell>
          <cell r="K523">
            <v>138313</v>
          </cell>
          <cell r="L523">
            <v>267086</v>
          </cell>
          <cell r="M523">
            <v>624787</v>
          </cell>
          <cell r="N523">
            <v>624787</v>
          </cell>
          <cell r="O523">
            <v>624787</v>
          </cell>
          <cell r="P523">
            <v>624787</v>
          </cell>
          <cell r="Q523">
            <v>584787</v>
          </cell>
          <cell r="R523">
            <v>584787</v>
          </cell>
          <cell r="S523">
            <v>536227</v>
          </cell>
          <cell r="T523">
            <v>536227</v>
          </cell>
          <cell r="U523">
            <v>536227</v>
          </cell>
          <cell r="V523">
            <v>536227</v>
          </cell>
          <cell r="W523">
            <v>397914</v>
          </cell>
        </row>
        <row r="524">
          <cell r="C524" t="str">
            <v>350115-JY4B-A</v>
          </cell>
          <cell r="D524">
            <v>1</v>
          </cell>
          <cell r="E524">
            <v>0</v>
          </cell>
          <cell r="F524">
            <v>0</v>
          </cell>
          <cell r="G524">
            <v>422000</v>
          </cell>
          <cell r="H524">
            <v>422000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422000</v>
          </cell>
          <cell r="N524">
            <v>422000</v>
          </cell>
          <cell r="O524">
            <v>422000</v>
          </cell>
          <cell r="P524">
            <v>422000</v>
          </cell>
          <cell r="Q524">
            <v>422000</v>
          </cell>
          <cell r="R524">
            <v>422000</v>
          </cell>
          <cell r="S524">
            <v>422000</v>
          </cell>
          <cell r="T524">
            <v>422000</v>
          </cell>
          <cell r="U524">
            <v>422000</v>
          </cell>
          <cell r="V524">
            <v>422000</v>
          </cell>
          <cell r="W524">
            <v>422000</v>
          </cell>
        </row>
        <row r="525">
          <cell r="C525" t="str">
            <v>030120-J111</v>
          </cell>
          <cell r="D525">
            <v>1</v>
          </cell>
          <cell r="E525">
            <v>0</v>
          </cell>
          <cell r="F525">
            <v>0</v>
          </cell>
          <cell r="G525">
            <v>445000</v>
          </cell>
          <cell r="H525">
            <v>445000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445000</v>
          </cell>
          <cell r="N525">
            <v>445000</v>
          </cell>
          <cell r="O525">
            <v>445000</v>
          </cell>
          <cell r="P525">
            <v>445000</v>
          </cell>
          <cell r="Q525">
            <v>445000</v>
          </cell>
          <cell r="R525">
            <v>445000</v>
          </cell>
          <cell r="S525">
            <v>445000</v>
          </cell>
          <cell r="T525">
            <v>445000</v>
          </cell>
          <cell r="U525">
            <v>445000</v>
          </cell>
          <cell r="V525">
            <v>445000</v>
          </cell>
          <cell r="W525">
            <v>445000</v>
          </cell>
        </row>
        <row r="526">
          <cell r="C526" t="str">
            <v>060400-Z0P0</v>
          </cell>
          <cell r="D526">
            <v>1</v>
          </cell>
          <cell r="E526">
            <v>0</v>
          </cell>
          <cell r="F526">
            <v>446000</v>
          </cell>
          <cell r="G526">
            <v>0</v>
          </cell>
          <cell r="H526">
            <v>446000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446000</v>
          </cell>
          <cell r="N526">
            <v>446000</v>
          </cell>
          <cell r="O526">
            <v>446000</v>
          </cell>
          <cell r="P526">
            <v>446000</v>
          </cell>
          <cell r="Q526">
            <v>446000</v>
          </cell>
          <cell r="R526">
            <v>446000</v>
          </cell>
          <cell r="S526">
            <v>446000</v>
          </cell>
          <cell r="T526">
            <v>446000</v>
          </cell>
          <cell r="U526">
            <v>446000</v>
          </cell>
          <cell r="V526">
            <v>446000</v>
          </cell>
          <cell r="W526">
            <v>446000</v>
          </cell>
        </row>
        <row r="527">
          <cell r="C527" t="str">
            <v>030080-P62W</v>
          </cell>
          <cell r="D527">
            <v>1</v>
          </cell>
          <cell r="E527">
            <v>0</v>
          </cell>
          <cell r="F527">
            <v>0</v>
          </cell>
          <cell r="G527">
            <v>450000</v>
          </cell>
          <cell r="H527">
            <v>450000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450000</v>
          </cell>
          <cell r="N527">
            <v>450000</v>
          </cell>
          <cell r="O527">
            <v>450000</v>
          </cell>
          <cell r="P527">
            <v>450000</v>
          </cell>
          <cell r="Q527">
            <v>450000</v>
          </cell>
          <cell r="R527">
            <v>450000</v>
          </cell>
          <cell r="S527">
            <v>450000</v>
          </cell>
          <cell r="T527">
            <v>450000</v>
          </cell>
          <cell r="U527">
            <v>450000</v>
          </cell>
          <cell r="V527">
            <v>450000</v>
          </cell>
          <cell r="W527">
            <v>450000</v>
          </cell>
        </row>
        <row r="528">
          <cell r="C528" t="str">
            <v>260040-Y52W-DT</v>
          </cell>
          <cell r="D528">
            <v>1</v>
          </cell>
          <cell r="E528">
            <v>0</v>
          </cell>
          <cell r="F528">
            <v>433000</v>
          </cell>
          <cell r="G528">
            <v>130000</v>
          </cell>
          <cell r="H528">
            <v>563000</v>
          </cell>
          <cell r="I528">
            <v>30000</v>
          </cell>
          <cell r="J528">
            <v>30000</v>
          </cell>
          <cell r="K528">
            <v>30000</v>
          </cell>
          <cell r="L528">
            <v>90000</v>
          </cell>
          <cell r="M528">
            <v>563000</v>
          </cell>
          <cell r="N528">
            <v>533000</v>
          </cell>
          <cell r="O528">
            <v>533000</v>
          </cell>
          <cell r="P528">
            <v>503000</v>
          </cell>
          <cell r="Q528">
            <v>503000</v>
          </cell>
          <cell r="R528">
            <v>503000</v>
          </cell>
          <cell r="S528">
            <v>503000</v>
          </cell>
          <cell r="T528">
            <v>473000</v>
          </cell>
          <cell r="U528">
            <v>473000</v>
          </cell>
          <cell r="V528">
            <v>473000</v>
          </cell>
          <cell r="W528">
            <v>473000</v>
          </cell>
        </row>
        <row r="529">
          <cell r="C529" t="str">
            <v>040080-P22W</v>
          </cell>
          <cell r="D529">
            <v>2</v>
          </cell>
          <cell r="E529">
            <v>0</v>
          </cell>
          <cell r="F529">
            <v>2069000</v>
          </cell>
          <cell r="G529">
            <v>252000</v>
          </cell>
          <cell r="H529">
            <v>2321000</v>
          </cell>
          <cell r="I529">
            <v>1200</v>
          </cell>
          <cell r="J529">
            <v>1810696</v>
          </cell>
          <cell r="K529">
            <v>0</v>
          </cell>
          <cell r="L529">
            <v>1811896</v>
          </cell>
          <cell r="M529">
            <v>2321000</v>
          </cell>
          <cell r="N529">
            <v>2320200</v>
          </cell>
          <cell r="O529">
            <v>2319800</v>
          </cell>
          <cell r="P529">
            <v>515800</v>
          </cell>
          <cell r="Q529">
            <v>509104</v>
          </cell>
          <cell r="R529">
            <v>509104</v>
          </cell>
          <cell r="S529">
            <v>509104</v>
          </cell>
          <cell r="T529">
            <v>509104</v>
          </cell>
          <cell r="U529">
            <v>509104</v>
          </cell>
          <cell r="V529">
            <v>509104</v>
          </cell>
          <cell r="W529">
            <v>509104</v>
          </cell>
        </row>
        <row r="530">
          <cell r="C530" t="str">
            <v>030100-P611-Q</v>
          </cell>
          <cell r="D530">
            <v>1</v>
          </cell>
          <cell r="E530">
            <v>0</v>
          </cell>
          <cell r="F530">
            <v>0</v>
          </cell>
          <cell r="G530">
            <v>599700</v>
          </cell>
          <cell r="H530">
            <v>599700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599700</v>
          </cell>
          <cell r="N530">
            <v>599700</v>
          </cell>
          <cell r="O530">
            <v>599700</v>
          </cell>
          <cell r="P530">
            <v>599700</v>
          </cell>
          <cell r="Q530">
            <v>599700</v>
          </cell>
          <cell r="R530">
            <v>599700</v>
          </cell>
          <cell r="S530">
            <v>599700</v>
          </cell>
          <cell r="T530">
            <v>599700</v>
          </cell>
          <cell r="U530">
            <v>599700</v>
          </cell>
          <cell r="V530">
            <v>599700</v>
          </cell>
          <cell r="W530">
            <v>599700</v>
          </cell>
        </row>
        <row r="531">
          <cell r="C531" t="str">
            <v>040120-B22W</v>
          </cell>
          <cell r="D531">
            <v>1</v>
          </cell>
          <cell r="E531">
            <v>0</v>
          </cell>
          <cell r="F531">
            <v>0</v>
          </cell>
          <cell r="G531">
            <v>678000</v>
          </cell>
          <cell r="H531">
            <v>678000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678000</v>
          </cell>
          <cell r="N531">
            <v>678000</v>
          </cell>
          <cell r="O531">
            <v>678000</v>
          </cell>
          <cell r="P531">
            <v>678000</v>
          </cell>
          <cell r="Q531">
            <v>678000</v>
          </cell>
          <cell r="R531">
            <v>678000</v>
          </cell>
          <cell r="S531">
            <v>678000</v>
          </cell>
          <cell r="T531">
            <v>678000</v>
          </cell>
          <cell r="U531">
            <v>678000</v>
          </cell>
          <cell r="V531">
            <v>678000</v>
          </cell>
          <cell r="W531">
            <v>678000</v>
          </cell>
        </row>
        <row r="532">
          <cell r="C532" t="str">
            <v>040090-B22W</v>
          </cell>
          <cell r="D532">
            <v>1</v>
          </cell>
          <cell r="E532">
            <v>0</v>
          </cell>
          <cell r="F532">
            <v>0</v>
          </cell>
          <cell r="G532">
            <v>792000</v>
          </cell>
          <cell r="H532">
            <v>792000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792000</v>
          </cell>
          <cell r="N532">
            <v>792000</v>
          </cell>
          <cell r="O532">
            <v>792000</v>
          </cell>
          <cell r="P532">
            <v>792000</v>
          </cell>
          <cell r="Q532">
            <v>792000</v>
          </cell>
          <cell r="R532">
            <v>792000</v>
          </cell>
          <cell r="S532">
            <v>792000</v>
          </cell>
          <cell r="T532">
            <v>792000</v>
          </cell>
          <cell r="U532">
            <v>792000</v>
          </cell>
          <cell r="V532">
            <v>792000</v>
          </cell>
          <cell r="W532">
            <v>792000</v>
          </cell>
        </row>
        <row r="533">
          <cell r="C533" t="str">
            <v>071245-F14W</v>
          </cell>
          <cell r="D533">
            <v>1</v>
          </cell>
          <cell r="E533">
            <v>317000</v>
          </cell>
          <cell r="F533">
            <v>19000</v>
          </cell>
          <cell r="G533">
            <v>786072</v>
          </cell>
          <cell r="H533">
            <v>805072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805072</v>
          </cell>
          <cell r="N533">
            <v>805072</v>
          </cell>
          <cell r="O533">
            <v>805072</v>
          </cell>
          <cell r="P533">
            <v>805072</v>
          </cell>
          <cell r="Q533">
            <v>805072</v>
          </cell>
          <cell r="R533">
            <v>805072</v>
          </cell>
          <cell r="S533">
            <v>805072</v>
          </cell>
          <cell r="T533">
            <v>805072</v>
          </cell>
          <cell r="U533">
            <v>805072</v>
          </cell>
          <cell r="V533">
            <v>805072</v>
          </cell>
          <cell r="W533">
            <v>805072</v>
          </cell>
        </row>
        <row r="534">
          <cell r="C534" t="str">
            <v>480110-T92W-S</v>
          </cell>
          <cell r="D534">
            <v>1</v>
          </cell>
          <cell r="E534">
            <v>0</v>
          </cell>
          <cell r="F534">
            <v>665000</v>
          </cell>
          <cell r="G534">
            <v>994000</v>
          </cell>
          <cell r="H534">
            <v>1659000</v>
          </cell>
          <cell r="I534">
            <v>0</v>
          </cell>
          <cell r="J534">
            <v>750000</v>
          </cell>
          <cell r="K534">
            <v>0</v>
          </cell>
          <cell r="L534">
            <v>750000</v>
          </cell>
          <cell r="M534">
            <v>1659000</v>
          </cell>
          <cell r="N534">
            <v>1659000</v>
          </cell>
          <cell r="O534">
            <v>1659000</v>
          </cell>
          <cell r="P534">
            <v>909000</v>
          </cell>
          <cell r="Q534">
            <v>909000</v>
          </cell>
          <cell r="R534">
            <v>909000</v>
          </cell>
          <cell r="S534">
            <v>909000</v>
          </cell>
          <cell r="T534">
            <v>909000</v>
          </cell>
          <cell r="U534">
            <v>909000</v>
          </cell>
          <cell r="V534">
            <v>909000</v>
          </cell>
          <cell r="W534">
            <v>909000</v>
          </cell>
        </row>
        <row r="535">
          <cell r="C535" t="str">
            <v>030060-BM4B-A</v>
          </cell>
          <cell r="D535">
            <v>1</v>
          </cell>
          <cell r="E535">
            <v>0</v>
          </cell>
          <cell r="F535">
            <v>0</v>
          </cell>
          <cell r="G535">
            <v>1115000</v>
          </cell>
          <cell r="H535">
            <v>1115000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1115000</v>
          </cell>
          <cell r="N535">
            <v>1115000</v>
          </cell>
          <cell r="O535">
            <v>1115000</v>
          </cell>
          <cell r="P535">
            <v>1115000</v>
          </cell>
          <cell r="Q535">
            <v>1115000</v>
          </cell>
          <cell r="R535">
            <v>1115000</v>
          </cell>
          <cell r="S535">
            <v>1115000</v>
          </cell>
          <cell r="T535">
            <v>1115000</v>
          </cell>
          <cell r="U535">
            <v>1115000</v>
          </cell>
          <cell r="V535">
            <v>1115000</v>
          </cell>
          <cell r="W535">
            <v>1115000</v>
          </cell>
        </row>
        <row r="536">
          <cell r="C536" t="str">
            <v>040080-T22W</v>
          </cell>
          <cell r="D536">
            <v>3</v>
          </cell>
          <cell r="E536">
            <v>918000</v>
          </cell>
          <cell r="F536">
            <v>1183000</v>
          </cell>
          <cell r="G536">
            <v>488000</v>
          </cell>
          <cell r="H536">
            <v>1671000</v>
          </cell>
          <cell r="I536">
            <v>146772</v>
          </cell>
          <cell r="J536">
            <v>277091</v>
          </cell>
          <cell r="K536">
            <v>64209</v>
          </cell>
          <cell r="L536">
            <v>488072</v>
          </cell>
          <cell r="M536">
            <v>1597381</v>
          </cell>
          <cell r="N536">
            <v>1550815</v>
          </cell>
          <cell r="O536">
            <v>1524228</v>
          </cell>
          <cell r="P536">
            <v>1462674</v>
          </cell>
          <cell r="Q536">
            <v>1354579</v>
          </cell>
          <cell r="R536">
            <v>1309090</v>
          </cell>
          <cell r="S536">
            <v>1247137</v>
          </cell>
          <cell r="T536">
            <v>1233862</v>
          </cell>
          <cell r="U536">
            <v>1232928</v>
          </cell>
          <cell r="V536">
            <v>1182928</v>
          </cell>
          <cell r="W536">
            <v>1182928</v>
          </cell>
        </row>
        <row r="537">
          <cell r="C537" t="str">
            <v>030060-B54W-ASZ</v>
          </cell>
          <cell r="D537">
            <v>1</v>
          </cell>
          <cell r="E537">
            <v>0</v>
          </cell>
          <cell r="F537">
            <v>0</v>
          </cell>
          <cell r="G537">
            <v>2250000</v>
          </cell>
          <cell r="H537">
            <v>2250000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2250000</v>
          </cell>
          <cell r="N537">
            <v>2250000</v>
          </cell>
          <cell r="O537">
            <v>2250000</v>
          </cell>
          <cell r="P537">
            <v>2250000</v>
          </cell>
          <cell r="Q537">
            <v>2250000</v>
          </cell>
          <cell r="R537">
            <v>2250000</v>
          </cell>
          <cell r="S537">
            <v>2250000</v>
          </cell>
          <cell r="T537">
            <v>2250000</v>
          </cell>
          <cell r="U537">
            <v>2250000</v>
          </cell>
          <cell r="V537">
            <v>2250000</v>
          </cell>
          <cell r="W537">
            <v>2250000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837520E-4079-4E05-9DCB-E4514FC3C4B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6b7ddc4-b1eb-4f0c-9abc-d0cfd7a4960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D4434E5-0903-4F52-BB71-F7F56A78A2ED}">
  <we:reference id="wa200005502" version="1.0.0.12" store="ko-K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0F16-C04F-43B5-B9A3-74F164017DFC}">
  <sheetPr>
    <tabColor rgb="FF00B0F0"/>
    <pageSetUpPr fitToPage="1"/>
  </sheetPr>
  <dimension ref="A1:R63"/>
  <sheetViews>
    <sheetView tabSelected="1" zoomScale="70" zoomScaleNormal="70" zoomScaleSheetLayoutView="85" workbookViewId="0">
      <pane ySplit="7" topLeftCell="A8" activePane="bottomLeft" state="frozen"/>
      <selection activeCell="M29" sqref="M29"/>
      <selection pane="bottomLeft" activeCell="H31" sqref="H31"/>
    </sheetView>
  </sheetViews>
  <sheetFormatPr defaultColWidth="9.140625" defaultRowHeight="19.5"/>
  <cols>
    <col min="1" max="1" width="5.42578125" style="535" bestFit="1" customWidth="1"/>
    <col min="2" max="2" width="10.42578125" style="535" bestFit="1" customWidth="1"/>
    <col min="3" max="3" width="25" style="535" bestFit="1" customWidth="1"/>
    <col min="4" max="4" width="26.42578125" style="535" customWidth="1"/>
    <col min="5" max="5" width="7.5703125" style="535" customWidth="1"/>
    <col min="6" max="6" width="11" style="535" customWidth="1"/>
    <col min="7" max="8" width="12.5703125" style="535" customWidth="1"/>
    <col min="9" max="9" width="20.7109375" style="535" customWidth="1"/>
    <col min="10" max="10" width="19.140625" style="535" customWidth="1"/>
    <col min="11" max="11" width="19.42578125" style="535" customWidth="1"/>
    <col min="12" max="12" width="8.85546875" style="535" customWidth="1"/>
    <col min="13" max="13" width="18.140625" style="517" bestFit="1" customWidth="1"/>
    <col min="14" max="14" width="16.42578125" style="517" bestFit="1" customWidth="1"/>
    <col min="15" max="15" width="32.5703125" style="535" bestFit="1" customWidth="1"/>
    <col min="16" max="16" width="11.85546875" style="535" bestFit="1" customWidth="1"/>
    <col min="17" max="17" width="15.5703125" style="535" bestFit="1" customWidth="1"/>
    <col min="18" max="18" width="15.5703125" style="517" bestFit="1" customWidth="1"/>
    <col min="19" max="16384" width="9.140625" style="517"/>
  </cols>
  <sheetData>
    <row r="1" spans="1:18" ht="0.75" customHeight="1">
      <c r="A1" s="516"/>
      <c r="B1" s="516"/>
      <c r="C1" s="516"/>
      <c r="D1" s="516" t="s">
        <v>3449</v>
      </c>
      <c r="E1" s="516"/>
      <c r="F1" s="516"/>
      <c r="G1" s="516"/>
      <c r="H1" s="516"/>
      <c r="I1" s="516"/>
      <c r="J1" s="516"/>
      <c r="K1" s="516"/>
      <c r="L1" s="534" t="s">
        <v>2797</v>
      </c>
      <c r="M1" s="533"/>
      <c r="N1" s="533"/>
    </row>
    <row r="2" spans="1:18" ht="20.100000000000001" customHeight="1">
      <c r="A2" s="610"/>
      <c r="B2" s="611"/>
      <c r="C2" s="616" t="s">
        <v>3090</v>
      </c>
      <c r="D2" s="617"/>
      <c r="E2" s="617"/>
      <c r="F2" s="617"/>
      <c r="G2" s="617"/>
      <c r="H2" s="617"/>
      <c r="I2" s="617"/>
      <c r="J2" s="617"/>
      <c r="K2" s="617"/>
      <c r="L2" s="617"/>
      <c r="M2" s="536" t="s">
        <v>3053</v>
      </c>
      <c r="N2" s="536" t="s">
        <v>1725</v>
      </c>
    </row>
    <row r="3" spans="1:18" ht="20.100000000000001" customHeight="1">
      <c r="A3" s="612"/>
      <c r="B3" s="613"/>
      <c r="C3" s="618"/>
      <c r="D3" s="619"/>
      <c r="E3" s="619"/>
      <c r="F3" s="619"/>
      <c r="G3" s="619"/>
      <c r="H3" s="619"/>
      <c r="I3" s="619"/>
      <c r="J3" s="619"/>
      <c r="K3" s="619"/>
      <c r="L3" s="619"/>
      <c r="M3" s="536" t="s">
        <v>2</v>
      </c>
      <c r="N3" s="536" t="s">
        <v>1726</v>
      </c>
    </row>
    <row r="4" spans="1:18" ht="20.100000000000001" customHeight="1">
      <c r="A4" s="612"/>
      <c r="B4" s="613"/>
      <c r="C4" s="618"/>
      <c r="D4" s="619"/>
      <c r="E4" s="619"/>
      <c r="F4" s="619"/>
      <c r="G4" s="619"/>
      <c r="H4" s="619"/>
      <c r="I4" s="619"/>
      <c r="J4" s="619"/>
      <c r="K4" s="619"/>
      <c r="L4" s="619"/>
      <c r="M4" s="536" t="s">
        <v>3054</v>
      </c>
      <c r="N4" s="537" t="s">
        <v>64</v>
      </c>
    </row>
    <row r="5" spans="1:18" ht="20.100000000000001" customHeight="1">
      <c r="A5" s="614"/>
      <c r="B5" s="615"/>
      <c r="C5" s="618"/>
      <c r="D5" s="619"/>
      <c r="E5" s="619"/>
      <c r="F5" s="619"/>
      <c r="G5" s="619"/>
      <c r="H5" s="619"/>
      <c r="I5" s="619"/>
      <c r="J5" s="619"/>
      <c r="K5" s="619"/>
      <c r="L5" s="619"/>
      <c r="M5" s="595">
        <f ca="1">TODAY()</f>
        <v>46130</v>
      </c>
      <c r="N5" s="596"/>
    </row>
    <row r="6" spans="1:18" ht="15" customHeight="1">
      <c r="A6" s="597" t="s">
        <v>4</v>
      </c>
      <c r="B6" s="597" t="s">
        <v>3057</v>
      </c>
      <c r="C6" s="597" t="s">
        <v>3058</v>
      </c>
      <c r="D6" s="597" t="s">
        <v>3059</v>
      </c>
      <c r="E6" s="597" t="s">
        <v>132</v>
      </c>
      <c r="F6" s="620" t="s">
        <v>3060</v>
      </c>
      <c r="G6" s="597" t="s">
        <v>3061</v>
      </c>
      <c r="H6" s="597" t="s">
        <v>3062</v>
      </c>
      <c r="I6" s="597" t="s">
        <v>3063</v>
      </c>
      <c r="J6" s="597" t="s">
        <v>3064</v>
      </c>
      <c r="K6" s="597" t="s">
        <v>3065</v>
      </c>
      <c r="L6" s="597" t="s">
        <v>3066</v>
      </c>
      <c r="M6" s="601" t="s">
        <v>3515</v>
      </c>
      <c r="N6" s="602" t="s">
        <v>3516</v>
      </c>
      <c r="O6" s="603" t="s">
        <v>3055</v>
      </c>
      <c r="P6" s="599" t="s">
        <v>1680</v>
      </c>
      <c r="Q6" s="600" t="s">
        <v>3056</v>
      </c>
      <c r="R6" s="599" t="s">
        <v>1742</v>
      </c>
    </row>
    <row r="7" spans="1:18" ht="36.6" customHeight="1">
      <c r="A7" s="598"/>
      <c r="B7" s="598"/>
      <c r="C7" s="598"/>
      <c r="D7" s="598"/>
      <c r="E7" s="598"/>
      <c r="F7" s="621"/>
      <c r="G7" s="598"/>
      <c r="H7" s="598"/>
      <c r="I7" s="598"/>
      <c r="J7" s="598"/>
      <c r="K7" s="598"/>
      <c r="L7" s="598"/>
      <c r="M7" s="601"/>
      <c r="N7" s="602"/>
      <c r="O7" s="603"/>
      <c r="P7" s="599"/>
      <c r="Q7" s="599"/>
      <c r="R7" s="599"/>
    </row>
    <row r="8" spans="1:18" ht="36" customHeight="1">
      <c r="A8" s="508">
        <v>1</v>
      </c>
      <c r="B8" s="509"/>
      <c r="C8" s="509" t="s">
        <v>1712</v>
      </c>
      <c r="D8" s="509" t="str">
        <f>IFERROR(VLOOKUP(C8,ERP!$B$1:$AN$1548,39,0),0)</f>
        <v>SCM435 (S)AIP</v>
      </c>
      <c r="E8" s="510">
        <f>IFERROR(VLOOKUP(C8,ERP!$B$1:$AO$1548,40,0),0)</f>
        <v>5.45</v>
      </c>
      <c r="F8" s="571" t="s">
        <v>3523</v>
      </c>
      <c r="G8" s="511">
        <v>300000</v>
      </c>
      <c r="H8" s="511">
        <v>305100</v>
      </c>
      <c r="I8" s="511">
        <f>G8-H8</f>
        <v>-5100</v>
      </c>
      <c r="J8" s="512" t="s">
        <v>3506</v>
      </c>
      <c r="K8" s="511"/>
      <c r="L8" s="513">
        <v>-139.33199999999999</v>
      </c>
      <c r="M8" s="589">
        <f>IFERROR(MIN(VLOOKUP(C8,'[1]Shortage Analysis'!C$4:U$537,19,0),0),0)</f>
        <v>-92352</v>
      </c>
      <c r="N8" s="589">
        <f>IFERROR(MIN(VLOOKUP(C8,'[1]Shortage Analysis'!C$4:W$537,21,0),0),0)</f>
        <v>-232352</v>
      </c>
      <c r="O8" s="514" t="str">
        <f>D8&amp;E8</f>
        <v>SCM435 (S)AIP5.45</v>
      </c>
      <c r="P8" s="515">
        <f>IFERROR(VLOOKUP(O8,'NVL Stock'!$N$1:$O$444,2,0),0)</f>
        <v>8428</v>
      </c>
      <c r="Q8" s="515" t="e">
        <f>P8*1000/#REF!</f>
        <v>#REF!</v>
      </c>
      <c r="R8" s="516">
        <f>VLOOKUP(C8,ERP!$B$1:$BM$1616,64,0)</f>
        <v>20080</v>
      </c>
    </row>
    <row r="9" spans="1:18" ht="36" customHeight="1">
      <c r="A9" s="508">
        <v>2</v>
      </c>
      <c r="B9" s="509" t="s">
        <v>3481</v>
      </c>
      <c r="C9" s="509" t="s">
        <v>24</v>
      </c>
      <c r="D9" s="509" t="str">
        <f>IFERROR(VLOOKUP(C9,ERP!$B$1:$AN$1548,39,0),0)</f>
        <v>S10A HD</v>
      </c>
      <c r="E9" s="510">
        <f>IFERROR(VLOOKUP(C9,ERP!$B$1:$AO$1548,40,0),0)</f>
        <v>12.2</v>
      </c>
      <c r="F9" s="571" t="s">
        <v>3465</v>
      </c>
      <c r="G9" s="511">
        <v>150000</v>
      </c>
      <c r="H9" s="511">
        <v>87760</v>
      </c>
      <c r="I9" s="511">
        <f t="shared" ref="I9:I25" si="0">G9-H9</f>
        <v>62240</v>
      </c>
      <c r="J9" s="512" t="s">
        <v>3385</v>
      </c>
      <c r="K9" s="511"/>
      <c r="L9" s="513">
        <v>3443.1167999999998</v>
      </c>
      <c r="M9" s="589">
        <f>IFERROR(MIN(VLOOKUP(C9,'[1]Shortage Analysis'!C$4:U$537,19,0),0),0)</f>
        <v>0</v>
      </c>
      <c r="N9" s="589">
        <f>IFERROR(MIN(VLOOKUP(C9,'[1]Shortage Analysis'!C$4:W$537,21,0),0),0)</f>
        <v>0</v>
      </c>
      <c r="O9" s="514" t="str">
        <f>D9&amp;E9</f>
        <v>S10A HD12.2</v>
      </c>
      <c r="P9" s="515">
        <f>IFERROR(VLOOKUP(O9,'NVL Stock'!$N$1:$O$444,2,0),0)</f>
        <v>0</v>
      </c>
      <c r="Q9" s="515" t="e">
        <f>P9*1000/#REF!</f>
        <v>#REF!</v>
      </c>
      <c r="R9" s="516">
        <f>VLOOKUP(C9,ERP!$B$1:$BM$1616,64,0)</f>
        <v>20203</v>
      </c>
    </row>
    <row r="10" spans="1:18" ht="36" customHeight="1">
      <c r="A10" s="508">
        <v>3</v>
      </c>
      <c r="B10" s="509" t="s">
        <v>3480</v>
      </c>
      <c r="C10" s="509" t="s">
        <v>144</v>
      </c>
      <c r="D10" s="509" t="str">
        <f>IFERROR(VLOOKUP(C10,ERP!$B$1:$AN$1548,39,0),0)</f>
        <v>S10A HD</v>
      </c>
      <c r="E10" s="510">
        <f>IFERROR(VLOOKUP(C10,ERP!$B$1:$AO$1548,40,0),0)</f>
        <v>10.72</v>
      </c>
      <c r="F10" s="565">
        <v>2</v>
      </c>
      <c r="G10" s="511">
        <v>200000</v>
      </c>
      <c r="H10" s="511">
        <v>173200</v>
      </c>
      <c r="I10" s="511">
        <f t="shared" si="0"/>
        <v>26800</v>
      </c>
      <c r="J10" s="512"/>
      <c r="K10" s="511">
        <v>18000</v>
      </c>
      <c r="L10" s="513">
        <v>1012.2360000000001</v>
      </c>
      <c r="M10" s="589">
        <f>IFERROR(MIN(VLOOKUP(C10,'[1]Shortage Analysis'!C$4:U$537,19,0),0),0)</f>
        <v>-49183</v>
      </c>
      <c r="N10" s="589">
        <f>IFERROR(MIN(VLOOKUP(C10,'[1]Shortage Analysis'!C$4:W$537,21,0),0),0)</f>
        <v>-57157</v>
      </c>
      <c r="O10" s="514" t="str">
        <f>D10&amp;E10</f>
        <v>S10A HD10.72</v>
      </c>
      <c r="P10" s="515">
        <f>IFERROR(VLOOKUP(O10,'NVL Stock'!$N$1:$O$444,2,0),0)</f>
        <v>3332</v>
      </c>
      <c r="Q10" s="515" t="e">
        <f>P10*1000/#REF!</f>
        <v>#REF!</v>
      </c>
      <c r="R10" s="516">
        <f>VLOOKUP(C10,ERP!$B$1:$BM$1616,64,0)</f>
        <v>20045</v>
      </c>
    </row>
    <row r="11" spans="1:18" ht="36" customHeight="1">
      <c r="A11" s="508">
        <v>4</v>
      </c>
      <c r="B11" s="509"/>
      <c r="C11" s="509" t="s">
        <v>3535</v>
      </c>
      <c r="D11" s="509"/>
      <c r="E11" s="510"/>
      <c r="F11" s="568">
        <v>3</v>
      </c>
      <c r="G11" s="511"/>
      <c r="H11" s="511">
        <v>0</v>
      </c>
      <c r="I11" s="511"/>
      <c r="J11" s="512" t="s">
        <v>3542</v>
      </c>
      <c r="K11" s="511"/>
      <c r="L11" s="513"/>
      <c r="M11" s="589"/>
      <c r="N11" s="589"/>
      <c r="O11" s="514"/>
      <c r="P11" s="515"/>
      <c r="Q11" s="515"/>
      <c r="R11" s="516"/>
    </row>
    <row r="12" spans="1:18" ht="36" customHeight="1">
      <c r="A12" s="508">
        <v>5</v>
      </c>
      <c r="B12" s="523" t="s">
        <v>3483</v>
      </c>
      <c r="C12" s="523" t="s">
        <v>151</v>
      </c>
      <c r="D12" s="509" t="str">
        <f>IFERROR(VLOOKUP(C12,ERP!$B$1:$AN$1548,39,0),0)</f>
        <v>STS304CU WSB</v>
      </c>
      <c r="E12" s="510">
        <f>IFERROR(VLOOKUP(C12,ERP!$B$1:$AO$1548,40,0),0)</f>
        <v>7.02</v>
      </c>
      <c r="F12" s="566" t="s">
        <v>1713</v>
      </c>
      <c r="G12" s="524">
        <v>800000</v>
      </c>
      <c r="H12" s="511">
        <v>631300</v>
      </c>
      <c r="I12" s="511">
        <f t="shared" si="0"/>
        <v>168700</v>
      </c>
      <c r="J12" s="557"/>
      <c r="K12" s="511">
        <f>24900+16000</f>
        <v>40900</v>
      </c>
      <c r="L12" s="513">
        <v>2103.6889999999999</v>
      </c>
      <c r="M12" s="589">
        <f>IFERROR(MIN(VLOOKUP(C12,'[1]Shortage Analysis'!C$4:U$537,19,0),0),0)</f>
        <v>-355130</v>
      </c>
      <c r="N12" s="589">
        <f>IFERROR(MIN(VLOOKUP(C12,'[1]Shortage Analysis'!C$4:W$537,21,0),0),0)</f>
        <v>-355130</v>
      </c>
      <c r="O12" s="514" t="str">
        <f>D12&amp;E12</f>
        <v>STS304CU WSB7.02</v>
      </c>
      <c r="P12" s="515">
        <f>IFERROR(VLOOKUP(O12,'NVL Stock'!$N$1:$O$444,2,0),0)</f>
        <v>3834</v>
      </c>
      <c r="Q12" s="515" t="e">
        <f>P12*1000/#REF!</f>
        <v>#REF!</v>
      </c>
      <c r="R12" s="516">
        <f>VLOOKUP(C12,ERP!$B$1:$BM$1616,64,0)</f>
        <v>40002</v>
      </c>
    </row>
    <row r="13" spans="1:18" ht="36" customHeight="1">
      <c r="A13" s="508">
        <v>6</v>
      </c>
      <c r="B13" s="525" t="s">
        <v>3482</v>
      </c>
      <c r="C13" s="525" t="s">
        <v>90</v>
      </c>
      <c r="D13" s="509" t="str">
        <f>IFERROR(VLOOKUP(C13,ERP!$B$1:$AN$1548,39,0),0)</f>
        <v>S10A HD</v>
      </c>
      <c r="E13" s="510">
        <f>IFERROR(VLOOKUP(C13,ERP!$B$1:$AO$1548,40,0),0)</f>
        <v>9.9600000000000009</v>
      </c>
      <c r="F13" s="566">
        <v>4</v>
      </c>
      <c r="G13" s="511">
        <v>300000</v>
      </c>
      <c r="H13" s="511">
        <v>0</v>
      </c>
      <c r="I13" s="511">
        <f>G13-H13</f>
        <v>300000</v>
      </c>
      <c r="J13" s="512"/>
      <c r="K13" s="511"/>
      <c r="L13" s="513">
        <v>8880</v>
      </c>
      <c r="M13" s="589">
        <f>IFERROR(MIN(VLOOKUP(C13,'[1]Shortage Analysis'!C$4:U$537,19,0),0),0)</f>
        <v>-284013</v>
      </c>
      <c r="N13" s="589">
        <f>IFERROR(MIN(VLOOKUP(C13,'[1]Shortage Analysis'!C$4:W$537,21,0),0),0)</f>
        <v>-284013</v>
      </c>
      <c r="O13" s="526" t="str">
        <f>D13&amp;E13</f>
        <v>S10A HD9.96</v>
      </c>
      <c r="P13" s="515">
        <f>IFERROR(VLOOKUP(O13,'NVL Stock'!$N$1:$O$444,2,0),0)</f>
        <v>9945</v>
      </c>
      <c r="Q13" s="515" t="e">
        <f>P13*1000/#REF!</f>
        <v>#REF!</v>
      </c>
      <c r="R13" s="516">
        <f>VLOOKUP(C13,ERP!$B$1:$BM$1616,64,0)</f>
        <v>20000</v>
      </c>
    </row>
    <row r="14" spans="1:18" ht="36" customHeight="1">
      <c r="A14" s="508">
        <v>7</v>
      </c>
      <c r="B14" s="509" t="s">
        <v>3484</v>
      </c>
      <c r="C14" s="509" t="s">
        <v>2319</v>
      </c>
      <c r="D14" s="509" t="str">
        <f>IFERROR(VLOOKUP(C14,ERP!$B$1:$AN$1548,39,0),0)</f>
        <v>STS430 WSB</v>
      </c>
      <c r="E14" s="510">
        <f>IFERROR(VLOOKUP(C14,ERP!$B$1:$AO$1548,40,0),0)</f>
        <v>7.02</v>
      </c>
      <c r="F14" s="565">
        <v>6</v>
      </c>
      <c r="G14" s="511">
        <v>300000</v>
      </c>
      <c r="H14" s="511">
        <v>199900</v>
      </c>
      <c r="I14" s="511">
        <f t="shared" si="0"/>
        <v>100100</v>
      </c>
      <c r="J14" s="512"/>
      <c r="K14" s="511">
        <f>5000+3900</f>
        <v>8900</v>
      </c>
      <c r="L14" s="513">
        <v>1477.4760000000001</v>
      </c>
      <c r="M14" s="589">
        <f>IFERROR(MIN(VLOOKUP(C14,'[1]Shortage Analysis'!C$4:U$537,19,0),0),0)</f>
        <v>-477573</v>
      </c>
      <c r="N14" s="589">
        <f>IFERROR(MIN(VLOOKUP(C14,'[1]Shortage Analysis'!C$4:W$537,21,0),0),0)</f>
        <v>-477573</v>
      </c>
      <c r="O14" s="526" t="str">
        <f>D14&amp;E14</f>
        <v>STS430 WSB7.02</v>
      </c>
      <c r="P14" s="515">
        <f>IFERROR(VLOOKUP(O14,'NVL Stock'!$N$1:$O$444,2,0),0)</f>
        <v>3629</v>
      </c>
      <c r="Q14" s="515" t="e">
        <f>P14*1000/#REF!</f>
        <v>#REF!</v>
      </c>
      <c r="R14" s="516">
        <f>VLOOKUP(C14,ERP!$B$1:$BM$1616,64,0)</f>
        <v>20005</v>
      </c>
    </row>
    <row r="15" spans="1:18" ht="36" customHeight="1">
      <c r="A15" s="508">
        <v>8</v>
      </c>
      <c r="B15" s="509" t="s">
        <v>3485</v>
      </c>
      <c r="C15" s="509" t="s">
        <v>968</v>
      </c>
      <c r="D15" s="509" t="str">
        <f>IFERROR(VLOOKUP(C15,ERP!$B$1:$AN$1548,39,0),0)</f>
        <v>STS304CU WSB</v>
      </c>
      <c r="E15" s="510">
        <f>IFERROR(VLOOKUP(C15,ERP!$B$1:$AO$1548,40,0),0)</f>
        <v>7.02</v>
      </c>
      <c r="F15" s="572">
        <v>7</v>
      </c>
      <c r="G15" s="511">
        <v>200000</v>
      </c>
      <c r="H15" s="511">
        <v>89000</v>
      </c>
      <c r="I15" s="511">
        <f>G15-H15</f>
        <v>111000</v>
      </c>
      <c r="J15" s="557"/>
      <c r="K15" s="511">
        <f>27200+6200</f>
        <v>33400</v>
      </c>
      <c r="L15" s="513">
        <v>1399.71</v>
      </c>
      <c r="M15" s="589">
        <f>IFERROR(MIN(VLOOKUP(C15,'[1]Shortage Analysis'!C$4:U$537,19,0),0),0)</f>
        <v>-110836</v>
      </c>
      <c r="N15" s="589">
        <f>IFERROR(MIN(VLOOKUP(C15,'[1]Shortage Analysis'!C$4:W$537,21,0),0),0)</f>
        <v>-110836</v>
      </c>
      <c r="O15" s="526" t="str">
        <f>D15&amp;E15</f>
        <v>STS304CU WSB7.02</v>
      </c>
      <c r="P15" s="515">
        <f>IFERROR(VLOOKUP(O15,'NVL Stock'!$N$1:$O$444,2,0),0)</f>
        <v>3834</v>
      </c>
      <c r="Q15" s="515" t="e">
        <f>P15*1000/#REF!</f>
        <v>#REF!</v>
      </c>
      <c r="R15" s="516">
        <f>VLOOKUP(C15,ERP!$B$1:$BM$1616,64,0)</f>
        <v>40001</v>
      </c>
    </row>
    <row r="16" spans="1:18" ht="36" customHeight="1">
      <c r="A16" s="508">
        <v>9</v>
      </c>
      <c r="B16" s="509" t="s">
        <v>3458</v>
      </c>
      <c r="C16" s="509" t="s">
        <v>27</v>
      </c>
      <c r="D16" s="509" t="str">
        <f>IFERROR(VLOOKUP(C16,ERP!$B$1:$AN$1548,39,0),0)</f>
        <v>S18A (S)AIP (F)</v>
      </c>
      <c r="E16" s="510">
        <f>IFERROR(VLOOKUP(C16,ERP!$B$1:$AO$1548,40,0),0)</f>
        <v>5.45</v>
      </c>
      <c r="F16" s="569" t="s">
        <v>66</v>
      </c>
      <c r="G16" s="511">
        <v>2000000</v>
      </c>
      <c r="H16" s="511">
        <v>1992500</v>
      </c>
      <c r="I16" s="511">
        <f>G16-H16</f>
        <v>7500</v>
      </c>
      <c r="J16" s="557" t="s">
        <v>3385</v>
      </c>
      <c r="K16" s="511"/>
      <c r="L16" s="513">
        <v>71.474999999999994</v>
      </c>
      <c r="M16" s="589">
        <f>IFERROR(MIN(VLOOKUP(C16,'[1]Shortage Analysis'!C$4:U$537,19,0),0),0)</f>
        <v>-1425075</v>
      </c>
      <c r="N16" s="589">
        <f>IFERROR(MIN(VLOOKUP(C16,'[1]Shortage Analysis'!C$4:W$537,21,0),0),0)</f>
        <v>-1425075</v>
      </c>
      <c r="O16" s="526" t="str">
        <f>D16&amp;E16</f>
        <v>S18A (S)AIP (F)5.45</v>
      </c>
      <c r="P16" s="515">
        <f>IFERROR(VLOOKUP(O16,'NVL Stock'!$N$1:$O$444,2,0),0)</f>
        <v>543</v>
      </c>
      <c r="Q16" s="515" t="e">
        <f>P16*1000/#REF!</f>
        <v>#REF!</v>
      </c>
      <c r="R16" s="516">
        <f>VLOOKUP(C16,ERP!$B$1:$BM$1616,64,0)</f>
        <v>20004</v>
      </c>
    </row>
    <row r="17" spans="1:18" ht="36" customHeight="1">
      <c r="A17" s="508">
        <v>10</v>
      </c>
      <c r="B17" s="509"/>
      <c r="C17" s="509"/>
      <c r="D17" s="509"/>
      <c r="E17" s="510"/>
      <c r="F17" s="569">
        <v>8</v>
      </c>
      <c r="G17" s="511"/>
      <c r="H17" s="511">
        <v>0</v>
      </c>
      <c r="I17" s="511"/>
      <c r="J17" s="557" t="s">
        <v>3502</v>
      </c>
      <c r="K17" s="511"/>
      <c r="L17" s="513"/>
      <c r="M17" s="589">
        <f>IFERROR(MIN(VLOOKUP(C17,'[1]Shortage Analysis'!C$4:U$537,19,0),0),0)</f>
        <v>0</v>
      </c>
      <c r="N17" s="589">
        <f>IFERROR(MIN(VLOOKUP(C17,'[1]Shortage Analysis'!C$4:W$537,21,0),0),0)</f>
        <v>0</v>
      </c>
      <c r="O17" s="526"/>
      <c r="P17" s="515">
        <f>IFERROR(VLOOKUP(O17,'NVL Stock'!$N$1:$O$444,2,0),0)</f>
        <v>0</v>
      </c>
      <c r="Q17" s="515"/>
      <c r="R17" s="516"/>
    </row>
    <row r="18" spans="1:18" ht="36" customHeight="1">
      <c r="A18" s="508">
        <v>11</v>
      </c>
      <c r="B18" s="509"/>
      <c r="C18" s="509" t="s">
        <v>223</v>
      </c>
      <c r="D18" s="509" t="str">
        <f>IFERROR(VLOOKUP(C18,ERP!$B$1:$AN$1548,39,0),0)</f>
        <v>S18A SAIP (F)</v>
      </c>
      <c r="E18" s="510">
        <f>IFERROR(VLOOKUP(C18,ERP!$B$1:$AO$1548,40,0),0)</f>
        <v>7.05</v>
      </c>
      <c r="F18" s="563" t="s">
        <v>218</v>
      </c>
      <c r="G18" s="511"/>
      <c r="H18" s="511">
        <v>0</v>
      </c>
      <c r="I18" s="511"/>
      <c r="J18" s="512" t="s">
        <v>3506</v>
      </c>
      <c r="K18" s="511"/>
      <c r="L18" s="513">
        <v>0</v>
      </c>
      <c r="M18" s="589">
        <f>IFERROR(MIN(VLOOKUP(C18,'[1]Shortage Analysis'!C$4:U$537,19,0),0),0)</f>
        <v>0</v>
      </c>
      <c r="N18" s="589">
        <f>IFERROR(MIN(VLOOKUP(C18,'[1]Shortage Analysis'!C$4:W$537,21,0),0),0)</f>
        <v>0</v>
      </c>
      <c r="O18" s="526" t="str">
        <f t="shared" ref="O18:O23" si="1">D18&amp;E18</f>
        <v>S18A SAIP (F)7.05</v>
      </c>
      <c r="P18" s="515">
        <f>IFERROR(VLOOKUP(O18,'NVL Stock'!$N$1:$O$444,2,0),0)</f>
        <v>1073</v>
      </c>
      <c r="Q18" s="515" t="e">
        <f>P18*1000/#REF!</f>
        <v>#REF!</v>
      </c>
      <c r="R18" s="516">
        <f>VLOOKUP(C18,ERP!$B$1:$BM$1616,64,0)</f>
        <v>20061</v>
      </c>
    </row>
    <row r="19" spans="1:18" ht="36" customHeight="1">
      <c r="A19" s="508">
        <v>12</v>
      </c>
      <c r="B19" s="560" t="s">
        <v>3388</v>
      </c>
      <c r="C19" s="560" t="s">
        <v>3195</v>
      </c>
      <c r="D19" s="509" t="str">
        <f>IFERROR(VLOOKUP(C19,ERP!$B$1:$AN$1548,39,0),0)</f>
        <v>STS304CU WSB</v>
      </c>
      <c r="E19" s="510">
        <f>IFERROR(VLOOKUP(C19,ERP!$B$1:$AO$1548,40,0),0)</f>
        <v>3.45</v>
      </c>
      <c r="F19" s="622" t="s">
        <v>1481</v>
      </c>
      <c r="G19" s="561">
        <v>200000</v>
      </c>
      <c r="H19" s="511">
        <v>198700</v>
      </c>
      <c r="I19" s="511">
        <f t="shared" si="0"/>
        <v>1300</v>
      </c>
      <c r="J19" s="512" t="s">
        <v>3543</v>
      </c>
      <c r="K19" s="511">
        <f>31000</f>
        <v>31000</v>
      </c>
      <c r="L19" s="513">
        <v>2.8730000000000002</v>
      </c>
      <c r="M19" s="589">
        <f>IFERROR(MIN(VLOOKUP(C19,'[1]Shortage Analysis'!C$4:U$537,19,0),0),0)</f>
        <v>-3000</v>
      </c>
      <c r="N19" s="589">
        <f>IFERROR(MIN(VLOOKUP(C19,'[1]Shortage Analysis'!C$4:W$537,21,0),0),0)</f>
        <v>-3000</v>
      </c>
      <c r="O19" s="514" t="str">
        <f t="shared" si="1"/>
        <v>STS304CU WSB3.45</v>
      </c>
      <c r="P19" s="515">
        <f>IFERROR(VLOOKUP(O19,'NVL Stock'!$N$1:$O$444,2,0),0)</f>
        <v>1091</v>
      </c>
      <c r="Q19" s="515" t="e">
        <f>P19*1000/#REF!</f>
        <v>#REF!</v>
      </c>
      <c r="R19" s="516">
        <f>VLOOKUP(C19,ERP!$B$1:$BM$1616,64,0)</f>
        <v>53801</v>
      </c>
    </row>
    <row r="20" spans="1:18" ht="36" customHeight="1">
      <c r="A20" s="508">
        <v>13</v>
      </c>
      <c r="B20" s="538" t="s">
        <v>3492</v>
      </c>
      <c r="C20" s="538" t="s">
        <v>3195</v>
      </c>
      <c r="D20" s="519" t="str">
        <f>IFERROR(VLOOKUP(C20,ERP!$B$1:$AN$1548,39,0),0)</f>
        <v>STS304CU WSB</v>
      </c>
      <c r="E20" s="520">
        <f>IFERROR(VLOOKUP(C20,ERP!$B$1:$AO$1548,40,0),0)</f>
        <v>3.45</v>
      </c>
      <c r="F20" s="622"/>
      <c r="G20" s="539">
        <v>200000</v>
      </c>
      <c r="H20" s="518">
        <v>0</v>
      </c>
      <c r="I20" s="518">
        <f t="shared" si="0"/>
        <v>200000</v>
      </c>
      <c r="J20" s="521"/>
      <c r="K20" s="518"/>
      <c r="L20" s="522">
        <v>442</v>
      </c>
      <c r="M20" s="590">
        <f>IFERROR(MIN(VLOOKUP(C20,'[1]Shortage Analysis'!C$4:U$537,19,0),0),0)</f>
        <v>-3000</v>
      </c>
      <c r="N20" s="590">
        <f>IFERROR(MIN(VLOOKUP(C20,'[1]Shortage Analysis'!C$4:W$537,21,0),0),0)</f>
        <v>-3000</v>
      </c>
      <c r="O20" s="526" t="str">
        <f t="shared" si="1"/>
        <v>STS304CU WSB3.45</v>
      </c>
      <c r="P20" s="515">
        <f>IFERROR(VLOOKUP(O20,'NVL Stock'!$N$1:$O$444,2,0),0)</f>
        <v>1091</v>
      </c>
      <c r="Q20" s="515" t="e">
        <f>P20*1000/#REF!</f>
        <v>#REF!</v>
      </c>
      <c r="R20" s="516">
        <f>VLOOKUP(C20,ERP!$B$1:$BM$1616,64,0)</f>
        <v>53801</v>
      </c>
    </row>
    <row r="21" spans="1:18" ht="36" customHeight="1">
      <c r="A21" s="508">
        <v>14</v>
      </c>
      <c r="B21" s="509" t="s">
        <v>3519</v>
      </c>
      <c r="C21" s="509" t="s">
        <v>2908</v>
      </c>
      <c r="D21" s="509" t="str">
        <f>IFERROR(VLOOKUP(C21,ERP!$B$1:$AN$1548,39,0),0)</f>
        <v>S18A SAIP (F)</v>
      </c>
      <c r="E21" s="510">
        <f>IFERROR(VLOOKUP(C21,ERP!$B$1:$AO$1548,40,0),0)</f>
        <v>3.2</v>
      </c>
      <c r="F21" s="565">
        <v>9</v>
      </c>
      <c r="G21" s="511">
        <v>200000</v>
      </c>
      <c r="H21" s="511">
        <v>16000</v>
      </c>
      <c r="I21" s="511">
        <f t="shared" si="0"/>
        <v>184000</v>
      </c>
      <c r="J21" s="512"/>
      <c r="K21" s="511"/>
      <c r="L21" s="513">
        <v>163.76</v>
      </c>
      <c r="M21" s="589">
        <f>IFERROR(MIN(VLOOKUP(C21,'[1]Shortage Analysis'!C$4:U$537,19,0),0),0)</f>
        <v>-183000</v>
      </c>
      <c r="N21" s="589">
        <f>IFERROR(MIN(VLOOKUP(C21,'[1]Shortage Analysis'!C$4:W$537,21,0),0),0)</f>
        <v>-183000</v>
      </c>
      <c r="O21" s="526" t="str">
        <f t="shared" si="1"/>
        <v>S18A SAIP (F)3.2</v>
      </c>
      <c r="P21" s="515">
        <f>IFERROR(VLOOKUP(O21,'NVL Stock'!$N$1:$O$444,2,0),0)</f>
        <v>12792</v>
      </c>
      <c r="Q21" s="515" t="e">
        <f>P21*1000/#REF!</f>
        <v>#REF!</v>
      </c>
      <c r="R21" s="516">
        <f>VLOOKUP(C21,ERP!$B$1:$BM$1616,64,0)</f>
        <v>55017</v>
      </c>
    </row>
    <row r="22" spans="1:18" ht="36" customHeight="1">
      <c r="A22" s="508">
        <v>15</v>
      </c>
      <c r="B22" s="509" t="s">
        <v>3486</v>
      </c>
      <c r="C22" s="509" t="s">
        <v>759</v>
      </c>
      <c r="D22" s="509" t="str">
        <f>IFERROR(VLOOKUP(C22,ERP!$B$1:$AN$1548,39,0),0)</f>
        <v>S18A SAIP (F)</v>
      </c>
      <c r="E22" s="510">
        <f>IFERROR(VLOOKUP(C22,ERP!$B$1:$AO$1548,40,0),0)</f>
        <v>3.95</v>
      </c>
      <c r="F22" s="565">
        <v>10</v>
      </c>
      <c r="G22" s="511">
        <v>200000</v>
      </c>
      <c r="H22" s="511">
        <v>84900</v>
      </c>
      <c r="I22" s="511">
        <f>G22-H22</f>
        <v>115100</v>
      </c>
      <c r="J22" s="512"/>
      <c r="K22" s="511">
        <f>23500+5100</f>
        <v>28600</v>
      </c>
      <c r="L22" s="513">
        <v>347.60199999999998</v>
      </c>
      <c r="M22" s="589">
        <f>IFERROR(MIN(VLOOKUP(C22,'[1]Shortage Analysis'!C$4:U$537,19,0),0),0)</f>
        <v>-101338</v>
      </c>
      <c r="N22" s="589">
        <f>IFERROR(MIN(VLOOKUP(C22,'[1]Shortage Analysis'!C$4:W$537,21,0),0),0)</f>
        <v>-101338</v>
      </c>
      <c r="O22" s="526" t="str">
        <f t="shared" si="1"/>
        <v>S18A SAIP (F)3.95</v>
      </c>
      <c r="P22" s="515">
        <f>IFERROR(VLOOKUP(O22,'NVL Stock'!$N$1:$O$444,2,0),0)</f>
        <v>899</v>
      </c>
      <c r="Q22" s="515" t="e">
        <f>P22*1000/#REF!</f>
        <v>#REF!</v>
      </c>
      <c r="R22" s="516">
        <f>VLOOKUP(C22,ERP!$B$1:$BM$1616,64,0)</f>
        <v>20017</v>
      </c>
    </row>
    <row r="23" spans="1:18" ht="36" customHeight="1">
      <c r="A23" s="508">
        <v>16</v>
      </c>
      <c r="B23" s="509"/>
      <c r="C23" s="509" t="s">
        <v>775</v>
      </c>
      <c r="D23" s="509" t="str">
        <f>IFERROR(VLOOKUP(C23,ERP!$B$1:$AN$1548,39,0),0)</f>
        <v>S18A SAIP (F)</v>
      </c>
      <c r="E23" s="510">
        <f>IFERROR(VLOOKUP(C23,ERP!$B$1:$AO$1548,40,0),0)</f>
        <v>4.55</v>
      </c>
      <c r="F23" s="604">
        <v>11</v>
      </c>
      <c r="G23" s="511">
        <v>500000</v>
      </c>
      <c r="H23" s="511">
        <v>504600</v>
      </c>
      <c r="I23" s="511">
        <f t="shared" si="0"/>
        <v>-4600</v>
      </c>
      <c r="J23" s="512" t="s">
        <v>3527</v>
      </c>
      <c r="K23" s="511"/>
      <c r="L23" s="513">
        <v>-19.458000000000002</v>
      </c>
      <c r="M23" s="589">
        <f>IFERROR(MIN(VLOOKUP(C23,'[1]Shortage Analysis'!C$4:U$537,19,0),0),0)</f>
        <v>-135905</v>
      </c>
      <c r="N23" s="589">
        <f>IFERROR(MIN(VLOOKUP(C23,'[1]Shortage Analysis'!C$4:W$537,21,0),0),0)</f>
        <v>-135905</v>
      </c>
      <c r="O23" s="526" t="str">
        <f t="shared" si="1"/>
        <v>S18A SAIP (F)4.55</v>
      </c>
      <c r="P23" s="515">
        <f>IFERROR(VLOOKUP(O23,'NVL Stock'!$N$1:$O$444,2,0),0)</f>
        <v>674</v>
      </c>
      <c r="Q23" s="515" t="e">
        <f>P23*1000/#REF!</f>
        <v>#REF!</v>
      </c>
      <c r="R23" s="516">
        <f>VLOOKUP(C23,ERP!$B$1:$BM$1616,64,0)</f>
        <v>20070</v>
      </c>
    </row>
    <row r="24" spans="1:18" ht="36" customHeight="1">
      <c r="A24" s="508">
        <v>17</v>
      </c>
      <c r="B24" s="580"/>
      <c r="C24" s="580" t="s">
        <v>1711</v>
      </c>
      <c r="D24" s="580" t="s">
        <v>2981</v>
      </c>
      <c r="E24" s="581">
        <v>3.45</v>
      </c>
      <c r="F24" s="604"/>
      <c r="G24" s="518">
        <v>400</v>
      </c>
      <c r="H24" s="518">
        <v>0</v>
      </c>
      <c r="I24" s="518">
        <f t="shared" si="0"/>
        <v>400</v>
      </c>
      <c r="J24" s="521" t="s">
        <v>2981</v>
      </c>
      <c r="K24" s="518"/>
      <c r="L24" s="522"/>
      <c r="M24" s="590">
        <f>IFERROR(MIN(VLOOKUP(C24,'[1]Shortage Analysis'!C$4:U$537,19,0),0),0)</f>
        <v>0</v>
      </c>
      <c r="N24" s="590">
        <f>IFERROR(MIN(VLOOKUP(C24,'[1]Shortage Analysis'!C$4:W$537,21,0),0),0)</f>
        <v>0</v>
      </c>
      <c r="O24" s="526"/>
      <c r="P24" s="515"/>
      <c r="Q24" s="515"/>
      <c r="R24" s="516"/>
    </row>
    <row r="25" spans="1:18" ht="36" customHeight="1">
      <c r="A25" s="508">
        <v>18</v>
      </c>
      <c r="B25" s="509" t="s">
        <v>3459</v>
      </c>
      <c r="C25" s="509" t="s">
        <v>2682</v>
      </c>
      <c r="D25" s="509" t="str">
        <f>IFERROR(VLOOKUP(C25,ERP!$B$1:$AN$1548,39,0),0)</f>
        <v>S18A SAIP (F)</v>
      </c>
      <c r="E25" s="510">
        <f>IFERROR(VLOOKUP(C25,ERP!$B$1:$AO$1548,40,0),0)</f>
        <v>4.8499999999999996</v>
      </c>
      <c r="F25" s="566">
        <v>12</v>
      </c>
      <c r="G25" s="511">
        <v>500000</v>
      </c>
      <c r="H25" s="511">
        <v>403500</v>
      </c>
      <c r="I25" s="511">
        <f t="shared" si="0"/>
        <v>96500</v>
      </c>
      <c r="J25" s="512"/>
      <c r="K25" s="511">
        <f>40500</f>
        <v>40500</v>
      </c>
      <c r="L25" s="513">
        <v>507.59</v>
      </c>
      <c r="M25" s="589">
        <f>IFERROR(MIN(VLOOKUP(C25,'[1]Shortage Analysis'!C$4:U$537,19,0),0),0)</f>
        <v>-370586</v>
      </c>
      <c r="N25" s="589">
        <f>IFERROR(MIN(VLOOKUP(C25,'[1]Shortage Analysis'!C$4:W$537,21,0),0),0)</f>
        <v>-370586</v>
      </c>
      <c r="O25" s="526" t="str">
        <f t="shared" ref="O25:O50" si="2">D25&amp;E25</f>
        <v>S18A SAIP (F)4.85</v>
      </c>
      <c r="P25" s="515">
        <f>IFERROR(VLOOKUP(O25,'NVL Stock'!$N$1:$O$444,2,0),0)</f>
        <v>2302</v>
      </c>
      <c r="Q25" s="515" t="e">
        <f>P25*1000/#REF!</f>
        <v>#REF!</v>
      </c>
      <c r="R25" s="516">
        <f>VLOOKUP(C25,ERP!$B$1:$BM$1616,64,0)</f>
        <v>40043</v>
      </c>
    </row>
    <row r="26" spans="1:18" ht="36" customHeight="1">
      <c r="A26" s="508">
        <v>19</v>
      </c>
      <c r="B26" s="509" t="s">
        <v>3487</v>
      </c>
      <c r="C26" s="509" t="s">
        <v>3299</v>
      </c>
      <c r="D26" s="509" t="str">
        <f>IFERROR(VLOOKUP(C26,ERP!$B$1:$AN$1548,39,0),0)</f>
        <v>STS304CU WSA</v>
      </c>
      <c r="E26" s="510">
        <f>IFERROR(VLOOKUP(C26,ERP!$B$1:$AO$1548,40,0),0)</f>
        <v>3.25</v>
      </c>
      <c r="F26" s="565">
        <v>13</v>
      </c>
      <c r="G26" s="511">
        <v>200000</v>
      </c>
      <c r="H26" s="511">
        <v>0</v>
      </c>
      <c r="I26" s="511">
        <f>G26-H26</f>
        <v>200000</v>
      </c>
      <c r="J26" s="570"/>
      <c r="K26" s="511"/>
      <c r="L26" s="513">
        <v>578</v>
      </c>
      <c r="M26" s="589">
        <f>IFERROR(MIN(VLOOKUP(C26,'[1]Shortage Analysis'!C$4:U$537,19,0),0),0)</f>
        <v>-263648</v>
      </c>
      <c r="N26" s="589">
        <f>IFERROR(MIN(VLOOKUP(C26,'[1]Shortage Analysis'!C$4:W$537,21,0),0),0)</f>
        <v>-263648</v>
      </c>
      <c r="O26" s="526" t="str">
        <f t="shared" si="2"/>
        <v>STS304CU WSA3.25</v>
      </c>
      <c r="P26" s="515">
        <f>IFERROR(VLOOKUP(O26,'NVL Stock'!$N$1:$O$444,2,0),0)</f>
        <v>791</v>
      </c>
      <c r="Q26" s="515" t="e">
        <f>P26*1000/#REF!</f>
        <v>#REF!</v>
      </c>
      <c r="R26" s="516">
        <f>VLOOKUP(C26,ERP!$B$1:$BM$1616,64,0)</f>
        <v>40057</v>
      </c>
    </row>
    <row r="27" spans="1:18" ht="36" customHeight="1" thickBot="1">
      <c r="A27" s="508">
        <v>20</v>
      </c>
      <c r="B27" s="509" t="s">
        <v>3247</v>
      </c>
      <c r="C27" s="509" t="s">
        <v>1241</v>
      </c>
      <c r="D27" s="509" t="str">
        <f>IFERROR(VLOOKUP(C27,ERP!$B$1:$AN$1548,39,0),0)</f>
        <v>S10A HD</v>
      </c>
      <c r="E27" s="510">
        <f>IFERROR(VLOOKUP(C27,ERP!$B$1:$AO$1548,40,0),0)</f>
        <v>5.9</v>
      </c>
      <c r="F27" s="594">
        <v>14</v>
      </c>
      <c r="G27" s="511">
        <v>20000</v>
      </c>
      <c r="H27" s="511">
        <v>4200</v>
      </c>
      <c r="I27" s="511">
        <f>G27-H27</f>
        <v>15800</v>
      </c>
      <c r="J27" s="525"/>
      <c r="K27" s="511"/>
      <c r="L27" s="513">
        <v>33.18</v>
      </c>
      <c r="M27" s="589">
        <f>IFERROR(MIN(VLOOKUP(C27,'[1]Shortage Analysis'!C$4:U$537,19,0),0),0)</f>
        <v>-990.8</v>
      </c>
      <c r="N27" s="589">
        <f>IFERROR(MIN(VLOOKUP(C27,'[1]Shortage Analysis'!C$4:W$537,21,0),0),0)</f>
        <v>-990.8</v>
      </c>
      <c r="O27" s="526" t="str">
        <f t="shared" si="2"/>
        <v>S10A HD5.9</v>
      </c>
      <c r="P27" s="515">
        <f>IFERROR(VLOOKUP(O27,'NVL Stock'!$N$1:$O$444,2,0),0)</f>
        <v>112</v>
      </c>
      <c r="Q27" s="515" t="e">
        <f>P27*1000/#REF!</f>
        <v>#REF!</v>
      </c>
      <c r="R27" s="516">
        <f>VLOOKUP(C27,ERP!$B$1:$BM$1616,64,0)</f>
        <v>52500</v>
      </c>
    </row>
    <row r="28" spans="1:18" ht="36" customHeight="1">
      <c r="A28" s="508">
        <v>21</v>
      </c>
      <c r="B28" s="543"/>
      <c r="C28" s="543"/>
      <c r="D28" s="544"/>
      <c r="E28" s="545"/>
      <c r="F28" s="546" t="s">
        <v>2972</v>
      </c>
      <c r="G28" s="547"/>
      <c r="H28" s="548">
        <v>0</v>
      </c>
      <c r="I28" s="548"/>
      <c r="J28" s="550" t="s">
        <v>3183</v>
      </c>
      <c r="K28" s="548"/>
      <c r="L28" s="549">
        <v>0</v>
      </c>
      <c r="M28" s="591">
        <f>IFERROR(MIN(VLOOKUP(C28,'[1]Shortage Analysis'!C$4:U$537,19,0),0),0)</f>
        <v>0</v>
      </c>
      <c r="N28" s="591">
        <f>IFERROR(MIN(VLOOKUP(C28,'[1]Shortage Analysis'!C$4:W$537,21,0),0),0)</f>
        <v>0</v>
      </c>
      <c r="O28" s="526" t="str">
        <f t="shared" si="2"/>
        <v/>
      </c>
      <c r="P28" s="515">
        <f>IFERROR(VLOOKUP(O28,'NVL Stock'!$N$1:$O$444,2,0),0)</f>
        <v>0</v>
      </c>
      <c r="Q28" s="515" t="e">
        <f>P28*1000/#REF!</f>
        <v>#REF!</v>
      </c>
      <c r="R28" s="516">
        <f>VLOOKUP(C28,ERP!$B$1:$BM$1616,64,0)</f>
        <v>0</v>
      </c>
    </row>
    <row r="29" spans="1:18" ht="36" customHeight="1">
      <c r="A29" s="508">
        <v>22</v>
      </c>
      <c r="B29" s="523" t="s">
        <v>3495</v>
      </c>
      <c r="C29" s="523" t="s">
        <v>149</v>
      </c>
      <c r="D29" s="509" t="str">
        <f>IFERROR(VLOOKUP(C29,ERP!$B$1:$AN$1548,39,0),0)</f>
        <v>S18A SAIP (F)</v>
      </c>
      <c r="E29" s="510">
        <f>IFERROR(VLOOKUP(C29,ERP!$B$1:$AO$1548,40,0),0)</f>
        <v>3.2</v>
      </c>
      <c r="F29" s="564" t="s">
        <v>3529</v>
      </c>
      <c r="G29" s="524">
        <v>3500000</v>
      </c>
      <c r="H29" s="511">
        <v>1881700</v>
      </c>
      <c r="I29" s="511">
        <f>G29-H29</f>
        <v>1618300</v>
      </c>
      <c r="J29" s="512"/>
      <c r="K29" s="511">
        <f>17000+23000+30000+23000</f>
        <v>93000</v>
      </c>
      <c r="L29" s="513">
        <v>2443.6329999999998</v>
      </c>
      <c r="M29" s="589">
        <f>IFERROR(MIN(VLOOKUP(C29,'[1]Shortage Analysis'!C$4:U$537,19,0),0),0)</f>
        <v>-5472582</v>
      </c>
      <c r="N29" s="589">
        <f>IFERROR(MIN(VLOOKUP(C29,'[1]Shortage Analysis'!C$4:W$537,21,0),0),0)</f>
        <v>-5719761</v>
      </c>
      <c r="O29" s="526" t="str">
        <f t="shared" si="2"/>
        <v>S18A SAIP (F)3.2</v>
      </c>
      <c r="P29" s="515">
        <f>IFERROR(VLOOKUP(O29,'NVL Stock'!$N$1:$O$444,2,0),0)</f>
        <v>12792</v>
      </c>
      <c r="Q29" s="515" t="e">
        <f>P29*1000/#REF!</f>
        <v>#REF!</v>
      </c>
      <c r="R29" s="516">
        <f>VLOOKUP(C29,ERP!$B$1:$BM$1616,64,0)</f>
        <v>20301</v>
      </c>
    </row>
    <row r="30" spans="1:18" ht="36" customHeight="1">
      <c r="A30" s="508">
        <v>23</v>
      </c>
      <c r="B30" s="523" t="s">
        <v>3462</v>
      </c>
      <c r="C30" s="523" t="s">
        <v>164</v>
      </c>
      <c r="D30" s="509" t="str">
        <f>IFERROR(VLOOKUP(C30,ERP!$B$1:$AN$1548,39,0),0)</f>
        <v>S18A SAIP (F)</v>
      </c>
      <c r="E30" s="510">
        <f>IFERROR(VLOOKUP(C30,ERP!$B$1:$AO$1548,40,0),0)</f>
        <v>3.2</v>
      </c>
      <c r="F30" s="569">
        <v>16</v>
      </c>
      <c r="G30" s="524">
        <v>500000</v>
      </c>
      <c r="H30" s="511">
        <v>230000</v>
      </c>
      <c r="I30" s="511">
        <f t="shared" ref="I30:I32" si="3">G30-H30</f>
        <v>270000</v>
      </c>
      <c r="J30" s="512" t="s">
        <v>3524</v>
      </c>
      <c r="K30" s="511"/>
      <c r="L30" s="513">
        <v>415.8</v>
      </c>
      <c r="M30" s="589">
        <f>IFERROR(MIN(VLOOKUP(C30,'[1]Shortage Analysis'!C$4:U$537,19,0),0),0)</f>
        <v>0</v>
      </c>
      <c r="N30" s="589">
        <f>IFERROR(MIN(VLOOKUP(C30,'[1]Shortage Analysis'!C$4:W$537,21,0),0),0)</f>
        <v>0</v>
      </c>
      <c r="O30" s="526" t="str">
        <f t="shared" si="2"/>
        <v>S18A SAIP (F)3.2</v>
      </c>
      <c r="P30" s="515">
        <f>IFERROR(VLOOKUP(O30,'NVL Stock'!$N$1:$O$444,2,0),0)</f>
        <v>12792</v>
      </c>
      <c r="Q30" s="515" t="e">
        <f>P30*1000/#REF!</f>
        <v>#REF!</v>
      </c>
      <c r="R30" s="516">
        <f>VLOOKUP(C30,ERP!$B$1:$BM$1616,64,0)</f>
        <v>20037</v>
      </c>
    </row>
    <row r="31" spans="1:18" ht="36" customHeight="1">
      <c r="A31" s="508">
        <v>24</v>
      </c>
      <c r="B31" s="523" t="s">
        <v>3488</v>
      </c>
      <c r="C31" s="523" t="s">
        <v>3389</v>
      </c>
      <c r="D31" s="509" t="str">
        <f>IFERROR(VLOOKUP(C31,ERP!$B$1:$AN$1548,39,0),0)</f>
        <v>STS304CU WSA</v>
      </c>
      <c r="E31" s="510">
        <f>IFERROR(VLOOKUP(C31,ERP!$B$1:$AO$1548,40,0),0)</f>
        <v>3.2</v>
      </c>
      <c r="F31" s="564">
        <v>17</v>
      </c>
      <c r="G31" s="524">
        <v>500000</v>
      </c>
      <c r="H31" s="511">
        <v>176000</v>
      </c>
      <c r="I31" s="511">
        <f>G31-H31</f>
        <v>324000</v>
      </c>
      <c r="J31" s="570"/>
      <c r="K31" s="511">
        <f>53000</f>
        <v>53000</v>
      </c>
      <c r="L31" s="513">
        <v>651.2399999999999</v>
      </c>
      <c r="M31" s="589">
        <f>IFERROR(MIN(VLOOKUP(C31,'[1]Shortage Analysis'!C$4:U$537,19,0),0),0)</f>
        <v>-565658</v>
      </c>
      <c r="N31" s="589">
        <f>IFERROR(MIN(VLOOKUP(C31,'[1]Shortage Analysis'!C$4:W$537,21,0),0),0)</f>
        <v>-565658</v>
      </c>
      <c r="O31" s="514" t="str">
        <f t="shared" si="2"/>
        <v>STS304CU WSA3.2</v>
      </c>
      <c r="P31" s="515">
        <f>IFERROR(VLOOKUP(O31,'NVL Stock'!$N$1:$O$444,2,0),0)</f>
        <v>1170</v>
      </c>
      <c r="Q31" s="515" t="e">
        <f>P31*1000/#REF!</f>
        <v>#REF!</v>
      </c>
      <c r="R31" s="516">
        <f>VLOOKUP(C31,ERP!$B$1:$BM$1616,64,0)</f>
        <v>40069</v>
      </c>
    </row>
    <row r="32" spans="1:18" ht="36" customHeight="1">
      <c r="A32" s="508">
        <v>25</v>
      </c>
      <c r="B32" s="523" t="s">
        <v>3461</v>
      </c>
      <c r="C32" s="523" t="s">
        <v>695</v>
      </c>
      <c r="D32" s="509" t="str">
        <f>IFERROR(VLOOKUP(C32,ERP!$B$1:$AN$1548,39,0),0)</f>
        <v>S18A SAIP (F)</v>
      </c>
      <c r="E32" s="510">
        <f>IFERROR(VLOOKUP(C32,ERP!$B$1:$AO$1548,40,0),0)</f>
        <v>3.25</v>
      </c>
      <c r="F32" s="573">
        <v>18</v>
      </c>
      <c r="G32" s="524">
        <v>1000000</v>
      </c>
      <c r="H32" s="511">
        <v>584500</v>
      </c>
      <c r="I32" s="511">
        <f t="shared" si="3"/>
        <v>415500</v>
      </c>
      <c r="J32" s="512"/>
      <c r="K32" s="511">
        <f>47000+31000</f>
        <v>78000</v>
      </c>
      <c r="L32" s="513">
        <v>702.19500000000005</v>
      </c>
      <c r="M32" s="589">
        <f>IFERROR(MIN(VLOOKUP(C32,'[1]Shortage Analysis'!C$4:U$537,19,0),0),0)</f>
        <v>-199942.5</v>
      </c>
      <c r="N32" s="589">
        <f>IFERROR(MIN(VLOOKUP(C32,'[1]Shortage Analysis'!C$4:W$537,21,0),0),0)</f>
        <v>-199942.5</v>
      </c>
      <c r="O32" s="514" t="str">
        <f t="shared" si="2"/>
        <v>S18A SAIP (F)3.25</v>
      </c>
      <c r="P32" s="515">
        <f>IFERROR(VLOOKUP(O32,'NVL Stock'!$N$1:$O$444,2,0),0)</f>
        <v>7651</v>
      </c>
      <c r="Q32" s="515" t="e">
        <f>P32*1000/#REF!</f>
        <v>#REF!</v>
      </c>
      <c r="R32" s="516">
        <f>VLOOKUP(C32,ERP!$B$1:$BM$1616,64,0)</f>
        <v>20039</v>
      </c>
    </row>
    <row r="33" spans="1:18" ht="36" customHeight="1">
      <c r="A33" s="508">
        <v>26</v>
      </c>
      <c r="B33" s="523" t="s">
        <v>3501</v>
      </c>
      <c r="C33" s="523" t="s">
        <v>544</v>
      </c>
      <c r="D33" s="509" t="str">
        <f>IFERROR(VLOOKUP(C33,ERP!$B$1:$AN$1548,39,0),0)</f>
        <v>S18A SAIP (F)</v>
      </c>
      <c r="E33" s="510">
        <f>IFERROR(VLOOKUP(C33,ERP!$B$1:$AO$1548,40,0),0)</f>
        <v>2.46</v>
      </c>
      <c r="F33" s="604">
        <v>19</v>
      </c>
      <c r="G33" s="524">
        <v>500000</v>
      </c>
      <c r="H33" s="511">
        <v>499400</v>
      </c>
      <c r="I33" s="511">
        <f t="shared" ref="I33:I35" si="4">G33-H33</f>
        <v>600</v>
      </c>
      <c r="J33" s="512"/>
      <c r="K33" s="511"/>
      <c r="L33" s="513">
        <v>0.39600000000000002</v>
      </c>
      <c r="M33" s="589">
        <f>IFERROR(MIN(VLOOKUP(C33,'[1]Shortage Analysis'!C$4:U$537,19,0),0),0)</f>
        <v>-55000</v>
      </c>
      <c r="N33" s="589">
        <f>IFERROR(MIN(VLOOKUP(C33,'[1]Shortage Analysis'!C$4:W$537,21,0),0),0)</f>
        <v>-155000</v>
      </c>
      <c r="O33" s="514" t="str">
        <f t="shared" si="2"/>
        <v>S18A SAIP (F)2.46</v>
      </c>
      <c r="P33" s="515">
        <f>IFERROR(VLOOKUP(O33,'NVL Stock'!$N$1:$O$444,2,0),0)</f>
        <v>3881</v>
      </c>
      <c r="Q33" s="515" t="e">
        <f>P33*1000/#REF!</f>
        <v>#REF!</v>
      </c>
      <c r="R33" s="516">
        <f>VLOOKUP(C33,ERP!$B$1:$BM$1616,64,0)</f>
        <v>51818</v>
      </c>
    </row>
    <row r="34" spans="1:18" ht="36" customHeight="1">
      <c r="A34" s="508">
        <v>27</v>
      </c>
      <c r="B34" s="527" t="s">
        <v>3464</v>
      </c>
      <c r="C34" s="527" t="s">
        <v>2857</v>
      </c>
      <c r="D34" s="519" t="str">
        <f>IFERROR(VLOOKUP(C34,ERP!$B$1:$AN$1548,39,0),0)</f>
        <v>S18A SAIP (F)</v>
      </c>
      <c r="E34" s="520">
        <f>IFERROR(VLOOKUP(C34,ERP!$B$1:$AO$1548,40,0),0)</f>
        <v>2.46</v>
      </c>
      <c r="F34" s="604"/>
      <c r="G34" s="528">
        <v>100000</v>
      </c>
      <c r="H34" s="518">
        <v>0</v>
      </c>
      <c r="I34" s="518">
        <f>G34-H34</f>
        <v>100000</v>
      </c>
      <c r="J34" s="521"/>
      <c r="K34" s="518"/>
      <c r="L34" s="522">
        <v>62</v>
      </c>
      <c r="M34" s="590">
        <f>IFERROR(MIN(VLOOKUP(C34,'[1]Shortage Analysis'!C$4:U$537,19,0),0),0)</f>
        <v>-38332</v>
      </c>
      <c r="N34" s="590">
        <f>IFERROR(MIN(VLOOKUP(C34,'[1]Shortage Analysis'!C$4:W$537,21,0),0),0)</f>
        <v>-38332</v>
      </c>
      <c r="O34" s="514" t="str">
        <f t="shared" si="2"/>
        <v>S18A SAIP (F)2.46</v>
      </c>
      <c r="P34" s="515">
        <f>IFERROR(VLOOKUP(O34,'NVL Stock'!$N$1:$O$444,2,0),0)</f>
        <v>3881</v>
      </c>
      <c r="Q34" s="515" t="e">
        <f>P34*1000/#REF!</f>
        <v>#REF!</v>
      </c>
      <c r="R34" s="516">
        <f>VLOOKUP(C34,ERP!$B$1:$BM$1616,64,0)</f>
        <v>40225</v>
      </c>
    </row>
    <row r="35" spans="1:18" ht="36" customHeight="1">
      <c r="A35" s="508">
        <v>28</v>
      </c>
      <c r="B35" s="523" t="s">
        <v>3514</v>
      </c>
      <c r="C35" s="523" t="s">
        <v>3111</v>
      </c>
      <c r="D35" s="509" t="str">
        <f>IFERROR(VLOOKUP(C35,ERP!$B$1:$AN$1548,39,0),0)</f>
        <v>S22A SAIP (F)</v>
      </c>
      <c r="E35" s="510">
        <f>IFERROR(VLOOKUP(C35,ERP!$B$1:$AO$1548,40,0),0)</f>
        <v>3.55</v>
      </c>
      <c r="F35" s="564">
        <v>20</v>
      </c>
      <c r="G35" s="524">
        <v>100000</v>
      </c>
      <c r="H35" s="511">
        <v>0</v>
      </c>
      <c r="I35" s="511">
        <f t="shared" si="4"/>
        <v>100000</v>
      </c>
      <c r="J35" s="512"/>
      <c r="K35" s="511"/>
      <c r="L35" s="513">
        <v>150</v>
      </c>
      <c r="M35" s="589">
        <f>IFERROR(MIN(VLOOKUP(C35,'[1]Shortage Analysis'!C$4:U$537,19,0),0),0)</f>
        <v>-340599</v>
      </c>
      <c r="N35" s="589">
        <f>IFERROR(MIN(VLOOKUP(C35,'[1]Shortage Analysis'!C$4:W$537,21,0),0),0)</f>
        <v>-340599</v>
      </c>
      <c r="O35" s="514" t="str">
        <f t="shared" si="2"/>
        <v>S22A SAIP (F)3.55</v>
      </c>
      <c r="P35" s="515">
        <f>IFERROR(VLOOKUP(O35,'NVL Stock'!$N$1:$O$444,2,0),0)</f>
        <v>343</v>
      </c>
      <c r="Q35" s="515" t="e">
        <f>P35*1000/#REF!</f>
        <v>#REF!</v>
      </c>
      <c r="R35" s="516">
        <f>VLOOKUP(C35,ERP!$B$1:$BM$1616,64,0)</f>
        <v>50648</v>
      </c>
    </row>
    <row r="36" spans="1:18" ht="36" customHeight="1">
      <c r="A36" s="508">
        <v>29</v>
      </c>
      <c r="B36" s="523" t="s">
        <v>3463</v>
      </c>
      <c r="C36" s="523" t="s">
        <v>128</v>
      </c>
      <c r="D36" s="509" t="str">
        <f>IFERROR(VLOOKUP(C36,ERP!$B$1:$AN$1548,39,0),0)</f>
        <v>S18A SAIP (F)</v>
      </c>
      <c r="E36" s="510">
        <f>IFERROR(VLOOKUP(C36,ERP!$B$1:$AO$1548,40,0),0)</f>
        <v>3.45</v>
      </c>
      <c r="F36" s="566">
        <v>21</v>
      </c>
      <c r="G36" s="524">
        <v>600000</v>
      </c>
      <c r="H36" s="511">
        <v>283500</v>
      </c>
      <c r="I36" s="511">
        <f>G36-H36</f>
        <v>316500</v>
      </c>
      <c r="J36" s="512"/>
      <c r="K36" s="511">
        <f>29000+57000</f>
        <v>86000</v>
      </c>
      <c r="L36" s="513">
        <v>458.92500000000001</v>
      </c>
      <c r="M36" s="589">
        <f>IFERROR(MIN(VLOOKUP(C36,'[1]Shortage Analysis'!C$4:U$537,19,0),0),0)</f>
        <v>-703424.46000000008</v>
      </c>
      <c r="N36" s="589">
        <f>IFERROR(MIN(VLOOKUP(C36,'[1]Shortage Analysis'!C$4:W$537,21,0),0),0)</f>
        <v>-703424.46000000008</v>
      </c>
      <c r="O36" s="514" t="str">
        <f t="shared" si="2"/>
        <v>S18A SAIP (F)3.45</v>
      </c>
      <c r="P36" s="515">
        <f>IFERROR(VLOOKUP(O36,'NVL Stock'!$N$1:$O$444,2,0),0)</f>
        <v>1513</v>
      </c>
      <c r="Q36" s="515" t="e">
        <f>P36*1000/#REF!</f>
        <v>#REF!</v>
      </c>
      <c r="R36" s="516">
        <f>VLOOKUP(C36,ERP!$B$1:$BM$1616,64,0)</f>
        <v>20023</v>
      </c>
    </row>
    <row r="37" spans="1:18" ht="36" customHeight="1">
      <c r="A37" s="508">
        <v>30</v>
      </c>
      <c r="B37" s="523" t="s">
        <v>3526</v>
      </c>
      <c r="C37" s="523" t="s">
        <v>1975</v>
      </c>
      <c r="D37" s="509" t="str">
        <f>IFERROR(VLOOKUP(C37,ERP!$B$1:$AN$1548,39,0),0)</f>
        <v>S18A SAIP (F)</v>
      </c>
      <c r="E37" s="510">
        <f>IFERROR(VLOOKUP(C37,ERP!$B$1:$AO$1548,40,0),0)</f>
        <v>3.25</v>
      </c>
      <c r="F37" s="564">
        <v>22</v>
      </c>
      <c r="G37" s="524">
        <v>420000</v>
      </c>
      <c r="H37" s="511">
        <v>243600</v>
      </c>
      <c r="I37" s="511">
        <f>G37-H37</f>
        <v>176400</v>
      </c>
      <c r="J37" s="512"/>
      <c r="K37" s="511">
        <f>87600</f>
        <v>87600</v>
      </c>
      <c r="L37" s="513">
        <v>224.02799999999999</v>
      </c>
      <c r="M37" s="589">
        <f>IFERROR(MIN(VLOOKUP(C37,'[1]Shortage Analysis'!C$4:U$537,19,0),0),0)</f>
        <v>-419999</v>
      </c>
      <c r="N37" s="589">
        <f>IFERROR(MIN(VLOOKUP(C37,'[1]Shortage Analysis'!C$4:W$537,21,0),0),0)</f>
        <v>-419999</v>
      </c>
      <c r="O37" s="514" t="str">
        <f t="shared" si="2"/>
        <v>S18A SAIP (F)3.25</v>
      </c>
      <c r="P37" s="515">
        <f>IFERROR(VLOOKUP(O37,'NVL Stock'!$N$1:$O$444,2,0),0)</f>
        <v>7651</v>
      </c>
      <c r="Q37" s="515" t="e">
        <f>P37*1000/#REF!</f>
        <v>#REF!</v>
      </c>
      <c r="R37" s="516">
        <f>VLOOKUP(C37,ERP!$B$1:$BM$1616,64,0)</f>
        <v>40027</v>
      </c>
    </row>
    <row r="38" spans="1:18" ht="36" customHeight="1">
      <c r="A38" s="508">
        <v>31</v>
      </c>
      <c r="B38" s="523" t="s">
        <v>3490</v>
      </c>
      <c r="C38" s="523" t="s">
        <v>190</v>
      </c>
      <c r="D38" s="509" t="str">
        <f>IFERROR(VLOOKUP(C38,ERP!$B$1:$AN$1548,39,0),0)</f>
        <v>S18A SAIP (F)</v>
      </c>
      <c r="E38" s="510">
        <f>IFERROR(VLOOKUP(C38,ERP!$B$1:$AO$1548,40,0),0)</f>
        <v>3.2</v>
      </c>
      <c r="F38" s="566">
        <v>23</v>
      </c>
      <c r="G38" s="524">
        <v>800000</v>
      </c>
      <c r="H38" s="511">
        <v>406500</v>
      </c>
      <c r="I38" s="511">
        <f t="shared" ref="I38:I48" si="5">G38-H38</f>
        <v>393500</v>
      </c>
      <c r="J38" s="512"/>
      <c r="K38" s="511">
        <f>85800</f>
        <v>85800</v>
      </c>
      <c r="L38" s="513">
        <v>629.6</v>
      </c>
      <c r="M38" s="589">
        <f>IFERROR(MIN(VLOOKUP(C38,'[1]Shortage Analysis'!C$4:U$537,19,0),0),0)</f>
        <v>-311542</v>
      </c>
      <c r="N38" s="589">
        <f>IFERROR(MIN(VLOOKUP(C38,'[1]Shortage Analysis'!C$4:W$537,21,0),0),0)</f>
        <v>-311542</v>
      </c>
      <c r="O38" s="514" t="str">
        <f t="shared" si="2"/>
        <v>S18A SAIP (F)3.2</v>
      </c>
      <c r="P38" s="515">
        <f>IFERROR(VLOOKUP(O38,'NVL Stock'!$N$1:$O$444,2,0),0)</f>
        <v>12792</v>
      </c>
      <c r="Q38" s="515" t="e">
        <f>P38*1000/#REF!</f>
        <v>#REF!</v>
      </c>
      <c r="R38" s="516">
        <f>VLOOKUP(C38,ERP!$B$1:$BM$1616,64,0)</f>
        <v>20040</v>
      </c>
    </row>
    <row r="39" spans="1:18" ht="36" customHeight="1">
      <c r="A39" s="508">
        <v>32</v>
      </c>
      <c r="B39" s="523" t="s">
        <v>3505</v>
      </c>
      <c r="C39" s="523" t="s">
        <v>637</v>
      </c>
      <c r="D39" s="509" t="str">
        <f>IFERROR(VLOOKUP(C39,ERP!$B$1:$AN$1548,39,0),0)</f>
        <v>S18A SAIP (F)</v>
      </c>
      <c r="E39" s="510">
        <f>IFERROR(VLOOKUP(C39,ERP!$B$1:$AO$1548,40,0),0)</f>
        <v>3.2</v>
      </c>
      <c r="F39" s="564">
        <v>24</v>
      </c>
      <c r="G39" s="524">
        <v>1500000</v>
      </c>
      <c r="H39" s="511">
        <v>1006500</v>
      </c>
      <c r="I39" s="511">
        <f t="shared" si="5"/>
        <v>493500</v>
      </c>
      <c r="J39" s="512"/>
      <c r="K39" s="511">
        <f>64300+25000</f>
        <v>89300</v>
      </c>
      <c r="L39" s="513">
        <v>764.92499999999995</v>
      </c>
      <c r="M39" s="589">
        <f>IFERROR(MIN(VLOOKUP(C39,'[1]Shortage Analysis'!C$4:U$537,19,0),0),0)</f>
        <v>0</v>
      </c>
      <c r="N39" s="589">
        <f>IFERROR(MIN(VLOOKUP(C39,'[1]Shortage Analysis'!C$4:W$537,21,0),0),0)</f>
        <v>0</v>
      </c>
      <c r="O39" s="526" t="str">
        <f t="shared" si="2"/>
        <v>S18A SAIP (F)3.2</v>
      </c>
      <c r="P39" s="515">
        <f>IFERROR(VLOOKUP(O39,'NVL Stock'!$N$1:$O$444,2,0),0)</f>
        <v>12792</v>
      </c>
      <c r="Q39" s="515" t="e">
        <f>P39*1000/#REF!</f>
        <v>#REF!</v>
      </c>
      <c r="R39" s="516" t="str">
        <f>VLOOKUP(C39,ERP!$B$1:$BM$1616,64,0)</f>
        <v>LGSO3</v>
      </c>
    </row>
    <row r="40" spans="1:18" ht="36" customHeight="1">
      <c r="A40" s="508">
        <v>33</v>
      </c>
      <c r="B40" s="523" t="s">
        <v>3499</v>
      </c>
      <c r="C40" s="523" t="s">
        <v>3373</v>
      </c>
      <c r="D40" s="509" t="str">
        <f>IFERROR(VLOOKUP(C40,ERP!$B$1:$AN$1548,39,0),0)</f>
        <v>S18A SAIP (F)</v>
      </c>
      <c r="E40" s="510">
        <f>IFERROR(VLOOKUP(C40,ERP!$B$1:$AO$1548,40,0),0)</f>
        <v>2.46</v>
      </c>
      <c r="F40" s="564" t="s">
        <v>3525</v>
      </c>
      <c r="G40" s="524">
        <v>5000000</v>
      </c>
      <c r="H40" s="511">
        <v>1478700</v>
      </c>
      <c r="I40" s="511">
        <f>G40-H40</f>
        <v>3521300</v>
      </c>
      <c r="J40" s="559"/>
      <c r="K40" s="511">
        <f>94000+15000+66000+95000</f>
        <v>270000</v>
      </c>
      <c r="L40" s="513">
        <v>1760.65</v>
      </c>
      <c r="M40" s="589">
        <f>IFERROR(MIN(VLOOKUP(C40,'[1]Shortage Analysis'!C$4:U$537,19,0),0),0)</f>
        <v>-6985000</v>
      </c>
      <c r="N40" s="589">
        <f>IFERROR(MIN(VLOOKUP(C40,'[1]Shortage Analysis'!C$4:W$537,21,0),0),0)</f>
        <v>-9985000</v>
      </c>
      <c r="O40" s="526" t="str">
        <f t="shared" si="2"/>
        <v>S18A SAIP (F)2.46</v>
      </c>
      <c r="P40" s="515">
        <f>IFERROR(VLOOKUP(O40,'NVL Stock'!$N$1:$O$444,2,0),0)</f>
        <v>3881</v>
      </c>
      <c r="Q40" s="515" t="e">
        <f>P40*1000/#REF!</f>
        <v>#REF!</v>
      </c>
      <c r="R40" s="516">
        <f>VLOOKUP(C40,ERP!$B$1:$BM$1616,64,0)</f>
        <v>51800</v>
      </c>
    </row>
    <row r="41" spans="1:18" ht="36" customHeight="1">
      <c r="A41" s="508">
        <v>34</v>
      </c>
      <c r="B41" s="523" t="s">
        <v>3496</v>
      </c>
      <c r="C41" s="523" t="s">
        <v>162</v>
      </c>
      <c r="D41" s="509" t="str">
        <f>IFERROR(VLOOKUP(C41,ERP!$B$1:$AN$1548,39,0),0)</f>
        <v>S18A SAIP (F)</v>
      </c>
      <c r="E41" s="510">
        <f>IFERROR(VLOOKUP(C41,ERP!$B$1:$AO$1548,40,0),0)</f>
        <v>3.25</v>
      </c>
      <c r="F41" s="564" t="s">
        <v>3544</v>
      </c>
      <c r="G41" s="524">
        <v>4000000</v>
      </c>
      <c r="H41" s="511">
        <v>1330000</v>
      </c>
      <c r="I41" s="511">
        <f t="shared" ref="I41" si="6">G41-H41</f>
        <v>2670000</v>
      </c>
      <c r="J41" s="512"/>
      <c r="K41" s="511">
        <f>89000</f>
        <v>89000</v>
      </c>
      <c r="L41" s="513">
        <v>4218.6000000000004</v>
      </c>
      <c r="M41" s="589">
        <f>IFERROR(MIN(VLOOKUP(C41,'[1]Shortage Analysis'!C$4:U$537,19,0),0),0)</f>
        <v>-72418.800000000279</v>
      </c>
      <c r="N41" s="589">
        <f>IFERROR(MIN(VLOOKUP(C41,'[1]Shortage Analysis'!C$4:W$537,21,0),0),0)</f>
        <v>-1018224.8000000003</v>
      </c>
      <c r="O41" s="526" t="str">
        <f t="shared" si="2"/>
        <v>S18A SAIP (F)3.25</v>
      </c>
      <c r="P41" s="515">
        <f>IFERROR(VLOOKUP(O41,'NVL Stock'!$N$1:$O$444,2,0),0)</f>
        <v>7651</v>
      </c>
      <c r="Q41" s="515" t="e">
        <f>P41*1000/#REF!</f>
        <v>#REF!</v>
      </c>
      <c r="R41" s="516">
        <f>VLOOKUP(C41,ERP!$B$1:$BM$1616,64,0)</f>
        <v>20018</v>
      </c>
    </row>
    <row r="42" spans="1:18" ht="36" customHeight="1">
      <c r="A42" s="508">
        <v>35</v>
      </c>
      <c r="B42" s="523" t="s">
        <v>3489</v>
      </c>
      <c r="C42" s="523" t="s">
        <v>1739</v>
      </c>
      <c r="D42" s="509" t="str">
        <f>IFERROR(VLOOKUP(C42,ERP!$B$1:$AN$1548,39,0),0)</f>
        <v>S18A SAIP (F)</v>
      </c>
      <c r="E42" s="510">
        <f>IFERROR(VLOOKUP(C42,ERP!$B$1:$AO$1548,40,0),0)</f>
        <v>3.25</v>
      </c>
      <c r="F42" s="566">
        <v>27</v>
      </c>
      <c r="G42" s="524">
        <v>1000000</v>
      </c>
      <c r="H42" s="511">
        <v>97100</v>
      </c>
      <c r="I42" s="511">
        <f>G42-H42</f>
        <v>902900</v>
      </c>
      <c r="J42" s="512"/>
      <c r="K42" s="511">
        <f>82600</f>
        <v>82600</v>
      </c>
      <c r="L42" s="513">
        <v>1778.713</v>
      </c>
      <c r="M42" s="589">
        <f>IFERROR(MIN(VLOOKUP(C42,'[1]Shortage Analysis'!C$4:U$537,19,0),0),0)</f>
        <v>-1153019</v>
      </c>
      <c r="N42" s="589">
        <f>IFERROR(MIN(VLOOKUP(C42,'[1]Shortage Analysis'!C$4:W$537,21,0),0),0)</f>
        <v>-1221301</v>
      </c>
      <c r="O42" s="514" t="str">
        <f t="shared" si="2"/>
        <v>S18A SAIP (F)3.25</v>
      </c>
      <c r="P42" s="515">
        <f>IFERROR(VLOOKUP(O42,'NVL Stock'!$N$1:$O$444,2,0),0)</f>
        <v>7651</v>
      </c>
      <c r="Q42" s="515" t="e">
        <f>P42*1000/#REF!</f>
        <v>#REF!</v>
      </c>
      <c r="R42" s="516">
        <f>VLOOKUP(C42,ERP!$B$1:$BM$1616,64,0)</f>
        <v>40026</v>
      </c>
    </row>
    <row r="43" spans="1:18" ht="36" customHeight="1">
      <c r="A43" s="508">
        <v>36</v>
      </c>
      <c r="B43" s="523" t="s">
        <v>3491</v>
      </c>
      <c r="C43" s="523" t="s">
        <v>3160</v>
      </c>
      <c r="D43" s="509" t="str">
        <f>IFERROR(VLOOKUP(C43,ERP!$B$1:$AN$1548,39,0),0)</f>
        <v>STS304CU WSA</v>
      </c>
      <c r="E43" s="510">
        <f>IFERROR(VLOOKUP(C43,ERP!$B$1:$AO$1548,40,0),0)</f>
        <v>3.25</v>
      </c>
      <c r="F43" s="567">
        <v>28</v>
      </c>
      <c r="G43" s="524">
        <v>100000</v>
      </c>
      <c r="H43" s="511">
        <v>83100</v>
      </c>
      <c r="I43" s="511">
        <f t="shared" ref="I43:I46" si="7">G43-H43</f>
        <v>16900</v>
      </c>
      <c r="J43" s="512"/>
      <c r="K43" s="511">
        <f>28000+42500</f>
        <v>70500</v>
      </c>
      <c r="L43" s="513">
        <v>33.462000000000003</v>
      </c>
      <c r="M43" s="589">
        <f>IFERROR(MIN(VLOOKUP(C43,'[1]Shortage Analysis'!C$4:U$537,19,0),0),0)</f>
        <v>-5206.9400000000023</v>
      </c>
      <c r="N43" s="589">
        <f>IFERROR(MIN(VLOOKUP(C43,'[1]Shortage Analysis'!C$4:W$537,21,0),0),0)</f>
        <v>-5206.9400000000023</v>
      </c>
      <c r="O43" s="514" t="str">
        <f t="shared" si="2"/>
        <v>STS304CU WSA3.25</v>
      </c>
      <c r="P43" s="515">
        <f>IFERROR(VLOOKUP(O43,'NVL Stock'!$N$1:$O$444,2,0),0)</f>
        <v>791</v>
      </c>
      <c r="Q43" s="515" t="e">
        <f>P43*1000/#REF!</f>
        <v>#REF!</v>
      </c>
      <c r="R43" s="516">
        <f>VLOOKUP(C43,ERP!$B$1:$BM$1616,64,0)</f>
        <v>45002</v>
      </c>
    </row>
    <row r="44" spans="1:18" ht="36" customHeight="1">
      <c r="A44" s="508">
        <v>37</v>
      </c>
      <c r="B44" s="523" t="s">
        <v>3493</v>
      </c>
      <c r="C44" s="523" t="s">
        <v>3446</v>
      </c>
      <c r="D44" s="509" t="str">
        <f>IFERROR(VLOOKUP(C44,ERP!$B$1:$AN$1548,39,0),0)</f>
        <v>STS304CU WSA</v>
      </c>
      <c r="E44" s="510">
        <f>IFERROR(VLOOKUP(C44,ERP!$B$1:$AO$1548,40,0),0)</f>
        <v>3.28</v>
      </c>
      <c r="F44" s="623">
        <v>29</v>
      </c>
      <c r="G44" s="524">
        <v>200000</v>
      </c>
      <c r="H44" s="511">
        <v>174800</v>
      </c>
      <c r="I44" s="511">
        <f t="shared" si="7"/>
        <v>25200</v>
      </c>
      <c r="J44" s="570" t="s">
        <v>3528</v>
      </c>
      <c r="K44" s="511">
        <f>25600</f>
        <v>25600</v>
      </c>
      <c r="L44" s="513">
        <v>31.248000000000001</v>
      </c>
      <c r="M44" s="589">
        <f>IFERROR(MIN(VLOOKUP(C44,'[1]Shortage Analysis'!C$4:U$537,19,0),0),0)</f>
        <v>-202648</v>
      </c>
      <c r="N44" s="589">
        <f>IFERROR(MIN(VLOOKUP(C44,'[1]Shortage Analysis'!C$4:W$537,21,0),0),0)</f>
        <v>-202648</v>
      </c>
      <c r="O44" s="514" t="str">
        <f t="shared" si="2"/>
        <v>STS304CU WSA3.28</v>
      </c>
      <c r="P44" s="515">
        <f>IFERROR(VLOOKUP(O44,'NVL Stock'!$N$1:$O$444,2,0),0)</f>
        <v>246</v>
      </c>
      <c r="Q44" s="515" t="e">
        <f>P44*1000/#REF!</f>
        <v>#REF!</v>
      </c>
      <c r="R44" s="516">
        <f>VLOOKUP(C44,ERP!$B$1:$BM$1616,64,0)</f>
        <v>40059</v>
      </c>
    </row>
    <row r="45" spans="1:18" ht="36" customHeight="1">
      <c r="A45" s="508">
        <v>38</v>
      </c>
      <c r="B45" s="527" t="s">
        <v>3494</v>
      </c>
      <c r="C45" s="562" t="s">
        <v>3296</v>
      </c>
      <c r="D45" s="519" t="str">
        <f>IFERROR(VLOOKUP(C45,ERP!$B$1:$AN$1548,39,0),0)</f>
        <v>S18A SAIP (F)</v>
      </c>
      <c r="E45" s="520">
        <f>IFERROR(VLOOKUP(C45,ERP!$B$1:$AO$1548,40,0),0)</f>
        <v>3.25</v>
      </c>
      <c r="F45" s="623"/>
      <c r="G45" s="528">
        <v>300000</v>
      </c>
      <c r="H45" s="518">
        <v>0</v>
      </c>
      <c r="I45" s="518">
        <f t="shared" si="7"/>
        <v>300000</v>
      </c>
      <c r="J45" s="551"/>
      <c r="K45" s="518"/>
      <c r="L45" s="522">
        <v>501</v>
      </c>
      <c r="M45" s="590">
        <f>IFERROR(MIN(VLOOKUP(C45,'[1]Shortage Analysis'!C$4:U$537,19,0),0),0)</f>
        <v>-243847</v>
      </c>
      <c r="N45" s="590">
        <f>IFERROR(MIN(VLOOKUP(C45,'[1]Shortage Analysis'!C$4:W$537,21,0),0),0)</f>
        <v>-243847</v>
      </c>
      <c r="O45" s="514" t="str">
        <f t="shared" si="2"/>
        <v>S18A SAIP (F)3.25</v>
      </c>
      <c r="P45" s="515">
        <f>IFERROR(VLOOKUP(O45,'NVL Stock'!$N$1:$O$444,2,0),0)</f>
        <v>7651</v>
      </c>
      <c r="Q45" s="515" t="e">
        <f>P45*1000/#REF!</f>
        <v>#REF!</v>
      </c>
      <c r="R45" s="516">
        <f>VLOOKUP(C45,ERP!$B$1:$BM$1616,64,0)</f>
        <v>40055</v>
      </c>
    </row>
    <row r="46" spans="1:18" ht="36" customHeight="1">
      <c r="A46" s="508">
        <v>39</v>
      </c>
      <c r="B46" s="523" t="s">
        <v>3460</v>
      </c>
      <c r="C46" s="523" t="s">
        <v>2687</v>
      </c>
      <c r="D46" s="509" t="str">
        <f>IFERROR(VLOOKUP(C46,ERP!$B$1:$AN$1548,39,0),0)</f>
        <v>S18A SAIP (F)</v>
      </c>
      <c r="E46" s="510">
        <f>IFERROR(VLOOKUP(C46,ERP!$B$1:$AO$1548,40,0),0)</f>
        <v>3.55</v>
      </c>
      <c r="F46" s="564">
        <v>30</v>
      </c>
      <c r="G46" s="524">
        <v>300000</v>
      </c>
      <c r="H46" s="511">
        <v>178900</v>
      </c>
      <c r="I46" s="511">
        <f t="shared" si="7"/>
        <v>121100</v>
      </c>
      <c r="J46" s="512"/>
      <c r="K46" s="511">
        <f>85600</f>
        <v>85600</v>
      </c>
      <c r="L46" s="513">
        <v>213.136</v>
      </c>
      <c r="M46" s="589">
        <f>IFERROR(MIN(VLOOKUP(C46,'[1]Shortage Analysis'!C$4:U$537,19,0),0),0)</f>
        <v>-253935</v>
      </c>
      <c r="N46" s="589">
        <f>IFERROR(MIN(VLOOKUP(C46,'[1]Shortage Analysis'!C$4:W$537,21,0),0),0)</f>
        <v>-287204</v>
      </c>
      <c r="O46" s="514" t="str">
        <f t="shared" si="2"/>
        <v>S18A SAIP (F)3.55</v>
      </c>
      <c r="P46" s="515">
        <f>IFERROR(VLOOKUP(O46,'NVL Stock'!$N$1:$O$444,2,0),0)</f>
        <v>1591</v>
      </c>
      <c r="Q46" s="515" t="e">
        <f>P46*1000/#REF!</f>
        <v>#REF!</v>
      </c>
      <c r="R46" s="516">
        <f>VLOOKUP(C46,ERP!$B$1:$BM$1616,64,0)</f>
        <v>40036</v>
      </c>
    </row>
    <row r="47" spans="1:18" ht="36" customHeight="1">
      <c r="A47" s="508">
        <v>40</v>
      </c>
      <c r="B47" s="527"/>
      <c r="C47" s="527"/>
      <c r="D47" s="519"/>
      <c r="E47" s="520"/>
      <c r="F47" s="558" t="s">
        <v>3443</v>
      </c>
      <c r="G47" s="528"/>
      <c r="H47" s="518">
        <v>0</v>
      </c>
      <c r="I47" s="518"/>
      <c r="J47" s="521" t="s">
        <v>3444</v>
      </c>
      <c r="K47" s="518"/>
      <c r="L47" s="522">
        <v>0</v>
      </c>
      <c r="M47" s="590">
        <f>IFERROR(MIN(VLOOKUP(C47,'[1]Shortage Analysis'!C$4:U$537,19,0),0),0)</f>
        <v>0</v>
      </c>
      <c r="N47" s="590">
        <f>IFERROR(MIN(VLOOKUP(C47,'[1]Shortage Analysis'!C$4:W$537,21,0),0),0)</f>
        <v>0</v>
      </c>
      <c r="O47" s="526" t="str">
        <f t="shared" si="2"/>
        <v/>
      </c>
      <c r="P47" s="515">
        <f>IFERROR(VLOOKUP(O47,'NVL Stock'!$N$1:$O$444,2,0),0)</f>
        <v>0</v>
      </c>
      <c r="Q47" s="515" t="e">
        <f>P47*1000/#REF!</f>
        <v>#REF!</v>
      </c>
      <c r="R47" s="516">
        <f>VLOOKUP(C47,ERP!$B$1:$BM$1616,64,0)</f>
        <v>0</v>
      </c>
    </row>
    <row r="48" spans="1:18" ht="36" customHeight="1">
      <c r="A48" s="508">
        <v>41</v>
      </c>
      <c r="B48" s="574" t="s">
        <v>3500</v>
      </c>
      <c r="C48" s="574" t="s">
        <v>1719</v>
      </c>
      <c r="D48" s="575" t="str">
        <f>IFERROR(VLOOKUP(C48,ERP!$B$1:$AN$1548,39,0),0)</f>
        <v>S12A HD</v>
      </c>
      <c r="E48" s="576">
        <f>IFERROR(VLOOKUP(C48,ERP!$B$1:$AO$1548,40,0),0)</f>
        <v>2.6</v>
      </c>
      <c r="F48" s="566">
        <v>54</v>
      </c>
      <c r="G48" s="577">
        <v>700000</v>
      </c>
      <c r="H48" s="578">
        <v>431000</v>
      </c>
      <c r="I48" s="578">
        <f t="shared" si="5"/>
        <v>269000</v>
      </c>
      <c r="J48" s="570"/>
      <c r="K48" s="578">
        <f>78000</f>
        <v>78000</v>
      </c>
      <c r="L48" s="579">
        <v>142.57</v>
      </c>
      <c r="M48" s="592">
        <f>IFERROR(MIN(VLOOKUP(C48,'[1]Shortage Analysis'!C$4:U$537,19,0),0),0)</f>
        <v>-1194000</v>
      </c>
      <c r="N48" s="592">
        <f>IFERROR(MIN(VLOOKUP(C48,'[1]Shortage Analysis'!C$4:W$537,21,0),0),0)</f>
        <v>-1194000</v>
      </c>
      <c r="O48" s="526" t="str">
        <f t="shared" si="2"/>
        <v>S12A HD2.6</v>
      </c>
      <c r="P48" s="515">
        <f>IFERROR(VLOOKUP(O48,'NVL Stock'!$N$1:$O$444,2,0),0)</f>
        <v>580</v>
      </c>
      <c r="Q48" s="515" t="e">
        <f>P48*1000/#REF!</f>
        <v>#REF!</v>
      </c>
      <c r="R48" s="516">
        <f>VLOOKUP(C48,ERP!$B$1:$BM$1616,64,0)</f>
        <v>50303</v>
      </c>
    </row>
    <row r="49" spans="1:18" ht="36" customHeight="1">
      <c r="A49" s="508">
        <v>42</v>
      </c>
      <c r="B49" s="523" t="s">
        <v>3497</v>
      </c>
      <c r="C49" s="523" t="s">
        <v>1399</v>
      </c>
      <c r="D49" s="509" t="str">
        <f>IFERROR(VLOOKUP(C49,ERP!$B$1:$AN$1548,39,0),0)</f>
        <v>STS304CU WSA</v>
      </c>
      <c r="E49" s="510">
        <f>IFERROR(VLOOKUP(C49,ERP!$B$1:$AO$1548,40,0),0)</f>
        <v>2.46</v>
      </c>
      <c r="F49" s="608">
        <v>55</v>
      </c>
      <c r="G49" s="524">
        <v>300000</v>
      </c>
      <c r="H49" s="511">
        <v>180000</v>
      </c>
      <c r="I49" s="511">
        <f>G49-H49</f>
        <v>120000</v>
      </c>
      <c r="J49" s="512"/>
      <c r="K49" s="511">
        <f>49000</f>
        <v>49000</v>
      </c>
      <c r="L49" s="513">
        <v>79.2</v>
      </c>
      <c r="M49" s="589">
        <f>IFERROR(MIN(VLOOKUP(C49,'[1]Shortage Analysis'!C$4:U$537,19,0),0),0)</f>
        <v>-671076</v>
      </c>
      <c r="N49" s="589">
        <f>IFERROR(MIN(VLOOKUP(C49,'[1]Shortage Analysis'!C$4:W$537,21,0),0),0)</f>
        <v>-671076</v>
      </c>
      <c r="O49" s="514" t="str">
        <f t="shared" si="2"/>
        <v>STS304CU WSA2.46</v>
      </c>
      <c r="P49" s="515">
        <f>IFERROR(VLOOKUP(O49,'NVL Stock'!$N$1:$O$444,2,0),0)</f>
        <v>497</v>
      </c>
      <c r="Q49" s="515" t="e">
        <f>P49*1000/#REF!</f>
        <v>#REF!</v>
      </c>
      <c r="R49" s="516">
        <f>VLOOKUP(C49,ERP!$B$1:$BM$1616,64,0)</f>
        <v>20062</v>
      </c>
    </row>
    <row r="50" spans="1:18" ht="36" customHeight="1" thickBot="1">
      <c r="A50" s="508">
        <v>43</v>
      </c>
      <c r="B50" s="582" t="s">
        <v>3498</v>
      </c>
      <c r="C50" s="582" t="s">
        <v>1679</v>
      </c>
      <c r="D50" s="583" t="str">
        <f>IFERROR(VLOOKUP(C50,ERP!$B$1:$AN$1548,39,0),0)</f>
        <v>STS304CU WSA</v>
      </c>
      <c r="E50" s="584">
        <f>IFERROR(VLOOKUP(C50,ERP!$B$1:$AO$1548,40,0),0)</f>
        <v>2.46</v>
      </c>
      <c r="F50" s="609"/>
      <c r="G50" s="585">
        <v>100000</v>
      </c>
      <c r="H50" s="586">
        <v>0</v>
      </c>
      <c r="I50" s="586">
        <f>G50-H50</f>
        <v>100000</v>
      </c>
      <c r="J50" s="587"/>
      <c r="K50" s="586"/>
      <c r="L50" s="588">
        <v>53</v>
      </c>
      <c r="M50" s="593">
        <f>IFERROR(MIN(VLOOKUP(C50,'[1]Shortage Analysis'!C$4:U$537,19,0),0),0)</f>
        <v>-110000</v>
      </c>
      <c r="N50" s="593">
        <f>IFERROR(MIN(VLOOKUP(C50,'[1]Shortage Analysis'!C$4:W$537,21,0),0),0)</f>
        <v>-110000</v>
      </c>
      <c r="O50" s="514" t="str">
        <f t="shared" si="2"/>
        <v>STS304CU WSA2.46</v>
      </c>
      <c r="P50" s="515">
        <f>IFERROR(VLOOKUP(O50,'NVL Stock'!$N$1:$O$444,2,0),0)</f>
        <v>497</v>
      </c>
      <c r="Q50" s="515" t="e">
        <f>P50*1000/#REF!</f>
        <v>#REF!</v>
      </c>
      <c r="R50" s="516">
        <f>VLOOKUP(C50,ERP!$B$1:$BM$1616,64,0)</f>
        <v>52801</v>
      </c>
    </row>
    <row r="51" spans="1:18" ht="36" customHeight="1">
      <c r="A51" s="605" t="s">
        <v>251</v>
      </c>
      <c r="B51" s="606"/>
      <c r="C51" s="606"/>
      <c r="D51" s="606"/>
      <c r="E51" s="606"/>
      <c r="F51" s="607"/>
      <c r="G51" s="529"/>
      <c r="H51" s="506"/>
      <c r="I51" s="507">
        <f>SUM(I12:I50)</f>
        <v>13750500</v>
      </c>
      <c r="J51" s="507"/>
      <c r="K51" s="507"/>
      <c r="L51" s="507"/>
      <c r="M51" s="530"/>
      <c r="N51" s="531"/>
      <c r="O51" s="532" t="str">
        <f t="shared" ref="O51" si="8">D51&amp;E51</f>
        <v/>
      </c>
      <c r="P51" s="516">
        <f>IFERROR(VLOOKUP(O51,'NVL Stock'!$N$1:$O$444,2,0),0)</f>
        <v>0</v>
      </c>
      <c r="Q51" s="515"/>
      <c r="R51" s="533"/>
    </row>
    <row r="52" spans="1:18">
      <c r="G52" s="540"/>
      <c r="H52" s="540"/>
      <c r="I52" s="540"/>
      <c r="J52" s="540"/>
      <c r="K52" s="540"/>
      <c r="L52" s="540"/>
    </row>
    <row r="53" spans="1:18">
      <c r="G53" s="540"/>
      <c r="H53" s="540"/>
      <c r="I53" s="540"/>
      <c r="J53" s="540"/>
      <c r="K53" s="540"/>
      <c r="L53" s="540"/>
    </row>
    <row r="54" spans="1:18">
      <c r="G54" s="540"/>
      <c r="H54" s="540"/>
      <c r="I54" s="540"/>
      <c r="J54" s="540"/>
      <c r="K54" s="540"/>
      <c r="L54" s="540"/>
    </row>
    <row r="55" spans="1:18">
      <c r="G55" s="540"/>
      <c r="H55" s="540"/>
      <c r="I55" s="540"/>
      <c r="J55" s="540"/>
      <c r="K55" s="540"/>
      <c r="L55" s="540"/>
      <c r="P55" s="541"/>
      <c r="Q55" s="541"/>
    </row>
    <row r="56" spans="1:18">
      <c r="G56" s="540"/>
      <c r="H56" s="540"/>
      <c r="I56" s="540"/>
      <c r="J56" s="540"/>
      <c r="K56" s="540"/>
      <c r="L56" s="540"/>
      <c r="P56" s="541"/>
      <c r="Q56" s="541"/>
    </row>
    <row r="57" spans="1:18">
      <c r="G57" s="540"/>
      <c r="H57" s="540"/>
      <c r="I57" s="540"/>
      <c r="J57" s="540"/>
      <c r="K57" s="540"/>
      <c r="L57" s="540"/>
      <c r="P57" s="541"/>
      <c r="Q57" s="541"/>
    </row>
    <row r="58" spans="1:18">
      <c r="G58" s="540"/>
      <c r="H58" s="540"/>
      <c r="I58" s="540"/>
      <c r="J58" s="540"/>
      <c r="K58" s="540"/>
      <c r="L58" s="540"/>
    </row>
    <row r="59" spans="1:18">
      <c r="G59" s="540"/>
      <c r="H59" s="540"/>
      <c r="I59" s="540"/>
      <c r="J59" s="540"/>
      <c r="K59" s="540"/>
      <c r="L59" s="540"/>
      <c r="P59" s="542"/>
    </row>
    <row r="60" spans="1:18">
      <c r="G60" s="540"/>
      <c r="H60" s="540"/>
      <c r="I60" s="540"/>
      <c r="J60" s="540"/>
      <c r="K60" s="540"/>
      <c r="L60" s="540"/>
    </row>
    <row r="61" spans="1:18">
      <c r="G61" s="540"/>
      <c r="H61" s="540"/>
      <c r="I61" s="540"/>
      <c r="J61" s="540"/>
      <c r="K61" s="540"/>
      <c r="L61" s="540"/>
      <c r="P61" s="541"/>
    </row>
    <row r="62" spans="1:18">
      <c r="G62" s="540"/>
      <c r="H62" s="540"/>
      <c r="I62" s="540"/>
      <c r="J62" s="540"/>
      <c r="K62" s="540"/>
      <c r="L62" s="540"/>
    </row>
    <row r="63" spans="1:18">
      <c r="G63" s="540"/>
      <c r="H63" s="540"/>
      <c r="I63" s="540"/>
      <c r="J63" s="540"/>
      <c r="K63" s="540"/>
      <c r="L63" s="540"/>
    </row>
  </sheetData>
  <mergeCells count="27">
    <mergeCell ref="F44:F45"/>
    <mergeCell ref="F49:F50"/>
    <mergeCell ref="A51:F51"/>
    <mergeCell ref="F33:F34"/>
    <mergeCell ref="F23:F24"/>
    <mergeCell ref="R6:R7"/>
    <mergeCell ref="F19:F20"/>
    <mergeCell ref="M6:M7"/>
    <mergeCell ref="N6:N7"/>
    <mergeCell ref="O6:O7"/>
    <mergeCell ref="P6:P7"/>
    <mergeCell ref="Q6:Q7"/>
    <mergeCell ref="J6:J7"/>
    <mergeCell ref="K6:K7"/>
    <mergeCell ref="L6:L7"/>
    <mergeCell ref="F6:F7"/>
    <mergeCell ref="G6:G7"/>
    <mergeCell ref="H6:H7"/>
    <mergeCell ref="I6:I7"/>
    <mergeCell ref="A2:B5"/>
    <mergeCell ref="C2:L5"/>
    <mergeCell ref="M5:N5"/>
    <mergeCell ref="A6:A7"/>
    <mergeCell ref="B6:B7"/>
    <mergeCell ref="C6:C7"/>
    <mergeCell ref="D6:D7"/>
    <mergeCell ref="E6:E7"/>
  </mergeCells>
  <conditionalFormatting sqref="B25">
    <cfRule type="duplicateValues" dxfId="41" priority="1355124"/>
    <cfRule type="duplicateValues" dxfId="40" priority="1355125"/>
  </conditionalFormatting>
  <conditionalFormatting sqref="B30">
    <cfRule type="duplicateValues" dxfId="39" priority="1355126"/>
    <cfRule type="duplicateValues" dxfId="38" priority="1355127"/>
  </conditionalFormatting>
  <conditionalFormatting sqref="B32">
    <cfRule type="duplicateValues" dxfId="37" priority="8"/>
    <cfRule type="duplicateValues" dxfId="36" priority="9"/>
  </conditionalFormatting>
  <conditionalFormatting sqref="B40">
    <cfRule type="duplicateValues" dxfId="35" priority="6"/>
    <cfRule type="duplicateValues" dxfId="34" priority="7"/>
  </conditionalFormatting>
  <conditionalFormatting sqref="B41:B50 B33:B39 B26:B29 B31 B8:B24">
    <cfRule type="duplicateValues" dxfId="33" priority="1355142"/>
    <cfRule type="duplicateValues" dxfId="32" priority="1355143"/>
  </conditionalFormatting>
  <conditionalFormatting sqref="I8:I50 P8:P51">
    <cfRule type="cellIs" dxfId="31" priority="5" operator="lessThan">
      <formula>0</formula>
    </cfRule>
  </conditionalFormatting>
  <conditionalFormatting sqref="M8:N50">
    <cfRule type="cellIs" dxfId="30" priority="4" operator="lessThan">
      <formula>0</formula>
    </cfRule>
  </conditionalFormatting>
  <conditionalFormatting sqref="P8:P51">
    <cfRule type="cellIs" dxfId="29" priority="3" operator="lessThan">
      <formula>100</formula>
    </cfRule>
  </conditionalFormatting>
  <printOptions horizontalCentered="1"/>
  <pageMargins left="0" right="0" top="0" bottom="0" header="0" footer="0"/>
  <pageSetup paperSize="9" scale="47" orientation="portrait" r:id="rId1"/>
  <headerFooter>
    <oddFooter>&amp;LQ401-2                 (4)&amp;CHANSUNGBOLT VINA&amp;R2022.10.01</oddFooter>
  </headerFooter>
  <rowBreaks count="1" manualBreakCount="1">
    <brk id="5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FF0000"/>
  </sheetPr>
  <dimension ref="A1:BM1751"/>
  <sheetViews>
    <sheetView workbookViewId="0">
      <selection activeCell="F16" sqref="F16"/>
    </sheetView>
  </sheetViews>
  <sheetFormatPr defaultColWidth="11.5703125" defaultRowHeight="15"/>
  <cols>
    <col min="1" max="1" width="11.42578125" bestFit="1" customWidth="1"/>
    <col min="2" max="2" width="18" bestFit="1" customWidth="1"/>
    <col min="3" max="3" width="23.7109375" bestFit="1" customWidth="1"/>
    <col min="4" max="4" width="12.140625" bestFit="1" customWidth="1"/>
    <col min="5" max="5" width="8.85546875" bestFit="1" customWidth="1"/>
    <col min="6" max="6" width="69.42578125" bestFit="1" customWidth="1"/>
    <col min="7" max="7" width="13.140625" bestFit="1" customWidth="1"/>
    <col min="8" max="8" width="13.5703125" bestFit="1" customWidth="1"/>
    <col min="9" max="9" width="6.5703125" bestFit="1" customWidth="1"/>
    <col min="10" max="10" width="14.140625" bestFit="1" customWidth="1"/>
    <col min="11" max="12" width="3.5703125" bestFit="1" customWidth="1"/>
    <col min="13" max="14" width="3" bestFit="1" customWidth="1"/>
    <col min="15" max="15" width="3.7109375" bestFit="1" customWidth="1"/>
    <col min="16" max="16" width="3.5703125" bestFit="1" customWidth="1"/>
    <col min="17" max="17" width="2.85546875" bestFit="1" customWidth="1"/>
    <col min="18" max="18" width="2.42578125" bestFit="1" customWidth="1"/>
    <col min="19" max="19" width="2.85546875" bestFit="1" customWidth="1"/>
    <col min="20" max="22" width="3.42578125" bestFit="1" customWidth="1"/>
    <col min="23" max="23" width="20.140625" bestFit="1" customWidth="1"/>
    <col min="24" max="24" width="16.28515625" bestFit="1" customWidth="1"/>
    <col min="25" max="25" width="14.7109375" bestFit="1" customWidth="1"/>
    <col min="26" max="26" width="8.42578125" bestFit="1" customWidth="1"/>
    <col min="27" max="27" width="9.140625" bestFit="1" customWidth="1"/>
    <col min="28" max="28" width="13.28515625" bestFit="1" customWidth="1"/>
    <col min="29" max="29" width="13.42578125" bestFit="1" customWidth="1"/>
    <col min="30" max="30" width="9.5703125" bestFit="1" customWidth="1"/>
    <col min="31" max="31" width="10.5703125" bestFit="1" customWidth="1"/>
    <col min="32" max="32" width="11.42578125" bestFit="1" customWidth="1"/>
    <col min="33" max="33" width="11" bestFit="1" customWidth="1"/>
    <col min="34" max="34" width="11.28515625" bestFit="1" customWidth="1"/>
    <col min="35" max="35" width="17.5703125" bestFit="1" customWidth="1"/>
    <col min="36" max="36" width="13.42578125" bestFit="1" customWidth="1"/>
    <col min="37" max="37" width="14.28515625" bestFit="1" customWidth="1"/>
    <col min="38" max="38" width="11.85546875" bestFit="1" customWidth="1"/>
    <col min="39" max="39" width="8.42578125" bestFit="1" customWidth="1"/>
    <col min="40" max="40" width="19" bestFit="1" customWidth="1"/>
    <col min="41" max="41" width="8.42578125" bestFit="1" customWidth="1"/>
    <col min="42" max="42" width="24" bestFit="1" customWidth="1"/>
    <col min="43" max="43" width="19.85546875" bestFit="1" customWidth="1"/>
    <col min="44" max="44" width="21.140625" bestFit="1" customWidth="1"/>
    <col min="45" max="45" width="15.5703125" bestFit="1" customWidth="1"/>
    <col min="46" max="46" width="23.140625" bestFit="1" customWidth="1"/>
    <col min="47" max="47" width="25.7109375" bestFit="1" customWidth="1"/>
    <col min="48" max="48" width="8.140625" bestFit="1" customWidth="1"/>
    <col min="49" max="49" width="15.140625" bestFit="1" customWidth="1"/>
    <col min="50" max="50" width="11.7109375" bestFit="1" customWidth="1"/>
    <col min="51" max="51" width="69.28515625" bestFit="1" customWidth="1"/>
    <col min="52" max="53" width="14.140625" bestFit="1" customWidth="1"/>
    <col min="54" max="54" width="13.140625" bestFit="1" customWidth="1"/>
    <col min="55" max="57" width="12" bestFit="1" customWidth="1"/>
    <col min="59" max="59" width="11.42578125" style="498" bestFit="1" customWidth="1"/>
    <col min="60" max="60" width="4.28515625" style="498" bestFit="1" customWidth="1"/>
    <col min="61" max="61" width="4.140625" style="498" bestFit="1" customWidth="1"/>
    <col min="62" max="62" width="7.42578125" style="498" bestFit="1" customWidth="1"/>
    <col min="63" max="63" width="8.5703125" style="498" bestFit="1" customWidth="1"/>
    <col min="64" max="64" width="7" style="498" bestFit="1" customWidth="1"/>
    <col min="65" max="65" width="11.28515625" bestFit="1" customWidth="1"/>
  </cols>
  <sheetData>
    <row r="1" spans="1:65">
      <c r="A1" t="s">
        <v>1742</v>
      </c>
      <c r="B1" t="s">
        <v>2916</v>
      </c>
      <c r="C1" t="s">
        <v>2917</v>
      </c>
      <c r="D1" t="s">
        <v>2918</v>
      </c>
      <c r="E1" t="s">
        <v>2919</v>
      </c>
      <c r="F1" t="s">
        <v>2920</v>
      </c>
      <c r="G1" t="s">
        <v>2921</v>
      </c>
      <c r="H1" t="s">
        <v>2922</v>
      </c>
      <c r="I1" t="s">
        <v>2923</v>
      </c>
      <c r="J1" t="s">
        <v>2924</v>
      </c>
      <c r="K1">
        <v>-1</v>
      </c>
      <c r="L1">
        <v>-2</v>
      </c>
      <c r="M1">
        <v>-3</v>
      </c>
      <c r="N1">
        <v>-4</v>
      </c>
      <c r="O1">
        <v>-5</v>
      </c>
      <c r="P1">
        <v>-6</v>
      </c>
      <c r="Q1">
        <v>-7</v>
      </c>
      <c r="R1">
        <v>-8</v>
      </c>
      <c r="S1">
        <v>-9</v>
      </c>
      <c r="T1">
        <v>-10</v>
      </c>
      <c r="U1">
        <v>-11</v>
      </c>
      <c r="V1">
        <v>-12</v>
      </c>
      <c r="W1" t="s">
        <v>2925</v>
      </c>
      <c r="X1" t="s">
        <v>2926</v>
      </c>
      <c r="Y1" t="s">
        <v>2927</v>
      </c>
      <c r="Z1" t="s">
        <v>2928</v>
      </c>
      <c r="AA1" t="s">
        <v>2929</v>
      </c>
      <c r="AB1" t="s">
        <v>2930</v>
      </c>
      <c r="AC1" t="s">
        <v>2931</v>
      </c>
      <c r="AD1" t="s">
        <v>2932</v>
      </c>
      <c r="AE1" t="s">
        <v>2933</v>
      </c>
      <c r="AF1" t="s">
        <v>2934</v>
      </c>
      <c r="AG1" t="s">
        <v>2935</v>
      </c>
      <c r="AH1" t="s">
        <v>2936</v>
      </c>
      <c r="AI1" t="s">
        <v>2937</v>
      </c>
      <c r="AJ1" t="s">
        <v>2938</v>
      </c>
      <c r="AK1" t="s">
        <v>2939</v>
      </c>
      <c r="AL1" t="s">
        <v>2940</v>
      </c>
      <c r="AM1" t="s">
        <v>2941</v>
      </c>
      <c r="AN1" t="s">
        <v>1743</v>
      </c>
      <c r="AO1" t="s">
        <v>2922</v>
      </c>
      <c r="AP1" t="s">
        <v>1744</v>
      </c>
      <c r="AQ1" t="s">
        <v>1745</v>
      </c>
      <c r="AR1" t="s">
        <v>2942</v>
      </c>
      <c r="AS1" t="s">
        <v>2929</v>
      </c>
      <c r="AT1" t="s">
        <v>1746</v>
      </c>
      <c r="AU1" t="s">
        <v>2943</v>
      </c>
      <c r="AV1" t="s">
        <v>2944</v>
      </c>
      <c r="AW1" t="s">
        <v>2945</v>
      </c>
      <c r="AX1" t="s">
        <v>2920</v>
      </c>
      <c r="BA1" t="s">
        <v>1747</v>
      </c>
      <c r="BB1" t="s">
        <v>1748</v>
      </c>
      <c r="BC1" t="s">
        <v>1749</v>
      </c>
      <c r="BD1" t="s">
        <v>1750</v>
      </c>
      <c r="BE1" t="s">
        <v>1751</v>
      </c>
      <c r="BG1" s="552" t="s">
        <v>3311</v>
      </c>
      <c r="BH1" s="552" t="s">
        <v>3312</v>
      </c>
      <c r="BI1" s="552" t="s">
        <v>3313</v>
      </c>
      <c r="BJ1" s="552" t="s">
        <v>3314</v>
      </c>
      <c r="BK1" s="553" t="s">
        <v>3315</v>
      </c>
      <c r="BL1" s="554" t="s">
        <v>3316</v>
      </c>
      <c r="BM1" s="555" t="s">
        <v>3317</v>
      </c>
    </row>
    <row r="2" spans="1:65">
      <c r="A2">
        <v>52401</v>
      </c>
      <c r="B2" t="s">
        <v>595</v>
      </c>
      <c r="C2" t="s">
        <v>597</v>
      </c>
      <c r="D2" t="s">
        <v>1752</v>
      </c>
      <c r="F2" s="503">
        <v>43879</v>
      </c>
      <c r="H2" t="s">
        <v>598</v>
      </c>
      <c r="I2" t="s">
        <v>1753</v>
      </c>
      <c r="J2">
        <v>0</v>
      </c>
      <c r="K2" t="s">
        <v>1681</v>
      </c>
      <c r="O2" t="s">
        <v>2299</v>
      </c>
      <c r="W2">
        <v>2.5099999999999998</v>
      </c>
      <c r="X2">
        <v>2.4500000000000002</v>
      </c>
      <c r="Y2">
        <v>0</v>
      </c>
      <c r="Z2">
        <v>0</v>
      </c>
      <c r="AA2">
        <v>2</v>
      </c>
      <c r="AE2" t="s">
        <v>1039</v>
      </c>
      <c r="AI2">
        <v>60</v>
      </c>
      <c r="AJ2">
        <v>1810290</v>
      </c>
      <c r="AK2">
        <v>0</v>
      </c>
      <c r="AN2" t="s">
        <v>136</v>
      </c>
      <c r="AO2">
        <v>2.9</v>
      </c>
      <c r="AX2">
        <v>20200218</v>
      </c>
      <c r="AY2" t="s">
        <v>1754</v>
      </c>
      <c r="BG2" s="556" t="str">
        <f>IF(LEFT(AY2,2)="98","X","O")</f>
        <v>O</v>
      </c>
      <c r="BH2" s="556" t="str">
        <f>IF(IFERROR(SEARCH("45",$AY2,1),0)&gt;0,"Y","")</f>
        <v/>
      </c>
      <c r="BI2" s="556" t="str">
        <f>IF(IFERROR(SEARCH("86",$AY2,1),0)&gt;0,"Y","")</f>
        <v/>
      </c>
      <c r="BJ2" s="556" t="str">
        <f>IF(L2="",K2,IF(M2="",K2&amp;","&amp;L2,IF(N2="",K2&amp;","&amp;L2&amp;","&amp;M2,K2&amp;","&amp;L2&amp;","&amp;M2&amp;","&amp;N2)))</f>
        <v>6S</v>
      </c>
      <c r="BK2" s="556" t="str">
        <f>IF(P2="",O2,IF(Q2="",O2&amp;","&amp;P2,IF(R2="",O2&amp;","&amp;P2&amp;","&amp;Q2,IO2&amp;","&amp;P2&amp;","&amp;Q2&amp;","&amp;R2)))</f>
        <v>TS1</v>
      </c>
      <c r="BL2" s="556" t="str">
        <f>IF(S2=0,"",S2)</f>
        <v/>
      </c>
      <c r="BM2" s="497">
        <f>A2</f>
        <v>52401</v>
      </c>
    </row>
    <row r="3" spans="1:65">
      <c r="B3" t="s">
        <v>2773</v>
      </c>
      <c r="C3" t="s">
        <v>1197</v>
      </c>
      <c r="D3" t="s">
        <v>1755</v>
      </c>
      <c r="F3" s="503">
        <v>43713</v>
      </c>
      <c r="H3" t="s">
        <v>1198</v>
      </c>
      <c r="I3" t="s">
        <v>1753</v>
      </c>
      <c r="J3">
        <v>2000</v>
      </c>
      <c r="K3" t="s">
        <v>1756</v>
      </c>
      <c r="W3">
        <v>1.4</v>
      </c>
      <c r="X3">
        <v>1.49</v>
      </c>
      <c r="Y3">
        <v>0</v>
      </c>
      <c r="Z3">
        <v>0</v>
      </c>
      <c r="AA3" t="s">
        <v>1757</v>
      </c>
      <c r="AE3" t="s">
        <v>1756</v>
      </c>
      <c r="AI3">
        <v>15</v>
      </c>
      <c r="AJ3" t="s">
        <v>1758</v>
      </c>
      <c r="AK3">
        <v>0</v>
      </c>
      <c r="AL3">
        <v>0</v>
      </c>
      <c r="AN3" t="s">
        <v>1199</v>
      </c>
      <c r="AO3">
        <v>0</v>
      </c>
      <c r="AX3">
        <v>20190905</v>
      </c>
      <c r="AY3" t="s">
        <v>1759</v>
      </c>
      <c r="BG3" s="556" t="str">
        <f t="shared" ref="BG3:BG66" si="0">IF(LEFT(AY3,2)="98","X","O")</f>
        <v>X</v>
      </c>
      <c r="BH3" s="556" t="str">
        <f t="shared" ref="BH3:BH66" si="1">IF(IFERROR(SEARCH("45",$AY3,1),0)&gt;0,"Y","")</f>
        <v/>
      </c>
      <c r="BI3" s="556" t="str">
        <f t="shared" ref="BI3:BI66" si="2">IF(IFERROR(SEARCH("86",$AY3,1),0)&gt;0,"Y","")</f>
        <v/>
      </c>
      <c r="BJ3" s="556" t="str">
        <f t="shared" ref="BJ3:BJ66" si="3">IF(L3="",K3,IF(M3="",K3&amp;","&amp;L3,IF(N3="",K3&amp;","&amp;L3&amp;","&amp;M3,K3&amp;","&amp;L3&amp;","&amp;M3&amp;","&amp;N3)))</f>
        <v>Z</v>
      </c>
      <c r="BK3" s="556">
        <f t="shared" ref="BK3:BK66" si="4">IF(P3="",O3,IF(Q3="",O3&amp;","&amp;P3,IF(R3="",O3&amp;","&amp;P3&amp;","&amp;Q3,IO3&amp;","&amp;P3&amp;","&amp;Q3&amp;","&amp;R3)))</f>
        <v>0</v>
      </c>
      <c r="BL3" s="556" t="str">
        <f t="shared" ref="BL3:BL66" si="5">IF(S3=0,"",S3)</f>
        <v/>
      </c>
      <c r="BM3" s="497">
        <f t="shared" ref="BM3:BM66" si="6">A3</f>
        <v>0</v>
      </c>
    </row>
    <row r="4" spans="1:65">
      <c r="B4" t="s">
        <v>1262</v>
      </c>
      <c r="C4" t="s">
        <v>1264</v>
      </c>
      <c r="D4" t="s">
        <v>1760</v>
      </c>
      <c r="F4" s="503">
        <v>43882</v>
      </c>
      <c r="H4" t="s">
        <v>1203</v>
      </c>
      <c r="I4" t="s">
        <v>1753</v>
      </c>
      <c r="J4">
        <v>2000</v>
      </c>
      <c r="K4" t="s">
        <v>1756</v>
      </c>
      <c r="W4">
        <v>0</v>
      </c>
      <c r="X4">
        <v>1.53</v>
      </c>
      <c r="Y4">
        <v>0</v>
      </c>
      <c r="Z4">
        <v>0</v>
      </c>
      <c r="AA4">
        <v>7</v>
      </c>
      <c r="AE4" t="s">
        <v>1761</v>
      </c>
      <c r="AI4">
        <v>80</v>
      </c>
      <c r="AJ4">
        <v>4100325</v>
      </c>
      <c r="AK4">
        <v>0</v>
      </c>
      <c r="AN4" t="s">
        <v>1265</v>
      </c>
      <c r="AO4">
        <v>3.25</v>
      </c>
      <c r="AX4">
        <v>20200221</v>
      </c>
      <c r="AY4" t="s">
        <v>1762</v>
      </c>
      <c r="BG4" s="556" t="str">
        <f t="shared" si="0"/>
        <v>X</v>
      </c>
      <c r="BH4" s="556" t="str">
        <f t="shared" si="1"/>
        <v/>
      </c>
      <c r="BI4" s="556" t="str">
        <f t="shared" si="2"/>
        <v/>
      </c>
      <c r="BJ4" s="556" t="str">
        <f t="shared" si="3"/>
        <v>Z</v>
      </c>
      <c r="BK4" s="556">
        <f t="shared" si="4"/>
        <v>0</v>
      </c>
      <c r="BL4" s="556" t="str">
        <f t="shared" si="5"/>
        <v/>
      </c>
      <c r="BM4" s="497">
        <f t="shared" si="6"/>
        <v>0</v>
      </c>
    </row>
    <row r="5" spans="1:65">
      <c r="B5" t="s">
        <v>1266</v>
      </c>
      <c r="C5" t="s">
        <v>1268</v>
      </c>
      <c r="D5" t="s">
        <v>1760</v>
      </c>
      <c r="F5" s="503">
        <v>43882</v>
      </c>
      <c r="H5" t="s">
        <v>1203</v>
      </c>
      <c r="I5" t="s">
        <v>1753</v>
      </c>
      <c r="J5">
        <v>3000</v>
      </c>
      <c r="K5" t="s">
        <v>1756</v>
      </c>
      <c r="W5">
        <v>0</v>
      </c>
      <c r="X5">
        <v>1.17</v>
      </c>
      <c r="Y5">
        <v>0</v>
      </c>
      <c r="Z5">
        <v>0</v>
      </c>
      <c r="AA5">
        <v>7</v>
      </c>
      <c r="AE5" t="s">
        <v>1761</v>
      </c>
      <c r="AI5">
        <v>80</v>
      </c>
      <c r="AJ5">
        <v>4100325</v>
      </c>
      <c r="AK5">
        <v>0</v>
      </c>
      <c r="AN5" t="s">
        <v>1265</v>
      </c>
      <c r="AO5">
        <v>3.25</v>
      </c>
      <c r="AX5">
        <v>20200221</v>
      </c>
      <c r="AY5" t="s">
        <v>1762</v>
      </c>
      <c r="BG5" s="556" t="str">
        <f t="shared" si="0"/>
        <v>X</v>
      </c>
      <c r="BH5" s="556" t="str">
        <f t="shared" si="1"/>
        <v/>
      </c>
      <c r="BI5" s="556" t="str">
        <f t="shared" si="2"/>
        <v/>
      </c>
      <c r="BJ5" s="556" t="str">
        <f t="shared" si="3"/>
        <v>Z</v>
      </c>
      <c r="BK5" s="556">
        <f t="shared" si="4"/>
        <v>0</v>
      </c>
      <c r="BL5" s="556" t="str">
        <f t="shared" si="5"/>
        <v/>
      </c>
      <c r="BM5" s="497">
        <f t="shared" si="6"/>
        <v>0</v>
      </c>
    </row>
    <row r="6" spans="1:65">
      <c r="B6" t="s">
        <v>1200</v>
      </c>
      <c r="C6" t="s">
        <v>1202</v>
      </c>
      <c r="D6" t="s">
        <v>1763</v>
      </c>
      <c r="F6" s="503">
        <v>43705</v>
      </c>
      <c r="H6" t="s">
        <v>1203</v>
      </c>
      <c r="I6" t="s">
        <v>1753</v>
      </c>
      <c r="J6">
        <v>2000</v>
      </c>
      <c r="K6" t="s">
        <v>1756</v>
      </c>
      <c r="W6">
        <v>1.74</v>
      </c>
      <c r="X6">
        <v>1.74</v>
      </c>
      <c r="Y6">
        <v>0</v>
      </c>
      <c r="Z6">
        <v>0</v>
      </c>
      <c r="AA6" t="s">
        <v>1757</v>
      </c>
      <c r="AE6" t="s">
        <v>1039</v>
      </c>
      <c r="AI6">
        <v>15</v>
      </c>
      <c r="AJ6" t="s">
        <v>1758</v>
      </c>
      <c r="AK6">
        <v>0</v>
      </c>
      <c r="AN6" t="s">
        <v>1199</v>
      </c>
      <c r="AO6">
        <v>0</v>
      </c>
      <c r="AX6">
        <v>20190828</v>
      </c>
      <c r="AY6" t="s">
        <v>1759</v>
      </c>
      <c r="BG6" s="556" t="str">
        <f t="shared" si="0"/>
        <v>X</v>
      </c>
      <c r="BH6" s="556" t="str">
        <f t="shared" si="1"/>
        <v/>
      </c>
      <c r="BI6" s="556" t="str">
        <f t="shared" si="2"/>
        <v/>
      </c>
      <c r="BJ6" s="556" t="str">
        <f t="shared" si="3"/>
        <v>Z</v>
      </c>
      <c r="BK6" s="556">
        <f t="shared" si="4"/>
        <v>0</v>
      </c>
      <c r="BL6" s="556" t="str">
        <f t="shared" si="5"/>
        <v/>
      </c>
      <c r="BM6" s="497">
        <f t="shared" si="6"/>
        <v>0</v>
      </c>
    </row>
    <row r="7" spans="1:65">
      <c r="B7" t="s">
        <v>1764</v>
      </c>
      <c r="C7" t="s">
        <v>2946</v>
      </c>
      <c r="D7" t="s">
        <v>1765</v>
      </c>
      <c r="F7" s="503">
        <v>42929</v>
      </c>
      <c r="H7" t="s">
        <v>1766</v>
      </c>
      <c r="I7" t="s">
        <v>1753</v>
      </c>
      <c r="J7">
        <v>2000</v>
      </c>
      <c r="K7" t="s">
        <v>1756</v>
      </c>
      <c r="W7">
        <v>0</v>
      </c>
      <c r="X7">
        <v>1.73</v>
      </c>
      <c r="Y7">
        <v>0</v>
      </c>
      <c r="Z7">
        <v>0</v>
      </c>
      <c r="AA7">
        <v>2</v>
      </c>
      <c r="AE7" t="s">
        <v>1039</v>
      </c>
      <c r="AI7">
        <v>15</v>
      </c>
      <c r="AJ7" t="s">
        <v>1767</v>
      </c>
      <c r="AK7">
        <v>0</v>
      </c>
      <c r="AN7" t="s">
        <v>136</v>
      </c>
      <c r="AO7">
        <v>0</v>
      </c>
      <c r="AV7" s="504">
        <v>46023</v>
      </c>
      <c r="AX7">
        <v>20170713</v>
      </c>
      <c r="AY7" t="s">
        <v>1759</v>
      </c>
      <c r="BG7" s="556" t="str">
        <f t="shared" si="0"/>
        <v>X</v>
      </c>
      <c r="BH7" s="556" t="str">
        <f t="shared" si="1"/>
        <v/>
      </c>
      <c r="BI7" s="556" t="str">
        <f t="shared" si="2"/>
        <v/>
      </c>
      <c r="BJ7" s="556" t="str">
        <f t="shared" si="3"/>
        <v>Z</v>
      </c>
      <c r="BK7" s="556">
        <f t="shared" si="4"/>
        <v>0</v>
      </c>
      <c r="BL7" s="556" t="str">
        <f t="shared" si="5"/>
        <v/>
      </c>
      <c r="BM7" s="497">
        <f t="shared" si="6"/>
        <v>0</v>
      </c>
    </row>
    <row r="8" spans="1:65">
      <c r="A8">
        <v>99005</v>
      </c>
      <c r="B8" t="s">
        <v>721</v>
      </c>
      <c r="C8" t="s">
        <v>722</v>
      </c>
      <c r="D8" t="s">
        <v>358</v>
      </c>
      <c r="F8" s="503">
        <v>43393</v>
      </c>
      <c r="H8" t="s">
        <v>723</v>
      </c>
      <c r="I8" t="s">
        <v>1753</v>
      </c>
      <c r="J8">
        <v>1000</v>
      </c>
      <c r="K8" t="s">
        <v>1068</v>
      </c>
      <c r="O8" t="s">
        <v>2299</v>
      </c>
      <c r="W8">
        <v>2.15</v>
      </c>
      <c r="X8">
        <v>2.1800000000000002</v>
      </c>
      <c r="Y8">
        <v>0</v>
      </c>
      <c r="Z8">
        <v>0</v>
      </c>
      <c r="AA8">
        <v>2</v>
      </c>
      <c r="AE8" t="s">
        <v>1756</v>
      </c>
      <c r="AI8">
        <v>74</v>
      </c>
      <c r="AJ8">
        <v>1850330</v>
      </c>
      <c r="AK8">
        <v>0</v>
      </c>
      <c r="AN8" t="s">
        <v>1703</v>
      </c>
      <c r="AO8">
        <v>3.3</v>
      </c>
      <c r="AV8" s="504">
        <v>46024</v>
      </c>
      <c r="AX8">
        <v>20181020</v>
      </c>
      <c r="AY8" t="s">
        <v>1768</v>
      </c>
      <c r="AZ8" t="s">
        <v>1769</v>
      </c>
      <c r="BG8" s="556" t="str">
        <f t="shared" si="0"/>
        <v>O</v>
      </c>
      <c r="BH8" s="556" t="str">
        <f t="shared" si="1"/>
        <v/>
      </c>
      <c r="BI8" s="556" t="str">
        <f t="shared" si="2"/>
        <v/>
      </c>
      <c r="BJ8" s="556" t="str">
        <f t="shared" si="3"/>
        <v>M4</v>
      </c>
      <c r="BK8" s="556" t="str">
        <f t="shared" si="4"/>
        <v>TS1</v>
      </c>
      <c r="BL8" s="556" t="str">
        <f t="shared" si="5"/>
        <v/>
      </c>
      <c r="BM8" s="497">
        <f t="shared" si="6"/>
        <v>99005</v>
      </c>
    </row>
    <row r="9" spans="1:65">
      <c r="B9">
        <v>0</v>
      </c>
      <c r="C9" t="s">
        <v>2290</v>
      </c>
      <c r="D9" t="s">
        <v>3020</v>
      </c>
      <c r="F9" s="503">
        <v>44345</v>
      </c>
      <c r="J9">
        <v>0</v>
      </c>
      <c r="K9" t="s">
        <v>2972</v>
      </c>
      <c r="O9" t="s">
        <v>1068</v>
      </c>
      <c r="W9">
        <v>1</v>
      </c>
      <c r="X9">
        <v>1.1000000000000001</v>
      </c>
      <c r="Y9">
        <v>0</v>
      </c>
      <c r="Z9">
        <v>0</v>
      </c>
      <c r="AI9">
        <v>199</v>
      </c>
      <c r="AJ9" t="s">
        <v>2288</v>
      </c>
      <c r="AK9">
        <v>0</v>
      </c>
      <c r="AN9">
        <v>0</v>
      </c>
      <c r="AO9">
        <v>0</v>
      </c>
      <c r="AX9">
        <v>20210529</v>
      </c>
      <c r="AY9" t="s">
        <v>2291</v>
      </c>
      <c r="BG9" s="556" t="str">
        <f t="shared" si="0"/>
        <v>O</v>
      </c>
      <c r="BH9" s="556" t="str">
        <f t="shared" si="1"/>
        <v>Y</v>
      </c>
      <c r="BI9" s="556" t="str">
        <f t="shared" si="2"/>
        <v/>
      </c>
      <c r="BJ9" s="556" t="str">
        <f t="shared" si="3"/>
        <v>9B</v>
      </c>
      <c r="BK9" s="556" t="str">
        <f t="shared" si="4"/>
        <v>M4</v>
      </c>
      <c r="BL9" s="556" t="str">
        <f t="shared" si="5"/>
        <v/>
      </c>
      <c r="BM9" s="497">
        <f t="shared" si="6"/>
        <v>0</v>
      </c>
    </row>
    <row r="10" spans="1:65">
      <c r="A10">
        <v>40210</v>
      </c>
      <c r="B10" t="s">
        <v>2371</v>
      </c>
      <c r="C10" t="s">
        <v>2372</v>
      </c>
      <c r="D10" t="s">
        <v>1771</v>
      </c>
      <c r="F10" s="503">
        <v>45000</v>
      </c>
      <c r="H10" t="s">
        <v>2373</v>
      </c>
      <c r="I10" t="s">
        <v>1753</v>
      </c>
      <c r="J10">
        <v>50000</v>
      </c>
      <c r="K10" t="s">
        <v>1675</v>
      </c>
      <c r="O10" t="s">
        <v>1675</v>
      </c>
      <c r="W10">
        <v>0.13</v>
      </c>
      <c r="X10">
        <v>0.11</v>
      </c>
      <c r="Y10">
        <v>0</v>
      </c>
      <c r="Z10">
        <v>0</v>
      </c>
      <c r="AA10">
        <v>2</v>
      </c>
      <c r="AE10" t="s">
        <v>1773</v>
      </c>
      <c r="AI10">
        <v>80</v>
      </c>
      <c r="AJ10">
        <v>1850169</v>
      </c>
      <c r="AK10">
        <v>0</v>
      </c>
      <c r="AN10" t="s">
        <v>1703</v>
      </c>
      <c r="AO10">
        <v>1.69</v>
      </c>
      <c r="AX10">
        <v>20230315</v>
      </c>
      <c r="AY10" t="s">
        <v>1762</v>
      </c>
      <c r="BG10" s="556" t="str">
        <f t="shared" si="0"/>
        <v>X</v>
      </c>
      <c r="BH10" s="556" t="str">
        <f t="shared" si="1"/>
        <v/>
      </c>
      <c r="BI10" s="556" t="str">
        <f t="shared" si="2"/>
        <v/>
      </c>
      <c r="BJ10" s="556" t="str">
        <f t="shared" si="3"/>
        <v>M3</v>
      </c>
      <c r="BK10" s="556" t="str">
        <f t="shared" si="4"/>
        <v>M3</v>
      </c>
      <c r="BL10" s="556" t="str">
        <f t="shared" si="5"/>
        <v/>
      </c>
      <c r="BM10" s="497">
        <f t="shared" si="6"/>
        <v>40210</v>
      </c>
    </row>
    <row r="11" spans="1:65">
      <c r="A11">
        <v>55019</v>
      </c>
      <c r="B11" t="s">
        <v>2899</v>
      </c>
      <c r="C11" t="s">
        <v>2900</v>
      </c>
      <c r="D11" t="s">
        <v>2375</v>
      </c>
      <c r="F11" s="503">
        <v>45493</v>
      </c>
      <c r="H11" t="s">
        <v>2901</v>
      </c>
      <c r="I11" t="s">
        <v>1753</v>
      </c>
      <c r="J11">
        <v>0</v>
      </c>
      <c r="K11" t="s">
        <v>1675</v>
      </c>
      <c r="O11" t="s">
        <v>1675</v>
      </c>
      <c r="W11">
        <v>0.19</v>
      </c>
      <c r="X11">
        <v>0.19</v>
      </c>
      <c r="Y11">
        <v>0</v>
      </c>
      <c r="Z11">
        <v>0</v>
      </c>
      <c r="AA11">
        <v>0</v>
      </c>
      <c r="AE11" t="s">
        <v>2591</v>
      </c>
      <c r="AI11">
        <v>57</v>
      </c>
      <c r="AJ11">
        <v>1000169</v>
      </c>
      <c r="AK11">
        <v>0</v>
      </c>
      <c r="AL11">
        <v>0</v>
      </c>
      <c r="AN11" t="s">
        <v>133</v>
      </c>
      <c r="AO11">
        <v>1.69</v>
      </c>
      <c r="AX11">
        <v>20240720</v>
      </c>
      <c r="AY11" t="s">
        <v>1780</v>
      </c>
      <c r="BG11" s="556" t="str">
        <f t="shared" si="0"/>
        <v>O</v>
      </c>
      <c r="BH11" s="556" t="str">
        <f t="shared" si="1"/>
        <v/>
      </c>
      <c r="BI11" s="556" t="str">
        <f t="shared" si="2"/>
        <v/>
      </c>
      <c r="BJ11" s="556" t="str">
        <f t="shared" si="3"/>
        <v>M3</v>
      </c>
      <c r="BK11" s="556" t="str">
        <f t="shared" si="4"/>
        <v>M3</v>
      </c>
      <c r="BL11" s="556" t="str">
        <f t="shared" si="5"/>
        <v/>
      </c>
      <c r="BM11" s="497">
        <f t="shared" si="6"/>
        <v>55019</v>
      </c>
    </row>
    <row r="12" spans="1:65">
      <c r="B12" t="s">
        <v>1206</v>
      </c>
      <c r="C12" t="s">
        <v>961</v>
      </c>
      <c r="D12" t="s">
        <v>1770</v>
      </c>
      <c r="F12" s="503">
        <v>43343</v>
      </c>
      <c r="H12" t="s">
        <v>1208</v>
      </c>
      <c r="I12" t="s">
        <v>1753</v>
      </c>
      <c r="J12">
        <v>20000</v>
      </c>
      <c r="K12" t="s">
        <v>1756</v>
      </c>
      <c r="W12">
        <v>0</v>
      </c>
      <c r="X12">
        <v>0.17</v>
      </c>
      <c r="Y12">
        <v>0</v>
      </c>
      <c r="Z12">
        <v>0</v>
      </c>
      <c r="AA12">
        <v>0</v>
      </c>
      <c r="AE12" t="s">
        <v>1761</v>
      </c>
      <c r="AI12">
        <v>80</v>
      </c>
      <c r="AJ12">
        <v>3040160</v>
      </c>
      <c r="AK12">
        <v>0</v>
      </c>
      <c r="AL12">
        <v>0</v>
      </c>
      <c r="AN12" t="s">
        <v>135</v>
      </c>
      <c r="AO12">
        <v>1.6</v>
      </c>
      <c r="AV12" s="504">
        <v>46025</v>
      </c>
      <c r="AX12">
        <v>20180831</v>
      </c>
      <c r="AY12" t="s">
        <v>1762</v>
      </c>
      <c r="BG12" s="556" t="str">
        <f t="shared" si="0"/>
        <v>X</v>
      </c>
      <c r="BH12" s="556" t="str">
        <f t="shared" si="1"/>
        <v/>
      </c>
      <c r="BI12" s="556" t="str">
        <f t="shared" si="2"/>
        <v/>
      </c>
      <c r="BJ12" s="556" t="str">
        <f t="shared" si="3"/>
        <v>Z</v>
      </c>
      <c r="BK12" s="556">
        <f t="shared" si="4"/>
        <v>0</v>
      </c>
      <c r="BL12" s="556" t="str">
        <f t="shared" si="5"/>
        <v/>
      </c>
      <c r="BM12" s="497">
        <f t="shared" si="6"/>
        <v>0</v>
      </c>
    </row>
    <row r="13" spans="1:65">
      <c r="A13">
        <v>40207</v>
      </c>
      <c r="B13" t="s">
        <v>503</v>
      </c>
      <c r="C13" t="s">
        <v>204</v>
      </c>
      <c r="D13" t="s">
        <v>1771</v>
      </c>
      <c r="F13" s="503">
        <v>43992</v>
      </c>
      <c r="H13" t="s">
        <v>505</v>
      </c>
      <c r="I13" t="s">
        <v>1753</v>
      </c>
      <c r="J13">
        <v>5000</v>
      </c>
      <c r="K13" t="s">
        <v>1675</v>
      </c>
      <c r="O13" t="s">
        <v>1675</v>
      </c>
      <c r="W13">
        <v>0.2</v>
      </c>
      <c r="X13">
        <v>0.2</v>
      </c>
      <c r="Y13">
        <v>0</v>
      </c>
      <c r="Z13">
        <v>0</v>
      </c>
      <c r="AA13">
        <v>2</v>
      </c>
      <c r="AE13" t="s">
        <v>1039</v>
      </c>
      <c r="AI13">
        <v>60</v>
      </c>
      <c r="AJ13">
        <v>1850171</v>
      </c>
      <c r="AK13">
        <v>0</v>
      </c>
      <c r="AN13" t="s">
        <v>1703</v>
      </c>
      <c r="AO13">
        <v>1.71</v>
      </c>
      <c r="AX13">
        <v>20200610</v>
      </c>
      <c r="AY13" t="s">
        <v>1754</v>
      </c>
      <c r="BG13" s="556" t="str">
        <f t="shared" si="0"/>
        <v>O</v>
      </c>
      <c r="BH13" s="556" t="str">
        <f t="shared" si="1"/>
        <v/>
      </c>
      <c r="BI13" s="556" t="str">
        <f t="shared" si="2"/>
        <v/>
      </c>
      <c r="BJ13" s="556" t="str">
        <f t="shared" si="3"/>
        <v>M3</v>
      </c>
      <c r="BK13" s="556" t="str">
        <f t="shared" si="4"/>
        <v>M3</v>
      </c>
      <c r="BL13" s="556" t="str">
        <f t="shared" si="5"/>
        <v/>
      </c>
      <c r="BM13" s="497">
        <f t="shared" si="6"/>
        <v>40207</v>
      </c>
    </row>
    <row r="14" spans="1:65">
      <c r="A14">
        <v>40208</v>
      </c>
      <c r="B14" t="s">
        <v>2729</v>
      </c>
      <c r="C14" t="s">
        <v>167</v>
      </c>
      <c r="D14" t="s">
        <v>1771</v>
      </c>
      <c r="F14" s="503">
        <v>45359</v>
      </c>
      <c r="H14" t="s">
        <v>505</v>
      </c>
      <c r="I14" t="s">
        <v>1753</v>
      </c>
      <c r="J14">
        <v>5000</v>
      </c>
      <c r="K14" t="s">
        <v>1675</v>
      </c>
      <c r="O14" t="s">
        <v>1675</v>
      </c>
      <c r="W14">
        <v>0.15</v>
      </c>
      <c r="X14">
        <v>0.15</v>
      </c>
      <c r="Y14">
        <v>0</v>
      </c>
      <c r="Z14">
        <v>0</v>
      </c>
      <c r="AA14">
        <v>2</v>
      </c>
      <c r="AE14" t="s">
        <v>1039</v>
      </c>
      <c r="AI14">
        <v>60</v>
      </c>
      <c r="AJ14">
        <v>1850169</v>
      </c>
      <c r="AK14">
        <v>0</v>
      </c>
      <c r="AL14">
        <v>0</v>
      </c>
      <c r="AN14" t="s">
        <v>1703</v>
      </c>
      <c r="AO14">
        <v>1.69</v>
      </c>
      <c r="AX14">
        <v>20240308</v>
      </c>
      <c r="AY14" t="s">
        <v>1754</v>
      </c>
      <c r="BG14" s="556" t="str">
        <f t="shared" si="0"/>
        <v>O</v>
      </c>
      <c r="BH14" s="556" t="str">
        <f t="shared" si="1"/>
        <v/>
      </c>
      <c r="BI14" s="556" t="str">
        <f t="shared" si="2"/>
        <v/>
      </c>
      <c r="BJ14" s="556" t="str">
        <f t="shared" si="3"/>
        <v>M3</v>
      </c>
      <c r="BK14" s="556" t="str">
        <f t="shared" si="4"/>
        <v>M3</v>
      </c>
      <c r="BL14" s="556" t="str">
        <f t="shared" si="5"/>
        <v/>
      </c>
      <c r="BM14" s="497">
        <f t="shared" si="6"/>
        <v>40208</v>
      </c>
    </row>
    <row r="15" spans="1:65">
      <c r="A15">
        <v>51807</v>
      </c>
      <c r="B15" t="s">
        <v>1709</v>
      </c>
      <c r="C15" t="s">
        <v>46</v>
      </c>
      <c r="D15" t="s">
        <v>1772</v>
      </c>
      <c r="F15" s="503">
        <v>43880</v>
      </c>
      <c r="H15" t="s">
        <v>502</v>
      </c>
      <c r="I15" t="s">
        <v>1753</v>
      </c>
      <c r="J15">
        <v>20000</v>
      </c>
      <c r="K15" t="s">
        <v>1675</v>
      </c>
      <c r="O15" t="s">
        <v>1675</v>
      </c>
      <c r="W15">
        <v>0.16</v>
      </c>
      <c r="X15">
        <v>0.17</v>
      </c>
      <c r="Y15">
        <v>0</v>
      </c>
      <c r="Z15">
        <v>0</v>
      </c>
      <c r="AA15">
        <v>2</v>
      </c>
      <c r="AE15" t="s">
        <v>1773</v>
      </c>
      <c r="AI15">
        <v>60</v>
      </c>
      <c r="AJ15">
        <v>1850165</v>
      </c>
      <c r="AK15">
        <v>0</v>
      </c>
      <c r="AN15" t="s">
        <v>1703</v>
      </c>
      <c r="AO15">
        <v>1.65</v>
      </c>
      <c r="AX15">
        <v>20200219</v>
      </c>
      <c r="AY15" t="s">
        <v>1754</v>
      </c>
      <c r="BG15" s="556" t="str">
        <f t="shared" si="0"/>
        <v>O</v>
      </c>
      <c r="BH15" s="556" t="str">
        <f t="shared" si="1"/>
        <v/>
      </c>
      <c r="BI15" s="556" t="str">
        <f t="shared" si="2"/>
        <v/>
      </c>
      <c r="BJ15" s="556" t="str">
        <f t="shared" si="3"/>
        <v>M3</v>
      </c>
      <c r="BK15" s="556" t="str">
        <f t="shared" si="4"/>
        <v>M3</v>
      </c>
      <c r="BL15" s="556" t="str">
        <f t="shared" si="5"/>
        <v/>
      </c>
      <c r="BM15" s="497">
        <f t="shared" si="6"/>
        <v>51807</v>
      </c>
    </row>
    <row r="16" spans="1:65">
      <c r="A16">
        <v>20066</v>
      </c>
      <c r="B16" t="s">
        <v>1736</v>
      </c>
      <c r="C16" t="s">
        <v>828</v>
      </c>
      <c r="D16" t="s">
        <v>1774</v>
      </c>
      <c r="F16" s="503">
        <v>44050</v>
      </c>
      <c r="H16" t="s">
        <v>1775</v>
      </c>
      <c r="I16" t="s">
        <v>1753</v>
      </c>
      <c r="J16">
        <v>5000</v>
      </c>
      <c r="K16" t="s">
        <v>1675</v>
      </c>
      <c r="W16">
        <v>0.32</v>
      </c>
      <c r="X16">
        <v>0.35</v>
      </c>
      <c r="Y16">
        <v>0</v>
      </c>
      <c r="Z16">
        <v>0</v>
      </c>
      <c r="AA16">
        <v>0</v>
      </c>
      <c r="AE16" t="s">
        <v>1761</v>
      </c>
      <c r="AI16">
        <v>86</v>
      </c>
      <c r="AJ16">
        <v>3330020</v>
      </c>
      <c r="AK16">
        <v>0</v>
      </c>
      <c r="AN16" t="s">
        <v>1776</v>
      </c>
      <c r="AO16">
        <v>2</v>
      </c>
      <c r="AX16">
        <v>20200807</v>
      </c>
      <c r="AY16" t="s">
        <v>1777</v>
      </c>
      <c r="BG16" s="556" t="str">
        <f t="shared" si="0"/>
        <v>O</v>
      </c>
      <c r="BH16" s="556" t="str">
        <f t="shared" si="1"/>
        <v/>
      </c>
      <c r="BI16" s="556" t="str">
        <f t="shared" si="2"/>
        <v/>
      </c>
      <c r="BJ16" s="556" t="str">
        <f t="shared" si="3"/>
        <v>M3</v>
      </c>
      <c r="BK16" s="556">
        <f t="shared" si="4"/>
        <v>0</v>
      </c>
      <c r="BL16" s="556" t="str">
        <f t="shared" si="5"/>
        <v/>
      </c>
      <c r="BM16" s="497">
        <f t="shared" si="6"/>
        <v>20066</v>
      </c>
    </row>
    <row r="17" spans="1:65">
      <c r="A17">
        <v>51830</v>
      </c>
      <c r="B17" t="s">
        <v>1778</v>
      </c>
      <c r="C17" t="s">
        <v>220</v>
      </c>
      <c r="D17" t="s">
        <v>1772</v>
      </c>
      <c r="F17" s="503">
        <v>44567</v>
      </c>
      <c r="H17" t="s">
        <v>1779</v>
      </c>
      <c r="I17" t="s">
        <v>1753</v>
      </c>
      <c r="J17">
        <v>10000</v>
      </c>
      <c r="K17" t="s">
        <v>1675</v>
      </c>
      <c r="O17" t="s">
        <v>1675</v>
      </c>
      <c r="W17">
        <v>0.35</v>
      </c>
      <c r="X17">
        <v>0.36</v>
      </c>
      <c r="Y17">
        <v>0</v>
      </c>
      <c r="Z17">
        <v>0</v>
      </c>
      <c r="AA17">
        <v>0</v>
      </c>
      <c r="AE17" t="s">
        <v>1039</v>
      </c>
      <c r="AI17">
        <v>57</v>
      </c>
      <c r="AJ17">
        <v>1000169</v>
      </c>
      <c r="AK17">
        <v>0</v>
      </c>
      <c r="AN17" t="s">
        <v>133</v>
      </c>
      <c r="AO17">
        <v>1.69</v>
      </c>
      <c r="AX17">
        <v>20220106</v>
      </c>
      <c r="AY17" t="s">
        <v>1780</v>
      </c>
      <c r="BG17" s="556" t="str">
        <f t="shared" si="0"/>
        <v>O</v>
      </c>
      <c r="BH17" s="556" t="str">
        <f t="shared" si="1"/>
        <v/>
      </c>
      <c r="BI17" s="556" t="str">
        <f t="shared" si="2"/>
        <v/>
      </c>
      <c r="BJ17" s="556" t="str">
        <f t="shared" si="3"/>
        <v>M3</v>
      </c>
      <c r="BK17" s="556" t="str">
        <f t="shared" si="4"/>
        <v>M3</v>
      </c>
      <c r="BL17" s="556" t="str">
        <f t="shared" si="5"/>
        <v/>
      </c>
      <c r="BM17" s="497">
        <f t="shared" si="6"/>
        <v>51830</v>
      </c>
    </row>
    <row r="18" spans="1:65">
      <c r="B18" t="s">
        <v>2390</v>
      </c>
      <c r="C18" t="s">
        <v>1042</v>
      </c>
      <c r="D18" t="s">
        <v>1782</v>
      </c>
      <c r="F18" s="503">
        <v>45007</v>
      </c>
      <c r="H18" t="s">
        <v>2391</v>
      </c>
      <c r="I18" t="s">
        <v>1753</v>
      </c>
      <c r="J18">
        <v>0</v>
      </c>
      <c r="W18">
        <v>0</v>
      </c>
      <c r="X18">
        <v>0</v>
      </c>
      <c r="Y18">
        <v>0</v>
      </c>
      <c r="Z18">
        <v>0</v>
      </c>
      <c r="AA18">
        <v>0</v>
      </c>
      <c r="AE18">
        <v>0</v>
      </c>
      <c r="AI18">
        <v>84</v>
      </c>
      <c r="AJ18" t="s">
        <v>1789</v>
      </c>
      <c r="AK18">
        <v>0</v>
      </c>
      <c r="AL18">
        <v>0</v>
      </c>
      <c r="AN18" t="s">
        <v>1790</v>
      </c>
      <c r="AO18" t="s">
        <v>1791</v>
      </c>
      <c r="AX18">
        <v>20230322</v>
      </c>
      <c r="AY18" t="s">
        <v>1786</v>
      </c>
      <c r="BG18" s="556" t="str">
        <f t="shared" si="0"/>
        <v>X</v>
      </c>
      <c r="BH18" s="556" t="str">
        <f t="shared" si="1"/>
        <v>Y</v>
      </c>
      <c r="BI18" s="556" t="str">
        <f t="shared" si="2"/>
        <v/>
      </c>
      <c r="BJ18" s="556">
        <f t="shared" si="3"/>
        <v>0</v>
      </c>
      <c r="BK18" s="556">
        <f t="shared" si="4"/>
        <v>0</v>
      </c>
      <c r="BL18" s="556" t="str">
        <f t="shared" si="5"/>
        <v/>
      </c>
      <c r="BM18" s="497">
        <f t="shared" si="6"/>
        <v>0</v>
      </c>
    </row>
    <row r="19" spans="1:65">
      <c r="B19" t="s">
        <v>1781</v>
      </c>
      <c r="C19" t="s">
        <v>1056</v>
      </c>
      <c r="D19" t="s">
        <v>1782</v>
      </c>
      <c r="F19" s="503">
        <v>44288</v>
      </c>
      <c r="H19" t="s">
        <v>1783</v>
      </c>
      <c r="I19" t="s">
        <v>1753</v>
      </c>
      <c r="J19">
        <v>0</v>
      </c>
      <c r="K19" t="s">
        <v>1756</v>
      </c>
      <c r="W19">
        <v>0.18</v>
      </c>
      <c r="X19">
        <v>0.18</v>
      </c>
      <c r="Y19">
        <v>0</v>
      </c>
      <c r="Z19">
        <v>0</v>
      </c>
      <c r="AA19">
        <v>0</v>
      </c>
      <c r="AB19">
        <v>0</v>
      </c>
      <c r="AE19">
        <v>0</v>
      </c>
      <c r="AI19">
        <v>84</v>
      </c>
      <c r="AJ19" t="s">
        <v>1784</v>
      </c>
      <c r="AK19">
        <v>0</v>
      </c>
      <c r="AL19">
        <v>0</v>
      </c>
      <c r="AN19" t="s">
        <v>1098</v>
      </c>
      <c r="AO19" t="s">
        <v>1785</v>
      </c>
      <c r="AX19">
        <v>20210402</v>
      </c>
      <c r="AY19" t="s">
        <v>1786</v>
      </c>
      <c r="BG19" s="556" t="str">
        <f t="shared" si="0"/>
        <v>X</v>
      </c>
      <c r="BH19" s="556" t="str">
        <f t="shared" si="1"/>
        <v>Y</v>
      </c>
      <c r="BI19" s="556" t="str">
        <f t="shared" si="2"/>
        <v/>
      </c>
      <c r="BJ19" s="556" t="str">
        <f t="shared" si="3"/>
        <v>Z</v>
      </c>
      <c r="BK19" s="556">
        <f t="shared" si="4"/>
        <v>0</v>
      </c>
      <c r="BL19" s="556" t="str">
        <f t="shared" si="5"/>
        <v/>
      </c>
      <c r="BM19" s="497">
        <f t="shared" si="6"/>
        <v>0</v>
      </c>
    </row>
    <row r="20" spans="1:65">
      <c r="B20" t="s">
        <v>1787</v>
      </c>
      <c r="C20" t="s">
        <v>1042</v>
      </c>
      <c r="D20" t="s">
        <v>1782</v>
      </c>
      <c r="F20" s="503">
        <v>44288</v>
      </c>
      <c r="H20" t="s">
        <v>1788</v>
      </c>
      <c r="I20" t="s">
        <v>1753</v>
      </c>
      <c r="J20">
        <v>0</v>
      </c>
      <c r="K20" t="s">
        <v>1756</v>
      </c>
      <c r="W20">
        <v>0.08</v>
      </c>
      <c r="X20">
        <v>0.08</v>
      </c>
      <c r="Y20">
        <v>0</v>
      </c>
      <c r="Z20">
        <v>0</v>
      </c>
      <c r="AA20">
        <v>0</v>
      </c>
      <c r="AE20">
        <v>0</v>
      </c>
      <c r="AI20">
        <v>84</v>
      </c>
      <c r="AJ20" t="s">
        <v>1789</v>
      </c>
      <c r="AK20">
        <v>0</v>
      </c>
      <c r="AL20">
        <v>0</v>
      </c>
      <c r="AN20" t="s">
        <v>1790</v>
      </c>
      <c r="AO20" t="s">
        <v>1791</v>
      </c>
      <c r="AX20">
        <v>20210402</v>
      </c>
      <c r="AY20" t="s">
        <v>1786</v>
      </c>
      <c r="BG20" s="556" t="str">
        <f t="shared" si="0"/>
        <v>X</v>
      </c>
      <c r="BH20" s="556" t="str">
        <f t="shared" si="1"/>
        <v>Y</v>
      </c>
      <c r="BI20" s="556" t="str">
        <f t="shared" si="2"/>
        <v/>
      </c>
      <c r="BJ20" s="556" t="str">
        <f t="shared" si="3"/>
        <v>Z</v>
      </c>
      <c r="BK20" s="556">
        <f t="shared" si="4"/>
        <v>0</v>
      </c>
      <c r="BL20" s="556" t="str">
        <f t="shared" si="5"/>
        <v/>
      </c>
      <c r="BM20" s="497">
        <f t="shared" si="6"/>
        <v>0</v>
      </c>
    </row>
    <row r="21" spans="1:65">
      <c r="B21" t="s">
        <v>1792</v>
      </c>
      <c r="C21" t="s">
        <v>1056</v>
      </c>
      <c r="D21" t="s">
        <v>1782</v>
      </c>
      <c r="F21" s="503">
        <v>44288</v>
      </c>
      <c r="H21" t="s">
        <v>1793</v>
      </c>
      <c r="J21">
        <v>0</v>
      </c>
      <c r="K21" t="s">
        <v>1756</v>
      </c>
      <c r="W21">
        <v>7.0000000000000007E-2</v>
      </c>
      <c r="X21">
        <v>7.0000000000000007E-2</v>
      </c>
      <c r="Y21">
        <v>0</v>
      </c>
      <c r="Z21">
        <v>0</v>
      </c>
      <c r="AA21">
        <v>0</v>
      </c>
      <c r="AE21">
        <v>0</v>
      </c>
      <c r="AI21">
        <v>84</v>
      </c>
      <c r="AJ21" t="s">
        <v>1794</v>
      </c>
      <c r="AK21">
        <v>0</v>
      </c>
      <c r="AN21" t="s">
        <v>1098</v>
      </c>
      <c r="AO21" t="s">
        <v>1795</v>
      </c>
      <c r="AX21">
        <v>20210402</v>
      </c>
      <c r="AY21" t="s">
        <v>1786</v>
      </c>
      <c r="BG21" s="556" t="str">
        <f t="shared" si="0"/>
        <v>X</v>
      </c>
      <c r="BH21" s="556" t="str">
        <f t="shared" si="1"/>
        <v>Y</v>
      </c>
      <c r="BI21" s="556" t="str">
        <f t="shared" si="2"/>
        <v/>
      </c>
      <c r="BJ21" s="556" t="str">
        <f t="shared" si="3"/>
        <v>Z</v>
      </c>
      <c r="BK21" s="556">
        <f t="shared" si="4"/>
        <v>0</v>
      </c>
      <c r="BL21" s="556" t="str">
        <f t="shared" si="5"/>
        <v/>
      </c>
      <c r="BM21" s="497">
        <f t="shared" si="6"/>
        <v>0</v>
      </c>
    </row>
    <row r="22" spans="1:65">
      <c r="A22">
        <v>52102</v>
      </c>
      <c r="B22" t="s">
        <v>305</v>
      </c>
      <c r="C22" t="s">
        <v>220</v>
      </c>
      <c r="D22" t="s">
        <v>1796</v>
      </c>
      <c r="F22" s="503">
        <v>43774</v>
      </c>
      <c r="H22" t="s">
        <v>308</v>
      </c>
      <c r="I22" t="s">
        <v>1753</v>
      </c>
      <c r="J22">
        <v>0</v>
      </c>
      <c r="K22" t="s">
        <v>1675</v>
      </c>
      <c r="O22" t="s">
        <v>1675</v>
      </c>
      <c r="W22">
        <v>0.35</v>
      </c>
      <c r="X22">
        <v>0.38</v>
      </c>
      <c r="Y22">
        <v>0</v>
      </c>
      <c r="Z22">
        <v>0</v>
      </c>
      <c r="AA22">
        <v>0</v>
      </c>
      <c r="AE22" t="s">
        <v>1221</v>
      </c>
      <c r="AI22">
        <v>57</v>
      </c>
      <c r="AJ22">
        <v>1000260</v>
      </c>
      <c r="AK22">
        <v>0</v>
      </c>
      <c r="AL22">
        <v>0</v>
      </c>
      <c r="AN22" t="s">
        <v>133</v>
      </c>
      <c r="AO22">
        <v>2.6</v>
      </c>
      <c r="AX22">
        <v>20191105</v>
      </c>
      <c r="AY22" t="s">
        <v>1780</v>
      </c>
      <c r="BG22" s="556" t="str">
        <f t="shared" si="0"/>
        <v>O</v>
      </c>
      <c r="BH22" s="556" t="str">
        <f t="shared" si="1"/>
        <v/>
      </c>
      <c r="BI22" s="556" t="str">
        <f t="shared" si="2"/>
        <v/>
      </c>
      <c r="BJ22" s="556" t="str">
        <f t="shared" si="3"/>
        <v>M3</v>
      </c>
      <c r="BK22" s="556" t="str">
        <f t="shared" si="4"/>
        <v>M3</v>
      </c>
      <c r="BL22" s="556" t="str">
        <f t="shared" si="5"/>
        <v/>
      </c>
      <c r="BM22" s="497">
        <f t="shared" si="6"/>
        <v>52102</v>
      </c>
    </row>
    <row r="23" spans="1:65">
      <c r="A23">
        <v>50314</v>
      </c>
      <c r="B23" t="s">
        <v>2322</v>
      </c>
      <c r="C23" t="s">
        <v>2323</v>
      </c>
      <c r="D23" t="s">
        <v>2324</v>
      </c>
      <c r="F23" s="503">
        <v>44930</v>
      </c>
      <c r="H23" t="s">
        <v>2325</v>
      </c>
      <c r="I23" t="s">
        <v>1753</v>
      </c>
      <c r="J23">
        <v>10000</v>
      </c>
      <c r="K23" t="s">
        <v>1675</v>
      </c>
      <c r="O23" t="s">
        <v>1675</v>
      </c>
      <c r="W23">
        <v>0.38</v>
      </c>
      <c r="X23">
        <v>0.36</v>
      </c>
      <c r="Y23">
        <v>0</v>
      </c>
      <c r="Z23">
        <v>0</v>
      </c>
      <c r="AA23">
        <v>303</v>
      </c>
      <c r="AE23" t="s">
        <v>1773</v>
      </c>
      <c r="AI23">
        <v>60</v>
      </c>
      <c r="AJ23">
        <v>4350260</v>
      </c>
      <c r="AK23">
        <v>0</v>
      </c>
      <c r="AL23">
        <v>0</v>
      </c>
      <c r="AN23" t="s">
        <v>184</v>
      </c>
      <c r="AO23">
        <v>2.6</v>
      </c>
      <c r="AX23">
        <v>20230104</v>
      </c>
      <c r="AY23" t="s">
        <v>1754</v>
      </c>
      <c r="BG23" s="556" t="str">
        <f t="shared" si="0"/>
        <v>O</v>
      </c>
      <c r="BH23" s="556" t="str">
        <f t="shared" si="1"/>
        <v/>
      </c>
      <c r="BI23" s="556" t="str">
        <f t="shared" si="2"/>
        <v/>
      </c>
      <c r="BJ23" s="556" t="str">
        <f t="shared" si="3"/>
        <v>M3</v>
      </c>
      <c r="BK23" s="556" t="str">
        <f t="shared" si="4"/>
        <v>M3</v>
      </c>
      <c r="BL23" s="556" t="str">
        <f t="shared" si="5"/>
        <v/>
      </c>
      <c r="BM23" s="497">
        <f t="shared" si="6"/>
        <v>50314</v>
      </c>
    </row>
    <row r="24" spans="1:65">
      <c r="A24">
        <v>52105</v>
      </c>
      <c r="B24" t="s">
        <v>316</v>
      </c>
      <c r="C24" t="s">
        <v>318</v>
      </c>
      <c r="D24" t="s">
        <v>1796</v>
      </c>
      <c r="F24" s="503">
        <v>43775</v>
      </c>
      <c r="H24" t="s">
        <v>315</v>
      </c>
      <c r="I24" t="s">
        <v>1753</v>
      </c>
      <c r="J24">
        <v>5000</v>
      </c>
      <c r="K24" t="s">
        <v>1675</v>
      </c>
      <c r="O24" t="s">
        <v>1675</v>
      </c>
      <c r="W24">
        <v>0.45</v>
      </c>
      <c r="X24">
        <v>0.45</v>
      </c>
      <c r="Y24">
        <v>0</v>
      </c>
      <c r="Z24">
        <v>0</v>
      </c>
      <c r="AA24">
        <v>0</v>
      </c>
      <c r="AE24" t="s">
        <v>1221</v>
      </c>
      <c r="AI24">
        <v>57</v>
      </c>
      <c r="AJ24">
        <v>1000260</v>
      </c>
      <c r="AK24">
        <v>0</v>
      </c>
      <c r="AL24">
        <v>0</v>
      </c>
      <c r="AN24" t="s">
        <v>133</v>
      </c>
      <c r="AO24">
        <v>2.6</v>
      </c>
      <c r="AX24">
        <v>20191106</v>
      </c>
      <c r="AY24" t="s">
        <v>1780</v>
      </c>
      <c r="BG24" s="556" t="str">
        <f t="shared" si="0"/>
        <v>O</v>
      </c>
      <c r="BH24" s="556" t="str">
        <f t="shared" si="1"/>
        <v/>
      </c>
      <c r="BI24" s="556" t="str">
        <f t="shared" si="2"/>
        <v/>
      </c>
      <c r="BJ24" s="556" t="str">
        <f t="shared" si="3"/>
        <v>M3</v>
      </c>
      <c r="BK24" s="556" t="str">
        <f t="shared" si="4"/>
        <v>M3</v>
      </c>
      <c r="BL24" s="556" t="str">
        <f t="shared" si="5"/>
        <v/>
      </c>
      <c r="BM24" s="497">
        <f t="shared" si="6"/>
        <v>52105</v>
      </c>
    </row>
    <row r="25" spans="1:65">
      <c r="A25">
        <v>52103</v>
      </c>
      <c r="B25" t="s">
        <v>332</v>
      </c>
      <c r="C25" t="s">
        <v>334</v>
      </c>
      <c r="D25" t="s">
        <v>1796</v>
      </c>
      <c r="F25" s="503">
        <v>43775</v>
      </c>
      <c r="H25" t="s">
        <v>315</v>
      </c>
      <c r="I25" t="s">
        <v>1753</v>
      </c>
      <c r="J25">
        <v>5000</v>
      </c>
      <c r="K25" t="s">
        <v>1675</v>
      </c>
      <c r="O25" t="s">
        <v>1675</v>
      </c>
      <c r="W25">
        <v>0.54</v>
      </c>
      <c r="X25">
        <v>0.54</v>
      </c>
      <c r="Y25">
        <v>0</v>
      </c>
      <c r="Z25">
        <v>0</v>
      </c>
      <c r="AA25">
        <v>0</v>
      </c>
      <c r="AE25" t="s">
        <v>1221</v>
      </c>
      <c r="AI25">
        <v>57</v>
      </c>
      <c r="AJ25">
        <v>1000260</v>
      </c>
      <c r="AK25">
        <v>0</v>
      </c>
      <c r="AL25">
        <v>0</v>
      </c>
      <c r="AN25" t="s">
        <v>133</v>
      </c>
      <c r="AO25">
        <v>2.6</v>
      </c>
      <c r="AX25">
        <v>20191106</v>
      </c>
      <c r="AY25" t="s">
        <v>1780</v>
      </c>
      <c r="BG25" s="556" t="str">
        <f t="shared" si="0"/>
        <v>O</v>
      </c>
      <c r="BH25" s="556" t="str">
        <f t="shared" si="1"/>
        <v/>
      </c>
      <c r="BI25" s="556" t="str">
        <f t="shared" si="2"/>
        <v/>
      </c>
      <c r="BJ25" s="556" t="str">
        <f t="shared" si="3"/>
        <v>M3</v>
      </c>
      <c r="BK25" s="556" t="str">
        <f t="shared" si="4"/>
        <v>M3</v>
      </c>
      <c r="BL25" s="556" t="str">
        <f t="shared" si="5"/>
        <v/>
      </c>
      <c r="BM25" s="497">
        <f t="shared" si="6"/>
        <v>52103</v>
      </c>
    </row>
    <row r="26" spans="1:65">
      <c r="A26">
        <v>52104</v>
      </c>
      <c r="B26" t="s">
        <v>313</v>
      </c>
      <c r="C26" t="s">
        <v>220</v>
      </c>
      <c r="D26" t="s">
        <v>1796</v>
      </c>
      <c r="F26" s="503">
        <v>43774</v>
      </c>
      <c r="H26" t="s">
        <v>315</v>
      </c>
      <c r="I26" t="s">
        <v>1753</v>
      </c>
      <c r="J26">
        <v>5000</v>
      </c>
      <c r="K26" t="s">
        <v>1675</v>
      </c>
      <c r="O26" t="s">
        <v>1675</v>
      </c>
      <c r="W26">
        <v>0.41</v>
      </c>
      <c r="X26">
        <v>0.4</v>
      </c>
      <c r="Y26">
        <v>0</v>
      </c>
      <c r="Z26">
        <v>0</v>
      </c>
      <c r="AA26">
        <v>0</v>
      </c>
      <c r="AE26" t="s">
        <v>1221</v>
      </c>
      <c r="AI26">
        <v>57</v>
      </c>
      <c r="AJ26">
        <v>1000260</v>
      </c>
      <c r="AK26">
        <v>0</v>
      </c>
      <c r="AL26">
        <v>0</v>
      </c>
      <c r="AN26" t="s">
        <v>133</v>
      </c>
      <c r="AO26">
        <v>2.6</v>
      </c>
      <c r="AX26">
        <v>20191105</v>
      </c>
      <c r="AY26" t="s">
        <v>1780</v>
      </c>
      <c r="BG26" s="556" t="str">
        <f t="shared" si="0"/>
        <v>O</v>
      </c>
      <c r="BH26" s="556" t="str">
        <f t="shared" si="1"/>
        <v/>
      </c>
      <c r="BI26" s="556" t="str">
        <f t="shared" si="2"/>
        <v/>
      </c>
      <c r="BJ26" s="556" t="str">
        <f t="shared" si="3"/>
        <v>M3</v>
      </c>
      <c r="BK26" s="556" t="str">
        <f t="shared" si="4"/>
        <v>M3</v>
      </c>
      <c r="BL26" s="556" t="str">
        <f t="shared" si="5"/>
        <v/>
      </c>
      <c r="BM26" s="497">
        <f t="shared" si="6"/>
        <v>52104</v>
      </c>
    </row>
    <row r="27" spans="1:65">
      <c r="A27">
        <v>51812</v>
      </c>
      <c r="B27" t="s">
        <v>1797</v>
      </c>
      <c r="C27" t="s">
        <v>204</v>
      </c>
      <c r="D27" t="s">
        <v>1772</v>
      </c>
      <c r="F27" s="503">
        <v>44014</v>
      </c>
      <c r="H27" t="s">
        <v>543</v>
      </c>
      <c r="I27" t="s">
        <v>1753</v>
      </c>
      <c r="J27">
        <v>0</v>
      </c>
      <c r="K27" t="s">
        <v>1675</v>
      </c>
      <c r="O27" t="s">
        <v>1675</v>
      </c>
      <c r="W27">
        <v>0.49</v>
      </c>
      <c r="X27">
        <v>0.51</v>
      </c>
      <c r="Y27">
        <v>0</v>
      </c>
      <c r="Z27">
        <v>0</v>
      </c>
      <c r="AA27">
        <v>2</v>
      </c>
      <c r="AE27" t="s">
        <v>1773</v>
      </c>
      <c r="AI27">
        <v>60</v>
      </c>
      <c r="AJ27">
        <v>1850246</v>
      </c>
      <c r="AK27">
        <v>0</v>
      </c>
      <c r="AN27" t="s">
        <v>1703</v>
      </c>
      <c r="AO27">
        <v>2.46</v>
      </c>
      <c r="AX27">
        <v>20200702</v>
      </c>
      <c r="AY27" t="s">
        <v>1754</v>
      </c>
      <c r="BG27" s="556" t="str">
        <f t="shared" si="0"/>
        <v>O</v>
      </c>
      <c r="BH27" s="556" t="str">
        <f t="shared" si="1"/>
        <v/>
      </c>
      <c r="BI27" s="556" t="str">
        <f t="shared" si="2"/>
        <v/>
      </c>
      <c r="BJ27" s="556" t="str">
        <f t="shared" si="3"/>
        <v>M3</v>
      </c>
      <c r="BK27" s="556" t="str">
        <f t="shared" si="4"/>
        <v>M3</v>
      </c>
      <c r="BL27" s="556" t="str">
        <f t="shared" si="5"/>
        <v/>
      </c>
      <c r="BM27" s="497">
        <f t="shared" si="6"/>
        <v>51812</v>
      </c>
    </row>
    <row r="28" spans="1:65">
      <c r="A28">
        <v>51802</v>
      </c>
      <c r="B28" t="s">
        <v>3274</v>
      </c>
      <c r="C28" t="s">
        <v>204</v>
      </c>
      <c r="D28" t="s">
        <v>1772</v>
      </c>
      <c r="F28" s="503">
        <v>43819</v>
      </c>
      <c r="H28" t="s">
        <v>543</v>
      </c>
      <c r="I28" t="s">
        <v>1753</v>
      </c>
      <c r="J28">
        <v>20000</v>
      </c>
      <c r="K28" t="s">
        <v>1675</v>
      </c>
      <c r="O28" t="s">
        <v>1675</v>
      </c>
      <c r="W28">
        <v>0.49</v>
      </c>
      <c r="X28">
        <v>0.45</v>
      </c>
      <c r="Y28">
        <v>0</v>
      </c>
      <c r="Z28">
        <v>0</v>
      </c>
      <c r="AA28">
        <v>2</v>
      </c>
      <c r="AE28" t="s">
        <v>1039</v>
      </c>
      <c r="AI28">
        <v>60</v>
      </c>
      <c r="AJ28">
        <v>1850246</v>
      </c>
      <c r="AK28">
        <v>0</v>
      </c>
      <c r="AL28">
        <v>0</v>
      </c>
      <c r="AN28" t="s">
        <v>1703</v>
      </c>
      <c r="AO28">
        <v>2.46</v>
      </c>
      <c r="AX28">
        <v>20191220</v>
      </c>
      <c r="AY28" t="s">
        <v>1754</v>
      </c>
      <c r="BG28" s="556" t="str">
        <f t="shared" si="0"/>
        <v>O</v>
      </c>
      <c r="BH28" s="556" t="str">
        <f t="shared" si="1"/>
        <v/>
      </c>
      <c r="BI28" s="556" t="str">
        <f t="shared" si="2"/>
        <v/>
      </c>
      <c r="BJ28" s="556" t="str">
        <f t="shared" si="3"/>
        <v>M3</v>
      </c>
      <c r="BK28" s="556" t="str">
        <f t="shared" si="4"/>
        <v>M3</v>
      </c>
      <c r="BL28" s="556" t="str">
        <f t="shared" si="5"/>
        <v/>
      </c>
      <c r="BM28" s="497">
        <f t="shared" si="6"/>
        <v>51802</v>
      </c>
    </row>
    <row r="29" spans="1:65">
      <c r="A29">
        <v>51831</v>
      </c>
      <c r="B29" t="s">
        <v>1798</v>
      </c>
      <c r="C29" t="s">
        <v>546</v>
      </c>
      <c r="D29" t="s">
        <v>1772</v>
      </c>
      <c r="F29" s="503">
        <v>44551</v>
      </c>
      <c r="H29" t="s">
        <v>543</v>
      </c>
      <c r="I29" t="s">
        <v>1753</v>
      </c>
      <c r="J29">
        <v>10000</v>
      </c>
      <c r="K29" t="s">
        <v>1068</v>
      </c>
      <c r="O29" t="s">
        <v>1675</v>
      </c>
      <c r="W29">
        <v>0.66</v>
      </c>
      <c r="X29">
        <v>0.69</v>
      </c>
      <c r="Y29">
        <v>0</v>
      </c>
      <c r="Z29">
        <v>0</v>
      </c>
      <c r="AA29">
        <v>2</v>
      </c>
      <c r="AE29" t="s">
        <v>1773</v>
      </c>
      <c r="AI29">
        <v>60</v>
      </c>
      <c r="AJ29">
        <v>1850246</v>
      </c>
      <c r="AK29">
        <v>0</v>
      </c>
      <c r="AL29">
        <v>0</v>
      </c>
      <c r="AN29" t="s">
        <v>1703</v>
      </c>
      <c r="AO29">
        <v>2.46</v>
      </c>
      <c r="AX29">
        <v>20211221</v>
      </c>
      <c r="AY29" t="s">
        <v>1754</v>
      </c>
      <c r="BG29" s="556" t="str">
        <f t="shared" si="0"/>
        <v>O</v>
      </c>
      <c r="BH29" s="556" t="str">
        <f t="shared" si="1"/>
        <v/>
      </c>
      <c r="BI29" s="556" t="str">
        <f t="shared" si="2"/>
        <v/>
      </c>
      <c r="BJ29" s="556" t="str">
        <f t="shared" si="3"/>
        <v>M4</v>
      </c>
      <c r="BK29" s="556" t="str">
        <f t="shared" si="4"/>
        <v>M3</v>
      </c>
      <c r="BL29" s="556" t="str">
        <f t="shared" si="5"/>
        <v/>
      </c>
      <c r="BM29" s="497">
        <f t="shared" si="6"/>
        <v>51831</v>
      </c>
    </row>
    <row r="30" spans="1:65">
      <c r="A30">
        <v>51818</v>
      </c>
      <c r="B30" t="s">
        <v>544</v>
      </c>
      <c r="C30" t="s">
        <v>546</v>
      </c>
      <c r="D30" t="s">
        <v>1772</v>
      </c>
      <c r="F30" s="503">
        <v>43965</v>
      </c>
      <c r="H30" t="s">
        <v>543</v>
      </c>
      <c r="I30" t="s">
        <v>1753</v>
      </c>
      <c r="J30">
        <v>20000</v>
      </c>
      <c r="K30" t="s">
        <v>1068</v>
      </c>
      <c r="O30" t="s">
        <v>1675</v>
      </c>
      <c r="W30">
        <v>0.66</v>
      </c>
      <c r="X30">
        <v>0.67</v>
      </c>
      <c r="Y30">
        <v>0</v>
      </c>
      <c r="Z30">
        <v>0</v>
      </c>
      <c r="AA30">
        <v>2</v>
      </c>
      <c r="AE30" t="s">
        <v>1039</v>
      </c>
      <c r="AI30">
        <v>60</v>
      </c>
      <c r="AJ30">
        <v>1850246</v>
      </c>
      <c r="AK30">
        <v>0</v>
      </c>
      <c r="AL30">
        <v>0</v>
      </c>
      <c r="AN30" t="s">
        <v>1703</v>
      </c>
      <c r="AO30">
        <v>2.46</v>
      </c>
      <c r="AX30">
        <v>20200514</v>
      </c>
      <c r="AY30" t="s">
        <v>1754</v>
      </c>
      <c r="BG30" s="556" t="str">
        <f t="shared" si="0"/>
        <v>O</v>
      </c>
      <c r="BH30" s="556" t="str">
        <f t="shared" si="1"/>
        <v/>
      </c>
      <c r="BI30" s="556" t="str">
        <f t="shared" si="2"/>
        <v/>
      </c>
      <c r="BJ30" s="556" t="str">
        <f t="shared" si="3"/>
        <v>M4</v>
      </c>
      <c r="BK30" s="556" t="str">
        <f t="shared" si="4"/>
        <v>M3</v>
      </c>
      <c r="BL30" s="556" t="str">
        <f t="shared" si="5"/>
        <v/>
      </c>
      <c r="BM30" s="497">
        <f t="shared" si="6"/>
        <v>51818</v>
      </c>
    </row>
    <row r="31" spans="1:65">
      <c r="A31">
        <v>51810</v>
      </c>
      <c r="B31" t="s">
        <v>547</v>
      </c>
      <c r="C31" t="s">
        <v>204</v>
      </c>
      <c r="D31" t="s">
        <v>1772</v>
      </c>
      <c r="F31" s="503">
        <v>43960</v>
      </c>
      <c r="H31" t="s">
        <v>549</v>
      </c>
      <c r="I31" t="s">
        <v>1753</v>
      </c>
      <c r="J31">
        <v>20000</v>
      </c>
      <c r="K31" t="s">
        <v>1675</v>
      </c>
      <c r="O31" t="s">
        <v>1675</v>
      </c>
      <c r="W31">
        <v>0.5</v>
      </c>
      <c r="X31">
        <v>0.55000000000000004</v>
      </c>
      <c r="Y31">
        <v>0</v>
      </c>
      <c r="Z31">
        <v>0</v>
      </c>
      <c r="AA31">
        <v>2</v>
      </c>
      <c r="AE31" t="s">
        <v>1039</v>
      </c>
      <c r="AI31">
        <v>60</v>
      </c>
      <c r="AJ31">
        <v>1850246</v>
      </c>
      <c r="AK31">
        <v>0</v>
      </c>
      <c r="AN31" t="s">
        <v>1703</v>
      </c>
      <c r="AO31">
        <v>2.46</v>
      </c>
      <c r="AX31">
        <v>20200509</v>
      </c>
      <c r="AY31" t="s">
        <v>1754</v>
      </c>
      <c r="BG31" s="556" t="str">
        <f t="shared" si="0"/>
        <v>O</v>
      </c>
      <c r="BH31" s="556" t="str">
        <f t="shared" si="1"/>
        <v/>
      </c>
      <c r="BI31" s="556" t="str">
        <f t="shared" si="2"/>
        <v/>
      </c>
      <c r="BJ31" s="556" t="str">
        <f t="shared" si="3"/>
        <v>M3</v>
      </c>
      <c r="BK31" s="556" t="str">
        <f t="shared" si="4"/>
        <v>M3</v>
      </c>
      <c r="BL31" s="556" t="str">
        <f t="shared" si="5"/>
        <v/>
      </c>
      <c r="BM31" s="497">
        <f t="shared" si="6"/>
        <v>51810</v>
      </c>
    </row>
    <row r="32" spans="1:65">
      <c r="A32">
        <v>50301</v>
      </c>
      <c r="B32" t="s">
        <v>353</v>
      </c>
      <c r="C32" t="s">
        <v>324</v>
      </c>
      <c r="D32" t="s">
        <v>1799</v>
      </c>
      <c r="F32" s="503">
        <v>43879</v>
      </c>
      <c r="H32" t="s">
        <v>355</v>
      </c>
      <c r="I32" t="s">
        <v>1753</v>
      </c>
      <c r="J32">
        <v>5000</v>
      </c>
      <c r="K32" t="s">
        <v>1675</v>
      </c>
      <c r="O32" t="s">
        <v>2300</v>
      </c>
      <c r="W32">
        <v>0.43</v>
      </c>
      <c r="X32">
        <v>0.68</v>
      </c>
      <c r="Y32">
        <v>0</v>
      </c>
      <c r="Z32">
        <v>0</v>
      </c>
      <c r="AA32">
        <v>0</v>
      </c>
      <c r="AE32" t="s">
        <v>1039</v>
      </c>
      <c r="AI32">
        <v>18</v>
      </c>
      <c r="AJ32">
        <v>1000260</v>
      </c>
      <c r="AK32">
        <v>0</v>
      </c>
      <c r="AN32" t="s">
        <v>133</v>
      </c>
      <c r="AO32">
        <v>2.6</v>
      </c>
      <c r="AQ32" t="s">
        <v>2947</v>
      </c>
      <c r="AX32">
        <v>20200218</v>
      </c>
      <c r="AY32" t="s">
        <v>1800</v>
      </c>
      <c r="AZ32" t="s">
        <v>1781</v>
      </c>
      <c r="BA32" t="s">
        <v>1787</v>
      </c>
      <c r="BG32" s="556" t="str">
        <f t="shared" si="0"/>
        <v>O</v>
      </c>
      <c r="BH32" s="556" t="str">
        <f t="shared" si="1"/>
        <v>Y</v>
      </c>
      <c r="BI32" s="556" t="str">
        <f t="shared" si="2"/>
        <v/>
      </c>
      <c r="BJ32" s="556" t="str">
        <f t="shared" si="3"/>
        <v>M3</v>
      </c>
      <c r="BK32" s="556" t="str">
        <f t="shared" si="4"/>
        <v>S6</v>
      </c>
      <c r="BL32" s="556" t="str">
        <f t="shared" si="5"/>
        <v/>
      </c>
      <c r="BM32" s="497">
        <f t="shared" si="6"/>
        <v>50301</v>
      </c>
    </row>
    <row r="33" spans="1:65">
      <c r="A33">
        <v>33003</v>
      </c>
      <c r="B33" t="s">
        <v>319</v>
      </c>
      <c r="C33" t="s">
        <v>220</v>
      </c>
      <c r="D33" t="s">
        <v>1770</v>
      </c>
      <c r="F33" s="503">
        <v>43512</v>
      </c>
      <c r="H33" t="s">
        <v>321</v>
      </c>
      <c r="I33" t="s">
        <v>1753</v>
      </c>
      <c r="J33">
        <v>0</v>
      </c>
      <c r="K33" t="s">
        <v>1675</v>
      </c>
      <c r="O33" t="s">
        <v>1675</v>
      </c>
      <c r="W33">
        <v>0.45</v>
      </c>
      <c r="X33">
        <v>0.45</v>
      </c>
      <c r="Y33">
        <v>0</v>
      </c>
      <c r="Z33">
        <v>0</v>
      </c>
      <c r="AA33">
        <v>0</v>
      </c>
      <c r="AE33" t="s">
        <v>1756</v>
      </c>
      <c r="AI33">
        <v>57</v>
      </c>
      <c r="AJ33">
        <v>1000260</v>
      </c>
      <c r="AK33">
        <v>0</v>
      </c>
      <c r="AN33" t="s">
        <v>133</v>
      </c>
      <c r="AO33">
        <v>2.6</v>
      </c>
      <c r="AX33">
        <v>20190216</v>
      </c>
      <c r="AY33" t="s">
        <v>1780</v>
      </c>
      <c r="BG33" s="556" t="str">
        <f t="shared" si="0"/>
        <v>O</v>
      </c>
      <c r="BH33" s="556" t="str">
        <f t="shared" si="1"/>
        <v/>
      </c>
      <c r="BI33" s="556" t="str">
        <f t="shared" si="2"/>
        <v/>
      </c>
      <c r="BJ33" s="556" t="str">
        <f t="shared" si="3"/>
        <v>M3</v>
      </c>
      <c r="BK33" s="556" t="str">
        <f t="shared" si="4"/>
        <v>M3</v>
      </c>
      <c r="BL33" s="556" t="str">
        <f t="shared" si="5"/>
        <v/>
      </c>
      <c r="BM33" s="497">
        <f t="shared" si="6"/>
        <v>33003</v>
      </c>
    </row>
    <row r="34" spans="1:65">
      <c r="A34">
        <v>20089</v>
      </c>
      <c r="B34" t="s">
        <v>2715</v>
      </c>
      <c r="C34" t="s">
        <v>113</v>
      </c>
      <c r="D34" t="s">
        <v>1774</v>
      </c>
      <c r="F34" s="503">
        <v>45324</v>
      </c>
      <c r="H34" t="s">
        <v>2716</v>
      </c>
      <c r="I34" t="s">
        <v>1753</v>
      </c>
      <c r="J34">
        <v>6000</v>
      </c>
      <c r="K34" t="s">
        <v>1675</v>
      </c>
      <c r="O34" t="s">
        <v>1675</v>
      </c>
      <c r="W34">
        <v>0.43</v>
      </c>
      <c r="X34">
        <v>0.53</v>
      </c>
      <c r="Y34">
        <v>0</v>
      </c>
      <c r="Z34">
        <v>0</v>
      </c>
      <c r="AA34">
        <v>0</v>
      </c>
      <c r="AE34" t="s">
        <v>1039</v>
      </c>
      <c r="AI34">
        <v>18</v>
      </c>
      <c r="AJ34">
        <v>1850260</v>
      </c>
      <c r="AK34">
        <v>0</v>
      </c>
      <c r="AL34">
        <v>0</v>
      </c>
      <c r="AN34" t="s">
        <v>1703</v>
      </c>
      <c r="AO34">
        <v>2.6</v>
      </c>
      <c r="AX34">
        <v>20240202</v>
      </c>
      <c r="AY34" t="s">
        <v>1800</v>
      </c>
      <c r="AZ34" t="s">
        <v>1787</v>
      </c>
      <c r="BG34" s="556" t="str">
        <f t="shared" si="0"/>
        <v>O</v>
      </c>
      <c r="BH34" s="556" t="str">
        <f t="shared" si="1"/>
        <v>Y</v>
      </c>
      <c r="BI34" s="556" t="str">
        <f t="shared" si="2"/>
        <v/>
      </c>
      <c r="BJ34" s="556" t="str">
        <f t="shared" si="3"/>
        <v>M3</v>
      </c>
      <c r="BK34" s="556" t="str">
        <f t="shared" si="4"/>
        <v>M3</v>
      </c>
      <c r="BL34" s="556" t="str">
        <f t="shared" si="5"/>
        <v/>
      </c>
      <c r="BM34" s="497">
        <f t="shared" si="6"/>
        <v>20089</v>
      </c>
    </row>
    <row r="35" spans="1:65">
      <c r="A35">
        <v>40024</v>
      </c>
      <c r="B35" t="s">
        <v>1801</v>
      </c>
      <c r="C35" t="s">
        <v>1802</v>
      </c>
      <c r="D35" t="s">
        <v>1803</v>
      </c>
      <c r="F35" s="503">
        <v>44538</v>
      </c>
      <c r="H35" t="s">
        <v>1804</v>
      </c>
      <c r="I35" t="s">
        <v>1753</v>
      </c>
      <c r="J35">
        <v>5000</v>
      </c>
      <c r="K35" t="s">
        <v>1675</v>
      </c>
      <c r="O35" t="s">
        <v>1675</v>
      </c>
      <c r="W35">
        <v>0.68</v>
      </c>
      <c r="X35">
        <v>0.67</v>
      </c>
      <c r="Y35">
        <v>0</v>
      </c>
      <c r="Z35">
        <v>0</v>
      </c>
      <c r="AA35">
        <v>2</v>
      </c>
      <c r="AE35" t="s">
        <v>1039</v>
      </c>
      <c r="AI35">
        <v>60</v>
      </c>
      <c r="AJ35">
        <v>1850260</v>
      </c>
      <c r="AK35">
        <v>0</v>
      </c>
      <c r="AN35" t="s">
        <v>1703</v>
      </c>
      <c r="AO35">
        <v>2.6</v>
      </c>
      <c r="AX35">
        <v>20211208</v>
      </c>
      <c r="AY35" t="s">
        <v>1754</v>
      </c>
      <c r="BG35" s="556" t="str">
        <f t="shared" si="0"/>
        <v>O</v>
      </c>
      <c r="BH35" s="556" t="str">
        <f t="shared" si="1"/>
        <v/>
      </c>
      <c r="BI35" s="556" t="str">
        <f t="shared" si="2"/>
        <v/>
      </c>
      <c r="BJ35" s="556" t="str">
        <f t="shared" si="3"/>
        <v>M3</v>
      </c>
      <c r="BK35" s="556" t="str">
        <f t="shared" si="4"/>
        <v>M3</v>
      </c>
      <c r="BL35" s="556" t="str">
        <f t="shared" si="5"/>
        <v/>
      </c>
      <c r="BM35" s="497">
        <f t="shared" si="6"/>
        <v>40024</v>
      </c>
    </row>
    <row r="36" spans="1:65">
      <c r="A36">
        <v>54001</v>
      </c>
      <c r="B36" t="s">
        <v>1805</v>
      </c>
      <c r="C36" t="s">
        <v>1806</v>
      </c>
      <c r="D36" t="s">
        <v>1807</v>
      </c>
      <c r="F36" s="503">
        <v>44792</v>
      </c>
      <c r="H36" t="s">
        <v>1808</v>
      </c>
      <c r="I36" t="s">
        <v>1753</v>
      </c>
      <c r="J36">
        <v>5000</v>
      </c>
      <c r="K36" t="s">
        <v>1675</v>
      </c>
      <c r="O36" t="s">
        <v>1675</v>
      </c>
      <c r="W36">
        <v>0.63</v>
      </c>
      <c r="X36">
        <v>0.62</v>
      </c>
      <c r="Y36">
        <v>0</v>
      </c>
      <c r="Z36">
        <v>0</v>
      </c>
      <c r="AA36">
        <v>3</v>
      </c>
      <c r="AE36" t="s">
        <v>1039</v>
      </c>
      <c r="AI36">
        <v>60</v>
      </c>
      <c r="AJ36">
        <v>4350260</v>
      </c>
      <c r="AK36">
        <v>0</v>
      </c>
      <c r="AN36" t="s">
        <v>184</v>
      </c>
      <c r="AO36">
        <v>2.6</v>
      </c>
      <c r="AX36">
        <v>20220819</v>
      </c>
      <c r="AY36" t="s">
        <v>1754</v>
      </c>
      <c r="BG36" s="556" t="str">
        <f t="shared" si="0"/>
        <v>O</v>
      </c>
      <c r="BH36" s="556" t="str">
        <f t="shared" si="1"/>
        <v/>
      </c>
      <c r="BI36" s="556" t="str">
        <f t="shared" si="2"/>
        <v/>
      </c>
      <c r="BJ36" s="556" t="str">
        <f t="shared" si="3"/>
        <v>M3</v>
      </c>
      <c r="BK36" s="556" t="str">
        <f t="shared" si="4"/>
        <v>M3</v>
      </c>
      <c r="BL36" s="556" t="str">
        <f t="shared" si="5"/>
        <v/>
      </c>
      <c r="BM36" s="497">
        <f t="shared" si="6"/>
        <v>54001</v>
      </c>
    </row>
    <row r="37" spans="1:65">
      <c r="A37">
        <v>50303</v>
      </c>
      <c r="B37" t="s">
        <v>1719</v>
      </c>
      <c r="C37" t="s">
        <v>193</v>
      </c>
      <c r="D37" t="s">
        <v>1799</v>
      </c>
      <c r="F37" s="503">
        <v>43879</v>
      </c>
      <c r="H37" t="s">
        <v>312</v>
      </c>
      <c r="I37" t="s">
        <v>1753</v>
      </c>
      <c r="J37">
        <v>5000</v>
      </c>
      <c r="K37" t="s">
        <v>1675</v>
      </c>
      <c r="O37" t="s">
        <v>1675</v>
      </c>
      <c r="W37">
        <v>0.53</v>
      </c>
      <c r="X37">
        <v>0.55000000000000004</v>
      </c>
      <c r="Y37">
        <v>0</v>
      </c>
      <c r="Z37">
        <v>0</v>
      </c>
      <c r="AA37">
        <v>801</v>
      </c>
      <c r="AB37" t="s">
        <v>1994</v>
      </c>
      <c r="AC37" t="s">
        <v>2334</v>
      </c>
      <c r="AE37" t="s">
        <v>1773</v>
      </c>
      <c r="AI37">
        <v>60</v>
      </c>
      <c r="AJ37">
        <v>1200260</v>
      </c>
      <c r="AK37">
        <v>0</v>
      </c>
      <c r="AN37" t="s">
        <v>1720</v>
      </c>
      <c r="AO37">
        <v>2.6</v>
      </c>
      <c r="AX37">
        <v>20200218</v>
      </c>
      <c r="AY37" t="s">
        <v>1754</v>
      </c>
      <c r="BG37" s="556" t="str">
        <f t="shared" si="0"/>
        <v>O</v>
      </c>
      <c r="BH37" s="556" t="str">
        <f t="shared" si="1"/>
        <v/>
      </c>
      <c r="BI37" s="556" t="str">
        <f t="shared" si="2"/>
        <v/>
      </c>
      <c r="BJ37" s="556" t="str">
        <f t="shared" si="3"/>
        <v>M3</v>
      </c>
      <c r="BK37" s="556" t="str">
        <f t="shared" si="4"/>
        <v>M3</v>
      </c>
      <c r="BL37" s="556" t="str">
        <f t="shared" si="5"/>
        <v/>
      </c>
      <c r="BM37" s="497">
        <f t="shared" si="6"/>
        <v>50303</v>
      </c>
    </row>
    <row r="38" spans="1:65">
      <c r="A38">
        <v>51803</v>
      </c>
      <c r="B38" t="s">
        <v>3194</v>
      </c>
      <c r="C38" t="s">
        <v>204</v>
      </c>
      <c r="D38" t="s">
        <v>1772</v>
      </c>
      <c r="F38" s="503">
        <v>43819</v>
      </c>
      <c r="H38" t="s">
        <v>312</v>
      </c>
      <c r="I38" t="s">
        <v>1753</v>
      </c>
      <c r="J38">
        <v>20000</v>
      </c>
      <c r="K38" t="s">
        <v>1675</v>
      </c>
      <c r="O38" t="s">
        <v>1675</v>
      </c>
      <c r="W38">
        <v>0.59</v>
      </c>
      <c r="X38">
        <v>0.54</v>
      </c>
      <c r="Y38">
        <v>0</v>
      </c>
      <c r="Z38">
        <v>0</v>
      </c>
      <c r="AA38">
        <v>1</v>
      </c>
      <c r="AE38" t="s">
        <v>1039</v>
      </c>
      <c r="AI38">
        <v>60</v>
      </c>
      <c r="AJ38">
        <v>1000246</v>
      </c>
      <c r="AK38">
        <v>0</v>
      </c>
      <c r="AN38" t="s">
        <v>133</v>
      </c>
      <c r="AO38">
        <v>2.46</v>
      </c>
      <c r="AX38">
        <v>20191220</v>
      </c>
      <c r="AY38" t="s">
        <v>1754</v>
      </c>
      <c r="BG38" s="556" t="str">
        <f t="shared" si="0"/>
        <v>O</v>
      </c>
      <c r="BH38" s="556" t="str">
        <f t="shared" si="1"/>
        <v/>
      </c>
      <c r="BI38" s="556" t="str">
        <f t="shared" si="2"/>
        <v/>
      </c>
      <c r="BJ38" s="556" t="str">
        <f t="shared" si="3"/>
        <v>M3</v>
      </c>
      <c r="BK38" s="556" t="str">
        <f t="shared" si="4"/>
        <v>M3</v>
      </c>
      <c r="BL38" s="556" t="str">
        <f t="shared" si="5"/>
        <v/>
      </c>
      <c r="BM38" s="497">
        <f t="shared" si="6"/>
        <v>51803</v>
      </c>
    </row>
    <row r="39" spans="1:65">
      <c r="A39">
        <v>51811</v>
      </c>
      <c r="B39" t="s">
        <v>550</v>
      </c>
      <c r="C39" t="s">
        <v>148</v>
      </c>
      <c r="D39" t="s">
        <v>1772</v>
      </c>
      <c r="F39" s="503">
        <v>43965</v>
      </c>
      <c r="H39" t="s">
        <v>312</v>
      </c>
      <c r="I39" t="s">
        <v>1753</v>
      </c>
      <c r="J39">
        <v>20000</v>
      </c>
      <c r="K39" t="s">
        <v>1675</v>
      </c>
      <c r="O39" t="s">
        <v>1675</v>
      </c>
      <c r="W39">
        <v>0.51</v>
      </c>
      <c r="X39">
        <v>0.53</v>
      </c>
      <c r="Y39">
        <v>0</v>
      </c>
      <c r="Z39">
        <v>0</v>
      </c>
      <c r="AA39">
        <v>2</v>
      </c>
      <c r="AE39" t="s">
        <v>1773</v>
      </c>
      <c r="AI39">
        <v>60</v>
      </c>
      <c r="AJ39">
        <v>1850246</v>
      </c>
      <c r="AK39">
        <v>0</v>
      </c>
      <c r="AL39">
        <v>0</v>
      </c>
      <c r="AN39" t="s">
        <v>1703</v>
      </c>
      <c r="AO39">
        <v>2.46</v>
      </c>
      <c r="AX39">
        <v>20200514</v>
      </c>
      <c r="AY39" t="s">
        <v>1754</v>
      </c>
      <c r="BG39" s="556" t="str">
        <f t="shared" si="0"/>
        <v>O</v>
      </c>
      <c r="BH39" s="556" t="str">
        <f t="shared" si="1"/>
        <v/>
      </c>
      <c r="BI39" s="556" t="str">
        <f t="shared" si="2"/>
        <v/>
      </c>
      <c r="BJ39" s="556" t="str">
        <f t="shared" si="3"/>
        <v>M3</v>
      </c>
      <c r="BK39" s="556" t="str">
        <f t="shared" si="4"/>
        <v>M3</v>
      </c>
      <c r="BL39" s="556" t="str">
        <f t="shared" si="5"/>
        <v/>
      </c>
      <c r="BM39" s="497">
        <f t="shared" si="6"/>
        <v>51811</v>
      </c>
    </row>
    <row r="40" spans="1:65">
      <c r="A40">
        <v>52107</v>
      </c>
      <c r="B40" t="s">
        <v>514</v>
      </c>
      <c r="C40" t="s">
        <v>148</v>
      </c>
      <c r="D40" t="s">
        <v>1796</v>
      </c>
      <c r="F40" s="503">
        <v>43775</v>
      </c>
      <c r="H40" t="s">
        <v>312</v>
      </c>
      <c r="I40" t="s">
        <v>1753</v>
      </c>
      <c r="J40">
        <v>5000</v>
      </c>
      <c r="K40" t="s">
        <v>1675</v>
      </c>
      <c r="O40" t="s">
        <v>1675</v>
      </c>
      <c r="W40">
        <v>0.51</v>
      </c>
      <c r="X40">
        <v>0.53</v>
      </c>
      <c r="Y40">
        <v>0</v>
      </c>
      <c r="Z40">
        <v>0</v>
      </c>
      <c r="AA40">
        <v>2</v>
      </c>
      <c r="AE40" t="s">
        <v>1221</v>
      </c>
      <c r="AI40">
        <v>60</v>
      </c>
      <c r="AJ40">
        <v>1850246</v>
      </c>
      <c r="AK40">
        <v>0</v>
      </c>
      <c r="AL40">
        <v>0</v>
      </c>
      <c r="AN40" t="s">
        <v>1703</v>
      </c>
      <c r="AO40">
        <v>2.46</v>
      </c>
      <c r="AX40">
        <v>20191106</v>
      </c>
      <c r="AY40" t="s">
        <v>1754</v>
      </c>
      <c r="BG40" s="556" t="str">
        <f t="shared" si="0"/>
        <v>O</v>
      </c>
      <c r="BH40" s="556" t="str">
        <f t="shared" si="1"/>
        <v/>
      </c>
      <c r="BI40" s="556" t="str">
        <f t="shared" si="2"/>
        <v/>
      </c>
      <c r="BJ40" s="556" t="str">
        <f t="shared" si="3"/>
        <v>M3</v>
      </c>
      <c r="BK40" s="556" t="str">
        <f t="shared" si="4"/>
        <v>M3</v>
      </c>
      <c r="BL40" s="556" t="str">
        <f t="shared" si="5"/>
        <v/>
      </c>
      <c r="BM40" s="497">
        <f t="shared" si="6"/>
        <v>52107</v>
      </c>
    </row>
    <row r="41" spans="1:65">
      <c r="A41">
        <v>51809</v>
      </c>
      <c r="B41" t="s">
        <v>3275</v>
      </c>
      <c r="C41" t="s">
        <v>148</v>
      </c>
      <c r="D41" t="s">
        <v>1772</v>
      </c>
      <c r="F41" s="503">
        <v>43938</v>
      </c>
      <c r="H41" t="s">
        <v>312</v>
      </c>
      <c r="I41" t="s">
        <v>1753</v>
      </c>
      <c r="J41">
        <v>20000</v>
      </c>
      <c r="K41" t="s">
        <v>1675</v>
      </c>
      <c r="O41" t="s">
        <v>1675</v>
      </c>
      <c r="W41">
        <v>0.51</v>
      </c>
      <c r="X41">
        <v>0.52</v>
      </c>
      <c r="Y41">
        <v>0</v>
      </c>
      <c r="Z41">
        <v>0</v>
      </c>
      <c r="AA41">
        <v>2</v>
      </c>
      <c r="AE41" t="s">
        <v>1039</v>
      </c>
      <c r="AI41">
        <v>60</v>
      </c>
      <c r="AJ41">
        <v>1850246</v>
      </c>
      <c r="AK41">
        <v>0</v>
      </c>
      <c r="AN41" t="s">
        <v>1703</v>
      </c>
      <c r="AO41">
        <v>2.46</v>
      </c>
      <c r="AX41">
        <v>20200417</v>
      </c>
      <c r="AY41" t="s">
        <v>1754</v>
      </c>
      <c r="BG41" s="556" t="str">
        <f t="shared" si="0"/>
        <v>O</v>
      </c>
      <c r="BH41" s="556" t="str">
        <f t="shared" si="1"/>
        <v/>
      </c>
      <c r="BI41" s="556" t="str">
        <f t="shared" si="2"/>
        <v/>
      </c>
      <c r="BJ41" s="556" t="str">
        <f t="shared" si="3"/>
        <v>M3</v>
      </c>
      <c r="BK41" s="556" t="str">
        <f t="shared" si="4"/>
        <v>M3</v>
      </c>
      <c r="BL41" s="556" t="str">
        <f t="shared" si="5"/>
        <v/>
      </c>
      <c r="BM41" s="497">
        <f t="shared" si="6"/>
        <v>51809</v>
      </c>
    </row>
    <row r="42" spans="1:65">
      <c r="A42">
        <v>54000</v>
      </c>
      <c r="B42" t="s">
        <v>1809</v>
      </c>
      <c r="C42" t="s">
        <v>1810</v>
      </c>
      <c r="D42" t="s">
        <v>1807</v>
      </c>
      <c r="F42" s="503">
        <v>44792</v>
      </c>
      <c r="H42" t="s">
        <v>1808</v>
      </c>
      <c r="I42" t="s">
        <v>1753</v>
      </c>
      <c r="J42">
        <v>5000</v>
      </c>
      <c r="K42" t="s">
        <v>1675</v>
      </c>
      <c r="O42" t="s">
        <v>1675</v>
      </c>
      <c r="W42">
        <v>0.64</v>
      </c>
      <c r="X42">
        <v>0.65</v>
      </c>
      <c r="Y42">
        <v>0</v>
      </c>
      <c r="Z42">
        <v>0</v>
      </c>
      <c r="AA42">
        <v>3</v>
      </c>
      <c r="AE42" t="s">
        <v>1773</v>
      </c>
      <c r="AI42">
        <v>60</v>
      </c>
      <c r="AJ42">
        <v>4350260</v>
      </c>
      <c r="AK42">
        <v>0</v>
      </c>
      <c r="AN42" t="s">
        <v>184</v>
      </c>
      <c r="AO42">
        <v>2.6</v>
      </c>
      <c r="AX42">
        <v>20220819</v>
      </c>
      <c r="AY42" t="s">
        <v>1754</v>
      </c>
      <c r="BG42" s="556" t="str">
        <f t="shared" si="0"/>
        <v>O</v>
      </c>
      <c r="BH42" s="556" t="str">
        <f t="shared" si="1"/>
        <v/>
      </c>
      <c r="BI42" s="556" t="str">
        <f t="shared" si="2"/>
        <v/>
      </c>
      <c r="BJ42" s="556" t="str">
        <f t="shared" si="3"/>
        <v>M3</v>
      </c>
      <c r="BK42" s="556" t="str">
        <f t="shared" si="4"/>
        <v>M3</v>
      </c>
      <c r="BL42" s="556" t="str">
        <f t="shared" si="5"/>
        <v/>
      </c>
      <c r="BM42" s="497">
        <f t="shared" si="6"/>
        <v>54000</v>
      </c>
    </row>
    <row r="43" spans="1:65">
      <c r="A43">
        <v>52110</v>
      </c>
      <c r="B43" t="s">
        <v>337</v>
      </c>
      <c r="C43" t="s">
        <v>334</v>
      </c>
      <c r="D43" t="s">
        <v>1796</v>
      </c>
      <c r="F43" s="503">
        <v>43775</v>
      </c>
      <c r="H43" t="s">
        <v>312</v>
      </c>
      <c r="I43" t="s">
        <v>1753</v>
      </c>
      <c r="J43">
        <v>5000</v>
      </c>
      <c r="K43" t="s">
        <v>1675</v>
      </c>
      <c r="O43" t="s">
        <v>1675</v>
      </c>
      <c r="W43">
        <v>0.61</v>
      </c>
      <c r="X43">
        <v>0.61</v>
      </c>
      <c r="Y43">
        <v>0</v>
      </c>
      <c r="Z43">
        <v>0</v>
      </c>
      <c r="AA43">
        <v>0</v>
      </c>
      <c r="AE43" t="s">
        <v>1221</v>
      </c>
      <c r="AI43">
        <v>57</v>
      </c>
      <c r="AJ43">
        <v>1000260</v>
      </c>
      <c r="AK43">
        <v>0</v>
      </c>
      <c r="AL43">
        <v>0</v>
      </c>
      <c r="AN43" t="s">
        <v>133</v>
      </c>
      <c r="AO43">
        <v>2.6</v>
      </c>
      <c r="AX43">
        <v>20191106</v>
      </c>
      <c r="AY43" t="s">
        <v>1780</v>
      </c>
      <c r="BG43" s="556" t="str">
        <f t="shared" si="0"/>
        <v>O</v>
      </c>
      <c r="BH43" s="556" t="str">
        <f t="shared" si="1"/>
        <v/>
      </c>
      <c r="BI43" s="556" t="str">
        <f t="shared" si="2"/>
        <v/>
      </c>
      <c r="BJ43" s="556" t="str">
        <f t="shared" si="3"/>
        <v>M3</v>
      </c>
      <c r="BK43" s="556" t="str">
        <f t="shared" si="4"/>
        <v>M3</v>
      </c>
      <c r="BL43" s="556" t="str">
        <f t="shared" si="5"/>
        <v/>
      </c>
      <c r="BM43" s="497">
        <f t="shared" si="6"/>
        <v>52110</v>
      </c>
    </row>
    <row r="44" spans="1:65">
      <c r="A44">
        <v>55702</v>
      </c>
      <c r="B44" t="s">
        <v>3028</v>
      </c>
      <c r="C44" t="s">
        <v>3029</v>
      </c>
      <c r="D44" t="s">
        <v>2604</v>
      </c>
      <c r="F44" s="503">
        <v>45657</v>
      </c>
      <c r="H44" t="s">
        <v>1808</v>
      </c>
      <c r="I44" t="s">
        <v>1753</v>
      </c>
      <c r="J44">
        <v>5000</v>
      </c>
      <c r="K44" t="s">
        <v>1675</v>
      </c>
      <c r="O44" t="s">
        <v>1675</v>
      </c>
      <c r="W44">
        <v>0.62</v>
      </c>
      <c r="X44">
        <v>0.62</v>
      </c>
      <c r="Y44">
        <v>0</v>
      </c>
      <c r="Z44">
        <v>0</v>
      </c>
      <c r="AA44">
        <v>0</v>
      </c>
      <c r="AE44" t="s">
        <v>1039</v>
      </c>
      <c r="AI44">
        <v>57</v>
      </c>
      <c r="AJ44">
        <v>1000260</v>
      </c>
      <c r="AK44">
        <v>0</v>
      </c>
      <c r="AL44">
        <v>0</v>
      </c>
      <c r="AN44" t="s">
        <v>133</v>
      </c>
      <c r="AO44">
        <v>2.6</v>
      </c>
      <c r="AX44">
        <v>20241231</v>
      </c>
      <c r="AY44" t="s">
        <v>1780</v>
      </c>
      <c r="BG44" s="556" t="str">
        <f t="shared" si="0"/>
        <v>O</v>
      </c>
      <c r="BH44" s="556" t="str">
        <f t="shared" si="1"/>
        <v/>
      </c>
      <c r="BI44" s="556" t="str">
        <f t="shared" si="2"/>
        <v/>
      </c>
      <c r="BJ44" s="556" t="str">
        <f t="shared" si="3"/>
        <v>M3</v>
      </c>
      <c r="BK44" s="556" t="str">
        <f t="shared" si="4"/>
        <v>M3</v>
      </c>
      <c r="BL44" s="556" t="str">
        <f t="shared" si="5"/>
        <v/>
      </c>
      <c r="BM44" s="497">
        <f t="shared" si="6"/>
        <v>55702</v>
      </c>
    </row>
    <row r="45" spans="1:65">
      <c r="A45">
        <v>50302</v>
      </c>
      <c r="B45" t="s">
        <v>591</v>
      </c>
      <c r="C45" t="s">
        <v>334</v>
      </c>
      <c r="D45" t="s">
        <v>1799</v>
      </c>
      <c r="F45" s="503">
        <v>43879</v>
      </c>
      <c r="H45" t="s">
        <v>312</v>
      </c>
      <c r="I45" t="s">
        <v>1753</v>
      </c>
      <c r="J45">
        <v>5000</v>
      </c>
      <c r="K45" t="s">
        <v>1675</v>
      </c>
      <c r="O45" t="s">
        <v>1675</v>
      </c>
      <c r="W45">
        <v>0.51</v>
      </c>
      <c r="X45">
        <v>0.69</v>
      </c>
      <c r="Y45">
        <v>0</v>
      </c>
      <c r="Z45">
        <v>0</v>
      </c>
      <c r="AA45">
        <v>0</v>
      </c>
      <c r="AE45" t="s">
        <v>1773</v>
      </c>
      <c r="AI45">
        <v>57</v>
      </c>
      <c r="AJ45">
        <v>1850260</v>
      </c>
      <c r="AK45">
        <v>0</v>
      </c>
      <c r="AL45">
        <v>0</v>
      </c>
      <c r="AN45" t="s">
        <v>1703</v>
      </c>
      <c r="AO45">
        <v>2.6</v>
      </c>
      <c r="AX45">
        <v>20200218</v>
      </c>
      <c r="AY45" t="s">
        <v>1780</v>
      </c>
      <c r="BG45" s="556" t="str">
        <f t="shared" si="0"/>
        <v>O</v>
      </c>
      <c r="BH45" s="556" t="str">
        <f t="shared" si="1"/>
        <v/>
      </c>
      <c r="BI45" s="556" t="str">
        <f t="shared" si="2"/>
        <v/>
      </c>
      <c r="BJ45" s="556" t="str">
        <f t="shared" si="3"/>
        <v>M3</v>
      </c>
      <c r="BK45" s="556" t="str">
        <f t="shared" si="4"/>
        <v>M3</v>
      </c>
      <c r="BL45" s="556" t="str">
        <f t="shared" si="5"/>
        <v/>
      </c>
      <c r="BM45" s="497">
        <f t="shared" si="6"/>
        <v>50302</v>
      </c>
    </row>
    <row r="46" spans="1:65">
      <c r="A46">
        <v>40225</v>
      </c>
      <c r="B46" t="s">
        <v>2857</v>
      </c>
      <c r="C46" t="s">
        <v>1812</v>
      </c>
      <c r="D46" t="s">
        <v>1771</v>
      </c>
      <c r="F46" s="503">
        <v>45359</v>
      </c>
      <c r="H46" t="s">
        <v>312</v>
      </c>
      <c r="I46" t="s">
        <v>1753</v>
      </c>
      <c r="J46">
        <v>5000</v>
      </c>
      <c r="K46" t="s">
        <v>1675</v>
      </c>
      <c r="O46" t="s">
        <v>1675</v>
      </c>
      <c r="W46">
        <v>0.62</v>
      </c>
      <c r="X46">
        <v>0.66</v>
      </c>
      <c r="Y46">
        <v>0</v>
      </c>
      <c r="Z46">
        <v>0</v>
      </c>
      <c r="AA46">
        <v>2</v>
      </c>
      <c r="AE46" t="s">
        <v>1039</v>
      </c>
      <c r="AI46">
        <v>60</v>
      </c>
      <c r="AJ46">
        <v>1850246</v>
      </c>
      <c r="AK46">
        <v>0</v>
      </c>
      <c r="AL46">
        <v>0</v>
      </c>
      <c r="AN46" t="s">
        <v>1703</v>
      </c>
      <c r="AO46">
        <v>2.46</v>
      </c>
      <c r="AX46">
        <v>20240308</v>
      </c>
      <c r="AY46" t="s">
        <v>1754</v>
      </c>
      <c r="BG46" s="556" t="str">
        <f t="shared" si="0"/>
        <v>O</v>
      </c>
      <c r="BH46" s="556" t="str">
        <f t="shared" si="1"/>
        <v/>
      </c>
      <c r="BI46" s="556" t="str">
        <f t="shared" si="2"/>
        <v/>
      </c>
      <c r="BJ46" s="556" t="str">
        <f t="shared" si="3"/>
        <v>M3</v>
      </c>
      <c r="BK46" s="556" t="str">
        <f t="shared" si="4"/>
        <v>M3</v>
      </c>
      <c r="BL46" s="556" t="str">
        <f t="shared" si="5"/>
        <v/>
      </c>
      <c r="BM46" s="497">
        <f t="shared" si="6"/>
        <v>40225</v>
      </c>
    </row>
    <row r="47" spans="1:65">
      <c r="A47">
        <v>20603</v>
      </c>
      <c r="B47" t="s">
        <v>1811</v>
      </c>
      <c r="C47" t="s">
        <v>1812</v>
      </c>
      <c r="D47" t="s">
        <v>1813</v>
      </c>
      <c r="F47" s="503">
        <v>44117</v>
      </c>
      <c r="H47" t="s">
        <v>194</v>
      </c>
      <c r="I47" t="s">
        <v>1753</v>
      </c>
      <c r="J47">
        <v>5000</v>
      </c>
      <c r="K47" t="s">
        <v>1675</v>
      </c>
      <c r="O47" t="s">
        <v>1675</v>
      </c>
      <c r="W47">
        <v>0.61</v>
      </c>
      <c r="X47">
        <v>0.66</v>
      </c>
      <c r="Y47">
        <v>0</v>
      </c>
      <c r="Z47">
        <v>0</v>
      </c>
      <c r="AA47">
        <v>0</v>
      </c>
      <c r="AE47" t="s">
        <v>1761</v>
      </c>
      <c r="AI47">
        <v>57</v>
      </c>
      <c r="AJ47">
        <v>3020246</v>
      </c>
      <c r="AK47">
        <v>0</v>
      </c>
      <c r="AN47" t="s">
        <v>135</v>
      </c>
      <c r="AO47">
        <v>2.46</v>
      </c>
      <c r="AX47">
        <v>20201013</v>
      </c>
      <c r="AY47" t="s">
        <v>1780</v>
      </c>
      <c r="BG47" s="556" t="str">
        <f t="shared" si="0"/>
        <v>O</v>
      </c>
      <c r="BH47" s="556" t="str">
        <f t="shared" si="1"/>
        <v/>
      </c>
      <c r="BI47" s="556" t="str">
        <f t="shared" si="2"/>
        <v/>
      </c>
      <c r="BJ47" s="556" t="str">
        <f t="shared" si="3"/>
        <v>M3</v>
      </c>
      <c r="BK47" s="556" t="str">
        <f t="shared" si="4"/>
        <v>M3</v>
      </c>
      <c r="BL47" s="556" t="str">
        <f t="shared" si="5"/>
        <v/>
      </c>
      <c r="BM47" s="497">
        <f t="shared" si="6"/>
        <v>20603</v>
      </c>
    </row>
    <row r="48" spans="1:65">
      <c r="A48">
        <v>40209</v>
      </c>
      <c r="B48" t="s">
        <v>2877</v>
      </c>
      <c r="C48" t="s">
        <v>546</v>
      </c>
      <c r="D48" t="s">
        <v>1771</v>
      </c>
      <c r="F48" s="503">
        <v>45359</v>
      </c>
      <c r="H48" t="s">
        <v>312</v>
      </c>
      <c r="I48" t="s">
        <v>1753</v>
      </c>
      <c r="J48">
        <v>5000</v>
      </c>
      <c r="K48" t="s">
        <v>1675</v>
      </c>
      <c r="O48" t="s">
        <v>1675</v>
      </c>
      <c r="W48">
        <v>0.64</v>
      </c>
      <c r="X48">
        <v>0.64</v>
      </c>
      <c r="Y48">
        <v>0</v>
      </c>
      <c r="Z48">
        <v>0</v>
      </c>
      <c r="AA48">
        <v>2</v>
      </c>
      <c r="AE48" t="s">
        <v>1039</v>
      </c>
      <c r="AI48">
        <v>60</v>
      </c>
      <c r="AJ48">
        <v>1850246</v>
      </c>
      <c r="AK48">
        <v>0</v>
      </c>
      <c r="AL48">
        <v>0</v>
      </c>
      <c r="AN48" t="s">
        <v>1703</v>
      </c>
      <c r="AO48">
        <v>2.46</v>
      </c>
      <c r="AX48">
        <v>20240308</v>
      </c>
      <c r="AY48" t="s">
        <v>1754</v>
      </c>
      <c r="BG48" s="556" t="str">
        <f t="shared" si="0"/>
        <v>O</v>
      </c>
      <c r="BH48" s="556" t="str">
        <f t="shared" si="1"/>
        <v/>
      </c>
      <c r="BI48" s="556" t="str">
        <f t="shared" si="2"/>
        <v/>
      </c>
      <c r="BJ48" s="556" t="str">
        <f t="shared" si="3"/>
        <v>M3</v>
      </c>
      <c r="BK48" s="556" t="str">
        <f t="shared" si="4"/>
        <v>M3</v>
      </c>
      <c r="BL48" s="556" t="str">
        <f t="shared" si="5"/>
        <v/>
      </c>
      <c r="BM48" s="497">
        <f t="shared" si="6"/>
        <v>40209</v>
      </c>
    </row>
    <row r="49" spans="1:65">
      <c r="A49">
        <v>52111</v>
      </c>
      <c r="B49" t="s">
        <v>529</v>
      </c>
      <c r="C49" t="s">
        <v>531</v>
      </c>
      <c r="D49" t="s">
        <v>1796</v>
      </c>
      <c r="F49" s="503">
        <v>43775</v>
      </c>
      <c r="H49" t="s">
        <v>532</v>
      </c>
      <c r="I49" t="s">
        <v>1753</v>
      </c>
      <c r="J49">
        <v>5000</v>
      </c>
      <c r="K49" t="s">
        <v>1675</v>
      </c>
      <c r="O49" t="s">
        <v>1675</v>
      </c>
      <c r="W49">
        <v>0.59</v>
      </c>
      <c r="X49">
        <v>0.61</v>
      </c>
      <c r="Y49">
        <v>0</v>
      </c>
      <c r="Z49">
        <v>0</v>
      </c>
      <c r="AA49">
        <v>2</v>
      </c>
      <c r="AE49" t="s">
        <v>1221</v>
      </c>
      <c r="AI49">
        <v>60</v>
      </c>
      <c r="AJ49">
        <v>1850246</v>
      </c>
      <c r="AK49">
        <v>0</v>
      </c>
      <c r="AL49">
        <v>0</v>
      </c>
      <c r="AN49" t="s">
        <v>1703</v>
      </c>
      <c r="AO49">
        <v>2.46</v>
      </c>
      <c r="AX49">
        <v>20191106</v>
      </c>
      <c r="AY49" t="s">
        <v>1754</v>
      </c>
      <c r="BG49" s="556" t="str">
        <f t="shared" si="0"/>
        <v>O</v>
      </c>
      <c r="BH49" s="556" t="str">
        <f t="shared" si="1"/>
        <v/>
      </c>
      <c r="BI49" s="556" t="str">
        <f t="shared" si="2"/>
        <v/>
      </c>
      <c r="BJ49" s="556" t="str">
        <f t="shared" si="3"/>
        <v>M3</v>
      </c>
      <c r="BK49" s="556" t="str">
        <f t="shared" si="4"/>
        <v>M3</v>
      </c>
      <c r="BL49" s="556" t="str">
        <f t="shared" si="5"/>
        <v/>
      </c>
      <c r="BM49" s="497">
        <f t="shared" si="6"/>
        <v>52111</v>
      </c>
    </row>
    <row r="50" spans="1:65">
      <c r="A50">
        <v>52109</v>
      </c>
      <c r="B50" t="s">
        <v>309</v>
      </c>
      <c r="C50" t="s">
        <v>311</v>
      </c>
      <c r="D50" t="s">
        <v>1796</v>
      </c>
      <c r="F50" s="503">
        <v>43774</v>
      </c>
      <c r="H50" t="s">
        <v>312</v>
      </c>
      <c r="I50" t="s">
        <v>1753</v>
      </c>
      <c r="J50">
        <v>5000</v>
      </c>
      <c r="K50" t="s">
        <v>1068</v>
      </c>
      <c r="O50" t="s">
        <v>1675</v>
      </c>
      <c r="W50">
        <v>0.39</v>
      </c>
      <c r="X50">
        <v>0.37</v>
      </c>
      <c r="Y50">
        <v>0</v>
      </c>
      <c r="Z50">
        <v>0</v>
      </c>
      <c r="AA50">
        <v>0</v>
      </c>
      <c r="AE50" t="s">
        <v>1221</v>
      </c>
      <c r="AI50">
        <v>57</v>
      </c>
      <c r="AJ50">
        <v>1000260</v>
      </c>
      <c r="AK50">
        <v>0</v>
      </c>
      <c r="AN50" t="s">
        <v>133</v>
      </c>
      <c r="AO50">
        <v>2.6</v>
      </c>
      <c r="AX50">
        <v>20191105</v>
      </c>
      <c r="AY50" t="s">
        <v>1780</v>
      </c>
      <c r="BG50" s="556" t="str">
        <f t="shared" si="0"/>
        <v>O</v>
      </c>
      <c r="BH50" s="556" t="str">
        <f t="shared" si="1"/>
        <v/>
      </c>
      <c r="BI50" s="556" t="str">
        <f t="shared" si="2"/>
        <v/>
      </c>
      <c r="BJ50" s="556" t="str">
        <f t="shared" si="3"/>
        <v>M4</v>
      </c>
      <c r="BK50" s="556" t="str">
        <f t="shared" si="4"/>
        <v>M3</v>
      </c>
      <c r="BL50" s="556" t="str">
        <f t="shared" si="5"/>
        <v/>
      </c>
      <c r="BM50" s="497">
        <f t="shared" si="6"/>
        <v>52109</v>
      </c>
    </row>
    <row r="51" spans="1:65">
      <c r="A51">
        <v>50310</v>
      </c>
      <c r="B51" t="s">
        <v>1715</v>
      </c>
      <c r="C51" t="s">
        <v>311</v>
      </c>
      <c r="D51" t="s">
        <v>1799</v>
      </c>
      <c r="F51" s="503">
        <v>44523</v>
      </c>
      <c r="H51" t="s">
        <v>312</v>
      </c>
      <c r="I51" t="s">
        <v>1753</v>
      </c>
      <c r="J51">
        <v>8000</v>
      </c>
      <c r="K51" t="s">
        <v>1675</v>
      </c>
      <c r="O51" t="s">
        <v>1675</v>
      </c>
      <c r="W51">
        <v>0.39</v>
      </c>
      <c r="X51">
        <v>0.41</v>
      </c>
      <c r="Y51">
        <v>0</v>
      </c>
      <c r="Z51">
        <v>0</v>
      </c>
      <c r="AA51">
        <v>0</v>
      </c>
      <c r="AE51" t="s">
        <v>1039</v>
      </c>
      <c r="AI51">
        <v>57</v>
      </c>
      <c r="AJ51">
        <v>1000260</v>
      </c>
      <c r="AK51">
        <v>0</v>
      </c>
      <c r="AN51" t="s">
        <v>133</v>
      </c>
      <c r="AO51">
        <v>2.6</v>
      </c>
      <c r="AX51">
        <v>20211123</v>
      </c>
      <c r="AY51" t="s">
        <v>1780</v>
      </c>
      <c r="BG51" s="556" t="str">
        <f t="shared" si="0"/>
        <v>O</v>
      </c>
      <c r="BH51" s="556" t="str">
        <f t="shared" si="1"/>
        <v/>
      </c>
      <c r="BI51" s="556" t="str">
        <f t="shared" si="2"/>
        <v/>
      </c>
      <c r="BJ51" s="556" t="str">
        <f t="shared" si="3"/>
        <v>M3</v>
      </c>
      <c r="BK51" s="556" t="str">
        <f t="shared" si="4"/>
        <v>M3</v>
      </c>
      <c r="BL51" s="556" t="str">
        <f t="shared" si="5"/>
        <v/>
      </c>
      <c r="BM51" s="497">
        <f t="shared" si="6"/>
        <v>50310</v>
      </c>
    </row>
    <row r="52" spans="1:65">
      <c r="A52">
        <v>51505</v>
      </c>
      <c r="B52" t="s">
        <v>872</v>
      </c>
      <c r="C52" t="s">
        <v>874</v>
      </c>
      <c r="D52" t="s">
        <v>1760</v>
      </c>
      <c r="F52" s="503">
        <v>43603</v>
      </c>
      <c r="H52" t="s">
        <v>312</v>
      </c>
      <c r="I52" t="s">
        <v>1753</v>
      </c>
      <c r="J52">
        <v>5000</v>
      </c>
      <c r="K52" t="s">
        <v>1675</v>
      </c>
      <c r="O52" t="s">
        <v>1675</v>
      </c>
      <c r="W52">
        <v>0.4</v>
      </c>
      <c r="X52">
        <v>0.6</v>
      </c>
      <c r="Y52">
        <v>0</v>
      </c>
      <c r="Z52">
        <v>0</v>
      </c>
      <c r="AA52">
        <v>0</v>
      </c>
      <c r="AE52" t="s">
        <v>1761</v>
      </c>
      <c r="AI52">
        <v>57</v>
      </c>
      <c r="AJ52">
        <v>3020260</v>
      </c>
      <c r="AK52">
        <v>0</v>
      </c>
      <c r="AN52" t="s">
        <v>135</v>
      </c>
      <c r="AO52">
        <v>2.6</v>
      </c>
      <c r="AX52">
        <v>20190518</v>
      </c>
      <c r="AY52" t="s">
        <v>1780</v>
      </c>
      <c r="BG52" s="556" t="str">
        <f t="shared" si="0"/>
        <v>O</v>
      </c>
      <c r="BH52" s="556" t="str">
        <f t="shared" si="1"/>
        <v/>
      </c>
      <c r="BI52" s="556" t="str">
        <f t="shared" si="2"/>
        <v/>
      </c>
      <c r="BJ52" s="556" t="str">
        <f t="shared" si="3"/>
        <v>M3</v>
      </c>
      <c r="BK52" s="556" t="str">
        <f t="shared" si="4"/>
        <v>M3</v>
      </c>
      <c r="BL52" s="556" t="str">
        <f t="shared" si="5"/>
        <v/>
      </c>
      <c r="BM52" s="497">
        <f t="shared" si="6"/>
        <v>51505</v>
      </c>
    </row>
    <row r="53" spans="1:65">
      <c r="A53">
        <v>52106</v>
      </c>
      <c r="B53" t="s">
        <v>327</v>
      </c>
      <c r="C53" t="s">
        <v>220</v>
      </c>
      <c r="D53" t="s">
        <v>1796</v>
      </c>
      <c r="F53" s="503">
        <v>43774</v>
      </c>
      <c r="H53" t="s">
        <v>312</v>
      </c>
      <c r="I53" t="s">
        <v>1753</v>
      </c>
      <c r="J53">
        <v>5000</v>
      </c>
      <c r="K53" t="s">
        <v>1675</v>
      </c>
      <c r="O53" t="s">
        <v>1675</v>
      </c>
      <c r="W53">
        <v>0.48</v>
      </c>
      <c r="X53">
        <v>0.52</v>
      </c>
      <c r="Y53">
        <v>0</v>
      </c>
      <c r="Z53">
        <v>0</v>
      </c>
      <c r="AA53">
        <v>0</v>
      </c>
      <c r="AE53" t="s">
        <v>1221</v>
      </c>
      <c r="AI53">
        <v>57</v>
      </c>
      <c r="AJ53">
        <v>1000260</v>
      </c>
      <c r="AK53">
        <v>0</v>
      </c>
      <c r="AL53">
        <v>0</v>
      </c>
      <c r="AN53" t="s">
        <v>133</v>
      </c>
      <c r="AO53">
        <v>2.6</v>
      </c>
      <c r="AX53">
        <v>20191105</v>
      </c>
      <c r="AY53" t="s">
        <v>1780</v>
      </c>
      <c r="BG53" s="556" t="str">
        <f t="shared" si="0"/>
        <v>O</v>
      </c>
      <c r="BH53" s="556" t="str">
        <f t="shared" si="1"/>
        <v/>
      </c>
      <c r="BI53" s="556" t="str">
        <f t="shared" si="2"/>
        <v/>
      </c>
      <c r="BJ53" s="556" t="str">
        <f t="shared" si="3"/>
        <v>M3</v>
      </c>
      <c r="BK53" s="556" t="str">
        <f t="shared" si="4"/>
        <v>M3</v>
      </c>
      <c r="BL53" s="556" t="str">
        <f t="shared" si="5"/>
        <v/>
      </c>
      <c r="BM53" s="497">
        <f t="shared" si="6"/>
        <v>52106</v>
      </c>
    </row>
    <row r="54" spans="1:65">
      <c r="A54">
        <v>52112</v>
      </c>
      <c r="B54" t="s">
        <v>322</v>
      </c>
      <c r="C54" t="s">
        <v>324</v>
      </c>
      <c r="D54" t="s">
        <v>1796</v>
      </c>
      <c r="F54" s="503">
        <v>43774</v>
      </c>
      <c r="H54" t="s">
        <v>312</v>
      </c>
      <c r="I54" t="s">
        <v>1753</v>
      </c>
      <c r="J54">
        <v>5000</v>
      </c>
      <c r="K54" t="s">
        <v>1675</v>
      </c>
      <c r="O54" t="s">
        <v>2300</v>
      </c>
      <c r="W54">
        <v>0.48</v>
      </c>
      <c r="X54">
        <v>0.65</v>
      </c>
      <c r="Y54">
        <v>0</v>
      </c>
      <c r="Z54">
        <v>0</v>
      </c>
      <c r="AA54">
        <v>0</v>
      </c>
      <c r="AE54" t="s">
        <v>1221</v>
      </c>
      <c r="AI54">
        <v>18</v>
      </c>
      <c r="AJ54">
        <v>1000260</v>
      </c>
      <c r="AK54">
        <v>0</v>
      </c>
      <c r="AN54" t="s">
        <v>133</v>
      </c>
      <c r="AO54">
        <v>2.6</v>
      </c>
      <c r="AQ54" t="s">
        <v>2947</v>
      </c>
      <c r="AX54">
        <v>20191105</v>
      </c>
      <c r="AY54" t="s">
        <v>1800</v>
      </c>
      <c r="AZ54" t="s">
        <v>1792</v>
      </c>
      <c r="BA54" t="s">
        <v>1787</v>
      </c>
      <c r="BG54" s="556" t="str">
        <f t="shared" si="0"/>
        <v>O</v>
      </c>
      <c r="BH54" s="556" t="str">
        <f t="shared" si="1"/>
        <v>Y</v>
      </c>
      <c r="BI54" s="556" t="str">
        <f t="shared" si="2"/>
        <v/>
      </c>
      <c r="BJ54" s="556" t="str">
        <f t="shared" si="3"/>
        <v>M3</v>
      </c>
      <c r="BK54" s="556" t="str">
        <f t="shared" si="4"/>
        <v>S6</v>
      </c>
      <c r="BL54" s="556" t="str">
        <f t="shared" si="5"/>
        <v/>
      </c>
      <c r="BM54" s="497">
        <f t="shared" si="6"/>
        <v>52112</v>
      </c>
    </row>
    <row r="55" spans="1:65">
      <c r="A55">
        <v>37000</v>
      </c>
      <c r="B55" t="s">
        <v>1814</v>
      </c>
      <c r="C55" t="s">
        <v>113</v>
      </c>
      <c r="D55" t="s">
        <v>1815</v>
      </c>
      <c r="F55" s="503">
        <v>43491</v>
      </c>
      <c r="H55" t="s">
        <v>194</v>
      </c>
      <c r="I55" t="s">
        <v>1753</v>
      </c>
      <c r="J55">
        <v>0</v>
      </c>
      <c r="K55" t="s">
        <v>1675</v>
      </c>
      <c r="O55" t="s">
        <v>2300</v>
      </c>
      <c r="W55">
        <v>0.47</v>
      </c>
      <c r="X55">
        <v>0.51</v>
      </c>
      <c r="Y55">
        <v>0</v>
      </c>
      <c r="Z55">
        <v>0</v>
      </c>
      <c r="AA55">
        <v>0</v>
      </c>
      <c r="AE55" t="s">
        <v>1039</v>
      </c>
      <c r="AI55">
        <v>18</v>
      </c>
      <c r="AJ55">
        <v>1000260</v>
      </c>
      <c r="AK55">
        <v>0</v>
      </c>
      <c r="AN55" t="s">
        <v>133</v>
      </c>
      <c r="AO55">
        <v>2.6</v>
      </c>
      <c r="AX55">
        <v>20190126</v>
      </c>
      <c r="AY55" t="s">
        <v>1800</v>
      </c>
      <c r="AZ55" t="s">
        <v>1787</v>
      </c>
      <c r="BG55" s="556" t="str">
        <f t="shared" si="0"/>
        <v>O</v>
      </c>
      <c r="BH55" s="556" t="str">
        <f t="shared" si="1"/>
        <v>Y</v>
      </c>
      <c r="BI55" s="556" t="str">
        <f t="shared" si="2"/>
        <v/>
      </c>
      <c r="BJ55" s="556" t="str">
        <f t="shared" si="3"/>
        <v>M3</v>
      </c>
      <c r="BK55" s="556" t="str">
        <f t="shared" si="4"/>
        <v>S6</v>
      </c>
      <c r="BL55" s="556" t="str">
        <f t="shared" si="5"/>
        <v/>
      </c>
      <c r="BM55" s="497">
        <f t="shared" si="6"/>
        <v>37000</v>
      </c>
    </row>
    <row r="56" spans="1:65">
      <c r="A56">
        <v>20064</v>
      </c>
      <c r="B56" t="s">
        <v>589</v>
      </c>
      <c r="C56" t="s">
        <v>220</v>
      </c>
      <c r="D56" t="s">
        <v>1816</v>
      </c>
      <c r="F56" s="503">
        <v>43334</v>
      </c>
      <c r="H56" t="s">
        <v>194</v>
      </c>
      <c r="I56" t="s">
        <v>1753</v>
      </c>
      <c r="J56">
        <v>0</v>
      </c>
      <c r="K56" t="s">
        <v>1675</v>
      </c>
      <c r="O56" t="s">
        <v>1675</v>
      </c>
      <c r="W56">
        <v>0.53</v>
      </c>
      <c r="X56">
        <v>0.53</v>
      </c>
      <c r="Y56">
        <v>0</v>
      </c>
      <c r="Z56">
        <v>0</v>
      </c>
      <c r="AA56">
        <v>2</v>
      </c>
      <c r="AE56" t="s">
        <v>1039</v>
      </c>
      <c r="AI56">
        <v>60</v>
      </c>
      <c r="AJ56">
        <v>1850260</v>
      </c>
      <c r="AK56">
        <v>0</v>
      </c>
      <c r="AN56" t="s">
        <v>1703</v>
      </c>
      <c r="AO56">
        <v>2.6</v>
      </c>
      <c r="AX56">
        <v>20180822</v>
      </c>
      <c r="AY56" t="s">
        <v>1754</v>
      </c>
      <c r="BG56" s="556" t="str">
        <f t="shared" si="0"/>
        <v>O</v>
      </c>
      <c r="BH56" s="556" t="str">
        <f t="shared" si="1"/>
        <v/>
      </c>
      <c r="BI56" s="556" t="str">
        <f t="shared" si="2"/>
        <v/>
      </c>
      <c r="BJ56" s="556" t="str">
        <f t="shared" si="3"/>
        <v>M3</v>
      </c>
      <c r="BK56" s="556" t="str">
        <f t="shared" si="4"/>
        <v>M3</v>
      </c>
      <c r="BL56" s="556" t="str">
        <f t="shared" si="5"/>
        <v/>
      </c>
      <c r="BM56" s="497">
        <f t="shared" si="6"/>
        <v>20064</v>
      </c>
    </row>
    <row r="57" spans="1:65">
      <c r="A57">
        <v>33002</v>
      </c>
      <c r="B57" t="s">
        <v>1817</v>
      </c>
      <c r="C57" t="s">
        <v>961</v>
      </c>
      <c r="D57" t="s">
        <v>1770</v>
      </c>
      <c r="F57" s="503">
        <v>43343</v>
      </c>
      <c r="H57" t="s">
        <v>194</v>
      </c>
      <c r="I57" t="s">
        <v>1753</v>
      </c>
      <c r="J57">
        <v>5000</v>
      </c>
      <c r="K57" t="s">
        <v>1756</v>
      </c>
      <c r="W57">
        <v>0</v>
      </c>
      <c r="X57">
        <v>0.53</v>
      </c>
      <c r="Y57">
        <v>0</v>
      </c>
      <c r="Z57">
        <v>0</v>
      </c>
      <c r="AA57">
        <v>0</v>
      </c>
      <c r="AE57" t="s">
        <v>1761</v>
      </c>
      <c r="AI57">
        <v>80</v>
      </c>
      <c r="AJ57">
        <v>3020246</v>
      </c>
      <c r="AK57">
        <v>0</v>
      </c>
      <c r="AL57">
        <v>0</v>
      </c>
      <c r="AN57" t="s">
        <v>135</v>
      </c>
      <c r="AO57">
        <v>2.46</v>
      </c>
      <c r="AX57">
        <v>20180831</v>
      </c>
      <c r="AY57" t="s">
        <v>1762</v>
      </c>
      <c r="BG57" s="556" t="str">
        <f t="shared" si="0"/>
        <v>X</v>
      </c>
      <c r="BH57" s="556" t="str">
        <f t="shared" si="1"/>
        <v/>
      </c>
      <c r="BI57" s="556" t="str">
        <f t="shared" si="2"/>
        <v/>
      </c>
      <c r="BJ57" s="556" t="str">
        <f t="shared" si="3"/>
        <v>Z</v>
      </c>
      <c r="BK57" s="556">
        <f t="shared" si="4"/>
        <v>0</v>
      </c>
      <c r="BL57" s="556" t="str">
        <f t="shared" si="5"/>
        <v/>
      </c>
      <c r="BM57" s="497">
        <f t="shared" si="6"/>
        <v>33002</v>
      </c>
    </row>
    <row r="58" spans="1:65">
      <c r="A58">
        <v>20097</v>
      </c>
      <c r="B58" t="s">
        <v>3208</v>
      </c>
      <c r="C58" t="s">
        <v>3209</v>
      </c>
      <c r="D58" t="s">
        <v>1774</v>
      </c>
      <c r="F58" s="503">
        <v>45862</v>
      </c>
      <c r="H58" t="s">
        <v>312</v>
      </c>
      <c r="I58" t="s">
        <v>1753</v>
      </c>
      <c r="J58">
        <v>5000</v>
      </c>
      <c r="K58" t="s">
        <v>1675</v>
      </c>
      <c r="O58" t="s">
        <v>1675</v>
      </c>
      <c r="W58">
        <v>0.46</v>
      </c>
      <c r="X58">
        <v>0.46</v>
      </c>
      <c r="Y58">
        <v>0</v>
      </c>
      <c r="Z58">
        <v>0</v>
      </c>
      <c r="AA58">
        <v>2</v>
      </c>
      <c r="AE58" t="s">
        <v>1039</v>
      </c>
      <c r="AI58">
        <v>60</v>
      </c>
      <c r="AJ58">
        <v>1850246</v>
      </c>
      <c r="AK58">
        <v>0</v>
      </c>
      <c r="AL58">
        <v>0</v>
      </c>
      <c r="AN58" t="s">
        <v>1703</v>
      </c>
      <c r="AO58">
        <v>2.46</v>
      </c>
      <c r="AX58">
        <v>20250724</v>
      </c>
      <c r="AY58" t="s">
        <v>1754</v>
      </c>
      <c r="BG58" s="556" t="str">
        <f t="shared" si="0"/>
        <v>O</v>
      </c>
      <c r="BH58" s="556" t="str">
        <f t="shared" si="1"/>
        <v/>
      </c>
      <c r="BI58" s="556" t="str">
        <f t="shared" si="2"/>
        <v/>
      </c>
      <c r="BJ58" s="556" t="str">
        <f t="shared" si="3"/>
        <v>M3</v>
      </c>
      <c r="BK58" s="556" t="str">
        <f t="shared" si="4"/>
        <v>M3</v>
      </c>
      <c r="BL58" s="556" t="str">
        <f t="shared" si="5"/>
        <v/>
      </c>
      <c r="BM58" s="497">
        <f t="shared" si="6"/>
        <v>20097</v>
      </c>
    </row>
    <row r="59" spans="1:65">
      <c r="A59">
        <v>51833</v>
      </c>
      <c r="B59" t="s">
        <v>1818</v>
      </c>
      <c r="C59" t="s">
        <v>209</v>
      </c>
      <c r="D59" t="s">
        <v>1772</v>
      </c>
      <c r="F59" s="503">
        <v>44790</v>
      </c>
      <c r="H59" t="s">
        <v>194</v>
      </c>
      <c r="I59" t="s">
        <v>1753</v>
      </c>
      <c r="J59">
        <v>0</v>
      </c>
      <c r="K59" t="s">
        <v>1675</v>
      </c>
      <c r="O59" t="s">
        <v>1675</v>
      </c>
      <c r="W59">
        <v>0.5</v>
      </c>
      <c r="X59">
        <v>0.48</v>
      </c>
      <c r="Y59">
        <v>0</v>
      </c>
      <c r="Z59">
        <v>0</v>
      </c>
      <c r="AA59">
        <v>2</v>
      </c>
      <c r="AE59" t="s">
        <v>1773</v>
      </c>
      <c r="AI59">
        <v>60</v>
      </c>
      <c r="AJ59">
        <v>1850246</v>
      </c>
      <c r="AK59">
        <v>0</v>
      </c>
      <c r="AN59" t="s">
        <v>1703</v>
      </c>
      <c r="AO59">
        <v>2.46</v>
      </c>
      <c r="AX59">
        <v>20220817</v>
      </c>
      <c r="AY59" t="s">
        <v>1754</v>
      </c>
      <c r="BG59" s="556" t="str">
        <f t="shared" si="0"/>
        <v>O</v>
      </c>
      <c r="BH59" s="556" t="str">
        <f t="shared" si="1"/>
        <v/>
      </c>
      <c r="BI59" s="556" t="str">
        <f t="shared" si="2"/>
        <v/>
      </c>
      <c r="BJ59" s="556" t="str">
        <f t="shared" si="3"/>
        <v>M3</v>
      </c>
      <c r="BK59" s="556" t="str">
        <f t="shared" si="4"/>
        <v>M3</v>
      </c>
      <c r="BL59" s="556" t="str">
        <f t="shared" si="5"/>
        <v/>
      </c>
      <c r="BM59" s="497">
        <f t="shared" si="6"/>
        <v>51833</v>
      </c>
    </row>
    <row r="60" spans="1:65">
      <c r="A60">
        <v>52108</v>
      </c>
      <c r="B60" t="s">
        <v>509</v>
      </c>
      <c r="C60" t="s">
        <v>167</v>
      </c>
      <c r="D60" t="s">
        <v>1796</v>
      </c>
      <c r="F60" s="503">
        <v>43775</v>
      </c>
      <c r="H60" t="s">
        <v>312</v>
      </c>
      <c r="I60" t="s">
        <v>1753</v>
      </c>
      <c r="J60">
        <v>5000</v>
      </c>
      <c r="K60" t="s">
        <v>1675</v>
      </c>
      <c r="O60" t="s">
        <v>1675</v>
      </c>
      <c r="W60">
        <v>0.44</v>
      </c>
      <c r="X60">
        <v>0.44</v>
      </c>
      <c r="Y60">
        <v>0</v>
      </c>
      <c r="Z60">
        <v>0</v>
      </c>
      <c r="AA60">
        <v>2</v>
      </c>
      <c r="AE60" t="s">
        <v>1221</v>
      </c>
      <c r="AI60">
        <v>60</v>
      </c>
      <c r="AJ60">
        <v>1850246</v>
      </c>
      <c r="AK60">
        <v>0</v>
      </c>
      <c r="AN60" t="s">
        <v>1703</v>
      </c>
      <c r="AO60">
        <v>2.46</v>
      </c>
      <c r="AX60">
        <v>20191106</v>
      </c>
      <c r="AY60" t="s">
        <v>1754</v>
      </c>
      <c r="BG60" s="556" t="str">
        <f t="shared" si="0"/>
        <v>O</v>
      </c>
      <c r="BH60" s="556" t="str">
        <f t="shared" si="1"/>
        <v/>
      </c>
      <c r="BI60" s="556" t="str">
        <f t="shared" si="2"/>
        <v/>
      </c>
      <c r="BJ60" s="556" t="str">
        <f t="shared" si="3"/>
        <v>M3</v>
      </c>
      <c r="BK60" s="556" t="str">
        <f t="shared" si="4"/>
        <v>M3</v>
      </c>
      <c r="BL60" s="556" t="str">
        <f t="shared" si="5"/>
        <v/>
      </c>
      <c r="BM60" s="497">
        <f t="shared" si="6"/>
        <v>52108</v>
      </c>
    </row>
    <row r="61" spans="1:65">
      <c r="A61">
        <v>53100</v>
      </c>
      <c r="B61" t="s">
        <v>1721</v>
      </c>
      <c r="C61" t="s">
        <v>167</v>
      </c>
      <c r="D61" t="s">
        <v>1819</v>
      </c>
      <c r="F61" s="503">
        <v>44414</v>
      </c>
      <c r="H61" t="s">
        <v>312</v>
      </c>
      <c r="I61" t="s">
        <v>1753</v>
      </c>
      <c r="J61">
        <v>5000</v>
      </c>
      <c r="K61" t="s">
        <v>1675</v>
      </c>
      <c r="O61" t="s">
        <v>1675</v>
      </c>
      <c r="W61">
        <v>0.52</v>
      </c>
      <c r="X61">
        <v>0.46</v>
      </c>
      <c r="Y61">
        <v>0</v>
      </c>
      <c r="Z61">
        <v>0</v>
      </c>
      <c r="AA61">
        <v>2</v>
      </c>
      <c r="AE61" t="s">
        <v>1039</v>
      </c>
      <c r="AI61">
        <v>60</v>
      </c>
      <c r="AJ61">
        <v>1850246</v>
      </c>
      <c r="AK61">
        <v>0</v>
      </c>
      <c r="AN61" t="s">
        <v>1703</v>
      </c>
      <c r="AO61">
        <v>2.46</v>
      </c>
      <c r="AX61">
        <v>20210806</v>
      </c>
      <c r="AY61" t="s">
        <v>1754</v>
      </c>
      <c r="BG61" s="556" t="str">
        <f t="shared" si="0"/>
        <v>O</v>
      </c>
      <c r="BH61" s="556" t="str">
        <f t="shared" si="1"/>
        <v/>
      </c>
      <c r="BI61" s="556" t="str">
        <f t="shared" si="2"/>
        <v/>
      </c>
      <c r="BJ61" s="556" t="str">
        <f t="shared" si="3"/>
        <v>M3</v>
      </c>
      <c r="BK61" s="556" t="str">
        <f t="shared" si="4"/>
        <v>M3</v>
      </c>
      <c r="BL61" s="556" t="str">
        <f t="shared" si="5"/>
        <v/>
      </c>
      <c r="BM61" s="497">
        <f t="shared" si="6"/>
        <v>53100</v>
      </c>
    </row>
    <row r="62" spans="1:65">
      <c r="A62">
        <v>51800</v>
      </c>
      <c r="B62" t="s">
        <v>3373</v>
      </c>
      <c r="C62" t="s">
        <v>209</v>
      </c>
      <c r="D62" t="s">
        <v>1772</v>
      </c>
      <c r="F62" s="503">
        <v>43819</v>
      </c>
      <c r="H62" t="s">
        <v>312</v>
      </c>
      <c r="I62" t="s">
        <v>1753</v>
      </c>
      <c r="J62">
        <v>20000</v>
      </c>
      <c r="K62" t="s">
        <v>1675</v>
      </c>
      <c r="O62" t="s">
        <v>1675</v>
      </c>
      <c r="W62">
        <v>0.5</v>
      </c>
      <c r="X62">
        <v>0.52</v>
      </c>
      <c r="Y62">
        <v>0</v>
      </c>
      <c r="Z62">
        <v>0</v>
      </c>
      <c r="AA62">
        <v>2</v>
      </c>
      <c r="AE62" t="s">
        <v>1039</v>
      </c>
      <c r="AI62">
        <v>60</v>
      </c>
      <c r="AJ62">
        <v>1850246</v>
      </c>
      <c r="AK62">
        <v>0</v>
      </c>
      <c r="AL62">
        <v>0</v>
      </c>
      <c r="AN62" t="s">
        <v>1703</v>
      </c>
      <c r="AO62">
        <v>2.46</v>
      </c>
      <c r="AX62">
        <v>20191220</v>
      </c>
      <c r="AY62" t="s">
        <v>1754</v>
      </c>
      <c r="BG62" s="556" t="str">
        <f t="shared" si="0"/>
        <v>O</v>
      </c>
      <c r="BH62" s="556" t="str">
        <f t="shared" si="1"/>
        <v/>
      </c>
      <c r="BI62" s="556" t="str">
        <f t="shared" si="2"/>
        <v/>
      </c>
      <c r="BJ62" s="556" t="str">
        <f t="shared" si="3"/>
        <v>M3</v>
      </c>
      <c r="BK62" s="556" t="str">
        <f t="shared" si="4"/>
        <v>M3</v>
      </c>
      <c r="BL62" s="556" t="str">
        <f t="shared" si="5"/>
        <v/>
      </c>
      <c r="BM62" s="497">
        <f t="shared" si="6"/>
        <v>51800</v>
      </c>
    </row>
    <row r="63" spans="1:65">
      <c r="A63">
        <v>40048</v>
      </c>
      <c r="B63" t="s">
        <v>3016</v>
      </c>
      <c r="C63" t="s">
        <v>3017</v>
      </c>
      <c r="D63" t="s">
        <v>1803</v>
      </c>
      <c r="F63" s="503">
        <v>45657</v>
      </c>
      <c r="I63" t="s">
        <v>1753</v>
      </c>
      <c r="J63">
        <v>5000</v>
      </c>
      <c r="K63" t="s">
        <v>1675</v>
      </c>
      <c r="L63" t="s">
        <v>1068</v>
      </c>
      <c r="O63" t="s">
        <v>1675</v>
      </c>
      <c r="P63" t="s">
        <v>1068</v>
      </c>
      <c r="W63">
        <v>0.52</v>
      </c>
      <c r="X63">
        <v>0.55000000000000004</v>
      </c>
      <c r="Y63">
        <v>0</v>
      </c>
      <c r="Z63">
        <v>0</v>
      </c>
      <c r="AA63">
        <v>2</v>
      </c>
      <c r="AE63" t="s">
        <v>1039</v>
      </c>
      <c r="AI63">
        <v>69</v>
      </c>
      <c r="AJ63">
        <v>1850246</v>
      </c>
      <c r="AK63">
        <v>0</v>
      </c>
      <c r="AN63" t="s">
        <v>1703</v>
      </c>
      <c r="AO63">
        <v>2.46</v>
      </c>
      <c r="AR63" t="s">
        <v>2995</v>
      </c>
      <c r="AX63">
        <v>20241231</v>
      </c>
      <c r="AY63" t="s">
        <v>1830</v>
      </c>
      <c r="BG63" s="556" t="str">
        <f t="shared" si="0"/>
        <v>O</v>
      </c>
      <c r="BH63" s="556" t="str">
        <f t="shared" si="1"/>
        <v/>
      </c>
      <c r="BI63" s="556" t="str">
        <f t="shared" si="2"/>
        <v/>
      </c>
      <c r="BJ63" s="556" t="str">
        <f t="shared" si="3"/>
        <v>M3,M4</v>
      </c>
      <c r="BK63" s="556" t="str">
        <f t="shared" si="4"/>
        <v>M3,M4</v>
      </c>
      <c r="BL63" s="556" t="str">
        <f t="shared" si="5"/>
        <v/>
      </c>
      <c r="BM63" s="497">
        <f t="shared" si="6"/>
        <v>40048</v>
      </c>
    </row>
    <row r="64" spans="1:65">
      <c r="A64">
        <v>53251</v>
      </c>
      <c r="B64" t="s">
        <v>1734</v>
      </c>
      <c r="C64" t="s">
        <v>1820</v>
      </c>
      <c r="D64" t="s">
        <v>1821</v>
      </c>
      <c r="F64" s="503">
        <v>44882</v>
      </c>
      <c r="H64" t="s">
        <v>194</v>
      </c>
      <c r="J64">
        <v>0</v>
      </c>
      <c r="K64" t="s">
        <v>1675</v>
      </c>
      <c r="O64" t="s">
        <v>1675</v>
      </c>
      <c r="W64">
        <v>0.4</v>
      </c>
      <c r="X64">
        <v>0.4</v>
      </c>
      <c r="Y64">
        <v>0</v>
      </c>
      <c r="Z64">
        <v>0</v>
      </c>
      <c r="AA64">
        <v>2</v>
      </c>
      <c r="AE64" t="s">
        <v>1773</v>
      </c>
      <c r="AI64">
        <v>60</v>
      </c>
      <c r="AJ64">
        <v>1850260</v>
      </c>
      <c r="AK64">
        <v>0</v>
      </c>
      <c r="AN64" t="s">
        <v>1703</v>
      </c>
      <c r="AO64">
        <v>2.6</v>
      </c>
      <c r="AX64">
        <v>20221117</v>
      </c>
      <c r="AY64" t="s">
        <v>1754</v>
      </c>
      <c r="BG64" s="556" t="str">
        <f t="shared" si="0"/>
        <v>O</v>
      </c>
      <c r="BH64" s="556" t="str">
        <f t="shared" si="1"/>
        <v/>
      </c>
      <c r="BI64" s="556" t="str">
        <f t="shared" si="2"/>
        <v/>
      </c>
      <c r="BJ64" s="556" t="str">
        <f t="shared" si="3"/>
        <v>M3</v>
      </c>
      <c r="BK64" s="556" t="str">
        <f t="shared" si="4"/>
        <v>M3</v>
      </c>
      <c r="BL64" s="556" t="str">
        <f t="shared" si="5"/>
        <v/>
      </c>
      <c r="BM64" s="497">
        <f t="shared" si="6"/>
        <v>53251</v>
      </c>
    </row>
    <row r="65" spans="1:65">
      <c r="A65">
        <v>51817</v>
      </c>
      <c r="B65" t="s">
        <v>552</v>
      </c>
      <c r="C65" t="s">
        <v>554</v>
      </c>
      <c r="D65" t="s">
        <v>1772</v>
      </c>
      <c r="F65" s="503">
        <v>43965</v>
      </c>
      <c r="H65" t="s">
        <v>312</v>
      </c>
      <c r="I65" t="s">
        <v>1753</v>
      </c>
      <c r="J65">
        <v>0</v>
      </c>
      <c r="K65" t="s">
        <v>1675</v>
      </c>
      <c r="O65" t="s">
        <v>1675</v>
      </c>
      <c r="W65">
        <v>0.45</v>
      </c>
      <c r="X65">
        <v>0.37</v>
      </c>
      <c r="Y65">
        <v>0</v>
      </c>
      <c r="Z65">
        <v>0</v>
      </c>
      <c r="AA65">
        <v>2</v>
      </c>
      <c r="AE65" t="s">
        <v>1221</v>
      </c>
      <c r="AI65">
        <v>60</v>
      </c>
      <c r="AJ65">
        <v>1850246</v>
      </c>
      <c r="AK65">
        <v>0</v>
      </c>
      <c r="AN65" t="s">
        <v>1703</v>
      </c>
      <c r="AO65">
        <v>2.46</v>
      </c>
      <c r="AX65">
        <v>20200514</v>
      </c>
      <c r="AY65" t="s">
        <v>1754</v>
      </c>
      <c r="BG65" s="556" t="str">
        <f t="shared" si="0"/>
        <v>O</v>
      </c>
      <c r="BH65" s="556" t="str">
        <f t="shared" si="1"/>
        <v/>
      </c>
      <c r="BI65" s="556" t="str">
        <f t="shared" si="2"/>
        <v/>
      </c>
      <c r="BJ65" s="556" t="str">
        <f t="shared" si="3"/>
        <v>M3</v>
      </c>
      <c r="BK65" s="556" t="str">
        <f t="shared" si="4"/>
        <v>M3</v>
      </c>
      <c r="BL65" s="556" t="str">
        <f t="shared" si="5"/>
        <v/>
      </c>
      <c r="BM65" s="497">
        <f t="shared" si="6"/>
        <v>51817</v>
      </c>
    </row>
    <row r="66" spans="1:65">
      <c r="A66">
        <v>53900</v>
      </c>
      <c r="B66" t="s">
        <v>3412</v>
      </c>
      <c r="C66" t="s">
        <v>3418</v>
      </c>
      <c r="D66" t="s">
        <v>3419</v>
      </c>
      <c r="F66" s="503">
        <v>46044</v>
      </c>
      <c r="H66" t="s">
        <v>312</v>
      </c>
      <c r="I66" t="s">
        <v>1753</v>
      </c>
      <c r="J66">
        <v>0</v>
      </c>
      <c r="K66" t="s">
        <v>1681</v>
      </c>
      <c r="W66">
        <v>0.35</v>
      </c>
      <c r="X66">
        <v>0.35</v>
      </c>
      <c r="Y66">
        <v>0</v>
      </c>
      <c r="Z66">
        <v>0</v>
      </c>
      <c r="AA66">
        <v>205</v>
      </c>
      <c r="AE66" t="s">
        <v>1039</v>
      </c>
      <c r="AI66">
        <v>85</v>
      </c>
      <c r="AJ66">
        <v>1850295</v>
      </c>
      <c r="AK66">
        <v>0</v>
      </c>
      <c r="AN66" t="s">
        <v>1703</v>
      </c>
      <c r="AO66">
        <v>2.95</v>
      </c>
      <c r="AX66">
        <v>20260122</v>
      </c>
      <c r="AY66" t="s">
        <v>1828</v>
      </c>
      <c r="BG66" s="556" t="str">
        <f t="shared" si="0"/>
        <v>O</v>
      </c>
      <c r="BH66" s="556" t="str">
        <f t="shared" si="1"/>
        <v/>
      </c>
      <c r="BI66" s="556" t="str">
        <f t="shared" si="2"/>
        <v/>
      </c>
      <c r="BJ66" s="556" t="str">
        <f t="shared" si="3"/>
        <v>6S</v>
      </c>
      <c r="BK66" s="556">
        <f t="shared" si="4"/>
        <v>0</v>
      </c>
      <c r="BL66" s="556" t="str">
        <f t="shared" si="5"/>
        <v/>
      </c>
      <c r="BM66" s="497">
        <f t="shared" si="6"/>
        <v>53900</v>
      </c>
    </row>
    <row r="67" spans="1:65">
      <c r="A67">
        <v>35000</v>
      </c>
      <c r="B67" t="s">
        <v>1283</v>
      </c>
      <c r="C67" t="s">
        <v>1285</v>
      </c>
      <c r="D67" t="s">
        <v>1822</v>
      </c>
      <c r="F67" s="503">
        <v>43416</v>
      </c>
      <c r="H67" t="s">
        <v>153</v>
      </c>
      <c r="I67" t="s">
        <v>1753</v>
      </c>
      <c r="J67">
        <v>0</v>
      </c>
      <c r="K67" t="s">
        <v>1756</v>
      </c>
      <c r="W67">
        <v>0.76</v>
      </c>
      <c r="X67">
        <v>0.75</v>
      </c>
      <c r="Y67">
        <v>0</v>
      </c>
      <c r="Z67">
        <v>16.5</v>
      </c>
      <c r="AA67">
        <v>0</v>
      </c>
      <c r="AE67" t="s">
        <v>1761</v>
      </c>
      <c r="AI67">
        <v>57</v>
      </c>
      <c r="AJ67">
        <v>2700260</v>
      </c>
      <c r="AK67">
        <v>0</v>
      </c>
      <c r="AN67" t="s">
        <v>1731</v>
      </c>
      <c r="AO67">
        <v>2.6</v>
      </c>
      <c r="AX67">
        <v>20181112</v>
      </c>
      <c r="AY67" t="s">
        <v>1780</v>
      </c>
      <c r="BG67" s="556" t="str">
        <f t="shared" ref="BG67:BG130" si="7">IF(LEFT(AY67,2)="98","X","O")</f>
        <v>O</v>
      </c>
      <c r="BH67" s="556" t="str">
        <f t="shared" ref="BH67:BH130" si="8">IF(IFERROR(SEARCH("45",$AY67,1),0)&gt;0,"Y","")</f>
        <v/>
      </c>
      <c r="BI67" s="556" t="str">
        <f t="shared" ref="BI67:BI130" si="9">IF(IFERROR(SEARCH("86",$AY67,1),0)&gt;0,"Y","")</f>
        <v/>
      </c>
      <c r="BJ67" s="556" t="str">
        <f t="shared" ref="BJ67:BJ130" si="10">IF(L67="",K67,IF(M67="",K67&amp;","&amp;L67,IF(N67="",K67&amp;","&amp;L67&amp;","&amp;M67,K67&amp;","&amp;L67&amp;","&amp;M67&amp;","&amp;N67)))</f>
        <v>Z</v>
      </c>
      <c r="BK67" s="556">
        <f t="shared" ref="BK67:BK130" si="11">IF(P67="",O67,IF(Q67="",O67&amp;","&amp;P67,IF(R67="",O67&amp;","&amp;P67&amp;","&amp;Q67,IO67&amp;","&amp;P67&amp;","&amp;Q67&amp;","&amp;R67)))</f>
        <v>0</v>
      </c>
      <c r="BL67" s="556" t="str">
        <f t="shared" ref="BL67:BL130" si="12">IF(S67=0,"",S67)</f>
        <v/>
      </c>
      <c r="BM67" s="497">
        <f t="shared" ref="BM67:BM130" si="13">A67</f>
        <v>35000</v>
      </c>
    </row>
    <row r="68" spans="1:65">
      <c r="B68" t="s">
        <v>1823</v>
      </c>
      <c r="C68" t="s">
        <v>1824</v>
      </c>
      <c r="D68" t="s">
        <v>1772</v>
      </c>
      <c r="F68" s="503">
        <v>43819</v>
      </c>
      <c r="H68" t="s">
        <v>532</v>
      </c>
      <c r="I68" t="s">
        <v>1753</v>
      </c>
      <c r="J68">
        <v>0</v>
      </c>
      <c r="K68" t="s">
        <v>1675</v>
      </c>
      <c r="O68" t="s">
        <v>1675</v>
      </c>
      <c r="W68">
        <v>0.55000000000000004</v>
      </c>
      <c r="X68">
        <v>0.59</v>
      </c>
      <c r="Y68">
        <v>0</v>
      </c>
      <c r="Z68">
        <v>0</v>
      </c>
      <c r="AA68">
        <v>2</v>
      </c>
      <c r="AE68" t="s">
        <v>1773</v>
      </c>
      <c r="AI68">
        <v>60</v>
      </c>
      <c r="AJ68">
        <v>1850246</v>
      </c>
      <c r="AK68">
        <v>0</v>
      </c>
      <c r="AN68" t="s">
        <v>1703</v>
      </c>
      <c r="AO68">
        <v>2.46</v>
      </c>
      <c r="AX68">
        <v>20191220</v>
      </c>
      <c r="AY68" t="s">
        <v>1754</v>
      </c>
      <c r="BG68" s="556" t="str">
        <f t="shared" si="7"/>
        <v>O</v>
      </c>
      <c r="BH68" s="556" t="str">
        <f t="shared" si="8"/>
        <v/>
      </c>
      <c r="BI68" s="556" t="str">
        <f t="shared" si="9"/>
        <v/>
      </c>
      <c r="BJ68" s="556" t="str">
        <f t="shared" si="10"/>
        <v>M3</v>
      </c>
      <c r="BK68" s="556" t="str">
        <f t="shared" si="11"/>
        <v>M3</v>
      </c>
      <c r="BL68" s="556" t="str">
        <f t="shared" si="12"/>
        <v/>
      </c>
      <c r="BM68" s="497">
        <f t="shared" si="13"/>
        <v>0</v>
      </c>
    </row>
    <row r="69" spans="1:65">
      <c r="B69" t="s">
        <v>1825</v>
      </c>
      <c r="C69" t="s">
        <v>1824</v>
      </c>
      <c r="D69" t="s">
        <v>1772</v>
      </c>
      <c r="F69" s="503">
        <v>43819</v>
      </c>
      <c r="H69" t="s">
        <v>532</v>
      </c>
      <c r="I69" t="s">
        <v>1753</v>
      </c>
      <c r="J69">
        <v>5000</v>
      </c>
      <c r="K69" t="s">
        <v>1675</v>
      </c>
      <c r="O69" t="s">
        <v>1675</v>
      </c>
      <c r="W69">
        <v>0.57999999999999996</v>
      </c>
      <c r="X69">
        <v>0.59</v>
      </c>
      <c r="Y69">
        <v>0</v>
      </c>
      <c r="Z69">
        <v>0</v>
      </c>
      <c r="AA69">
        <v>2</v>
      </c>
      <c r="AE69" t="s">
        <v>1039</v>
      </c>
      <c r="AI69">
        <v>60</v>
      </c>
      <c r="AJ69">
        <v>1850246</v>
      </c>
      <c r="AK69">
        <v>0</v>
      </c>
      <c r="AL69">
        <v>0</v>
      </c>
      <c r="AN69" t="s">
        <v>1703</v>
      </c>
      <c r="AO69">
        <v>2.46</v>
      </c>
      <c r="AX69">
        <v>20191220</v>
      </c>
      <c r="AY69" t="s">
        <v>1754</v>
      </c>
      <c r="BG69" s="556" t="str">
        <f t="shared" si="7"/>
        <v>O</v>
      </c>
      <c r="BH69" s="556" t="str">
        <f t="shared" si="8"/>
        <v/>
      </c>
      <c r="BI69" s="556" t="str">
        <f t="shared" si="9"/>
        <v/>
      </c>
      <c r="BJ69" s="556" t="str">
        <f t="shared" si="10"/>
        <v>M3</v>
      </c>
      <c r="BK69" s="556" t="str">
        <f t="shared" si="11"/>
        <v>M3</v>
      </c>
      <c r="BL69" s="556" t="str">
        <f t="shared" si="12"/>
        <v/>
      </c>
      <c r="BM69" s="497">
        <f t="shared" si="13"/>
        <v>0</v>
      </c>
    </row>
    <row r="70" spans="1:65">
      <c r="A70">
        <v>53555</v>
      </c>
      <c r="B70" t="s">
        <v>1728</v>
      </c>
      <c r="C70" t="s">
        <v>1826</v>
      </c>
      <c r="D70" t="s">
        <v>1827</v>
      </c>
      <c r="F70" s="503">
        <v>44841</v>
      </c>
      <c r="H70" t="s">
        <v>202</v>
      </c>
      <c r="I70" t="s">
        <v>1753</v>
      </c>
      <c r="J70">
        <v>0</v>
      </c>
      <c r="K70" t="s">
        <v>1706</v>
      </c>
      <c r="W70">
        <v>0.51</v>
      </c>
      <c r="X70">
        <v>0.51</v>
      </c>
      <c r="Y70">
        <v>0</v>
      </c>
      <c r="Z70">
        <v>0</v>
      </c>
      <c r="AA70">
        <v>0</v>
      </c>
      <c r="AE70" t="s">
        <v>1773</v>
      </c>
      <c r="AI70">
        <v>85</v>
      </c>
      <c r="AJ70">
        <v>1000295</v>
      </c>
      <c r="AK70">
        <v>0</v>
      </c>
      <c r="AL70">
        <v>0</v>
      </c>
      <c r="AN70" t="s">
        <v>133</v>
      </c>
      <c r="AO70">
        <v>2.95</v>
      </c>
      <c r="AX70">
        <v>20221007</v>
      </c>
      <c r="AY70" t="s">
        <v>1828</v>
      </c>
      <c r="BG70" s="556" t="str">
        <f t="shared" si="7"/>
        <v>O</v>
      </c>
      <c r="BH70" s="556" t="str">
        <f t="shared" si="8"/>
        <v/>
      </c>
      <c r="BI70" s="556" t="str">
        <f t="shared" si="9"/>
        <v/>
      </c>
      <c r="BJ70" s="556" t="str">
        <f t="shared" si="10"/>
        <v>6L</v>
      </c>
      <c r="BK70" s="556">
        <f t="shared" si="11"/>
        <v>0</v>
      </c>
      <c r="BL70" s="556" t="str">
        <f t="shared" si="12"/>
        <v/>
      </c>
      <c r="BM70" s="497">
        <f t="shared" si="13"/>
        <v>53555</v>
      </c>
    </row>
    <row r="71" spans="1:65">
      <c r="A71">
        <v>45024</v>
      </c>
      <c r="B71" t="s">
        <v>523</v>
      </c>
      <c r="C71" t="s">
        <v>524</v>
      </c>
      <c r="D71" t="s">
        <v>3280</v>
      </c>
      <c r="F71" s="503">
        <v>46009</v>
      </c>
      <c r="H71" t="s">
        <v>331</v>
      </c>
      <c r="I71" t="s">
        <v>1753</v>
      </c>
      <c r="J71">
        <v>0</v>
      </c>
      <c r="K71" t="s">
        <v>1675</v>
      </c>
      <c r="O71" t="s">
        <v>1675</v>
      </c>
      <c r="S71" t="s">
        <v>2301</v>
      </c>
      <c r="W71">
        <v>0.6</v>
      </c>
      <c r="X71">
        <v>0.6</v>
      </c>
      <c r="Y71">
        <v>0</v>
      </c>
      <c r="Z71">
        <v>0</v>
      </c>
      <c r="AA71">
        <v>2</v>
      </c>
      <c r="AE71" t="s">
        <v>1039</v>
      </c>
      <c r="AI71">
        <v>69</v>
      </c>
      <c r="AJ71">
        <v>1850246</v>
      </c>
      <c r="AK71">
        <v>0</v>
      </c>
      <c r="AL71">
        <v>0</v>
      </c>
      <c r="AN71" t="s">
        <v>1703</v>
      </c>
      <c r="AO71">
        <v>2.46</v>
      </c>
      <c r="AR71" t="s">
        <v>2948</v>
      </c>
      <c r="AX71">
        <v>20251218</v>
      </c>
      <c r="AY71" t="s">
        <v>1830</v>
      </c>
      <c r="BG71" s="556" t="str">
        <f t="shared" si="7"/>
        <v>O</v>
      </c>
      <c r="BH71" s="556" t="str">
        <f t="shared" si="8"/>
        <v/>
      </c>
      <c r="BI71" s="556" t="str">
        <f t="shared" si="9"/>
        <v/>
      </c>
      <c r="BJ71" s="556" t="str">
        <f t="shared" si="10"/>
        <v>M3</v>
      </c>
      <c r="BK71" s="556" t="str">
        <f t="shared" si="11"/>
        <v>M3</v>
      </c>
      <c r="BL71" s="556" t="str">
        <f t="shared" si="12"/>
        <v>CT</v>
      </c>
      <c r="BM71" s="497">
        <f t="shared" si="13"/>
        <v>45024</v>
      </c>
    </row>
    <row r="72" spans="1:65">
      <c r="A72">
        <v>52113</v>
      </c>
      <c r="B72" t="s">
        <v>339</v>
      </c>
      <c r="C72" t="s">
        <v>182</v>
      </c>
      <c r="D72" t="s">
        <v>1796</v>
      </c>
      <c r="F72" s="503">
        <v>43775</v>
      </c>
      <c r="H72" t="s">
        <v>341</v>
      </c>
      <c r="I72" t="s">
        <v>1753</v>
      </c>
      <c r="J72">
        <v>5000</v>
      </c>
      <c r="K72" t="s">
        <v>1675</v>
      </c>
      <c r="O72" t="s">
        <v>1675</v>
      </c>
      <c r="W72">
        <v>0.62</v>
      </c>
      <c r="X72">
        <v>0.66</v>
      </c>
      <c r="Y72">
        <v>0</v>
      </c>
      <c r="Z72">
        <v>0</v>
      </c>
      <c r="AA72">
        <v>0</v>
      </c>
      <c r="AE72" t="s">
        <v>1221</v>
      </c>
      <c r="AI72">
        <v>57</v>
      </c>
      <c r="AJ72">
        <v>1000260</v>
      </c>
      <c r="AK72">
        <v>0</v>
      </c>
      <c r="AN72" t="s">
        <v>133</v>
      </c>
      <c r="AO72">
        <v>2.6</v>
      </c>
      <c r="AX72">
        <v>20191106</v>
      </c>
      <c r="AY72" t="s">
        <v>1780</v>
      </c>
      <c r="BG72" s="556" t="str">
        <f t="shared" si="7"/>
        <v>O</v>
      </c>
      <c r="BH72" s="556" t="str">
        <f t="shared" si="8"/>
        <v/>
      </c>
      <c r="BI72" s="556" t="str">
        <f t="shared" si="9"/>
        <v/>
      </c>
      <c r="BJ72" s="556" t="str">
        <f t="shared" si="10"/>
        <v>M3</v>
      </c>
      <c r="BK72" s="556" t="str">
        <f t="shared" si="11"/>
        <v>M3</v>
      </c>
      <c r="BL72" s="556" t="str">
        <f t="shared" si="12"/>
        <v/>
      </c>
      <c r="BM72" s="497">
        <f t="shared" si="13"/>
        <v>52113</v>
      </c>
    </row>
    <row r="73" spans="1:65">
      <c r="A73">
        <v>50304</v>
      </c>
      <c r="B73" t="s">
        <v>593</v>
      </c>
      <c r="C73" t="s">
        <v>148</v>
      </c>
      <c r="D73" t="s">
        <v>1799</v>
      </c>
      <c r="F73" s="503">
        <v>43879</v>
      </c>
      <c r="H73" t="s">
        <v>331</v>
      </c>
      <c r="I73" t="s">
        <v>1753</v>
      </c>
      <c r="J73">
        <v>5000</v>
      </c>
      <c r="K73" t="s">
        <v>1675</v>
      </c>
      <c r="O73" t="s">
        <v>1675</v>
      </c>
      <c r="W73">
        <v>0.56999999999999995</v>
      </c>
      <c r="X73">
        <v>0.57999999999999996</v>
      </c>
      <c r="Y73">
        <v>0</v>
      </c>
      <c r="Z73">
        <v>0</v>
      </c>
      <c r="AA73">
        <v>2</v>
      </c>
      <c r="AE73" t="s">
        <v>1773</v>
      </c>
      <c r="AI73">
        <v>60</v>
      </c>
      <c r="AJ73">
        <v>1850246</v>
      </c>
      <c r="AK73">
        <v>0</v>
      </c>
      <c r="AN73" t="s">
        <v>1703</v>
      </c>
      <c r="AO73">
        <v>2.46</v>
      </c>
      <c r="AX73">
        <v>20200218</v>
      </c>
      <c r="AY73" t="s">
        <v>1754</v>
      </c>
      <c r="BG73" s="556" t="str">
        <f t="shared" si="7"/>
        <v>O</v>
      </c>
      <c r="BH73" s="556" t="str">
        <f t="shared" si="8"/>
        <v/>
      </c>
      <c r="BI73" s="556" t="str">
        <f t="shared" si="9"/>
        <v/>
      </c>
      <c r="BJ73" s="556" t="str">
        <f t="shared" si="10"/>
        <v>M3</v>
      </c>
      <c r="BK73" s="556" t="str">
        <f t="shared" si="11"/>
        <v>M3</v>
      </c>
      <c r="BL73" s="556" t="str">
        <f t="shared" si="12"/>
        <v/>
      </c>
      <c r="BM73" s="497">
        <f t="shared" si="13"/>
        <v>50304</v>
      </c>
    </row>
    <row r="74" spans="1:65">
      <c r="A74">
        <v>52115</v>
      </c>
      <c r="B74" t="s">
        <v>527</v>
      </c>
      <c r="C74" t="s">
        <v>148</v>
      </c>
      <c r="D74" t="s">
        <v>1796</v>
      </c>
      <c r="F74" s="503">
        <v>43775</v>
      </c>
      <c r="H74" t="s">
        <v>331</v>
      </c>
      <c r="I74" t="s">
        <v>1753</v>
      </c>
      <c r="J74">
        <v>5000</v>
      </c>
      <c r="K74" t="s">
        <v>1675</v>
      </c>
      <c r="O74" t="s">
        <v>1675</v>
      </c>
      <c r="W74">
        <v>0.56999999999999995</v>
      </c>
      <c r="X74">
        <v>0.56999999999999995</v>
      </c>
      <c r="Y74">
        <v>0</v>
      </c>
      <c r="Z74">
        <v>0</v>
      </c>
      <c r="AA74">
        <v>2</v>
      </c>
      <c r="AE74" t="s">
        <v>1221</v>
      </c>
      <c r="AI74">
        <v>60</v>
      </c>
      <c r="AJ74">
        <v>1850246</v>
      </c>
      <c r="AK74">
        <v>0</v>
      </c>
      <c r="AL74">
        <v>0</v>
      </c>
      <c r="AN74" t="s">
        <v>1703</v>
      </c>
      <c r="AO74">
        <v>2.46</v>
      </c>
      <c r="AX74">
        <v>20191106</v>
      </c>
      <c r="AY74" t="s">
        <v>1754</v>
      </c>
      <c r="BG74" s="556" t="str">
        <f t="shared" si="7"/>
        <v>O</v>
      </c>
      <c r="BH74" s="556" t="str">
        <f t="shared" si="8"/>
        <v/>
      </c>
      <c r="BI74" s="556" t="str">
        <f t="shared" si="9"/>
        <v/>
      </c>
      <c r="BJ74" s="556" t="str">
        <f t="shared" si="10"/>
        <v>M3</v>
      </c>
      <c r="BK74" s="556" t="str">
        <f t="shared" si="11"/>
        <v>M3</v>
      </c>
      <c r="BL74" s="556" t="str">
        <f t="shared" si="12"/>
        <v/>
      </c>
      <c r="BM74" s="497">
        <f t="shared" si="13"/>
        <v>52115</v>
      </c>
    </row>
    <row r="75" spans="1:65">
      <c r="A75">
        <v>40032</v>
      </c>
      <c r="B75" t="s">
        <v>1831</v>
      </c>
      <c r="C75" t="s">
        <v>1832</v>
      </c>
      <c r="D75" t="s">
        <v>1803</v>
      </c>
      <c r="F75" s="503">
        <v>44742</v>
      </c>
      <c r="H75" t="s">
        <v>1833</v>
      </c>
      <c r="I75" t="s">
        <v>1753</v>
      </c>
      <c r="J75">
        <v>0</v>
      </c>
      <c r="K75" t="s">
        <v>1675</v>
      </c>
      <c r="O75" t="s">
        <v>1675</v>
      </c>
      <c r="W75">
        <v>0.73</v>
      </c>
      <c r="X75">
        <v>0.71</v>
      </c>
      <c r="Y75">
        <v>0</v>
      </c>
      <c r="Z75">
        <v>0</v>
      </c>
      <c r="AA75">
        <v>2</v>
      </c>
      <c r="AE75" t="s">
        <v>1039</v>
      </c>
      <c r="AI75">
        <v>60</v>
      </c>
      <c r="AJ75">
        <v>1850260</v>
      </c>
      <c r="AK75">
        <v>0</v>
      </c>
      <c r="AN75" t="s">
        <v>1703</v>
      </c>
      <c r="AO75">
        <v>2.6</v>
      </c>
      <c r="AX75">
        <v>20220630</v>
      </c>
      <c r="AY75" t="s">
        <v>1754</v>
      </c>
      <c r="BG75" s="556" t="str">
        <f t="shared" si="7"/>
        <v>O</v>
      </c>
      <c r="BH75" s="556" t="str">
        <f t="shared" si="8"/>
        <v/>
      </c>
      <c r="BI75" s="556" t="str">
        <f t="shared" si="9"/>
        <v/>
      </c>
      <c r="BJ75" s="556" t="str">
        <f t="shared" si="10"/>
        <v>M3</v>
      </c>
      <c r="BK75" s="556" t="str">
        <f t="shared" si="11"/>
        <v>M3</v>
      </c>
      <c r="BL75" s="556" t="str">
        <f t="shared" si="12"/>
        <v/>
      </c>
      <c r="BM75" s="497">
        <f t="shared" si="13"/>
        <v>40032</v>
      </c>
    </row>
    <row r="76" spans="1:65">
      <c r="A76">
        <v>40212</v>
      </c>
      <c r="B76" t="s">
        <v>2730</v>
      </c>
      <c r="C76" t="s">
        <v>2803</v>
      </c>
      <c r="D76" t="s">
        <v>1771</v>
      </c>
      <c r="F76" s="503">
        <v>45359</v>
      </c>
      <c r="H76" t="s">
        <v>331</v>
      </c>
      <c r="I76" t="s">
        <v>1753</v>
      </c>
      <c r="J76">
        <v>5000</v>
      </c>
      <c r="K76" t="s">
        <v>1068</v>
      </c>
      <c r="O76" t="s">
        <v>1675</v>
      </c>
      <c r="W76">
        <v>0.7</v>
      </c>
      <c r="X76">
        <v>0.68</v>
      </c>
      <c r="Y76">
        <v>0</v>
      </c>
      <c r="Z76">
        <v>0</v>
      </c>
      <c r="AA76">
        <v>0</v>
      </c>
      <c r="AE76" t="s">
        <v>2752</v>
      </c>
      <c r="AI76">
        <v>57</v>
      </c>
      <c r="AJ76">
        <v>4300246</v>
      </c>
      <c r="AK76">
        <v>0</v>
      </c>
      <c r="AL76">
        <v>0</v>
      </c>
      <c r="AN76" t="s">
        <v>185</v>
      </c>
      <c r="AO76">
        <v>2.46</v>
      </c>
      <c r="AX76">
        <v>20240308</v>
      </c>
      <c r="AY76" t="s">
        <v>1780</v>
      </c>
      <c r="BG76" s="556" t="str">
        <f t="shared" si="7"/>
        <v>O</v>
      </c>
      <c r="BH76" s="556" t="str">
        <f t="shared" si="8"/>
        <v/>
      </c>
      <c r="BI76" s="556" t="str">
        <f t="shared" si="9"/>
        <v/>
      </c>
      <c r="BJ76" s="556" t="str">
        <f t="shared" si="10"/>
        <v>M4</v>
      </c>
      <c r="BK76" s="556" t="str">
        <f t="shared" si="11"/>
        <v>M3</v>
      </c>
      <c r="BL76" s="556" t="str">
        <f t="shared" si="12"/>
        <v/>
      </c>
      <c r="BM76" s="497">
        <f t="shared" si="13"/>
        <v>40212</v>
      </c>
    </row>
    <row r="77" spans="1:65">
      <c r="A77">
        <v>55016</v>
      </c>
      <c r="B77" t="s">
        <v>2893</v>
      </c>
      <c r="C77" t="s">
        <v>2894</v>
      </c>
      <c r="D77" t="s">
        <v>2375</v>
      </c>
      <c r="F77" s="503">
        <v>45483</v>
      </c>
      <c r="H77" t="s">
        <v>331</v>
      </c>
      <c r="I77" t="s">
        <v>1753</v>
      </c>
      <c r="J77">
        <v>0</v>
      </c>
      <c r="K77">
        <v>9</v>
      </c>
      <c r="O77" t="s">
        <v>1675</v>
      </c>
      <c r="W77">
        <v>0.65</v>
      </c>
      <c r="X77">
        <v>0.65</v>
      </c>
      <c r="Y77">
        <v>0</v>
      </c>
      <c r="Z77">
        <v>0</v>
      </c>
      <c r="AA77">
        <v>0</v>
      </c>
      <c r="AE77" t="s">
        <v>1761</v>
      </c>
      <c r="AI77">
        <v>57</v>
      </c>
      <c r="AJ77">
        <v>3020260</v>
      </c>
      <c r="AK77">
        <v>0</v>
      </c>
      <c r="AN77" t="s">
        <v>135</v>
      </c>
      <c r="AO77">
        <v>2.6</v>
      </c>
      <c r="AX77">
        <v>20240710</v>
      </c>
      <c r="AY77" t="s">
        <v>1780</v>
      </c>
      <c r="BG77" s="556" t="str">
        <f t="shared" si="7"/>
        <v>O</v>
      </c>
      <c r="BH77" s="556" t="str">
        <f t="shared" si="8"/>
        <v/>
      </c>
      <c r="BI77" s="556" t="str">
        <f t="shared" si="9"/>
        <v/>
      </c>
      <c r="BJ77" s="556">
        <f t="shared" si="10"/>
        <v>9</v>
      </c>
      <c r="BK77" s="556" t="str">
        <f t="shared" si="11"/>
        <v>M3</v>
      </c>
      <c r="BL77" s="556" t="str">
        <f t="shared" si="12"/>
        <v/>
      </c>
      <c r="BM77" s="497">
        <f t="shared" si="13"/>
        <v>55016</v>
      </c>
    </row>
    <row r="78" spans="1:65">
      <c r="A78">
        <v>55018</v>
      </c>
      <c r="B78" t="s">
        <v>2902</v>
      </c>
      <c r="C78" t="s">
        <v>2903</v>
      </c>
      <c r="D78" t="s">
        <v>2375</v>
      </c>
      <c r="F78" s="503">
        <v>45493</v>
      </c>
      <c r="H78" t="s">
        <v>1843</v>
      </c>
      <c r="I78" t="s">
        <v>1753</v>
      </c>
      <c r="J78">
        <v>5000</v>
      </c>
      <c r="K78" t="s">
        <v>1675</v>
      </c>
      <c r="O78" t="s">
        <v>1675</v>
      </c>
      <c r="W78">
        <v>0.43</v>
      </c>
      <c r="X78">
        <v>0.43</v>
      </c>
      <c r="Y78">
        <v>0</v>
      </c>
      <c r="Z78">
        <v>0</v>
      </c>
      <c r="AA78">
        <v>2</v>
      </c>
      <c r="AE78" t="s">
        <v>1221</v>
      </c>
      <c r="AI78">
        <v>60</v>
      </c>
      <c r="AJ78">
        <v>1850260</v>
      </c>
      <c r="AK78">
        <v>0</v>
      </c>
      <c r="AL78">
        <v>0</v>
      </c>
      <c r="AN78" t="s">
        <v>1703</v>
      </c>
      <c r="AO78">
        <v>2.6</v>
      </c>
      <c r="AX78">
        <v>20240720</v>
      </c>
      <c r="AY78" t="s">
        <v>1754</v>
      </c>
      <c r="BG78" s="556" t="str">
        <f t="shared" si="7"/>
        <v>O</v>
      </c>
      <c r="BH78" s="556" t="str">
        <f t="shared" si="8"/>
        <v/>
      </c>
      <c r="BI78" s="556" t="str">
        <f t="shared" si="9"/>
        <v/>
      </c>
      <c r="BJ78" s="556" t="str">
        <f t="shared" si="10"/>
        <v>M3</v>
      </c>
      <c r="BK78" s="556" t="str">
        <f t="shared" si="11"/>
        <v>M3</v>
      </c>
      <c r="BL78" s="556" t="str">
        <f t="shared" si="12"/>
        <v/>
      </c>
      <c r="BM78" s="497">
        <f t="shared" si="13"/>
        <v>55018</v>
      </c>
    </row>
    <row r="79" spans="1:65">
      <c r="A79">
        <v>40013</v>
      </c>
      <c r="B79" t="s">
        <v>506</v>
      </c>
      <c r="C79" t="s">
        <v>508</v>
      </c>
      <c r="D79" t="s">
        <v>1803</v>
      </c>
      <c r="F79" s="503">
        <v>43733</v>
      </c>
      <c r="H79" t="s">
        <v>331</v>
      </c>
      <c r="I79" t="s">
        <v>1753</v>
      </c>
      <c r="J79">
        <v>5000</v>
      </c>
      <c r="K79" t="s">
        <v>1675</v>
      </c>
      <c r="O79" t="s">
        <v>1675</v>
      </c>
      <c r="W79">
        <v>0.42</v>
      </c>
      <c r="X79">
        <v>0.45</v>
      </c>
      <c r="Y79">
        <v>0</v>
      </c>
      <c r="Z79">
        <v>0</v>
      </c>
      <c r="AA79">
        <v>2</v>
      </c>
      <c r="AE79">
        <v>101</v>
      </c>
      <c r="AI79">
        <v>60</v>
      </c>
      <c r="AJ79">
        <v>1850246</v>
      </c>
      <c r="AK79">
        <v>0</v>
      </c>
      <c r="AN79" t="s">
        <v>1703</v>
      </c>
      <c r="AO79">
        <v>2.46</v>
      </c>
      <c r="AT79" t="s">
        <v>1834</v>
      </c>
      <c r="AX79">
        <v>20190925</v>
      </c>
      <c r="AY79" t="s">
        <v>1754</v>
      </c>
      <c r="BG79" s="556" t="str">
        <f t="shared" si="7"/>
        <v>O</v>
      </c>
      <c r="BH79" s="556" t="str">
        <f t="shared" si="8"/>
        <v/>
      </c>
      <c r="BI79" s="556" t="str">
        <f t="shared" si="9"/>
        <v/>
      </c>
      <c r="BJ79" s="556" t="str">
        <f t="shared" si="10"/>
        <v>M3</v>
      </c>
      <c r="BK79" s="556" t="str">
        <f t="shared" si="11"/>
        <v>M3</v>
      </c>
      <c r="BL79" s="556" t="str">
        <f t="shared" si="12"/>
        <v/>
      </c>
      <c r="BM79" s="497">
        <f t="shared" si="13"/>
        <v>40013</v>
      </c>
    </row>
    <row r="80" spans="1:65">
      <c r="A80">
        <v>51821</v>
      </c>
      <c r="B80" t="s">
        <v>555</v>
      </c>
      <c r="C80" t="s">
        <v>508</v>
      </c>
      <c r="D80" t="s">
        <v>1772</v>
      </c>
      <c r="F80" s="503">
        <v>43965</v>
      </c>
      <c r="H80" t="s">
        <v>331</v>
      </c>
      <c r="I80" t="s">
        <v>1753</v>
      </c>
      <c r="J80">
        <v>20000</v>
      </c>
      <c r="K80" t="s">
        <v>1675</v>
      </c>
      <c r="O80" t="s">
        <v>1675</v>
      </c>
      <c r="W80">
        <v>0.42</v>
      </c>
      <c r="X80">
        <v>0.45</v>
      </c>
      <c r="Y80">
        <v>0</v>
      </c>
      <c r="Z80">
        <v>0</v>
      </c>
      <c r="AA80">
        <v>2</v>
      </c>
      <c r="AE80" t="s">
        <v>1773</v>
      </c>
      <c r="AI80">
        <v>60</v>
      </c>
      <c r="AJ80">
        <v>1850246</v>
      </c>
      <c r="AK80">
        <v>0</v>
      </c>
      <c r="AL80">
        <v>0</v>
      </c>
      <c r="AN80" t="s">
        <v>1703</v>
      </c>
      <c r="AO80">
        <v>2.46</v>
      </c>
      <c r="AX80">
        <v>20200514</v>
      </c>
      <c r="AY80" t="s">
        <v>1754</v>
      </c>
      <c r="BG80" s="556" t="str">
        <f t="shared" si="7"/>
        <v>O</v>
      </c>
      <c r="BH80" s="556" t="str">
        <f t="shared" si="8"/>
        <v/>
      </c>
      <c r="BI80" s="556" t="str">
        <f t="shared" si="9"/>
        <v/>
      </c>
      <c r="BJ80" s="556" t="str">
        <f t="shared" si="10"/>
        <v>M3</v>
      </c>
      <c r="BK80" s="556" t="str">
        <f t="shared" si="11"/>
        <v>M3</v>
      </c>
      <c r="BL80" s="556" t="str">
        <f t="shared" si="12"/>
        <v/>
      </c>
      <c r="BM80" s="497">
        <f t="shared" si="13"/>
        <v>51821</v>
      </c>
    </row>
    <row r="81" spans="1:65">
      <c r="A81">
        <v>51822</v>
      </c>
      <c r="B81" t="s">
        <v>557</v>
      </c>
      <c r="C81" t="s">
        <v>508</v>
      </c>
      <c r="D81" t="s">
        <v>1772</v>
      </c>
      <c r="F81" s="503">
        <v>43965</v>
      </c>
      <c r="H81" t="s">
        <v>331</v>
      </c>
      <c r="I81" t="s">
        <v>1753</v>
      </c>
      <c r="J81">
        <v>20000</v>
      </c>
      <c r="K81" t="s">
        <v>1675</v>
      </c>
      <c r="O81" t="s">
        <v>1675</v>
      </c>
      <c r="W81">
        <v>0.42</v>
      </c>
      <c r="X81">
        <v>0.44</v>
      </c>
      <c r="Y81">
        <v>0</v>
      </c>
      <c r="Z81">
        <v>0</v>
      </c>
      <c r="AA81">
        <v>2</v>
      </c>
      <c r="AE81" t="s">
        <v>1221</v>
      </c>
      <c r="AI81">
        <v>60</v>
      </c>
      <c r="AJ81">
        <v>1850246</v>
      </c>
      <c r="AK81">
        <v>0</v>
      </c>
      <c r="AN81" t="s">
        <v>1703</v>
      </c>
      <c r="AO81">
        <v>2.46</v>
      </c>
      <c r="AX81">
        <v>20200514</v>
      </c>
      <c r="AY81" t="s">
        <v>1754</v>
      </c>
      <c r="BG81" s="556" t="str">
        <f t="shared" si="7"/>
        <v>O</v>
      </c>
      <c r="BH81" s="556" t="str">
        <f t="shared" si="8"/>
        <v/>
      </c>
      <c r="BI81" s="556" t="str">
        <f t="shared" si="9"/>
        <v/>
      </c>
      <c r="BJ81" s="556" t="str">
        <f t="shared" si="10"/>
        <v>M3</v>
      </c>
      <c r="BK81" s="556" t="str">
        <f t="shared" si="11"/>
        <v>M3</v>
      </c>
      <c r="BL81" s="556" t="str">
        <f t="shared" si="12"/>
        <v/>
      </c>
      <c r="BM81" s="497">
        <f t="shared" si="13"/>
        <v>51822</v>
      </c>
    </row>
    <row r="82" spans="1:65">
      <c r="A82">
        <v>40033</v>
      </c>
      <c r="B82" t="s">
        <v>1737</v>
      </c>
      <c r="C82" t="s">
        <v>568</v>
      </c>
      <c r="D82" t="s">
        <v>1803</v>
      </c>
      <c r="F82" s="503">
        <v>44847</v>
      </c>
      <c r="H82" t="s">
        <v>61</v>
      </c>
      <c r="I82" t="s">
        <v>1753</v>
      </c>
      <c r="J82">
        <v>5000</v>
      </c>
      <c r="K82" t="s">
        <v>1675</v>
      </c>
      <c r="O82" t="s">
        <v>1675</v>
      </c>
      <c r="W82">
        <v>0.42</v>
      </c>
      <c r="X82">
        <v>0.36</v>
      </c>
      <c r="Y82">
        <v>0</v>
      </c>
      <c r="Z82">
        <v>0</v>
      </c>
      <c r="AA82">
        <v>2</v>
      </c>
      <c r="AE82" t="s">
        <v>1773</v>
      </c>
      <c r="AI82">
        <v>60</v>
      </c>
      <c r="AJ82">
        <v>1850246</v>
      </c>
      <c r="AK82">
        <v>0</v>
      </c>
      <c r="AL82">
        <v>0</v>
      </c>
      <c r="AN82" t="s">
        <v>1703</v>
      </c>
      <c r="AO82">
        <v>2.46</v>
      </c>
      <c r="AX82">
        <v>20221013</v>
      </c>
      <c r="AY82" t="s">
        <v>1754</v>
      </c>
      <c r="BG82" s="556" t="str">
        <f t="shared" si="7"/>
        <v>O</v>
      </c>
      <c r="BH82" s="556" t="str">
        <f t="shared" si="8"/>
        <v/>
      </c>
      <c r="BI82" s="556" t="str">
        <f t="shared" si="9"/>
        <v/>
      </c>
      <c r="BJ82" s="556" t="str">
        <f t="shared" si="10"/>
        <v>M3</v>
      </c>
      <c r="BK82" s="556" t="str">
        <f t="shared" si="11"/>
        <v>M3</v>
      </c>
      <c r="BL82" s="556" t="str">
        <f t="shared" si="12"/>
        <v/>
      </c>
      <c r="BM82" s="497">
        <f t="shared" si="13"/>
        <v>40033</v>
      </c>
    </row>
    <row r="83" spans="1:65">
      <c r="A83">
        <v>40214</v>
      </c>
      <c r="B83" t="s">
        <v>2348</v>
      </c>
      <c r="C83" t="s">
        <v>513</v>
      </c>
      <c r="D83" t="s">
        <v>1771</v>
      </c>
      <c r="F83" s="503">
        <v>44986</v>
      </c>
      <c r="H83" t="s">
        <v>61</v>
      </c>
      <c r="I83" t="s">
        <v>1753</v>
      </c>
      <c r="J83">
        <v>5000</v>
      </c>
      <c r="K83" t="s">
        <v>1675</v>
      </c>
      <c r="O83" t="s">
        <v>1675</v>
      </c>
      <c r="W83">
        <v>0.43</v>
      </c>
      <c r="X83">
        <v>0.43</v>
      </c>
      <c r="Y83">
        <v>0</v>
      </c>
      <c r="Z83">
        <v>0</v>
      </c>
      <c r="AA83">
        <v>2</v>
      </c>
      <c r="AE83" t="s">
        <v>1773</v>
      </c>
      <c r="AI83">
        <v>60</v>
      </c>
      <c r="AJ83">
        <v>1850246</v>
      </c>
      <c r="AK83">
        <v>0</v>
      </c>
      <c r="AN83" t="s">
        <v>1703</v>
      </c>
      <c r="AO83">
        <v>2.46</v>
      </c>
      <c r="AX83">
        <v>20230301</v>
      </c>
      <c r="AY83" t="s">
        <v>1754</v>
      </c>
      <c r="BG83" s="556" t="str">
        <f t="shared" si="7"/>
        <v>O</v>
      </c>
      <c r="BH83" s="556" t="str">
        <f t="shared" si="8"/>
        <v/>
      </c>
      <c r="BI83" s="556" t="str">
        <f t="shared" si="9"/>
        <v/>
      </c>
      <c r="BJ83" s="556" t="str">
        <f t="shared" si="10"/>
        <v>M3</v>
      </c>
      <c r="BK83" s="556" t="str">
        <f t="shared" si="11"/>
        <v>M3</v>
      </c>
      <c r="BL83" s="556" t="str">
        <f t="shared" si="12"/>
        <v/>
      </c>
      <c r="BM83" s="497">
        <f t="shared" si="13"/>
        <v>40214</v>
      </c>
    </row>
    <row r="84" spans="1:65">
      <c r="A84">
        <v>40219</v>
      </c>
      <c r="B84" t="s">
        <v>2731</v>
      </c>
      <c r="C84" t="s">
        <v>513</v>
      </c>
      <c r="D84" t="s">
        <v>1771</v>
      </c>
      <c r="F84" s="503">
        <v>45359</v>
      </c>
      <c r="H84" t="s">
        <v>331</v>
      </c>
      <c r="I84" t="s">
        <v>1753</v>
      </c>
      <c r="J84">
        <v>8000</v>
      </c>
      <c r="K84" t="s">
        <v>1675</v>
      </c>
      <c r="O84" t="s">
        <v>1675</v>
      </c>
      <c r="W84">
        <v>0.43</v>
      </c>
      <c r="X84">
        <v>0.38</v>
      </c>
      <c r="Y84">
        <v>0</v>
      </c>
      <c r="Z84">
        <v>0</v>
      </c>
      <c r="AA84">
        <v>2</v>
      </c>
      <c r="AE84" t="s">
        <v>1039</v>
      </c>
      <c r="AI84">
        <v>60</v>
      </c>
      <c r="AJ84">
        <v>1850246</v>
      </c>
      <c r="AK84">
        <v>0</v>
      </c>
      <c r="AL84">
        <v>0</v>
      </c>
      <c r="AN84" t="s">
        <v>1703</v>
      </c>
      <c r="AO84">
        <v>2.46</v>
      </c>
      <c r="AX84">
        <v>20240308</v>
      </c>
      <c r="AY84" t="s">
        <v>1754</v>
      </c>
      <c r="BG84" s="556" t="str">
        <f t="shared" si="7"/>
        <v>O</v>
      </c>
      <c r="BH84" s="556" t="str">
        <f t="shared" si="8"/>
        <v/>
      </c>
      <c r="BI84" s="556" t="str">
        <f t="shared" si="9"/>
        <v/>
      </c>
      <c r="BJ84" s="556" t="str">
        <f t="shared" si="10"/>
        <v>M3</v>
      </c>
      <c r="BK84" s="556" t="str">
        <f t="shared" si="11"/>
        <v>M3</v>
      </c>
      <c r="BL84" s="556" t="str">
        <f t="shared" si="12"/>
        <v/>
      </c>
      <c r="BM84" s="497">
        <f t="shared" si="13"/>
        <v>40219</v>
      </c>
    </row>
    <row r="85" spans="1:65">
      <c r="A85">
        <v>20034</v>
      </c>
      <c r="B85" t="s">
        <v>35</v>
      </c>
      <c r="C85" t="s">
        <v>47</v>
      </c>
      <c r="D85" t="s">
        <v>1774</v>
      </c>
      <c r="F85" s="503">
        <v>42748</v>
      </c>
      <c r="H85" t="s">
        <v>61</v>
      </c>
      <c r="I85" t="s">
        <v>1753</v>
      </c>
      <c r="J85">
        <v>5000</v>
      </c>
      <c r="K85" t="s">
        <v>1675</v>
      </c>
      <c r="O85" t="s">
        <v>1675</v>
      </c>
      <c r="S85" t="s">
        <v>2301</v>
      </c>
      <c r="W85">
        <v>0.52</v>
      </c>
      <c r="X85">
        <v>0.5</v>
      </c>
      <c r="Y85">
        <v>0</v>
      </c>
      <c r="Z85">
        <v>0</v>
      </c>
      <c r="AA85">
        <v>2</v>
      </c>
      <c r="AE85" t="s">
        <v>1039</v>
      </c>
      <c r="AI85">
        <v>69</v>
      </c>
      <c r="AJ85">
        <v>1850246</v>
      </c>
      <c r="AK85">
        <v>0</v>
      </c>
      <c r="AL85">
        <v>0</v>
      </c>
      <c r="AN85" t="s">
        <v>1703</v>
      </c>
      <c r="AO85">
        <v>2.46</v>
      </c>
      <c r="AR85" t="s">
        <v>2948</v>
      </c>
      <c r="AV85" s="504">
        <v>46028</v>
      </c>
      <c r="AX85">
        <v>20170113</v>
      </c>
      <c r="AY85" t="s">
        <v>1830</v>
      </c>
      <c r="BG85" s="556" t="str">
        <f t="shared" si="7"/>
        <v>O</v>
      </c>
      <c r="BH85" s="556" t="str">
        <f t="shared" si="8"/>
        <v/>
      </c>
      <c r="BI85" s="556" t="str">
        <f t="shared" si="9"/>
        <v/>
      </c>
      <c r="BJ85" s="556" t="str">
        <f t="shared" si="10"/>
        <v>M3</v>
      </c>
      <c r="BK85" s="556" t="str">
        <f t="shared" si="11"/>
        <v>M3</v>
      </c>
      <c r="BL85" s="556" t="str">
        <f t="shared" si="12"/>
        <v>CT</v>
      </c>
      <c r="BM85" s="497">
        <f t="shared" si="13"/>
        <v>20034</v>
      </c>
    </row>
    <row r="86" spans="1:65">
      <c r="A86">
        <v>52801</v>
      </c>
      <c r="B86" t="s">
        <v>1679</v>
      </c>
      <c r="C86" t="s">
        <v>1400</v>
      </c>
      <c r="D86" t="s">
        <v>1835</v>
      </c>
      <c r="F86" s="503">
        <v>44095</v>
      </c>
      <c r="H86" t="s">
        <v>331</v>
      </c>
      <c r="I86" t="s">
        <v>1753</v>
      </c>
      <c r="J86">
        <v>5000</v>
      </c>
      <c r="K86" t="s">
        <v>1675</v>
      </c>
      <c r="O86" t="s">
        <v>1675</v>
      </c>
      <c r="S86" t="s">
        <v>2301</v>
      </c>
      <c r="W86">
        <v>0.53</v>
      </c>
      <c r="X86">
        <v>0.55000000000000004</v>
      </c>
      <c r="Y86">
        <v>0</v>
      </c>
      <c r="Z86">
        <v>0</v>
      </c>
      <c r="AA86">
        <v>0</v>
      </c>
      <c r="AE86" t="s">
        <v>1761</v>
      </c>
      <c r="AI86">
        <v>59</v>
      </c>
      <c r="AJ86">
        <v>3020246</v>
      </c>
      <c r="AK86">
        <v>0</v>
      </c>
      <c r="AL86">
        <v>0</v>
      </c>
      <c r="AN86" t="s">
        <v>135</v>
      </c>
      <c r="AO86">
        <v>2.46</v>
      </c>
      <c r="AR86" t="s">
        <v>2948</v>
      </c>
      <c r="AX86">
        <v>20200921</v>
      </c>
      <c r="AY86" t="s">
        <v>1836</v>
      </c>
      <c r="BG86" s="556" t="str">
        <f t="shared" si="7"/>
        <v>O</v>
      </c>
      <c r="BH86" s="556" t="str">
        <f t="shared" si="8"/>
        <v/>
      </c>
      <c r="BI86" s="556" t="str">
        <f t="shared" si="9"/>
        <v/>
      </c>
      <c r="BJ86" s="556" t="str">
        <f t="shared" si="10"/>
        <v>M3</v>
      </c>
      <c r="BK86" s="556" t="str">
        <f t="shared" si="11"/>
        <v>M3</v>
      </c>
      <c r="BL86" s="556" t="str">
        <f t="shared" si="12"/>
        <v>CT</v>
      </c>
      <c r="BM86" s="497">
        <f t="shared" si="13"/>
        <v>52801</v>
      </c>
    </row>
    <row r="87" spans="1:65">
      <c r="A87">
        <v>51841</v>
      </c>
      <c r="B87" t="s">
        <v>2707</v>
      </c>
      <c r="C87" t="s">
        <v>2706</v>
      </c>
      <c r="D87" t="s">
        <v>1772</v>
      </c>
      <c r="F87" s="503">
        <v>45293</v>
      </c>
      <c r="H87" t="s">
        <v>1843</v>
      </c>
      <c r="I87" t="s">
        <v>1753</v>
      </c>
      <c r="J87">
        <v>0</v>
      </c>
      <c r="K87" t="s">
        <v>1068</v>
      </c>
      <c r="O87" t="s">
        <v>1675</v>
      </c>
      <c r="W87">
        <v>0.74</v>
      </c>
      <c r="X87">
        <v>0.75</v>
      </c>
      <c r="Y87">
        <v>0</v>
      </c>
      <c r="Z87">
        <v>0</v>
      </c>
      <c r="AA87">
        <v>2</v>
      </c>
      <c r="AE87" t="s">
        <v>1773</v>
      </c>
      <c r="AI87">
        <v>60</v>
      </c>
      <c r="AJ87">
        <v>1810260</v>
      </c>
      <c r="AK87">
        <v>0</v>
      </c>
      <c r="AL87">
        <v>0</v>
      </c>
      <c r="AN87" t="s">
        <v>136</v>
      </c>
      <c r="AO87">
        <v>2.6</v>
      </c>
      <c r="AX87">
        <v>20240102</v>
      </c>
      <c r="AY87" t="s">
        <v>1754</v>
      </c>
      <c r="BG87" s="556" t="str">
        <f t="shared" si="7"/>
        <v>O</v>
      </c>
      <c r="BH87" s="556" t="str">
        <f t="shared" si="8"/>
        <v/>
      </c>
      <c r="BI87" s="556" t="str">
        <f t="shared" si="9"/>
        <v/>
      </c>
      <c r="BJ87" s="556" t="str">
        <f t="shared" si="10"/>
        <v>M4</v>
      </c>
      <c r="BK87" s="556" t="str">
        <f t="shared" si="11"/>
        <v>M3</v>
      </c>
      <c r="BL87" s="556" t="str">
        <f t="shared" si="12"/>
        <v/>
      </c>
      <c r="BM87" s="497">
        <f t="shared" si="13"/>
        <v>51841</v>
      </c>
    </row>
    <row r="88" spans="1:65">
      <c r="A88">
        <v>51840</v>
      </c>
      <c r="B88" t="s">
        <v>2705</v>
      </c>
      <c r="C88" t="s">
        <v>2706</v>
      </c>
      <c r="D88" t="s">
        <v>1772</v>
      </c>
      <c r="F88" s="503">
        <v>45293</v>
      </c>
      <c r="H88" t="s">
        <v>1843</v>
      </c>
      <c r="I88" t="s">
        <v>1753</v>
      </c>
      <c r="J88">
        <v>15000</v>
      </c>
      <c r="K88" t="s">
        <v>1068</v>
      </c>
      <c r="O88" t="s">
        <v>1675</v>
      </c>
      <c r="W88">
        <v>0.74</v>
      </c>
      <c r="X88">
        <v>0.75</v>
      </c>
      <c r="Y88">
        <v>0</v>
      </c>
      <c r="Z88">
        <v>0</v>
      </c>
      <c r="AA88">
        <v>2</v>
      </c>
      <c r="AE88" t="s">
        <v>1039</v>
      </c>
      <c r="AI88">
        <v>60</v>
      </c>
      <c r="AJ88">
        <v>1850260</v>
      </c>
      <c r="AK88">
        <v>0</v>
      </c>
      <c r="AN88" t="s">
        <v>1703</v>
      </c>
      <c r="AO88">
        <v>2.6</v>
      </c>
      <c r="AX88">
        <v>20240102</v>
      </c>
      <c r="AY88" t="s">
        <v>1754</v>
      </c>
      <c r="BG88" s="556" t="str">
        <f t="shared" si="7"/>
        <v>O</v>
      </c>
      <c r="BH88" s="556" t="str">
        <f t="shared" si="8"/>
        <v/>
      </c>
      <c r="BI88" s="556" t="str">
        <f t="shared" si="9"/>
        <v/>
      </c>
      <c r="BJ88" s="556" t="str">
        <f t="shared" si="10"/>
        <v>M4</v>
      </c>
      <c r="BK88" s="556" t="str">
        <f t="shared" si="11"/>
        <v>M3</v>
      </c>
      <c r="BL88" s="556" t="str">
        <f t="shared" si="12"/>
        <v/>
      </c>
      <c r="BM88" s="497">
        <f t="shared" si="13"/>
        <v>51840</v>
      </c>
    </row>
    <row r="89" spans="1:65">
      <c r="A89">
        <v>40009</v>
      </c>
      <c r="B89" t="s">
        <v>329</v>
      </c>
      <c r="C89" t="s">
        <v>113</v>
      </c>
      <c r="D89" t="s">
        <v>1803</v>
      </c>
      <c r="F89" s="503">
        <v>43727</v>
      </c>
      <c r="H89" t="s">
        <v>331</v>
      </c>
      <c r="I89" t="s">
        <v>1753</v>
      </c>
      <c r="J89">
        <v>5000</v>
      </c>
      <c r="K89" t="s">
        <v>1675</v>
      </c>
      <c r="O89" t="s">
        <v>2300</v>
      </c>
      <c r="W89">
        <v>0.56000000000000005</v>
      </c>
      <c r="X89">
        <v>0.65</v>
      </c>
      <c r="Y89">
        <v>0</v>
      </c>
      <c r="Z89">
        <v>0</v>
      </c>
      <c r="AA89">
        <v>0</v>
      </c>
      <c r="AE89">
        <v>101</v>
      </c>
      <c r="AI89">
        <v>18</v>
      </c>
      <c r="AJ89">
        <v>1000260</v>
      </c>
      <c r="AK89">
        <v>0</v>
      </c>
      <c r="AN89" t="s">
        <v>133</v>
      </c>
      <c r="AO89">
        <v>2.6</v>
      </c>
      <c r="AT89" t="s">
        <v>1837</v>
      </c>
      <c r="AX89">
        <v>20190919</v>
      </c>
      <c r="AY89" t="s">
        <v>1800</v>
      </c>
      <c r="AZ89" t="s">
        <v>1787</v>
      </c>
      <c r="BG89" s="556" t="str">
        <f t="shared" si="7"/>
        <v>O</v>
      </c>
      <c r="BH89" s="556" t="str">
        <f t="shared" si="8"/>
        <v>Y</v>
      </c>
      <c r="BI89" s="556" t="str">
        <f t="shared" si="9"/>
        <v/>
      </c>
      <c r="BJ89" s="556" t="str">
        <f t="shared" si="10"/>
        <v>M3</v>
      </c>
      <c r="BK89" s="556" t="str">
        <f t="shared" si="11"/>
        <v>S6</v>
      </c>
      <c r="BL89" s="556" t="str">
        <f t="shared" si="12"/>
        <v/>
      </c>
      <c r="BM89" s="497">
        <f t="shared" si="13"/>
        <v>40009</v>
      </c>
    </row>
    <row r="90" spans="1:65">
      <c r="A90">
        <v>55020</v>
      </c>
      <c r="B90" t="s">
        <v>2904</v>
      </c>
      <c r="C90" t="s">
        <v>2905</v>
      </c>
      <c r="D90" t="s">
        <v>2375</v>
      </c>
      <c r="F90" s="503">
        <v>45490</v>
      </c>
      <c r="H90" t="s">
        <v>1843</v>
      </c>
      <c r="I90" t="s">
        <v>1753</v>
      </c>
      <c r="J90">
        <v>5000</v>
      </c>
      <c r="K90" t="s">
        <v>1675</v>
      </c>
      <c r="O90" t="s">
        <v>1675</v>
      </c>
      <c r="W90">
        <v>0.54</v>
      </c>
      <c r="X90">
        <v>0.56999999999999995</v>
      </c>
      <c r="Y90">
        <v>0</v>
      </c>
      <c r="Z90">
        <v>0</v>
      </c>
      <c r="AA90">
        <v>0</v>
      </c>
      <c r="AE90" t="s">
        <v>1221</v>
      </c>
      <c r="AI90">
        <v>57</v>
      </c>
      <c r="AJ90">
        <v>1000260</v>
      </c>
      <c r="AK90">
        <v>0</v>
      </c>
      <c r="AL90">
        <v>0</v>
      </c>
      <c r="AN90" t="s">
        <v>133</v>
      </c>
      <c r="AO90">
        <v>2.6</v>
      </c>
      <c r="AX90">
        <v>20240717</v>
      </c>
      <c r="AY90" t="s">
        <v>1780</v>
      </c>
      <c r="BG90" s="556" t="str">
        <f t="shared" si="7"/>
        <v>O</v>
      </c>
      <c r="BH90" s="556" t="str">
        <f t="shared" si="8"/>
        <v/>
      </c>
      <c r="BI90" s="556" t="str">
        <f t="shared" si="9"/>
        <v/>
      </c>
      <c r="BJ90" s="556" t="str">
        <f t="shared" si="10"/>
        <v>M3</v>
      </c>
      <c r="BK90" s="556" t="str">
        <f t="shared" si="11"/>
        <v>M3</v>
      </c>
      <c r="BL90" s="556" t="str">
        <f t="shared" si="12"/>
        <v/>
      </c>
      <c r="BM90" s="497">
        <f t="shared" si="13"/>
        <v>55020</v>
      </c>
    </row>
    <row r="91" spans="1:65">
      <c r="A91">
        <v>52116</v>
      </c>
      <c r="B91" t="s">
        <v>335</v>
      </c>
      <c r="C91" t="s">
        <v>324</v>
      </c>
      <c r="D91" t="s">
        <v>1796</v>
      </c>
      <c r="F91" s="503">
        <v>43774</v>
      </c>
      <c r="H91" t="s">
        <v>331</v>
      </c>
      <c r="I91" t="s">
        <v>1753</v>
      </c>
      <c r="J91">
        <v>5000</v>
      </c>
      <c r="K91" t="s">
        <v>1675</v>
      </c>
      <c r="O91" t="s">
        <v>2300</v>
      </c>
      <c r="W91">
        <v>0.56000000000000005</v>
      </c>
      <c r="X91">
        <v>0.75</v>
      </c>
      <c r="Y91">
        <v>0</v>
      </c>
      <c r="Z91">
        <v>0</v>
      </c>
      <c r="AA91">
        <v>0</v>
      </c>
      <c r="AE91" t="s">
        <v>1221</v>
      </c>
      <c r="AI91">
        <v>18</v>
      </c>
      <c r="AJ91">
        <v>1000260</v>
      </c>
      <c r="AK91">
        <v>0</v>
      </c>
      <c r="AN91" t="s">
        <v>133</v>
      </c>
      <c r="AO91">
        <v>2.6</v>
      </c>
      <c r="AX91">
        <v>20191105</v>
      </c>
      <c r="AY91" t="s">
        <v>1800</v>
      </c>
      <c r="AZ91" t="s">
        <v>1792</v>
      </c>
      <c r="BA91" t="s">
        <v>1787</v>
      </c>
      <c r="BG91" s="556" t="str">
        <f t="shared" si="7"/>
        <v>O</v>
      </c>
      <c r="BH91" s="556" t="str">
        <f t="shared" si="8"/>
        <v>Y</v>
      </c>
      <c r="BI91" s="556" t="str">
        <f t="shared" si="9"/>
        <v/>
      </c>
      <c r="BJ91" s="556" t="str">
        <f t="shared" si="10"/>
        <v>M3</v>
      </c>
      <c r="BK91" s="556" t="str">
        <f t="shared" si="11"/>
        <v>S6</v>
      </c>
      <c r="BL91" s="556" t="str">
        <f t="shared" si="12"/>
        <v/>
      </c>
      <c r="BM91" s="497">
        <f t="shared" si="13"/>
        <v>52116</v>
      </c>
    </row>
    <row r="92" spans="1:65">
      <c r="A92">
        <v>20099</v>
      </c>
      <c r="B92" t="s">
        <v>3203</v>
      </c>
      <c r="C92" t="s">
        <v>3204</v>
      </c>
      <c r="D92" t="s">
        <v>1816</v>
      </c>
      <c r="F92" s="503">
        <v>45897</v>
      </c>
      <c r="H92" t="s">
        <v>1843</v>
      </c>
      <c r="I92" t="s">
        <v>1753</v>
      </c>
      <c r="J92">
        <v>0</v>
      </c>
      <c r="K92" t="s">
        <v>1675</v>
      </c>
      <c r="O92" t="s">
        <v>1675</v>
      </c>
      <c r="W92">
        <v>0.54</v>
      </c>
      <c r="X92">
        <v>0.54</v>
      </c>
      <c r="Y92">
        <v>0</v>
      </c>
      <c r="Z92">
        <v>0</v>
      </c>
      <c r="AA92">
        <v>2</v>
      </c>
      <c r="AE92" t="s">
        <v>1992</v>
      </c>
      <c r="AI92">
        <v>92</v>
      </c>
      <c r="AJ92">
        <v>1850260</v>
      </c>
      <c r="AK92">
        <v>0</v>
      </c>
      <c r="AL92">
        <v>0</v>
      </c>
      <c r="AN92" t="s">
        <v>1703</v>
      </c>
      <c r="AO92">
        <v>2.6</v>
      </c>
      <c r="AU92" t="s">
        <v>3223</v>
      </c>
      <c r="AX92">
        <v>20250828</v>
      </c>
      <c r="AY92" t="s">
        <v>2085</v>
      </c>
      <c r="BG92" s="556" t="str">
        <f t="shared" si="7"/>
        <v>O</v>
      </c>
      <c r="BH92" s="556" t="str">
        <f t="shared" si="8"/>
        <v/>
      </c>
      <c r="BI92" s="556" t="str">
        <f t="shared" si="9"/>
        <v>Y</v>
      </c>
      <c r="BJ92" s="556" t="str">
        <f t="shared" si="10"/>
        <v>M3</v>
      </c>
      <c r="BK92" s="556" t="str">
        <f t="shared" si="11"/>
        <v>M3</v>
      </c>
      <c r="BL92" s="556" t="str">
        <f t="shared" si="12"/>
        <v/>
      </c>
      <c r="BM92" s="497">
        <f t="shared" si="13"/>
        <v>20099</v>
      </c>
    </row>
    <row r="93" spans="1:65">
      <c r="A93">
        <v>40014</v>
      </c>
      <c r="B93" t="s">
        <v>382</v>
      </c>
      <c r="C93" t="s">
        <v>201</v>
      </c>
      <c r="D93" t="s">
        <v>1803</v>
      </c>
      <c r="F93" s="503">
        <v>43773</v>
      </c>
      <c r="H93" t="s">
        <v>331</v>
      </c>
      <c r="I93" t="s">
        <v>1753</v>
      </c>
      <c r="J93">
        <v>5000</v>
      </c>
      <c r="K93" t="s">
        <v>1675</v>
      </c>
      <c r="O93" t="s">
        <v>1675</v>
      </c>
      <c r="W93">
        <v>0.51</v>
      </c>
      <c r="X93">
        <v>0.52</v>
      </c>
      <c r="Y93">
        <v>0</v>
      </c>
      <c r="Z93">
        <v>0</v>
      </c>
      <c r="AA93">
        <v>1</v>
      </c>
      <c r="AE93">
        <v>102</v>
      </c>
      <c r="AI93">
        <v>60</v>
      </c>
      <c r="AJ93">
        <v>1000246</v>
      </c>
      <c r="AK93">
        <v>0</v>
      </c>
      <c r="AN93" t="s">
        <v>133</v>
      </c>
      <c r="AO93">
        <v>2.46</v>
      </c>
      <c r="AT93" t="s">
        <v>1838</v>
      </c>
      <c r="AX93">
        <v>20191104</v>
      </c>
      <c r="AY93" t="s">
        <v>1754</v>
      </c>
      <c r="BG93" s="556" t="str">
        <f t="shared" si="7"/>
        <v>O</v>
      </c>
      <c r="BH93" s="556" t="str">
        <f t="shared" si="8"/>
        <v/>
      </c>
      <c r="BI93" s="556" t="str">
        <f t="shared" si="9"/>
        <v/>
      </c>
      <c r="BJ93" s="556" t="str">
        <f t="shared" si="10"/>
        <v>M3</v>
      </c>
      <c r="BK93" s="556" t="str">
        <f t="shared" si="11"/>
        <v>M3</v>
      </c>
      <c r="BL93" s="556" t="str">
        <f t="shared" si="12"/>
        <v/>
      </c>
      <c r="BM93" s="497">
        <f t="shared" si="13"/>
        <v>40014</v>
      </c>
    </row>
    <row r="94" spans="1:65">
      <c r="A94">
        <v>20602</v>
      </c>
      <c r="B94" t="s">
        <v>1710</v>
      </c>
      <c r="C94" t="s">
        <v>201</v>
      </c>
      <c r="D94" t="s">
        <v>1813</v>
      </c>
      <c r="F94" s="503">
        <v>44114</v>
      </c>
      <c r="H94" t="s">
        <v>331</v>
      </c>
      <c r="I94" t="s">
        <v>1753</v>
      </c>
      <c r="J94">
        <v>5000</v>
      </c>
      <c r="K94" t="s">
        <v>1675</v>
      </c>
      <c r="O94" t="s">
        <v>1675</v>
      </c>
      <c r="W94">
        <v>0.51</v>
      </c>
      <c r="X94">
        <v>0.53</v>
      </c>
      <c r="Y94">
        <v>0</v>
      </c>
      <c r="Z94">
        <v>0</v>
      </c>
      <c r="AA94">
        <v>2</v>
      </c>
      <c r="AE94" t="s">
        <v>3189</v>
      </c>
      <c r="AI94">
        <v>60</v>
      </c>
      <c r="AJ94">
        <v>1850246</v>
      </c>
      <c r="AK94">
        <v>0</v>
      </c>
      <c r="AN94" t="s">
        <v>1703</v>
      </c>
      <c r="AO94">
        <v>2.46</v>
      </c>
      <c r="AT94" t="s">
        <v>2949</v>
      </c>
      <c r="AX94">
        <v>20201010</v>
      </c>
      <c r="AY94" t="s">
        <v>1754</v>
      </c>
      <c r="BG94" s="556" t="str">
        <f t="shared" si="7"/>
        <v>O</v>
      </c>
      <c r="BH94" s="556" t="str">
        <f t="shared" si="8"/>
        <v/>
      </c>
      <c r="BI94" s="556" t="str">
        <f t="shared" si="9"/>
        <v/>
      </c>
      <c r="BJ94" s="556" t="str">
        <f t="shared" si="10"/>
        <v>M3</v>
      </c>
      <c r="BK94" s="556" t="str">
        <f t="shared" si="11"/>
        <v>M3</v>
      </c>
      <c r="BL94" s="556" t="str">
        <f t="shared" si="12"/>
        <v/>
      </c>
      <c r="BM94" s="497">
        <f t="shared" si="13"/>
        <v>20602</v>
      </c>
    </row>
    <row r="95" spans="1:65">
      <c r="A95">
        <v>20800</v>
      </c>
      <c r="B95" t="s">
        <v>254</v>
      </c>
      <c r="C95" t="s">
        <v>255</v>
      </c>
      <c r="D95" t="s">
        <v>1839</v>
      </c>
      <c r="F95" s="503">
        <v>43087</v>
      </c>
      <c r="H95" t="s">
        <v>331</v>
      </c>
      <c r="I95" t="s">
        <v>1753</v>
      </c>
      <c r="J95">
        <v>5000</v>
      </c>
      <c r="K95" t="s">
        <v>1675</v>
      </c>
      <c r="O95" t="s">
        <v>1675</v>
      </c>
      <c r="W95">
        <v>0.52</v>
      </c>
      <c r="X95">
        <v>0.52</v>
      </c>
      <c r="Y95">
        <v>0</v>
      </c>
      <c r="Z95">
        <v>0</v>
      </c>
      <c r="AA95">
        <v>2</v>
      </c>
      <c r="AE95" t="s">
        <v>1039</v>
      </c>
      <c r="AI95">
        <v>60</v>
      </c>
      <c r="AJ95">
        <v>1850246</v>
      </c>
      <c r="AK95">
        <v>0</v>
      </c>
      <c r="AL95">
        <v>0</v>
      </c>
      <c r="AN95" t="s">
        <v>1703</v>
      </c>
      <c r="AO95">
        <v>2.46</v>
      </c>
      <c r="AV95" s="504">
        <v>46029</v>
      </c>
      <c r="AX95">
        <v>20171218</v>
      </c>
      <c r="AY95" t="s">
        <v>1754</v>
      </c>
      <c r="BG95" s="556" t="str">
        <f t="shared" si="7"/>
        <v>O</v>
      </c>
      <c r="BH95" s="556" t="str">
        <f t="shared" si="8"/>
        <v/>
      </c>
      <c r="BI95" s="556" t="str">
        <f t="shared" si="9"/>
        <v/>
      </c>
      <c r="BJ95" s="556" t="str">
        <f t="shared" si="10"/>
        <v>M3</v>
      </c>
      <c r="BK95" s="556" t="str">
        <f t="shared" si="11"/>
        <v>M3</v>
      </c>
      <c r="BL95" s="556" t="str">
        <f t="shared" si="12"/>
        <v/>
      </c>
      <c r="BM95" s="497">
        <f t="shared" si="13"/>
        <v>20800</v>
      </c>
    </row>
    <row r="96" spans="1:65">
      <c r="A96">
        <v>53116</v>
      </c>
      <c r="B96" t="s">
        <v>2749</v>
      </c>
      <c r="C96" t="s">
        <v>2753</v>
      </c>
      <c r="D96" t="s">
        <v>1819</v>
      </c>
      <c r="F96" s="503">
        <v>45367</v>
      </c>
      <c r="H96" t="s">
        <v>331</v>
      </c>
      <c r="I96" t="s">
        <v>1753</v>
      </c>
      <c r="J96">
        <v>5000</v>
      </c>
      <c r="K96" t="s">
        <v>1675</v>
      </c>
      <c r="O96" t="s">
        <v>1675</v>
      </c>
      <c r="W96">
        <v>0.53</v>
      </c>
      <c r="X96">
        <v>0.53</v>
      </c>
      <c r="Y96">
        <v>0</v>
      </c>
      <c r="Z96">
        <v>0</v>
      </c>
      <c r="AA96">
        <v>0</v>
      </c>
      <c r="AE96" t="s">
        <v>2754</v>
      </c>
      <c r="AI96">
        <v>57</v>
      </c>
      <c r="AJ96">
        <v>4300246</v>
      </c>
      <c r="AK96">
        <v>0</v>
      </c>
      <c r="AN96" t="s">
        <v>185</v>
      </c>
      <c r="AO96">
        <v>2.46</v>
      </c>
      <c r="AX96">
        <v>20240316</v>
      </c>
      <c r="AY96" t="s">
        <v>1780</v>
      </c>
      <c r="BG96" s="556" t="str">
        <f t="shared" si="7"/>
        <v>O</v>
      </c>
      <c r="BH96" s="556" t="str">
        <f t="shared" si="8"/>
        <v/>
      </c>
      <c r="BI96" s="556" t="str">
        <f t="shared" si="9"/>
        <v/>
      </c>
      <c r="BJ96" s="556" t="str">
        <f t="shared" si="10"/>
        <v>M3</v>
      </c>
      <c r="BK96" s="556" t="str">
        <f t="shared" si="11"/>
        <v>M3</v>
      </c>
      <c r="BL96" s="556" t="str">
        <f t="shared" si="12"/>
        <v/>
      </c>
      <c r="BM96" s="497">
        <f t="shared" si="13"/>
        <v>53116</v>
      </c>
    </row>
    <row r="97" spans="1:65">
      <c r="A97">
        <v>20055</v>
      </c>
      <c r="B97" t="s">
        <v>166</v>
      </c>
      <c r="C97" t="s">
        <v>167</v>
      </c>
      <c r="D97" t="s">
        <v>1840</v>
      </c>
      <c r="F97" s="503">
        <v>43087</v>
      </c>
      <c r="H97" t="s">
        <v>331</v>
      </c>
      <c r="I97" t="s">
        <v>1753</v>
      </c>
      <c r="J97">
        <v>5000</v>
      </c>
      <c r="K97" t="s">
        <v>1675</v>
      </c>
      <c r="O97" t="s">
        <v>1675</v>
      </c>
      <c r="W97">
        <v>0.51</v>
      </c>
      <c r="X97">
        <v>0.52</v>
      </c>
      <c r="Y97">
        <v>0</v>
      </c>
      <c r="Z97">
        <v>0</v>
      </c>
      <c r="AA97">
        <v>2</v>
      </c>
      <c r="AE97" t="s">
        <v>1773</v>
      </c>
      <c r="AI97">
        <v>60</v>
      </c>
      <c r="AJ97">
        <v>1850246</v>
      </c>
      <c r="AK97">
        <v>0</v>
      </c>
      <c r="AL97">
        <v>0</v>
      </c>
      <c r="AN97" t="s">
        <v>1703</v>
      </c>
      <c r="AO97">
        <v>2.46</v>
      </c>
      <c r="AV97" s="504">
        <v>46030</v>
      </c>
      <c r="AX97">
        <v>20171218</v>
      </c>
      <c r="AY97" t="s">
        <v>1754</v>
      </c>
      <c r="BG97" s="556" t="str">
        <f t="shared" si="7"/>
        <v>O</v>
      </c>
      <c r="BH97" s="556" t="str">
        <f t="shared" si="8"/>
        <v/>
      </c>
      <c r="BI97" s="556" t="str">
        <f t="shared" si="9"/>
        <v/>
      </c>
      <c r="BJ97" s="556" t="str">
        <f t="shared" si="10"/>
        <v>M3</v>
      </c>
      <c r="BK97" s="556" t="str">
        <f t="shared" si="11"/>
        <v>M3</v>
      </c>
      <c r="BL97" s="556" t="str">
        <f t="shared" si="12"/>
        <v/>
      </c>
      <c r="BM97" s="497">
        <f t="shared" si="13"/>
        <v>20055</v>
      </c>
    </row>
    <row r="98" spans="1:65">
      <c r="A98">
        <v>52114</v>
      </c>
      <c r="B98" t="s">
        <v>521</v>
      </c>
      <c r="C98" t="s">
        <v>167</v>
      </c>
      <c r="D98" t="s">
        <v>1796</v>
      </c>
      <c r="F98" s="503">
        <v>43774</v>
      </c>
      <c r="H98" t="s">
        <v>331</v>
      </c>
      <c r="I98" t="s">
        <v>1753</v>
      </c>
      <c r="J98">
        <v>5000</v>
      </c>
      <c r="K98" t="s">
        <v>1675</v>
      </c>
      <c r="O98" t="s">
        <v>1675</v>
      </c>
      <c r="W98">
        <v>0.52</v>
      </c>
      <c r="X98">
        <v>0.55000000000000004</v>
      </c>
      <c r="Y98">
        <v>0</v>
      </c>
      <c r="Z98">
        <v>0</v>
      </c>
      <c r="AA98">
        <v>2</v>
      </c>
      <c r="AE98" t="s">
        <v>1221</v>
      </c>
      <c r="AI98">
        <v>60</v>
      </c>
      <c r="AJ98">
        <v>1850246</v>
      </c>
      <c r="AK98">
        <v>0</v>
      </c>
      <c r="AN98" t="s">
        <v>1703</v>
      </c>
      <c r="AO98">
        <v>2.46</v>
      </c>
      <c r="AX98">
        <v>20191105</v>
      </c>
      <c r="AY98" t="s">
        <v>1754</v>
      </c>
      <c r="BG98" s="556" t="str">
        <f t="shared" si="7"/>
        <v>O</v>
      </c>
      <c r="BH98" s="556" t="str">
        <f t="shared" si="8"/>
        <v/>
      </c>
      <c r="BI98" s="556" t="str">
        <f t="shared" si="9"/>
        <v/>
      </c>
      <c r="BJ98" s="556" t="str">
        <f t="shared" si="10"/>
        <v>M3</v>
      </c>
      <c r="BK98" s="556" t="str">
        <f t="shared" si="11"/>
        <v>M3</v>
      </c>
      <c r="BL98" s="556" t="str">
        <f t="shared" si="12"/>
        <v/>
      </c>
      <c r="BM98" s="497">
        <f t="shared" si="13"/>
        <v>52114</v>
      </c>
    </row>
    <row r="99" spans="1:65">
      <c r="A99">
        <v>52400</v>
      </c>
      <c r="B99" t="s">
        <v>587</v>
      </c>
      <c r="C99" t="s">
        <v>167</v>
      </c>
      <c r="D99" t="s">
        <v>1752</v>
      </c>
      <c r="F99" s="503">
        <v>43840</v>
      </c>
      <c r="H99" t="s">
        <v>331</v>
      </c>
      <c r="I99" t="s">
        <v>1753</v>
      </c>
      <c r="J99">
        <v>5000</v>
      </c>
      <c r="K99" t="s">
        <v>1675</v>
      </c>
      <c r="O99" t="s">
        <v>1675</v>
      </c>
      <c r="W99">
        <v>0.52</v>
      </c>
      <c r="X99">
        <v>0.5</v>
      </c>
      <c r="Y99">
        <v>0</v>
      </c>
      <c r="Z99">
        <v>0</v>
      </c>
      <c r="AA99">
        <v>2</v>
      </c>
      <c r="AE99" t="s">
        <v>1039</v>
      </c>
      <c r="AI99">
        <v>60</v>
      </c>
      <c r="AJ99">
        <v>1850246</v>
      </c>
      <c r="AK99">
        <v>0</v>
      </c>
      <c r="AN99" t="s">
        <v>1703</v>
      </c>
      <c r="AO99">
        <v>2.46</v>
      </c>
      <c r="AX99">
        <v>20200110</v>
      </c>
      <c r="AY99" t="s">
        <v>1754</v>
      </c>
      <c r="BG99" s="556" t="str">
        <f t="shared" si="7"/>
        <v>O</v>
      </c>
      <c r="BH99" s="556" t="str">
        <f t="shared" si="8"/>
        <v/>
      </c>
      <c r="BI99" s="556" t="str">
        <f t="shared" si="9"/>
        <v/>
      </c>
      <c r="BJ99" s="556" t="str">
        <f t="shared" si="10"/>
        <v>M3</v>
      </c>
      <c r="BK99" s="556" t="str">
        <f t="shared" si="11"/>
        <v>M3</v>
      </c>
      <c r="BL99" s="556" t="str">
        <f t="shared" si="12"/>
        <v/>
      </c>
      <c r="BM99" s="497">
        <f t="shared" si="13"/>
        <v>52400</v>
      </c>
    </row>
    <row r="100" spans="1:65">
      <c r="A100">
        <v>51843</v>
      </c>
      <c r="B100" t="s">
        <v>3333</v>
      </c>
      <c r="C100" t="s">
        <v>167</v>
      </c>
      <c r="D100" t="s">
        <v>1772</v>
      </c>
      <c r="F100" s="503">
        <v>46007</v>
      </c>
      <c r="H100" t="s">
        <v>331</v>
      </c>
      <c r="I100" t="s">
        <v>1753</v>
      </c>
      <c r="J100">
        <v>20000</v>
      </c>
      <c r="K100" t="s">
        <v>1675</v>
      </c>
      <c r="O100" t="s">
        <v>1675</v>
      </c>
      <c r="W100">
        <v>0.52</v>
      </c>
      <c r="X100">
        <v>0.52</v>
      </c>
      <c r="Y100">
        <v>0</v>
      </c>
      <c r="Z100">
        <v>0</v>
      </c>
      <c r="AA100">
        <v>2</v>
      </c>
      <c r="AE100" t="s">
        <v>1039</v>
      </c>
      <c r="AI100">
        <v>60</v>
      </c>
      <c r="AJ100">
        <v>1850246</v>
      </c>
      <c r="AK100">
        <v>0</v>
      </c>
      <c r="AL100">
        <v>0</v>
      </c>
      <c r="AN100" t="s">
        <v>1703</v>
      </c>
      <c r="AO100">
        <v>2.46</v>
      </c>
      <c r="AX100">
        <v>20251216</v>
      </c>
      <c r="AY100" t="s">
        <v>1754</v>
      </c>
      <c r="BG100" s="556" t="str">
        <f t="shared" si="7"/>
        <v>O</v>
      </c>
      <c r="BH100" s="556" t="str">
        <f t="shared" si="8"/>
        <v/>
      </c>
      <c r="BI100" s="556" t="str">
        <f t="shared" si="9"/>
        <v/>
      </c>
      <c r="BJ100" s="556" t="str">
        <f t="shared" si="10"/>
        <v>M3</v>
      </c>
      <c r="BK100" s="556" t="str">
        <f t="shared" si="11"/>
        <v>M3</v>
      </c>
      <c r="BL100" s="556" t="str">
        <f t="shared" si="12"/>
        <v/>
      </c>
      <c r="BM100" s="497">
        <f t="shared" si="13"/>
        <v>51843</v>
      </c>
    </row>
    <row r="101" spans="1:65">
      <c r="A101">
        <v>40215</v>
      </c>
      <c r="B101" t="s">
        <v>2349</v>
      </c>
      <c r="C101" t="s">
        <v>46</v>
      </c>
      <c r="D101" t="s">
        <v>1771</v>
      </c>
      <c r="F101" s="503">
        <v>44986</v>
      </c>
      <c r="H101" t="s">
        <v>61</v>
      </c>
      <c r="I101" t="s">
        <v>1753</v>
      </c>
      <c r="J101">
        <v>5000</v>
      </c>
      <c r="K101" t="s">
        <v>1675</v>
      </c>
      <c r="O101" t="s">
        <v>1675</v>
      </c>
      <c r="W101">
        <v>0.47</v>
      </c>
      <c r="X101">
        <v>0.47</v>
      </c>
      <c r="Y101">
        <v>0</v>
      </c>
      <c r="Z101">
        <v>0</v>
      </c>
      <c r="AA101">
        <v>2</v>
      </c>
      <c r="AE101" t="s">
        <v>1773</v>
      </c>
      <c r="AI101">
        <v>60</v>
      </c>
      <c r="AJ101">
        <v>1850246</v>
      </c>
      <c r="AK101">
        <v>0</v>
      </c>
      <c r="AN101" t="s">
        <v>1703</v>
      </c>
      <c r="AO101">
        <v>2.46</v>
      </c>
      <c r="AX101">
        <v>20230301</v>
      </c>
      <c r="AY101" t="s">
        <v>1754</v>
      </c>
      <c r="BG101" s="556" t="str">
        <f t="shared" si="7"/>
        <v>O</v>
      </c>
      <c r="BH101" s="556" t="str">
        <f t="shared" si="8"/>
        <v/>
      </c>
      <c r="BI101" s="556" t="str">
        <f t="shared" si="9"/>
        <v/>
      </c>
      <c r="BJ101" s="556" t="str">
        <f t="shared" si="10"/>
        <v>M3</v>
      </c>
      <c r="BK101" s="556" t="str">
        <f t="shared" si="11"/>
        <v>M3</v>
      </c>
      <c r="BL101" s="556" t="str">
        <f t="shared" si="12"/>
        <v/>
      </c>
      <c r="BM101" s="497">
        <f t="shared" si="13"/>
        <v>40215</v>
      </c>
    </row>
    <row r="102" spans="1:65">
      <c r="A102">
        <v>40226</v>
      </c>
      <c r="B102" t="s">
        <v>2895</v>
      </c>
      <c r="C102" t="s">
        <v>46</v>
      </c>
      <c r="D102" t="s">
        <v>1771</v>
      </c>
      <c r="F102" s="503">
        <v>44986</v>
      </c>
      <c r="H102" t="s">
        <v>61</v>
      </c>
      <c r="I102" t="s">
        <v>1753</v>
      </c>
      <c r="J102">
        <v>5000</v>
      </c>
      <c r="K102" t="s">
        <v>1675</v>
      </c>
      <c r="O102" t="s">
        <v>1675</v>
      </c>
      <c r="W102">
        <v>0.47</v>
      </c>
      <c r="X102">
        <v>0.47</v>
      </c>
      <c r="Y102">
        <v>0</v>
      </c>
      <c r="Z102">
        <v>0</v>
      </c>
      <c r="AA102">
        <v>2</v>
      </c>
      <c r="AE102" t="s">
        <v>1039</v>
      </c>
      <c r="AI102">
        <v>60</v>
      </c>
      <c r="AJ102">
        <v>1850246</v>
      </c>
      <c r="AK102">
        <v>0</v>
      </c>
      <c r="AN102" t="s">
        <v>1703</v>
      </c>
      <c r="AO102">
        <v>2.46</v>
      </c>
      <c r="AX102">
        <v>20230301</v>
      </c>
      <c r="AY102" t="s">
        <v>1754</v>
      </c>
      <c r="BG102" s="556" t="str">
        <f t="shared" si="7"/>
        <v>O</v>
      </c>
      <c r="BH102" s="556" t="str">
        <f t="shared" si="8"/>
        <v/>
      </c>
      <c r="BI102" s="556" t="str">
        <f t="shared" si="9"/>
        <v/>
      </c>
      <c r="BJ102" s="556" t="str">
        <f t="shared" si="10"/>
        <v>M3</v>
      </c>
      <c r="BK102" s="556" t="str">
        <f t="shared" si="11"/>
        <v>M3</v>
      </c>
      <c r="BL102" s="556" t="str">
        <f t="shared" si="12"/>
        <v/>
      </c>
      <c r="BM102" s="497">
        <f t="shared" si="13"/>
        <v>40226</v>
      </c>
    </row>
    <row r="103" spans="1:65">
      <c r="A103">
        <v>21000</v>
      </c>
      <c r="B103" t="s">
        <v>533</v>
      </c>
      <c r="C103" t="s">
        <v>535</v>
      </c>
      <c r="D103" t="s">
        <v>1841</v>
      </c>
      <c r="F103" s="503">
        <v>43546</v>
      </c>
      <c r="H103" t="s">
        <v>61</v>
      </c>
      <c r="I103" t="s">
        <v>1753</v>
      </c>
      <c r="J103">
        <v>5000</v>
      </c>
      <c r="K103" t="s">
        <v>1675</v>
      </c>
      <c r="O103" t="s">
        <v>1675</v>
      </c>
      <c r="S103" t="s">
        <v>2301</v>
      </c>
      <c r="W103">
        <v>0.59</v>
      </c>
      <c r="X103">
        <v>0.6</v>
      </c>
      <c r="Y103">
        <v>0</v>
      </c>
      <c r="Z103">
        <v>0</v>
      </c>
      <c r="AA103">
        <v>2</v>
      </c>
      <c r="AE103" t="s">
        <v>1039</v>
      </c>
      <c r="AI103">
        <v>69</v>
      </c>
      <c r="AJ103">
        <v>1850246</v>
      </c>
      <c r="AK103">
        <v>0</v>
      </c>
      <c r="AN103" t="s">
        <v>1703</v>
      </c>
      <c r="AO103">
        <v>2.46</v>
      </c>
      <c r="AR103" t="s">
        <v>2948</v>
      </c>
      <c r="AV103" s="504">
        <v>46058</v>
      </c>
      <c r="AX103">
        <v>20190322</v>
      </c>
      <c r="AY103" t="s">
        <v>1830</v>
      </c>
      <c r="BG103" s="556" t="str">
        <f t="shared" si="7"/>
        <v>O</v>
      </c>
      <c r="BH103" s="556" t="str">
        <f t="shared" si="8"/>
        <v/>
      </c>
      <c r="BI103" s="556" t="str">
        <f t="shared" si="9"/>
        <v/>
      </c>
      <c r="BJ103" s="556" t="str">
        <f t="shared" si="10"/>
        <v>M3</v>
      </c>
      <c r="BK103" s="556" t="str">
        <f t="shared" si="11"/>
        <v>M3</v>
      </c>
      <c r="BL103" s="556" t="str">
        <f t="shared" si="12"/>
        <v>CT</v>
      </c>
      <c r="BM103" s="497">
        <f t="shared" si="13"/>
        <v>21000</v>
      </c>
    </row>
    <row r="104" spans="1:65">
      <c r="A104">
        <v>40048</v>
      </c>
      <c r="B104" t="s">
        <v>3018</v>
      </c>
      <c r="C104" t="s">
        <v>3017</v>
      </c>
      <c r="D104" t="s">
        <v>1803</v>
      </c>
      <c r="F104" s="503">
        <v>45657</v>
      </c>
      <c r="I104" t="s">
        <v>1753</v>
      </c>
      <c r="J104">
        <v>0</v>
      </c>
      <c r="K104" t="s">
        <v>1675</v>
      </c>
      <c r="L104" t="s">
        <v>1068</v>
      </c>
      <c r="O104" t="s">
        <v>1675</v>
      </c>
      <c r="P104" t="s">
        <v>1068</v>
      </c>
      <c r="W104">
        <v>0.52</v>
      </c>
      <c r="X104">
        <v>0.52</v>
      </c>
      <c r="Y104">
        <v>0</v>
      </c>
      <c r="Z104">
        <v>0</v>
      </c>
      <c r="AA104">
        <v>2</v>
      </c>
      <c r="AE104" t="s">
        <v>1039</v>
      </c>
      <c r="AI104">
        <v>69</v>
      </c>
      <c r="AJ104">
        <v>1850246</v>
      </c>
      <c r="AK104">
        <v>0</v>
      </c>
      <c r="AN104" t="s">
        <v>1703</v>
      </c>
      <c r="AO104">
        <v>2.46</v>
      </c>
      <c r="AR104" t="s">
        <v>2995</v>
      </c>
      <c r="AX104">
        <v>20241231</v>
      </c>
      <c r="AY104" t="s">
        <v>1830</v>
      </c>
      <c r="BG104" s="556" t="str">
        <f t="shared" si="7"/>
        <v>O</v>
      </c>
      <c r="BH104" s="556" t="str">
        <f t="shared" si="8"/>
        <v/>
      </c>
      <c r="BI104" s="556" t="str">
        <f t="shared" si="9"/>
        <v/>
      </c>
      <c r="BJ104" s="556" t="str">
        <f t="shared" si="10"/>
        <v>M3,M4</v>
      </c>
      <c r="BK104" s="556" t="str">
        <f t="shared" si="11"/>
        <v>M3,M4</v>
      </c>
      <c r="BL104" s="556" t="str">
        <f t="shared" si="12"/>
        <v/>
      </c>
      <c r="BM104" s="497">
        <f t="shared" si="13"/>
        <v>40048</v>
      </c>
    </row>
    <row r="105" spans="1:65">
      <c r="A105">
        <v>40046</v>
      </c>
      <c r="B105" t="s">
        <v>2991</v>
      </c>
      <c r="C105" t="s">
        <v>2994</v>
      </c>
      <c r="D105" t="s">
        <v>1803</v>
      </c>
      <c r="F105" s="503">
        <v>45572</v>
      </c>
      <c r="H105" t="s">
        <v>331</v>
      </c>
      <c r="I105" t="s">
        <v>1753</v>
      </c>
      <c r="J105">
        <v>5000</v>
      </c>
      <c r="K105" t="s">
        <v>1675</v>
      </c>
      <c r="O105" t="s">
        <v>1675</v>
      </c>
      <c r="W105">
        <v>0.6</v>
      </c>
      <c r="X105">
        <v>0.64</v>
      </c>
      <c r="Y105">
        <v>0</v>
      </c>
      <c r="Z105">
        <v>0</v>
      </c>
      <c r="AA105">
        <v>2</v>
      </c>
      <c r="AE105" t="s">
        <v>1039</v>
      </c>
      <c r="AI105">
        <v>60</v>
      </c>
      <c r="AJ105">
        <v>1850246</v>
      </c>
      <c r="AK105">
        <v>0</v>
      </c>
      <c r="AL105">
        <v>0</v>
      </c>
      <c r="AN105" t="s">
        <v>1703</v>
      </c>
      <c r="AO105">
        <v>2.46</v>
      </c>
      <c r="AX105">
        <v>20241007</v>
      </c>
      <c r="AY105" t="s">
        <v>1754</v>
      </c>
      <c r="BG105" s="556" t="str">
        <f t="shared" si="7"/>
        <v>O</v>
      </c>
      <c r="BH105" s="556" t="str">
        <f t="shared" si="8"/>
        <v/>
      </c>
      <c r="BI105" s="556" t="str">
        <f t="shared" si="9"/>
        <v/>
      </c>
      <c r="BJ105" s="556" t="str">
        <f t="shared" si="10"/>
        <v>M3</v>
      </c>
      <c r="BK105" s="556" t="str">
        <f t="shared" si="11"/>
        <v>M3</v>
      </c>
      <c r="BL105" s="556" t="str">
        <f t="shared" si="12"/>
        <v/>
      </c>
      <c r="BM105" s="497">
        <f t="shared" si="13"/>
        <v>40046</v>
      </c>
    </row>
    <row r="106" spans="1:65">
      <c r="A106">
        <v>52803</v>
      </c>
      <c r="B106" t="s">
        <v>1842</v>
      </c>
      <c r="C106" t="s">
        <v>963</v>
      </c>
      <c r="D106" t="s">
        <v>1835</v>
      </c>
      <c r="F106" s="503">
        <v>44673</v>
      </c>
      <c r="H106" t="s">
        <v>1843</v>
      </c>
      <c r="I106" t="s">
        <v>1753</v>
      </c>
      <c r="J106">
        <v>5000</v>
      </c>
      <c r="K106" t="s">
        <v>1675</v>
      </c>
      <c r="O106" t="s">
        <v>1675</v>
      </c>
      <c r="W106">
        <v>0.56000000000000005</v>
      </c>
      <c r="X106">
        <v>0.55000000000000004</v>
      </c>
      <c r="Y106">
        <v>0</v>
      </c>
      <c r="Z106">
        <v>0</v>
      </c>
      <c r="AA106">
        <v>1</v>
      </c>
      <c r="AE106" t="s">
        <v>1039</v>
      </c>
      <c r="AI106">
        <v>57</v>
      </c>
      <c r="AJ106">
        <v>1000260</v>
      </c>
      <c r="AK106">
        <v>0</v>
      </c>
      <c r="AL106">
        <v>0</v>
      </c>
      <c r="AN106" t="s">
        <v>133</v>
      </c>
      <c r="AO106">
        <v>2.6</v>
      </c>
      <c r="AX106">
        <v>20220422</v>
      </c>
      <c r="AY106" t="s">
        <v>1780</v>
      </c>
      <c r="BG106" s="556" t="str">
        <f t="shared" si="7"/>
        <v>O</v>
      </c>
      <c r="BH106" s="556" t="str">
        <f t="shared" si="8"/>
        <v/>
      </c>
      <c r="BI106" s="556" t="str">
        <f t="shared" si="9"/>
        <v/>
      </c>
      <c r="BJ106" s="556" t="str">
        <f t="shared" si="10"/>
        <v>M3</v>
      </c>
      <c r="BK106" s="556" t="str">
        <f t="shared" si="11"/>
        <v>M3</v>
      </c>
      <c r="BL106" s="556" t="str">
        <f t="shared" si="12"/>
        <v/>
      </c>
      <c r="BM106" s="497">
        <f t="shared" si="13"/>
        <v>52803</v>
      </c>
    </row>
    <row r="107" spans="1:65">
      <c r="A107">
        <v>55003</v>
      </c>
      <c r="B107" t="s">
        <v>2360</v>
      </c>
      <c r="C107" t="s">
        <v>2374</v>
      </c>
      <c r="D107" t="s">
        <v>2375</v>
      </c>
      <c r="F107" s="503">
        <v>44998</v>
      </c>
      <c r="H107" t="s">
        <v>2376</v>
      </c>
      <c r="I107" t="s">
        <v>1753</v>
      </c>
      <c r="J107">
        <v>6000</v>
      </c>
      <c r="K107" t="s">
        <v>1675</v>
      </c>
      <c r="O107" t="s">
        <v>1675</v>
      </c>
      <c r="W107">
        <v>0.53</v>
      </c>
      <c r="X107">
        <v>0.49</v>
      </c>
      <c r="Y107">
        <v>0</v>
      </c>
      <c r="Z107">
        <v>0</v>
      </c>
      <c r="AA107">
        <v>0</v>
      </c>
      <c r="AE107" t="s">
        <v>2698</v>
      </c>
      <c r="AI107">
        <v>57</v>
      </c>
      <c r="AJ107">
        <v>1000260</v>
      </c>
      <c r="AK107">
        <v>0</v>
      </c>
      <c r="AL107">
        <v>0</v>
      </c>
      <c r="AN107" t="s">
        <v>133</v>
      </c>
      <c r="AO107">
        <v>2.6</v>
      </c>
      <c r="AX107">
        <v>20230313</v>
      </c>
      <c r="AY107" t="s">
        <v>1780</v>
      </c>
      <c r="BG107" s="556" t="str">
        <f t="shared" si="7"/>
        <v>O</v>
      </c>
      <c r="BH107" s="556" t="str">
        <f t="shared" si="8"/>
        <v/>
      </c>
      <c r="BI107" s="556" t="str">
        <f t="shared" si="9"/>
        <v/>
      </c>
      <c r="BJ107" s="556" t="str">
        <f t="shared" si="10"/>
        <v>M3</v>
      </c>
      <c r="BK107" s="556" t="str">
        <f t="shared" si="11"/>
        <v>M3</v>
      </c>
      <c r="BL107" s="556" t="str">
        <f t="shared" si="12"/>
        <v/>
      </c>
      <c r="BM107" s="497">
        <f t="shared" si="13"/>
        <v>55003</v>
      </c>
    </row>
    <row r="108" spans="1:65">
      <c r="A108">
        <v>51836</v>
      </c>
      <c r="B108" t="s">
        <v>2350</v>
      </c>
      <c r="C108" t="s">
        <v>1854</v>
      </c>
      <c r="D108" t="s">
        <v>1772</v>
      </c>
      <c r="F108" s="503">
        <v>44986</v>
      </c>
      <c r="H108" t="s">
        <v>2602</v>
      </c>
      <c r="I108" t="s">
        <v>1753</v>
      </c>
      <c r="J108">
        <v>15000</v>
      </c>
      <c r="K108" t="s">
        <v>1068</v>
      </c>
      <c r="O108" t="s">
        <v>1675</v>
      </c>
      <c r="W108">
        <v>0.77</v>
      </c>
      <c r="X108">
        <v>0.77</v>
      </c>
      <c r="Y108">
        <v>0</v>
      </c>
      <c r="Z108">
        <v>0</v>
      </c>
      <c r="AA108">
        <v>2</v>
      </c>
      <c r="AE108" t="s">
        <v>1773</v>
      </c>
      <c r="AI108">
        <v>60</v>
      </c>
      <c r="AJ108">
        <v>1850246</v>
      </c>
      <c r="AK108">
        <v>0</v>
      </c>
      <c r="AN108" t="s">
        <v>1703</v>
      </c>
      <c r="AO108">
        <v>2.46</v>
      </c>
      <c r="AX108">
        <v>20230301</v>
      </c>
      <c r="AY108" t="s">
        <v>1754</v>
      </c>
      <c r="BG108" s="556" t="str">
        <f t="shared" si="7"/>
        <v>O</v>
      </c>
      <c r="BH108" s="556" t="str">
        <f t="shared" si="8"/>
        <v/>
      </c>
      <c r="BI108" s="556" t="str">
        <f t="shared" si="9"/>
        <v/>
      </c>
      <c r="BJ108" s="556" t="str">
        <f t="shared" si="10"/>
        <v>M4</v>
      </c>
      <c r="BK108" s="556" t="str">
        <f t="shared" si="11"/>
        <v>M3</v>
      </c>
      <c r="BL108" s="556" t="str">
        <f t="shared" si="12"/>
        <v/>
      </c>
      <c r="BM108" s="497">
        <f t="shared" si="13"/>
        <v>51836</v>
      </c>
    </row>
    <row r="109" spans="1:65">
      <c r="A109">
        <v>51835</v>
      </c>
      <c r="B109" t="s">
        <v>2351</v>
      </c>
      <c r="C109" t="s">
        <v>1854</v>
      </c>
      <c r="D109" t="s">
        <v>1772</v>
      </c>
      <c r="F109" s="503">
        <v>44986</v>
      </c>
      <c r="H109" t="s">
        <v>2352</v>
      </c>
      <c r="I109" t="s">
        <v>1753</v>
      </c>
      <c r="J109">
        <v>15000</v>
      </c>
      <c r="K109" t="s">
        <v>1068</v>
      </c>
      <c r="O109" t="s">
        <v>1675</v>
      </c>
      <c r="W109">
        <v>0.86</v>
      </c>
      <c r="X109">
        <v>0.8</v>
      </c>
      <c r="Y109">
        <v>0</v>
      </c>
      <c r="Z109">
        <v>0</v>
      </c>
      <c r="AA109">
        <v>2</v>
      </c>
      <c r="AE109" t="s">
        <v>1039</v>
      </c>
      <c r="AI109">
        <v>60</v>
      </c>
      <c r="AJ109">
        <v>1850246</v>
      </c>
      <c r="AK109">
        <v>0</v>
      </c>
      <c r="AN109" t="s">
        <v>1703</v>
      </c>
      <c r="AO109">
        <v>2.46</v>
      </c>
      <c r="AX109">
        <v>20230301</v>
      </c>
      <c r="AY109" t="s">
        <v>1754</v>
      </c>
      <c r="BG109" s="556" t="str">
        <f t="shared" si="7"/>
        <v>O</v>
      </c>
      <c r="BH109" s="556" t="str">
        <f t="shared" si="8"/>
        <v/>
      </c>
      <c r="BI109" s="556" t="str">
        <f t="shared" si="9"/>
        <v/>
      </c>
      <c r="BJ109" s="556" t="str">
        <f t="shared" si="10"/>
        <v>M4</v>
      </c>
      <c r="BK109" s="556" t="str">
        <f t="shared" si="11"/>
        <v>M3</v>
      </c>
      <c r="BL109" s="556" t="str">
        <f t="shared" si="12"/>
        <v/>
      </c>
      <c r="BM109" s="497">
        <f t="shared" si="13"/>
        <v>51835</v>
      </c>
    </row>
    <row r="110" spans="1:65">
      <c r="A110">
        <v>52808</v>
      </c>
      <c r="B110" t="s">
        <v>3094</v>
      </c>
      <c r="C110" t="s">
        <v>619</v>
      </c>
      <c r="D110" t="s">
        <v>1835</v>
      </c>
      <c r="F110" s="503">
        <v>45770</v>
      </c>
      <c r="H110" t="s">
        <v>344</v>
      </c>
      <c r="I110" t="s">
        <v>1753</v>
      </c>
      <c r="J110">
        <v>5000</v>
      </c>
      <c r="K110" t="s">
        <v>1675</v>
      </c>
      <c r="O110" t="s">
        <v>1675</v>
      </c>
      <c r="W110">
        <v>0.6</v>
      </c>
      <c r="X110">
        <v>0.64</v>
      </c>
      <c r="Y110">
        <v>0</v>
      </c>
      <c r="Z110">
        <v>0</v>
      </c>
      <c r="AA110">
        <v>2</v>
      </c>
      <c r="AE110" t="s">
        <v>1039</v>
      </c>
      <c r="AI110">
        <v>69</v>
      </c>
      <c r="AJ110">
        <v>1850246</v>
      </c>
      <c r="AK110">
        <v>0</v>
      </c>
      <c r="AL110">
        <v>0</v>
      </c>
      <c r="AN110" t="s">
        <v>1703</v>
      </c>
      <c r="AO110">
        <v>2.46</v>
      </c>
      <c r="AR110" t="s">
        <v>2948</v>
      </c>
      <c r="AX110">
        <v>20250423</v>
      </c>
      <c r="AY110" t="s">
        <v>1830</v>
      </c>
      <c r="BG110" s="556" t="str">
        <f t="shared" si="7"/>
        <v>O</v>
      </c>
      <c r="BH110" s="556" t="str">
        <f t="shared" si="8"/>
        <v/>
      </c>
      <c r="BI110" s="556" t="str">
        <f t="shared" si="9"/>
        <v/>
      </c>
      <c r="BJ110" s="556" t="str">
        <f t="shared" si="10"/>
        <v>M3</v>
      </c>
      <c r="BK110" s="556" t="str">
        <f t="shared" si="11"/>
        <v>M3</v>
      </c>
      <c r="BL110" s="556" t="str">
        <f t="shared" si="12"/>
        <v/>
      </c>
      <c r="BM110" s="497">
        <f t="shared" si="13"/>
        <v>52808</v>
      </c>
    </row>
    <row r="111" spans="1:65">
      <c r="A111">
        <v>52807</v>
      </c>
      <c r="B111" t="s">
        <v>3093</v>
      </c>
      <c r="C111" t="s">
        <v>3095</v>
      </c>
      <c r="D111" t="s">
        <v>1835</v>
      </c>
      <c r="F111" s="503">
        <v>45770</v>
      </c>
      <c r="H111" t="s">
        <v>344</v>
      </c>
      <c r="I111" t="s">
        <v>1753</v>
      </c>
      <c r="J111">
        <v>5000</v>
      </c>
      <c r="K111" t="s">
        <v>1675</v>
      </c>
      <c r="O111" t="s">
        <v>1675</v>
      </c>
      <c r="W111">
        <v>0.6</v>
      </c>
      <c r="X111">
        <v>0.65</v>
      </c>
      <c r="Y111">
        <v>0</v>
      </c>
      <c r="Z111">
        <v>0</v>
      </c>
      <c r="AA111">
        <v>0</v>
      </c>
      <c r="AE111" t="s">
        <v>1761</v>
      </c>
      <c r="AI111">
        <v>59</v>
      </c>
      <c r="AJ111">
        <v>3020246</v>
      </c>
      <c r="AK111">
        <v>0</v>
      </c>
      <c r="AL111">
        <v>0</v>
      </c>
      <c r="AN111" t="s">
        <v>135</v>
      </c>
      <c r="AO111">
        <v>2.46</v>
      </c>
      <c r="AR111" t="s">
        <v>2948</v>
      </c>
      <c r="AX111">
        <v>20250423</v>
      </c>
      <c r="AY111" t="s">
        <v>1836</v>
      </c>
      <c r="BG111" s="556" t="str">
        <f t="shared" si="7"/>
        <v>O</v>
      </c>
      <c r="BH111" s="556" t="str">
        <f t="shared" si="8"/>
        <v/>
      </c>
      <c r="BI111" s="556" t="str">
        <f t="shared" si="9"/>
        <v/>
      </c>
      <c r="BJ111" s="556" t="str">
        <f t="shared" si="10"/>
        <v>M3</v>
      </c>
      <c r="BK111" s="556" t="str">
        <f t="shared" si="11"/>
        <v>M3</v>
      </c>
      <c r="BL111" s="556" t="str">
        <f t="shared" si="12"/>
        <v/>
      </c>
      <c r="BM111" s="497">
        <f t="shared" si="13"/>
        <v>52807</v>
      </c>
    </row>
    <row r="112" spans="1:65">
      <c r="A112">
        <v>20027</v>
      </c>
      <c r="B112" t="s">
        <v>181</v>
      </c>
      <c r="C112" t="s">
        <v>182</v>
      </c>
      <c r="D112" t="s">
        <v>1774</v>
      </c>
      <c r="F112" s="503">
        <v>42748</v>
      </c>
      <c r="H112" t="s">
        <v>183</v>
      </c>
      <c r="I112" t="s">
        <v>1753</v>
      </c>
      <c r="J112">
        <v>5000</v>
      </c>
      <c r="K112" t="s">
        <v>1675</v>
      </c>
      <c r="O112" t="s">
        <v>1675</v>
      </c>
      <c r="W112">
        <v>0.77</v>
      </c>
      <c r="X112">
        <v>0.76</v>
      </c>
      <c r="Y112">
        <v>0</v>
      </c>
      <c r="Z112">
        <v>0</v>
      </c>
      <c r="AA112">
        <v>0</v>
      </c>
      <c r="AE112" t="s">
        <v>1039</v>
      </c>
      <c r="AI112">
        <v>57</v>
      </c>
      <c r="AJ112">
        <v>1000260</v>
      </c>
      <c r="AK112">
        <v>0</v>
      </c>
      <c r="AL112">
        <v>0</v>
      </c>
      <c r="AN112" t="s">
        <v>133</v>
      </c>
      <c r="AO112">
        <v>2.6</v>
      </c>
      <c r="AV112" s="504">
        <v>46054</v>
      </c>
      <c r="AX112">
        <v>20170113</v>
      </c>
      <c r="AY112" t="s">
        <v>1780</v>
      </c>
      <c r="BG112" s="556" t="str">
        <f t="shared" si="7"/>
        <v>O</v>
      </c>
      <c r="BH112" s="556" t="str">
        <f t="shared" si="8"/>
        <v/>
      </c>
      <c r="BI112" s="556" t="str">
        <f t="shared" si="9"/>
        <v/>
      </c>
      <c r="BJ112" s="556" t="str">
        <f t="shared" si="10"/>
        <v>M3</v>
      </c>
      <c r="BK112" s="556" t="str">
        <f t="shared" si="11"/>
        <v>M3</v>
      </c>
      <c r="BL112" s="556" t="str">
        <f t="shared" si="12"/>
        <v/>
      </c>
      <c r="BM112" s="497">
        <f t="shared" si="13"/>
        <v>20027</v>
      </c>
    </row>
    <row r="113" spans="1:65">
      <c r="A113">
        <v>50306</v>
      </c>
      <c r="B113" t="s">
        <v>356</v>
      </c>
      <c r="C113" t="s">
        <v>193</v>
      </c>
      <c r="D113" t="s">
        <v>1799</v>
      </c>
      <c r="F113" s="503">
        <v>43922</v>
      </c>
      <c r="H113" t="s">
        <v>1844</v>
      </c>
      <c r="I113" t="s">
        <v>1753</v>
      </c>
      <c r="J113">
        <v>5000</v>
      </c>
      <c r="K113" t="s">
        <v>1675</v>
      </c>
      <c r="O113" t="s">
        <v>1675</v>
      </c>
      <c r="W113">
        <v>0.7</v>
      </c>
      <c r="X113">
        <v>0.71</v>
      </c>
      <c r="Y113">
        <v>0</v>
      </c>
      <c r="Z113">
        <v>0</v>
      </c>
      <c r="AA113">
        <v>0</v>
      </c>
      <c r="AE113" t="s">
        <v>1039</v>
      </c>
      <c r="AI113">
        <v>57</v>
      </c>
      <c r="AJ113">
        <v>1000260</v>
      </c>
      <c r="AK113">
        <v>0</v>
      </c>
      <c r="AN113" t="s">
        <v>133</v>
      </c>
      <c r="AO113">
        <v>2.6</v>
      </c>
      <c r="AX113">
        <v>20200401</v>
      </c>
      <c r="AY113" t="s">
        <v>1780</v>
      </c>
      <c r="BG113" s="556" t="str">
        <f t="shared" si="7"/>
        <v>O</v>
      </c>
      <c r="BH113" s="556" t="str">
        <f t="shared" si="8"/>
        <v/>
      </c>
      <c r="BI113" s="556" t="str">
        <f t="shared" si="9"/>
        <v/>
      </c>
      <c r="BJ113" s="556" t="str">
        <f t="shared" si="10"/>
        <v>M3</v>
      </c>
      <c r="BK113" s="556" t="str">
        <f t="shared" si="11"/>
        <v>M3</v>
      </c>
      <c r="BL113" s="556" t="str">
        <f t="shared" si="12"/>
        <v/>
      </c>
      <c r="BM113" s="497">
        <f t="shared" si="13"/>
        <v>50306</v>
      </c>
    </row>
    <row r="114" spans="1:65">
      <c r="A114">
        <v>40200</v>
      </c>
      <c r="B114" t="s">
        <v>231</v>
      </c>
      <c r="C114" t="s">
        <v>204</v>
      </c>
      <c r="D114" t="s">
        <v>1771</v>
      </c>
      <c r="F114" s="503">
        <v>43827</v>
      </c>
      <c r="H114" t="s">
        <v>344</v>
      </c>
      <c r="I114" t="s">
        <v>1753</v>
      </c>
      <c r="J114">
        <v>5000</v>
      </c>
      <c r="K114" t="s">
        <v>1675</v>
      </c>
      <c r="O114" t="s">
        <v>1675</v>
      </c>
      <c r="W114">
        <v>0.63</v>
      </c>
      <c r="X114">
        <v>0.67</v>
      </c>
      <c r="Y114">
        <v>0</v>
      </c>
      <c r="Z114">
        <v>0</v>
      </c>
      <c r="AA114">
        <v>2</v>
      </c>
      <c r="AE114" t="s">
        <v>1039</v>
      </c>
      <c r="AI114">
        <v>60</v>
      </c>
      <c r="AJ114">
        <v>1850246</v>
      </c>
      <c r="AK114">
        <v>0</v>
      </c>
      <c r="AN114" t="s">
        <v>1703</v>
      </c>
      <c r="AO114">
        <v>2.46</v>
      </c>
      <c r="AX114">
        <v>20191228</v>
      </c>
      <c r="AY114" t="s">
        <v>1754</v>
      </c>
      <c r="BG114" s="556" t="str">
        <f t="shared" si="7"/>
        <v>O</v>
      </c>
      <c r="BH114" s="556" t="str">
        <f t="shared" si="8"/>
        <v/>
      </c>
      <c r="BI114" s="556" t="str">
        <f t="shared" si="9"/>
        <v/>
      </c>
      <c r="BJ114" s="556" t="str">
        <f t="shared" si="10"/>
        <v>M3</v>
      </c>
      <c r="BK114" s="556" t="str">
        <f t="shared" si="11"/>
        <v>M3</v>
      </c>
      <c r="BL114" s="556" t="str">
        <f t="shared" si="12"/>
        <v/>
      </c>
      <c r="BM114" s="497">
        <f t="shared" si="13"/>
        <v>40200</v>
      </c>
    </row>
    <row r="115" spans="1:65">
      <c r="A115">
        <v>52806</v>
      </c>
      <c r="B115" t="s">
        <v>2867</v>
      </c>
      <c r="C115" t="s">
        <v>2868</v>
      </c>
      <c r="D115" t="s">
        <v>1835</v>
      </c>
      <c r="F115" s="503">
        <v>45460</v>
      </c>
      <c r="H115" t="s">
        <v>344</v>
      </c>
      <c r="I115" t="s">
        <v>1753</v>
      </c>
      <c r="J115">
        <v>5000</v>
      </c>
      <c r="K115" t="s">
        <v>1675</v>
      </c>
      <c r="O115" t="s">
        <v>1675</v>
      </c>
      <c r="W115">
        <v>0.65</v>
      </c>
      <c r="X115">
        <v>0.65</v>
      </c>
      <c r="Y115">
        <v>0</v>
      </c>
      <c r="Z115">
        <v>0</v>
      </c>
      <c r="AA115">
        <v>0</v>
      </c>
      <c r="AE115" t="s">
        <v>1761</v>
      </c>
      <c r="AI115">
        <v>57</v>
      </c>
      <c r="AJ115">
        <v>3020246</v>
      </c>
      <c r="AK115">
        <v>0</v>
      </c>
      <c r="AL115">
        <v>0</v>
      </c>
      <c r="AN115" t="s">
        <v>135</v>
      </c>
      <c r="AO115">
        <v>2.46</v>
      </c>
      <c r="AX115">
        <v>20240617</v>
      </c>
      <c r="AY115" t="s">
        <v>1780</v>
      </c>
      <c r="BG115" s="556" t="str">
        <f t="shared" si="7"/>
        <v>O</v>
      </c>
      <c r="BH115" s="556" t="str">
        <f t="shared" si="8"/>
        <v/>
      </c>
      <c r="BI115" s="556" t="str">
        <f t="shared" si="9"/>
        <v/>
      </c>
      <c r="BJ115" s="556" t="str">
        <f t="shared" si="10"/>
        <v>M3</v>
      </c>
      <c r="BK115" s="556" t="str">
        <f t="shared" si="11"/>
        <v>M3</v>
      </c>
      <c r="BL115" s="556" t="str">
        <f t="shared" si="12"/>
        <v/>
      </c>
      <c r="BM115" s="497">
        <f t="shared" si="13"/>
        <v>52806</v>
      </c>
    </row>
    <row r="116" spans="1:65">
      <c r="A116">
        <v>51831</v>
      </c>
      <c r="B116" t="s">
        <v>1845</v>
      </c>
      <c r="C116" t="s">
        <v>148</v>
      </c>
      <c r="D116" t="s">
        <v>1772</v>
      </c>
      <c r="F116" s="503">
        <v>44349</v>
      </c>
      <c r="H116" t="s">
        <v>344</v>
      </c>
      <c r="I116" t="s">
        <v>1753</v>
      </c>
      <c r="J116">
        <v>0</v>
      </c>
      <c r="K116" t="s">
        <v>1675</v>
      </c>
      <c r="O116" t="s">
        <v>1675</v>
      </c>
      <c r="W116">
        <v>0.65</v>
      </c>
      <c r="X116">
        <v>0.67</v>
      </c>
      <c r="Y116">
        <v>0</v>
      </c>
      <c r="Z116">
        <v>0</v>
      </c>
      <c r="AA116">
        <v>2</v>
      </c>
      <c r="AE116" t="s">
        <v>1221</v>
      </c>
      <c r="AI116">
        <v>60</v>
      </c>
      <c r="AJ116">
        <v>1850246</v>
      </c>
      <c r="AK116">
        <v>0</v>
      </c>
      <c r="AN116" t="s">
        <v>1703</v>
      </c>
      <c r="AO116">
        <v>2.46</v>
      </c>
      <c r="AX116">
        <v>20210602</v>
      </c>
      <c r="AY116" t="s">
        <v>1754</v>
      </c>
      <c r="BG116" s="556" t="str">
        <f t="shared" si="7"/>
        <v>O</v>
      </c>
      <c r="BH116" s="556" t="str">
        <f t="shared" si="8"/>
        <v/>
      </c>
      <c r="BI116" s="556" t="str">
        <f t="shared" si="9"/>
        <v/>
      </c>
      <c r="BJ116" s="556" t="str">
        <f t="shared" si="10"/>
        <v>M3</v>
      </c>
      <c r="BK116" s="556" t="str">
        <f t="shared" si="11"/>
        <v>M3</v>
      </c>
      <c r="BL116" s="556" t="str">
        <f t="shared" si="12"/>
        <v/>
      </c>
      <c r="BM116" s="497">
        <f t="shared" si="13"/>
        <v>51831</v>
      </c>
    </row>
    <row r="117" spans="1:65">
      <c r="A117">
        <v>51823</v>
      </c>
      <c r="B117" t="s">
        <v>1846</v>
      </c>
      <c r="C117" t="s">
        <v>148</v>
      </c>
      <c r="D117" t="s">
        <v>1772</v>
      </c>
      <c r="F117" s="503">
        <v>44234</v>
      </c>
      <c r="H117" t="s">
        <v>344</v>
      </c>
      <c r="I117" t="s">
        <v>1753</v>
      </c>
      <c r="J117">
        <v>0</v>
      </c>
      <c r="K117" t="s">
        <v>1675</v>
      </c>
      <c r="O117" t="s">
        <v>1675</v>
      </c>
      <c r="W117">
        <v>0.65</v>
      </c>
      <c r="X117">
        <v>0.66</v>
      </c>
      <c r="Y117">
        <v>0</v>
      </c>
      <c r="Z117">
        <v>0</v>
      </c>
      <c r="AA117">
        <v>2</v>
      </c>
      <c r="AE117" t="s">
        <v>1039</v>
      </c>
      <c r="AI117">
        <v>60</v>
      </c>
      <c r="AJ117">
        <v>1850246</v>
      </c>
      <c r="AK117">
        <v>0</v>
      </c>
      <c r="AN117" t="s">
        <v>1703</v>
      </c>
      <c r="AO117">
        <v>2.46</v>
      </c>
      <c r="AX117">
        <v>20210207</v>
      </c>
      <c r="AY117" t="s">
        <v>1754</v>
      </c>
      <c r="BG117" s="556" t="str">
        <f t="shared" si="7"/>
        <v>O</v>
      </c>
      <c r="BH117" s="556" t="str">
        <f t="shared" si="8"/>
        <v/>
      </c>
      <c r="BI117" s="556" t="str">
        <f t="shared" si="9"/>
        <v/>
      </c>
      <c r="BJ117" s="556" t="str">
        <f t="shared" si="10"/>
        <v>M3</v>
      </c>
      <c r="BK117" s="556" t="str">
        <f t="shared" si="11"/>
        <v>M3</v>
      </c>
      <c r="BL117" s="556" t="str">
        <f t="shared" si="12"/>
        <v/>
      </c>
      <c r="BM117" s="497">
        <f t="shared" si="13"/>
        <v>51823</v>
      </c>
    </row>
    <row r="118" spans="1:65">
      <c r="A118">
        <v>55015</v>
      </c>
      <c r="B118" t="s">
        <v>2634</v>
      </c>
      <c r="C118" t="s">
        <v>2635</v>
      </c>
      <c r="D118" t="s">
        <v>2375</v>
      </c>
      <c r="F118" s="503">
        <v>45113</v>
      </c>
      <c r="H118" t="s">
        <v>344</v>
      </c>
      <c r="I118" t="s">
        <v>1753</v>
      </c>
      <c r="J118">
        <v>0</v>
      </c>
      <c r="K118" t="s">
        <v>1675</v>
      </c>
      <c r="O118" t="s">
        <v>1675</v>
      </c>
      <c r="W118">
        <v>0.72</v>
      </c>
      <c r="X118">
        <v>0.72</v>
      </c>
      <c r="Y118">
        <v>0</v>
      </c>
      <c r="Z118">
        <v>0</v>
      </c>
      <c r="AA118">
        <v>2</v>
      </c>
      <c r="AE118" t="s">
        <v>2591</v>
      </c>
      <c r="AI118">
        <v>60</v>
      </c>
      <c r="AJ118">
        <v>1850246</v>
      </c>
      <c r="AK118">
        <v>0</v>
      </c>
      <c r="AN118" t="s">
        <v>1703</v>
      </c>
      <c r="AO118">
        <v>2.46</v>
      </c>
      <c r="AX118">
        <v>20230706</v>
      </c>
      <c r="AY118" t="s">
        <v>1754</v>
      </c>
      <c r="BG118" s="556" t="str">
        <f t="shared" si="7"/>
        <v>O</v>
      </c>
      <c r="BH118" s="556" t="str">
        <f t="shared" si="8"/>
        <v/>
      </c>
      <c r="BI118" s="556" t="str">
        <f t="shared" si="9"/>
        <v/>
      </c>
      <c r="BJ118" s="556" t="str">
        <f t="shared" si="10"/>
        <v>M3</v>
      </c>
      <c r="BK118" s="556" t="str">
        <f t="shared" si="11"/>
        <v>M3</v>
      </c>
      <c r="BL118" s="556" t="str">
        <f t="shared" si="12"/>
        <v/>
      </c>
      <c r="BM118" s="497">
        <f t="shared" si="13"/>
        <v>55015</v>
      </c>
    </row>
    <row r="119" spans="1:65">
      <c r="A119">
        <v>55012</v>
      </c>
      <c r="B119" t="s">
        <v>2392</v>
      </c>
      <c r="C119" t="s">
        <v>2377</v>
      </c>
      <c r="D119" t="s">
        <v>2375</v>
      </c>
      <c r="F119" s="503">
        <v>44999</v>
      </c>
      <c r="H119" t="s">
        <v>183</v>
      </c>
      <c r="I119" t="s">
        <v>1753</v>
      </c>
      <c r="J119">
        <v>5000</v>
      </c>
      <c r="K119" t="s">
        <v>1675</v>
      </c>
      <c r="O119" t="s">
        <v>1675</v>
      </c>
      <c r="W119">
        <v>0.74</v>
      </c>
      <c r="X119">
        <v>0.74</v>
      </c>
      <c r="Y119">
        <v>0</v>
      </c>
      <c r="Z119">
        <v>0</v>
      </c>
      <c r="AA119">
        <v>0</v>
      </c>
      <c r="AE119" t="s">
        <v>1687</v>
      </c>
      <c r="AI119">
        <v>57</v>
      </c>
      <c r="AJ119">
        <v>3020246</v>
      </c>
      <c r="AK119">
        <v>0</v>
      </c>
      <c r="AL119">
        <v>0</v>
      </c>
      <c r="AN119" t="s">
        <v>135</v>
      </c>
      <c r="AO119">
        <v>2.46</v>
      </c>
      <c r="AX119">
        <v>20230314</v>
      </c>
      <c r="AY119" t="s">
        <v>1780</v>
      </c>
      <c r="BG119" s="556" t="str">
        <f t="shared" si="7"/>
        <v>O</v>
      </c>
      <c r="BH119" s="556" t="str">
        <f t="shared" si="8"/>
        <v/>
      </c>
      <c r="BI119" s="556" t="str">
        <f t="shared" si="9"/>
        <v/>
      </c>
      <c r="BJ119" s="556" t="str">
        <f t="shared" si="10"/>
        <v>M3</v>
      </c>
      <c r="BK119" s="556" t="str">
        <f t="shared" si="11"/>
        <v>M3</v>
      </c>
      <c r="BL119" s="556" t="str">
        <f t="shared" si="12"/>
        <v/>
      </c>
      <c r="BM119" s="497">
        <f t="shared" si="13"/>
        <v>55012</v>
      </c>
    </row>
    <row r="120" spans="1:65">
      <c r="A120">
        <v>40213</v>
      </c>
      <c r="B120" t="s">
        <v>2732</v>
      </c>
      <c r="C120" t="s">
        <v>2005</v>
      </c>
      <c r="D120" t="s">
        <v>1771</v>
      </c>
      <c r="F120" s="503">
        <v>45359</v>
      </c>
      <c r="H120" t="s">
        <v>344</v>
      </c>
      <c r="I120" t="s">
        <v>1753</v>
      </c>
      <c r="J120">
        <v>5000</v>
      </c>
      <c r="K120" t="s">
        <v>1675</v>
      </c>
      <c r="O120" t="s">
        <v>1675</v>
      </c>
      <c r="W120">
        <v>0.75</v>
      </c>
      <c r="X120">
        <v>0.75</v>
      </c>
      <c r="Y120">
        <v>0</v>
      </c>
      <c r="Z120">
        <v>0</v>
      </c>
      <c r="AA120">
        <v>2</v>
      </c>
      <c r="AE120" t="s">
        <v>1039</v>
      </c>
      <c r="AI120">
        <v>60</v>
      </c>
      <c r="AJ120">
        <v>1850246</v>
      </c>
      <c r="AK120">
        <v>0</v>
      </c>
      <c r="AL120">
        <v>0</v>
      </c>
      <c r="AN120" t="s">
        <v>1703</v>
      </c>
      <c r="AO120">
        <v>2.46</v>
      </c>
      <c r="AX120">
        <v>20240308</v>
      </c>
      <c r="AY120" t="s">
        <v>1754</v>
      </c>
      <c r="BG120" s="556" t="str">
        <f t="shared" si="7"/>
        <v>O</v>
      </c>
      <c r="BH120" s="556" t="str">
        <f t="shared" si="8"/>
        <v/>
      </c>
      <c r="BI120" s="556" t="str">
        <f t="shared" si="9"/>
        <v/>
      </c>
      <c r="BJ120" s="556" t="str">
        <f t="shared" si="10"/>
        <v>M3</v>
      </c>
      <c r="BK120" s="556" t="str">
        <f t="shared" si="11"/>
        <v>M3</v>
      </c>
      <c r="BL120" s="556" t="str">
        <f t="shared" si="12"/>
        <v/>
      </c>
      <c r="BM120" s="497">
        <f t="shared" si="13"/>
        <v>40213</v>
      </c>
    </row>
    <row r="121" spans="1:65">
      <c r="A121">
        <v>55005</v>
      </c>
      <c r="B121" t="s">
        <v>2361</v>
      </c>
      <c r="C121" t="s">
        <v>2906</v>
      </c>
      <c r="D121" t="s">
        <v>2375</v>
      </c>
      <c r="F121" s="503">
        <v>44998</v>
      </c>
      <c r="H121" t="s">
        <v>1847</v>
      </c>
      <c r="I121" t="s">
        <v>1753</v>
      </c>
      <c r="J121">
        <v>5000</v>
      </c>
      <c r="K121" t="s">
        <v>1675</v>
      </c>
      <c r="O121" t="s">
        <v>1675</v>
      </c>
      <c r="W121">
        <v>0.54</v>
      </c>
      <c r="X121">
        <v>0.52</v>
      </c>
      <c r="Y121">
        <v>0</v>
      </c>
      <c r="Z121">
        <v>0</v>
      </c>
      <c r="AA121">
        <v>0</v>
      </c>
      <c r="AE121" t="s">
        <v>2708</v>
      </c>
      <c r="AI121">
        <v>57</v>
      </c>
      <c r="AJ121">
        <v>1000260</v>
      </c>
      <c r="AK121">
        <v>0</v>
      </c>
      <c r="AL121">
        <v>0</v>
      </c>
      <c r="AN121" t="s">
        <v>133</v>
      </c>
      <c r="AO121">
        <v>2.6</v>
      </c>
      <c r="AX121">
        <v>20230313</v>
      </c>
      <c r="AY121" t="s">
        <v>1780</v>
      </c>
      <c r="BG121" s="556" t="str">
        <f t="shared" si="7"/>
        <v>O</v>
      </c>
      <c r="BH121" s="556" t="str">
        <f t="shared" si="8"/>
        <v/>
      </c>
      <c r="BI121" s="556" t="str">
        <f t="shared" si="9"/>
        <v/>
      </c>
      <c r="BJ121" s="556" t="str">
        <f t="shared" si="10"/>
        <v>M3</v>
      </c>
      <c r="BK121" s="556" t="str">
        <f t="shared" si="11"/>
        <v>M3</v>
      </c>
      <c r="BL121" s="556" t="str">
        <f t="shared" si="12"/>
        <v/>
      </c>
      <c r="BM121" s="497">
        <f t="shared" si="13"/>
        <v>55005</v>
      </c>
    </row>
    <row r="122" spans="1:65">
      <c r="A122">
        <v>55004</v>
      </c>
      <c r="B122" t="s">
        <v>2362</v>
      </c>
      <c r="C122" t="s">
        <v>2374</v>
      </c>
      <c r="D122" t="s">
        <v>2375</v>
      </c>
      <c r="F122" s="503">
        <v>44998</v>
      </c>
      <c r="H122" t="s">
        <v>1847</v>
      </c>
      <c r="I122" t="s">
        <v>1753</v>
      </c>
      <c r="J122">
        <v>5000</v>
      </c>
      <c r="K122" t="s">
        <v>1675</v>
      </c>
      <c r="O122" t="s">
        <v>1675</v>
      </c>
      <c r="W122">
        <v>0.57999999999999996</v>
      </c>
      <c r="X122">
        <v>0.53</v>
      </c>
      <c r="Y122">
        <v>0</v>
      </c>
      <c r="Z122">
        <v>0</v>
      </c>
      <c r="AA122">
        <v>0</v>
      </c>
      <c r="AE122" t="s">
        <v>2698</v>
      </c>
      <c r="AI122">
        <v>57</v>
      </c>
      <c r="AJ122">
        <v>1000260</v>
      </c>
      <c r="AK122">
        <v>0</v>
      </c>
      <c r="AL122">
        <v>0</v>
      </c>
      <c r="AN122" t="s">
        <v>133</v>
      </c>
      <c r="AO122">
        <v>2.6</v>
      </c>
      <c r="AX122">
        <v>20230313</v>
      </c>
      <c r="AY122" t="s">
        <v>1780</v>
      </c>
      <c r="BG122" s="556" t="str">
        <f t="shared" si="7"/>
        <v>O</v>
      </c>
      <c r="BH122" s="556" t="str">
        <f t="shared" si="8"/>
        <v/>
      </c>
      <c r="BI122" s="556" t="str">
        <f t="shared" si="9"/>
        <v/>
      </c>
      <c r="BJ122" s="556" t="str">
        <f t="shared" si="10"/>
        <v>M3</v>
      </c>
      <c r="BK122" s="556" t="str">
        <f t="shared" si="11"/>
        <v>M3</v>
      </c>
      <c r="BL122" s="556" t="str">
        <f t="shared" si="12"/>
        <v/>
      </c>
      <c r="BM122" s="497">
        <f t="shared" si="13"/>
        <v>55004</v>
      </c>
    </row>
    <row r="123" spans="1:65">
      <c r="A123">
        <v>52117</v>
      </c>
      <c r="B123" t="s">
        <v>511</v>
      </c>
      <c r="C123" t="s">
        <v>513</v>
      </c>
      <c r="D123" t="s">
        <v>1796</v>
      </c>
      <c r="F123" s="503">
        <v>43775</v>
      </c>
      <c r="H123" t="s">
        <v>344</v>
      </c>
      <c r="I123" t="s">
        <v>1753</v>
      </c>
      <c r="J123">
        <v>5000</v>
      </c>
      <c r="K123" t="s">
        <v>1675</v>
      </c>
      <c r="O123" t="s">
        <v>1675</v>
      </c>
      <c r="W123">
        <v>0.5</v>
      </c>
      <c r="X123">
        <v>0.45</v>
      </c>
      <c r="Y123">
        <v>0</v>
      </c>
      <c r="Z123">
        <v>0</v>
      </c>
      <c r="AA123">
        <v>2</v>
      </c>
      <c r="AE123" t="s">
        <v>1221</v>
      </c>
      <c r="AI123">
        <v>60</v>
      </c>
      <c r="AJ123">
        <v>1850246</v>
      </c>
      <c r="AK123">
        <v>0</v>
      </c>
      <c r="AL123">
        <v>0</v>
      </c>
      <c r="AN123" t="s">
        <v>1703</v>
      </c>
      <c r="AO123">
        <v>2.46</v>
      </c>
      <c r="AX123">
        <v>20191106</v>
      </c>
      <c r="AY123" t="s">
        <v>1754</v>
      </c>
      <c r="BG123" s="556" t="str">
        <f t="shared" si="7"/>
        <v>O</v>
      </c>
      <c r="BH123" s="556" t="str">
        <f t="shared" si="8"/>
        <v/>
      </c>
      <c r="BI123" s="556" t="str">
        <f t="shared" si="9"/>
        <v/>
      </c>
      <c r="BJ123" s="556" t="str">
        <f t="shared" si="10"/>
        <v>M3</v>
      </c>
      <c r="BK123" s="556" t="str">
        <f t="shared" si="11"/>
        <v>M3</v>
      </c>
      <c r="BL123" s="556" t="str">
        <f t="shared" si="12"/>
        <v/>
      </c>
      <c r="BM123" s="497">
        <f t="shared" si="13"/>
        <v>52117</v>
      </c>
    </row>
    <row r="124" spans="1:65">
      <c r="A124">
        <v>54005</v>
      </c>
      <c r="B124" t="s">
        <v>2333</v>
      </c>
      <c r="C124" t="s">
        <v>2335</v>
      </c>
      <c r="D124" t="s">
        <v>1807</v>
      </c>
      <c r="F124" s="503">
        <v>44792</v>
      </c>
      <c r="H124" t="s">
        <v>1847</v>
      </c>
      <c r="I124" t="s">
        <v>1753</v>
      </c>
      <c r="J124">
        <v>4000</v>
      </c>
      <c r="K124" t="s">
        <v>1675</v>
      </c>
      <c r="O124" t="s">
        <v>1675</v>
      </c>
      <c r="W124">
        <v>0.77</v>
      </c>
      <c r="X124">
        <v>0.81</v>
      </c>
      <c r="Y124">
        <v>0</v>
      </c>
      <c r="Z124">
        <v>0</v>
      </c>
      <c r="AA124">
        <v>3</v>
      </c>
      <c r="AE124" t="s">
        <v>1039</v>
      </c>
      <c r="AI124">
        <v>60</v>
      </c>
      <c r="AJ124">
        <v>4350271</v>
      </c>
      <c r="AK124">
        <v>0</v>
      </c>
      <c r="AN124" t="s">
        <v>184</v>
      </c>
      <c r="AO124">
        <v>2.71</v>
      </c>
      <c r="AX124">
        <v>20220819</v>
      </c>
      <c r="AY124" t="s">
        <v>1754</v>
      </c>
      <c r="BG124" s="556" t="str">
        <f t="shared" si="7"/>
        <v>O</v>
      </c>
      <c r="BH124" s="556" t="str">
        <f t="shared" si="8"/>
        <v/>
      </c>
      <c r="BI124" s="556" t="str">
        <f t="shared" si="9"/>
        <v/>
      </c>
      <c r="BJ124" s="556" t="str">
        <f t="shared" si="10"/>
        <v>M3</v>
      </c>
      <c r="BK124" s="556" t="str">
        <f t="shared" si="11"/>
        <v>M3</v>
      </c>
      <c r="BL124" s="556" t="str">
        <f t="shared" si="12"/>
        <v/>
      </c>
      <c r="BM124" s="497">
        <f t="shared" si="13"/>
        <v>54005</v>
      </c>
    </row>
    <row r="125" spans="1:65">
      <c r="A125">
        <v>52800</v>
      </c>
      <c r="B125" t="s">
        <v>1683</v>
      </c>
      <c r="C125" t="s">
        <v>47</v>
      </c>
      <c r="D125" t="s">
        <v>1835</v>
      </c>
      <c r="F125" s="503">
        <v>44095</v>
      </c>
      <c r="H125" t="s">
        <v>344</v>
      </c>
      <c r="I125" t="s">
        <v>1753</v>
      </c>
      <c r="J125">
        <v>5000</v>
      </c>
      <c r="K125" t="s">
        <v>1675</v>
      </c>
      <c r="O125" t="s">
        <v>1675</v>
      </c>
      <c r="S125" t="s">
        <v>2301</v>
      </c>
      <c r="W125">
        <v>0.6</v>
      </c>
      <c r="X125">
        <v>0.56999999999999995</v>
      </c>
      <c r="Y125">
        <v>0</v>
      </c>
      <c r="Z125">
        <v>0</v>
      </c>
      <c r="AA125">
        <v>2</v>
      </c>
      <c r="AE125" t="s">
        <v>1039</v>
      </c>
      <c r="AI125">
        <v>69</v>
      </c>
      <c r="AJ125">
        <v>1850246</v>
      </c>
      <c r="AK125">
        <v>0</v>
      </c>
      <c r="AL125">
        <v>0</v>
      </c>
      <c r="AN125" t="s">
        <v>1703</v>
      </c>
      <c r="AO125">
        <v>2.46</v>
      </c>
      <c r="AR125" t="s">
        <v>2948</v>
      </c>
      <c r="AX125">
        <v>20200921</v>
      </c>
      <c r="AY125" t="s">
        <v>1830</v>
      </c>
      <c r="BG125" s="556" t="str">
        <f t="shared" si="7"/>
        <v>O</v>
      </c>
      <c r="BH125" s="556" t="str">
        <f t="shared" si="8"/>
        <v/>
      </c>
      <c r="BI125" s="556" t="str">
        <f t="shared" si="9"/>
        <v/>
      </c>
      <c r="BJ125" s="556" t="str">
        <f t="shared" si="10"/>
        <v>M3</v>
      </c>
      <c r="BK125" s="556" t="str">
        <f t="shared" si="11"/>
        <v>M3</v>
      </c>
      <c r="BL125" s="556" t="str">
        <f t="shared" si="12"/>
        <v>CT</v>
      </c>
      <c r="BM125" s="497">
        <f t="shared" si="13"/>
        <v>52800</v>
      </c>
    </row>
    <row r="126" spans="1:65">
      <c r="A126">
        <v>52802</v>
      </c>
      <c r="B126" t="s">
        <v>1848</v>
      </c>
      <c r="C126" t="s">
        <v>1400</v>
      </c>
      <c r="D126" t="s">
        <v>1835</v>
      </c>
      <c r="F126" s="503">
        <v>44095</v>
      </c>
      <c r="H126" t="s">
        <v>344</v>
      </c>
      <c r="I126" t="s">
        <v>1753</v>
      </c>
      <c r="J126">
        <v>5000</v>
      </c>
      <c r="K126" t="s">
        <v>1675</v>
      </c>
      <c r="O126" t="s">
        <v>1675</v>
      </c>
      <c r="S126" t="s">
        <v>2301</v>
      </c>
      <c r="W126">
        <v>0.57999999999999996</v>
      </c>
      <c r="X126">
        <v>0.6</v>
      </c>
      <c r="Y126">
        <v>0</v>
      </c>
      <c r="Z126">
        <v>0</v>
      </c>
      <c r="AA126">
        <v>0</v>
      </c>
      <c r="AE126" t="s">
        <v>1761</v>
      </c>
      <c r="AI126">
        <v>59</v>
      </c>
      <c r="AJ126">
        <v>3020246</v>
      </c>
      <c r="AK126">
        <v>0</v>
      </c>
      <c r="AN126" t="s">
        <v>135</v>
      </c>
      <c r="AO126">
        <v>2.46</v>
      </c>
      <c r="AR126" t="s">
        <v>2948</v>
      </c>
      <c r="AX126">
        <v>20200921</v>
      </c>
      <c r="AY126" t="s">
        <v>1836</v>
      </c>
      <c r="BG126" s="556" t="str">
        <f t="shared" si="7"/>
        <v>O</v>
      </c>
      <c r="BH126" s="556" t="str">
        <f t="shared" si="8"/>
        <v/>
      </c>
      <c r="BI126" s="556" t="str">
        <f t="shared" si="9"/>
        <v/>
      </c>
      <c r="BJ126" s="556" t="str">
        <f t="shared" si="10"/>
        <v>M3</v>
      </c>
      <c r="BK126" s="556" t="str">
        <f t="shared" si="11"/>
        <v>M3</v>
      </c>
      <c r="BL126" s="556" t="str">
        <f t="shared" si="12"/>
        <v>CT</v>
      </c>
      <c r="BM126" s="497">
        <f t="shared" si="13"/>
        <v>52802</v>
      </c>
    </row>
    <row r="127" spans="1:65">
      <c r="A127">
        <v>55000</v>
      </c>
      <c r="B127" t="s">
        <v>2363</v>
      </c>
      <c r="C127" t="s">
        <v>220</v>
      </c>
      <c r="D127" t="s">
        <v>2375</v>
      </c>
      <c r="F127" s="503">
        <v>44998</v>
      </c>
      <c r="H127" t="s">
        <v>1847</v>
      </c>
      <c r="I127" t="s">
        <v>1753</v>
      </c>
      <c r="J127">
        <v>5000</v>
      </c>
      <c r="K127" t="s">
        <v>1675</v>
      </c>
      <c r="O127" t="s">
        <v>1675</v>
      </c>
      <c r="W127">
        <v>0.65</v>
      </c>
      <c r="X127">
        <v>0.65</v>
      </c>
      <c r="Y127">
        <v>0</v>
      </c>
      <c r="Z127">
        <v>0</v>
      </c>
      <c r="AA127">
        <v>0</v>
      </c>
      <c r="AE127" t="s">
        <v>2708</v>
      </c>
      <c r="AI127">
        <v>57</v>
      </c>
      <c r="AJ127">
        <v>1000260</v>
      </c>
      <c r="AK127">
        <v>0</v>
      </c>
      <c r="AL127">
        <v>0</v>
      </c>
      <c r="AN127" t="s">
        <v>133</v>
      </c>
      <c r="AO127">
        <v>2.6</v>
      </c>
      <c r="AX127">
        <v>20230313</v>
      </c>
      <c r="AY127" t="s">
        <v>1780</v>
      </c>
      <c r="BG127" s="556" t="str">
        <f t="shared" si="7"/>
        <v>O</v>
      </c>
      <c r="BH127" s="556" t="str">
        <f t="shared" si="8"/>
        <v/>
      </c>
      <c r="BI127" s="556" t="str">
        <f t="shared" si="9"/>
        <v/>
      </c>
      <c r="BJ127" s="556" t="str">
        <f t="shared" si="10"/>
        <v>M3</v>
      </c>
      <c r="BK127" s="556" t="str">
        <f t="shared" si="11"/>
        <v>M3</v>
      </c>
      <c r="BL127" s="556" t="str">
        <f t="shared" si="12"/>
        <v/>
      </c>
      <c r="BM127" s="497">
        <f t="shared" si="13"/>
        <v>55000</v>
      </c>
    </row>
    <row r="128" spans="1:65">
      <c r="A128">
        <v>52118</v>
      </c>
      <c r="B128" t="s">
        <v>342</v>
      </c>
      <c r="C128" t="s">
        <v>324</v>
      </c>
      <c r="D128" t="s">
        <v>1796</v>
      </c>
      <c r="F128" s="503">
        <v>43774</v>
      </c>
      <c r="H128" t="s">
        <v>344</v>
      </c>
      <c r="I128" t="s">
        <v>1753</v>
      </c>
      <c r="J128">
        <v>5000</v>
      </c>
      <c r="K128" t="s">
        <v>1675</v>
      </c>
      <c r="O128" t="s">
        <v>2300</v>
      </c>
      <c r="W128">
        <v>0.62</v>
      </c>
      <c r="X128">
        <v>0.76</v>
      </c>
      <c r="Y128">
        <v>0</v>
      </c>
      <c r="Z128">
        <v>0</v>
      </c>
      <c r="AA128">
        <v>0</v>
      </c>
      <c r="AE128" t="s">
        <v>1221</v>
      </c>
      <c r="AI128">
        <v>18</v>
      </c>
      <c r="AJ128">
        <v>1000260</v>
      </c>
      <c r="AK128">
        <v>0</v>
      </c>
      <c r="AN128" t="s">
        <v>133</v>
      </c>
      <c r="AO128">
        <v>2.6</v>
      </c>
      <c r="AX128">
        <v>20191105</v>
      </c>
      <c r="AY128" t="s">
        <v>1800</v>
      </c>
      <c r="AZ128" t="s">
        <v>1787</v>
      </c>
      <c r="BA128" t="s">
        <v>1792</v>
      </c>
      <c r="BG128" s="556" t="str">
        <f t="shared" si="7"/>
        <v>O</v>
      </c>
      <c r="BH128" s="556" t="str">
        <f t="shared" si="8"/>
        <v>Y</v>
      </c>
      <c r="BI128" s="556" t="str">
        <f t="shared" si="9"/>
        <v/>
      </c>
      <c r="BJ128" s="556" t="str">
        <f t="shared" si="10"/>
        <v>M3</v>
      </c>
      <c r="BK128" s="556" t="str">
        <f t="shared" si="11"/>
        <v>S6</v>
      </c>
      <c r="BL128" s="556" t="str">
        <f t="shared" si="12"/>
        <v/>
      </c>
      <c r="BM128" s="497">
        <f t="shared" si="13"/>
        <v>52118</v>
      </c>
    </row>
    <row r="129" spans="1:65">
      <c r="A129">
        <v>55001</v>
      </c>
      <c r="B129" t="s">
        <v>2364</v>
      </c>
      <c r="C129" t="s">
        <v>2378</v>
      </c>
      <c r="D129" t="s">
        <v>2375</v>
      </c>
      <c r="F129" s="503">
        <v>44998</v>
      </c>
      <c r="H129" t="s">
        <v>1847</v>
      </c>
      <c r="I129" t="s">
        <v>1753</v>
      </c>
      <c r="J129">
        <v>5000</v>
      </c>
      <c r="K129" t="s">
        <v>1675</v>
      </c>
      <c r="O129" t="s">
        <v>1675</v>
      </c>
      <c r="W129">
        <v>0.79</v>
      </c>
      <c r="X129">
        <v>0.79</v>
      </c>
      <c r="Y129">
        <v>0</v>
      </c>
      <c r="Z129">
        <v>0</v>
      </c>
      <c r="AA129">
        <v>0</v>
      </c>
      <c r="AE129" t="s">
        <v>2708</v>
      </c>
      <c r="AI129">
        <v>57</v>
      </c>
      <c r="AJ129">
        <v>1000260</v>
      </c>
      <c r="AK129">
        <v>0</v>
      </c>
      <c r="AL129">
        <v>0</v>
      </c>
      <c r="AN129" t="s">
        <v>133</v>
      </c>
      <c r="AO129">
        <v>2.6</v>
      </c>
      <c r="AX129">
        <v>20230313</v>
      </c>
      <c r="AY129" t="s">
        <v>1780</v>
      </c>
      <c r="BG129" s="556" t="str">
        <f t="shared" si="7"/>
        <v>O</v>
      </c>
      <c r="BH129" s="556" t="str">
        <f t="shared" si="8"/>
        <v/>
      </c>
      <c r="BI129" s="556" t="str">
        <f t="shared" si="9"/>
        <v/>
      </c>
      <c r="BJ129" s="556" t="str">
        <f t="shared" si="10"/>
        <v>M3</v>
      </c>
      <c r="BK129" s="556" t="str">
        <f t="shared" si="11"/>
        <v>M3</v>
      </c>
      <c r="BL129" s="556" t="str">
        <f t="shared" si="12"/>
        <v/>
      </c>
      <c r="BM129" s="497">
        <f t="shared" si="13"/>
        <v>55001</v>
      </c>
    </row>
    <row r="130" spans="1:65">
      <c r="A130">
        <v>50307</v>
      </c>
      <c r="B130" t="s">
        <v>1849</v>
      </c>
      <c r="C130" t="s">
        <v>324</v>
      </c>
      <c r="D130" t="s">
        <v>1799</v>
      </c>
      <c r="F130" s="503">
        <v>44077</v>
      </c>
      <c r="H130" t="s">
        <v>344</v>
      </c>
      <c r="I130" t="s">
        <v>1753</v>
      </c>
      <c r="J130">
        <v>5000</v>
      </c>
      <c r="K130" t="s">
        <v>1675</v>
      </c>
      <c r="O130" t="s">
        <v>2300</v>
      </c>
      <c r="W130">
        <v>0.62</v>
      </c>
      <c r="X130">
        <v>0.64</v>
      </c>
      <c r="Y130">
        <v>0</v>
      </c>
      <c r="Z130">
        <v>0</v>
      </c>
      <c r="AA130">
        <v>0</v>
      </c>
      <c r="AE130" t="s">
        <v>1039</v>
      </c>
      <c r="AI130">
        <v>82</v>
      </c>
      <c r="AJ130">
        <v>1000260</v>
      </c>
      <c r="AK130">
        <v>0</v>
      </c>
      <c r="AN130" t="s">
        <v>133</v>
      </c>
      <c r="AO130">
        <v>2.6</v>
      </c>
      <c r="AX130">
        <v>20200903</v>
      </c>
      <c r="AY130" t="s">
        <v>1800</v>
      </c>
      <c r="AZ130" t="s">
        <v>1792</v>
      </c>
      <c r="BA130" t="s">
        <v>1787</v>
      </c>
      <c r="BG130" s="556" t="str">
        <f t="shared" si="7"/>
        <v>O</v>
      </c>
      <c r="BH130" s="556" t="str">
        <f t="shared" si="8"/>
        <v>Y</v>
      </c>
      <c r="BI130" s="556" t="str">
        <f t="shared" si="9"/>
        <v/>
      </c>
      <c r="BJ130" s="556" t="str">
        <f t="shared" si="10"/>
        <v>M3</v>
      </c>
      <c r="BK130" s="556" t="str">
        <f t="shared" si="11"/>
        <v>S6</v>
      </c>
      <c r="BL130" s="556" t="str">
        <f t="shared" si="12"/>
        <v/>
      </c>
      <c r="BM130" s="497">
        <f t="shared" si="13"/>
        <v>50307</v>
      </c>
    </row>
    <row r="131" spans="1:65">
      <c r="A131">
        <v>20601</v>
      </c>
      <c r="B131" t="s">
        <v>2714</v>
      </c>
      <c r="C131" t="s">
        <v>220</v>
      </c>
      <c r="D131" t="s">
        <v>1813</v>
      </c>
      <c r="F131" s="503">
        <v>43171</v>
      </c>
      <c r="H131" t="s">
        <v>183</v>
      </c>
      <c r="I131" t="s">
        <v>1753</v>
      </c>
      <c r="J131">
        <v>5000</v>
      </c>
      <c r="K131" t="s">
        <v>1068</v>
      </c>
      <c r="O131" t="s">
        <v>1675</v>
      </c>
      <c r="W131">
        <v>0.66</v>
      </c>
      <c r="X131">
        <v>0.66</v>
      </c>
      <c r="Y131">
        <v>0</v>
      </c>
      <c r="Z131">
        <v>0</v>
      </c>
      <c r="AA131">
        <v>2</v>
      </c>
      <c r="AE131" t="s">
        <v>1039</v>
      </c>
      <c r="AI131">
        <v>60</v>
      </c>
      <c r="AJ131">
        <v>1850260</v>
      </c>
      <c r="AK131">
        <v>0</v>
      </c>
      <c r="AN131" t="s">
        <v>1703</v>
      </c>
      <c r="AO131">
        <v>2.6</v>
      </c>
      <c r="AV131" s="504">
        <v>46055</v>
      </c>
      <c r="AX131">
        <v>20180312</v>
      </c>
      <c r="AY131" t="s">
        <v>1754</v>
      </c>
      <c r="BG131" s="556" t="str">
        <f t="shared" ref="BG131:BG194" si="14">IF(LEFT(AY131,2)="98","X","O")</f>
        <v>O</v>
      </c>
      <c r="BH131" s="556" t="str">
        <f t="shared" ref="BH131:BH194" si="15">IF(IFERROR(SEARCH("45",$AY131,1),0)&gt;0,"Y","")</f>
        <v/>
      </c>
      <c r="BI131" s="556" t="str">
        <f t="shared" ref="BI131:BI194" si="16">IF(IFERROR(SEARCH("86",$AY131,1),0)&gt;0,"Y","")</f>
        <v/>
      </c>
      <c r="BJ131" s="556" t="str">
        <f t="shared" ref="BJ131:BJ194" si="17">IF(L131="",K131,IF(M131="",K131&amp;","&amp;L131,IF(N131="",K131&amp;","&amp;L131&amp;","&amp;M131,K131&amp;","&amp;L131&amp;","&amp;M131&amp;","&amp;N131)))</f>
        <v>M4</v>
      </c>
      <c r="BK131" s="556" t="str">
        <f t="shared" ref="BK131:BK194" si="18">IF(P131="",O131,IF(Q131="",O131&amp;","&amp;P131,IF(R131="",O131&amp;","&amp;P131&amp;","&amp;Q131,IO131&amp;","&amp;P131&amp;","&amp;Q131&amp;","&amp;R131)))</f>
        <v>M3</v>
      </c>
      <c r="BL131" s="556" t="str">
        <f t="shared" ref="BL131:BL194" si="19">IF(S131=0,"",S131)</f>
        <v/>
      </c>
      <c r="BM131" s="497">
        <f t="shared" ref="BM131:BM194" si="20">A131</f>
        <v>20601</v>
      </c>
    </row>
    <row r="132" spans="1:65">
      <c r="A132">
        <v>40010</v>
      </c>
      <c r="B132" t="s">
        <v>385</v>
      </c>
      <c r="C132" t="s">
        <v>201</v>
      </c>
      <c r="D132" t="s">
        <v>1803</v>
      </c>
      <c r="F132" s="503">
        <v>43733</v>
      </c>
      <c r="H132" t="s">
        <v>344</v>
      </c>
      <c r="I132" t="s">
        <v>1753</v>
      </c>
      <c r="J132">
        <v>5000</v>
      </c>
      <c r="K132" t="s">
        <v>1675</v>
      </c>
      <c r="O132" t="s">
        <v>1675</v>
      </c>
      <c r="W132">
        <v>0.55000000000000004</v>
      </c>
      <c r="X132">
        <v>0.57999999999999996</v>
      </c>
      <c r="Y132">
        <v>0</v>
      </c>
      <c r="Z132">
        <v>0</v>
      </c>
      <c r="AA132">
        <v>1</v>
      </c>
      <c r="AE132">
        <v>102</v>
      </c>
      <c r="AI132">
        <v>60</v>
      </c>
      <c r="AJ132">
        <v>1000246</v>
      </c>
      <c r="AK132">
        <v>0</v>
      </c>
      <c r="AN132" t="s">
        <v>133</v>
      </c>
      <c r="AO132">
        <v>2.46</v>
      </c>
      <c r="AT132" t="s">
        <v>1850</v>
      </c>
      <c r="AX132">
        <v>20190925</v>
      </c>
      <c r="AY132" t="s">
        <v>1754</v>
      </c>
      <c r="BG132" s="556" t="str">
        <f t="shared" si="14"/>
        <v>O</v>
      </c>
      <c r="BH132" s="556" t="str">
        <f t="shared" si="15"/>
        <v/>
      </c>
      <c r="BI132" s="556" t="str">
        <f t="shared" si="16"/>
        <v/>
      </c>
      <c r="BJ132" s="556" t="str">
        <f t="shared" si="17"/>
        <v>M3</v>
      </c>
      <c r="BK132" s="556" t="str">
        <f t="shared" si="18"/>
        <v>M3</v>
      </c>
      <c r="BL132" s="556" t="str">
        <f t="shared" si="19"/>
        <v/>
      </c>
      <c r="BM132" s="497">
        <f t="shared" si="20"/>
        <v>40010</v>
      </c>
    </row>
    <row r="133" spans="1:65">
      <c r="A133">
        <v>20092</v>
      </c>
      <c r="B133" t="s">
        <v>2784</v>
      </c>
      <c r="C133" t="s">
        <v>2786</v>
      </c>
      <c r="D133" t="s">
        <v>1774</v>
      </c>
      <c r="F133" s="503">
        <v>45406</v>
      </c>
      <c r="H133" t="s">
        <v>344</v>
      </c>
      <c r="I133" t="s">
        <v>1753</v>
      </c>
      <c r="J133">
        <v>5000</v>
      </c>
      <c r="K133" t="s">
        <v>1675</v>
      </c>
      <c r="O133" t="s">
        <v>1675</v>
      </c>
      <c r="W133">
        <v>0.56999999999999995</v>
      </c>
      <c r="X133">
        <v>0.56999999999999995</v>
      </c>
      <c r="Y133">
        <v>0</v>
      </c>
      <c r="Z133">
        <v>0</v>
      </c>
      <c r="AA133">
        <v>2</v>
      </c>
      <c r="AE133" t="s">
        <v>1773</v>
      </c>
      <c r="AI133">
        <v>60</v>
      </c>
      <c r="AJ133">
        <v>1850246</v>
      </c>
      <c r="AK133">
        <v>0</v>
      </c>
      <c r="AL133">
        <v>0</v>
      </c>
      <c r="AN133" t="s">
        <v>1703</v>
      </c>
      <c r="AO133">
        <v>2.46</v>
      </c>
      <c r="AX133">
        <v>20240424</v>
      </c>
      <c r="AY133" t="s">
        <v>1754</v>
      </c>
      <c r="BG133" s="556" t="str">
        <f t="shared" si="14"/>
        <v>O</v>
      </c>
      <c r="BH133" s="556" t="str">
        <f t="shared" si="15"/>
        <v/>
      </c>
      <c r="BI133" s="556" t="str">
        <f t="shared" si="16"/>
        <v/>
      </c>
      <c r="BJ133" s="556" t="str">
        <f t="shared" si="17"/>
        <v>M3</v>
      </c>
      <c r="BK133" s="556" t="str">
        <f t="shared" si="18"/>
        <v>M3</v>
      </c>
      <c r="BL133" s="556" t="str">
        <f t="shared" si="19"/>
        <v/>
      </c>
      <c r="BM133" s="497">
        <f t="shared" si="20"/>
        <v>20092</v>
      </c>
    </row>
    <row r="134" spans="1:65">
      <c r="A134">
        <v>52119</v>
      </c>
      <c r="B134" t="s">
        <v>525</v>
      </c>
      <c r="C134" t="s">
        <v>167</v>
      </c>
      <c r="D134" t="s">
        <v>1796</v>
      </c>
      <c r="F134" s="503">
        <v>43775</v>
      </c>
      <c r="H134" t="s">
        <v>344</v>
      </c>
      <c r="I134" t="s">
        <v>1753</v>
      </c>
      <c r="J134">
        <v>5000</v>
      </c>
      <c r="K134" t="s">
        <v>1675</v>
      </c>
      <c r="O134" t="s">
        <v>1675</v>
      </c>
      <c r="W134">
        <v>0.56000000000000005</v>
      </c>
      <c r="X134">
        <v>0.59</v>
      </c>
      <c r="Y134">
        <v>0</v>
      </c>
      <c r="Z134">
        <v>0</v>
      </c>
      <c r="AA134">
        <v>2</v>
      </c>
      <c r="AE134" t="s">
        <v>1221</v>
      </c>
      <c r="AI134">
        <v>60</v>
      </c>
      <c r="AJ134">
        <v>1850246</v>
      </c>
      <c r="AK134">
        <v>0</v>
      </c>
      <c r="AN134" t="s">
        <v>1703</v>
      </c>
      <c r="AO134">
        <v>2.46</v>
      </c>
      <c r="AX134">
        <v>20191106</v>
      </c>
      <c r="AY134" t="s">
        <v>1754</v>
      </c>
      <c r="BG134" s="556" t="str">
        <f t="shared" si="14"/>
        <v>O</v>
      </c>
      <c r="BH134" s="556" t="str">
        <f t="shared" si="15"/>
        <v/>
      </c>
      <c r="BI134" s="556" t="str">
        <f t="shared" si="16"/>
        <v/>
      </c>
      <c r="BJ134" s="556" t="str">
        <f t="shared" si="17"/>
        <v>M3</v>
      </c>
      <c r="BK134" s="556" t="str">
        <f t="shared" si="18"/>
        <v>M3</v>
      </c>
      <c r="BL134" s="556" t="str">
        <f t="shared" si="19"/>
        <v/>
      </c>
      <c r="BM134" s="497">
        <f t="shared" si="20"/>
        <v>52119</v>
      </c>
    </row>
    <row r="135" spans="1:65">
      <c r="A135">
        <v>53101</v>
      </c>
      <c r="B135" t="s">
        <v>1851</v>
      </c>
      <c r="C135" t="s">
        <v>167</v>
      </c>
      <c r="D135" t="s">
        <v>1819</v>
      </c>
      <c r="F135" s="503">
        <v>44414</v>
      </c>
      <c r="H135" t="s">
        <v>344</v>
      </c>
      <c r="I135" t="s">
        <v>1753</v>
      </c>
      <c r="J135">
        <v>5000</v>
      </c>
      <c r="K135" t="s">
        <v>1675</v>
      </c>
      <c r="O135" t="s">
        <v>1675</v>
      </c>
      <c r="W135">
        <v>0.56000000000000005</v>
      </c>
      <c r="X135">
        <v>0.57999999999999996</v>
      </c>
      <c r="Y135">
        <v>0</v>
      </c>
      <c r="Z135">
        <v>0</v>
      </c>
      <c r="AA135">
        <v>2</v>
      </c>
      <c r="AE135" t="s">
        <v>1039</v>
      </c>
      <c r="AI135">
        <v>60</v>
      </c>
      <c r="AJ135">
        <v>1850246</v>
      </c>
      <c r="AK135">
        <v>0</v>
      </c>
      <c r="AL135">
        <v>0</v>
      </c>
      <c r="AN135" t="s">
        <v>1703</v>
      </c>
      <c r="AO135">
        <v>2.46</v>
      </c>
      <c r="AX135">
        <v>20210806</v>
      </c>
      <c r="AY135" t="s">
        <v>1754</v>
      </c>
      <c r="BG135" s="556" t="str">
        <f t="shared" si="14"/>
        <v>O</v>
      </c>
      <c r="BH135" s="556" t="str">
        <f t="shared" si="15"/>
        <v/>
      </c>
      <c r="BI135" s="556" t="str">
        <f t="shared" si="16"/>
        <v/>
      </c>
      <c r="BJ135" s="556" t="str">
        <f t="shared" si="17"/>
        <v>M3</v>
      </c>
      <c r="BK135" s="556" t="str">
        <f t="shared" si="18"/>
        <v>M3</v>
      </c>
      <c r="BL135" s="556" t="str">
        <f t="shared" si="19"/>
        <v/>
      </c>
      <c r="BM135" s="497">
        <f t="shared" si="20"/>
        <v>53101</v>
      </c>
    </row>
    <row r="136" spans="1:65">
      <c r="A136">
        <v>53107</v>
      </c>
      <c r="B136" t="s">
        <v>1689</v>
      </c>
      <c r="C136" t="s">
        <v>167</v>
      </c>
      <c r="D136" t="s">
        <v>1819</v>
      </c>
      <c r="F136" s="503">
        <v>44414</v>
      </c>
      <c r="H136" t="s">
        <v>344</v>
      </c>
      <c r="I136" t="s">
        <v>1753</v>
      </c>
      <c r="J136">
        <v>5000</v>
      </c>
      <c r="K136" t="s">
        <v>1675</v>
      </c>
      <c r="O136" t="s">
        <v>1675</v>
      </c>
      <c r="W136">
        <v>0.6</v>
      </c>
      <c r="X136">
        <v>0.57999999999999996</v>
      </c>
      <c r="Y136">
        <v>0</v>
      </c>
      <c r="Z136">
        <v>0</v>
      </c>
      <c r="AA136">
        <v>0</v>
      </c>
      <c r="AE136" t="s">
        <v>1761</v>
      </c>
      <c r="AI136">
        <v>57</v>
      </c>
      <c r="AJ136">
        <v>3030246</v>
      </c>
      <c r="AK136">
        <v>0</v>
      </c>
      <c r="AN136" t="s">
        <v>1852</v>
      </c>
      <c r="AO136">
        <v>2.46</v>
      </c>
      <c r="AX136">
        <v>20210806</v>
      </c>
      <c r="AY136" t="s">
        <v>1780</v>
      </c>
      <c r="BG136" s="556" t="str">
        <f t="shared" si="14"/>
        <v>O</v>
      </c>
      <c r="BH136" s="556" t="str">
        <f t="shared" si="15"/>
        <v/>
      </c>
      <c r="BI136" s="556" t="str">
        <f t="shared" si="16"/>
        <v/>
      </c>
      <c r="BJ136" s="556" t="str">
        <f t="shared" si="17"/>
        <v>M3</v>
      </c>
      <c r="BK136" s="556" t="str">
        <f t="shared" si="18"/>
        <v>M3</v>
      </c>
      <c r="BL136" s="556" t="str">
        <f t="shared" si="19"/>
        <v/>
      </c>
      <c r="BM136" s="497">
        <f t="shared" si="20"/>
        <v>53107</v>
      </c>
    </row>
    <row r="137" spans="1:65">
      <c r="A137">
        <v>40216</v>
      </c>
      <c r="B137" t="s">
        <v>2353</v>
      </c>
      <c r="C137" t="s">
        <v>46</v>
      </c>
      <c r="D137" t="s">
        <v>1771</v>
      </c>
      <c r="F137" s="503">
        <v>44986</v>
      </c>
      <c r="H137" t="s">
        <v>183</v>
      </c>
      <c r="I137" t="s">
        <v>1753</v>
      </c>
      <c r="J137">
        <v>5000</v>
      </c>
      <c r="K137" t="s">
        <v>1675</v>
      </c>
      <c r="O137" t="s">
        <v>1675</v>
      </c>
      <c r="W137">
        <v>0.54</v>
      </c>
      <c r="X137">
        <v>0.54</v>
      </c>
      <c r="Y137">
        <v>0</v>
      </c>
      <c r="Z137">
        <v>0</v>
      </c>
      <c r="AA137">
        <v>2</v>
      </c>
      <c r="AE137" t="s">
        <v>1773</v>
      </c>
      <c r="AI137">
        <v>60</v>
      </c>
      <c r="AJ137">
        <v>1850246</v>
      </c>
      <c r="AK137">
        <v>0</v>
      </c>
      <c r="AN137" t="s">
        <v>1703</v>
      </c>
      <c r="AO137">
        <v>2.46</v>
      </c>
      <c r="AX137">
        <v>20230301</v>
      </c>
      <c r="AY137" t="s">
        <v>1754</v>
      </c>
      <c r="BG137" s="556" t="str">
        <f t="shared" si="14"/>
        <v>O</v>
      </c>
      <c r="BH137" s="556" t="str">
        <f t="shared" si="15"/>
        <v/>
      </c>
      <c r="BI137" s="556" t="str">
        <f t="shared" si="16"/>
        <v/>
      </c>
      <c r="BJ137" s="556" t="str">
        <f t="shared" si="17"/>
        <v>M3</v>
      </c>
      <c r="BK137" s="556" t="str">
        <f t="shared" si="18"/>
        <v>M3</v>
      </c>
      <c r="BL137" s="556" t="str">
        <f t="shared" si="19"/>
        <v/>
      </c>
      <c r="BM137" s="497">
        <f t="shared" si="20"/>
        <v>40216</v>
      </c>
    </row>
    <row r="138" spans="1:65">
      <c r="A138">
        <v>40220</v>
      </c>
      <c r="B138" t="s">
        <v>2733</v>
      </c>
      <c r="C138" t="s">
        <v>46</v>
      </c>
      <c r="D138" t="s">
        <v>1771</v>
      </c>
      <c r="F138" s="503">
        <v>45359</v>
      </c>
      <c r="H138" t="s">
        <v>344</v>
      </c>
      <c r="I138" t="s">
        <v>1753</v>
      </c>
      <c r="J138">
        <v>6000</v>
      </c>
      <c r="K138" t="s">
        <v>1675</v>
      </c>
      <c r="O138" t="s">
        <v>1675</v>
      </c>
      <c r="W138">
        <v>0.54</v>
      </c>
      <c r="X138">
        <v>0.54</v>
      </c>
      <c r="Y138">
        <v>0</v>
      </c>
      <c r="Z138">
        <v>0</v>
      </c>
      <c r="AA138">
        <v>2</v>
      </c>
      <c r="AE138" t="s">
        <v>1039</v>
      </c>
      <c r="AI138">
        <v>60</v>
      </c>
      <c r="AJ138">
        <v>1850246</v>
      </c>
      <c r="AK138">
        <v>0</v>
      </c>
      <c r="AL138">
        <v>0</v>
      </c>
      <c r="AN138" t="s">
        <v>1703</v>
      </c>
      <c r="AO138">
        <v>2.46</v>
      </c>
      <c r="AX138">
        <v>20240308</v>
      </c>
      <c r="AY138" t="s">
        <v>1754</v>
      </c>
      <c r="BG138" s="556" t="str">
        <f t="shared" si="14"/>
        <v>O</v>
      </c>
      <c r="BH138" s="556" t="str">
        <f t="shared" si="15"/>
        <v/>
      </c>
      <c r="BI138" s="556" t="str">
        <f t="shared" si="16"/>
        <v/>
      </c>
      <c r="BJ138" s="556" t="str">
        <f t="shared" si="17"/>
        <v>M3</v>
      </c>
      <c r="BK138" s="556" t="str">
        <f t="shared" si="18"/>
        <v>M3</v>
      </c>
      <c r="BL138" s="556" t="str">
        <f t="shared" si="19"/>
        <v/>
      </c>
      <c r="BM138" s="497">
        <f t="shared" si="20"/>
        <v>40220</v>
      </c>
    </row>
    <row r="139" spans="1:65">
      <c r="A139">
        <v>40217</v>
      </c>
      <c r="B139" t="s">
        <v>2734</v>
      </c>
      <c r="C139" t="s">
        <v>2735</v>
      </c>
      <c r="D139" t="s">
        <v>1771</v>
      </c>
      <c r="F139" s="503">
        <v>45359</v>
      </c>
      <c r="H139" t="s">
        <v>344</v>
      </c>
      <c r="I139" t="s">
        <v>1753</v>
      </c>
      <c r="J139">
        <v>5000</v>
      </c>
      <c r="K139" t="s">
        <v>1675</v>
      </c>
      <c r="O139" t="s">
        <v>1675</v>
      </c>
      <c r="W139">
        <v>0.57999999999999996</v>
      </c>
      <c r="X139">
        <v>0.55000000000000004</v>
      </c>
      <c r="Y139">
        <v>0</v>
      </c>
      <c r="Z139">
        <v>0</v>
      </c>
      <c r="AA139">
        <v>0</v>
      </c>
      <c r="AE139" t="s">
        <v>2755</v>
      </c>
      <c r="AI139">
        <v>57</v>
      </c>
      <c r="AJ139">
        <v>4300246</v>
      </c>
      <c r="AK139">
        <v>0</v>
      </c>
      <c r="AL139">
        <v>0</v>
      </c>
      <c r="AN139" t="s">
        <v>185</v>
      </c>
      <c r="AO139">
        <v>2.46</v>
      </c>
      <c r="AX139">
        <v>20240308</v>
      </c>
      <c r="AY139" t="s">
        <v>1780</v>
      </c>
      <c r="BG139" s="556" t="str">
        <f t="shared" si="14"/>
        <v>O</v>
      </c>
      <c r="BH139" s="556" t="str">
        <f t="shared" si="15"/>
        <v/>
      </c>
      <c r="BI139" s="556" t="str">
        <f t="shared" si="16"/>
        <v/>
      </c>
      <c r="BJ139" s="556" t="str">
        <f t="shared" si="17"/>
        <v>M3</v>
      </c>
      <c r="BK139" s="556" t="str">
        <f t="shared" si="18"/>
        <v>M3</v>
      </c>
      <c r="BL139" s="556" t="str">
        <f t="shared" si="19"/>
        <v/>
      </c>
      <c r="BM139" s="497">
        <f t="shared" si="20"/>
        <v>40217</v>
      </c>
    </row>
    <row r="140" spans="1:65">
      <c r="A140">
        <v>53901</v>
      </c>
      <c r="B140" t="s">
        <v>3413</v>
      </c>
      <c r="C140" t="s">
        <v>3418</v>
      </c>
      <c r="D140" t="s">
        <v>3419</v>
      </c>
      <c r="F140" s="503">
        <v>46044</v>
      </c>
      <c r="H140" t="s">
        <v>344</v>
      </c>
      <c r="I140" t="s">
        <v>1753</v>
      </c>
      <c r="J140">
        <v>0</v>
      </c>
      <c r="K140" t="s">
        <v>1681</v>
      </c>
      <c r="W140">
        <v>0.57999999999999996</v>
      </c>
      <c r="X140">
        <v>0.57999999999999996</v>
      </c>
      <c r="Y140">
        <v>0</v>
      </c>
      <c r="Z140">
        <v>0</v>
      </c>
      <c r="AA140">
        <v>205</v>
      </c>
      <c r="AE140" t="s">
        <v>1039</v>
      </c>
      <c r="AI140">
        <v>85</v>
      </c>
      <c r="AJ140">
        <v>1850295</v>
      </c>
      <c r="AK140">
        <v>0</v>
      </c>
      <c r="AN140" t="s">
        <v>1703</v>
      </c>
      <c r="AO140">
        <v>2.95</v>
      </c>
      <c r="AX140">
        <v>20260122</v>
      </c>
      <c r="AY140" t="s">
        <v>1828</v>
      </c>
      <c r="BG140" s="556" t="str">
        <f t="shared" si="14"/>
        <v>O</v>
      </c>
      <c r="BH140" s="556" t="str">
        <f t="shared" si="15"/>
        <v/>
      </c>
      <c r="BI140" s="556" t="str">
        <f t="shared" si="16"/>
        <v/>
      </c>
      <c r="BJ140" s="556" t="str">
        <f t="shared" si="17"/>
        <v>6S</v>
      </c>
      <c r="BK140" s="556">
        <f t="shared" si="18"/>
        <v>0</v>
      </c>
      <c r="BL140" s="556" t="str">
        <f t="shared" si="19"/>
        <v/>
      </c>
      <c r="BM140" s="497">
        <f t="shared" si="20"/>
        <v>53901</v>
      </c>
    </row>
    <row r="141" spans="1:65">
      <c r="B141" t="s">
        <v>1269</v>
      </c>
      <c r="C141" t="s">
        <v>1271</v>
      </c>
      <c r="D141" t="s">
        <v>1796</v>
      </c>
      <c r="F141" s="503">
        <v>43917</v>
      </c>
      <c r="H141" t="s">
        <v>344</v>
      </c>
      <c r="I141" t="s">
        <v>1753</v>
      </c>
      <c r="J141">
        <v>0</v>
      </c>
      <c r="K141" t="s">
        <v>1756</v>
      </c>
      <c r="W141">
        <v>0</v>
      </c>
      <c r="X141">
        <v>0.35</v>
      </c>
      <c r="Y141">
        <v>0</v>
      </c>
      <c r="Z141">
        <v>0</v>
      </c>
      <c r="AA141">
        <v>0</v>
      </c>
      <c r="AE141" t="s">
        <v>1773</v>
      </c>
      <c r="AI141">
        <v>80</v>
      </c>
      <c r="AJ141">
        <v>4360260</v>
      </c>
      <c r="AK141">
        <v>0</v>
      </c>
      <c r="AL141">
        <v>0</v>
      </c>
      <c r="AN141" t="s">
        <v>134</v>
      </c>
      <c r="AX141">
        <v>20200327</v>
      </c>
      <c r="AY141" t="s">
        <v>1762</v>
      </c>
      <c r="BG141" s="556" t="str">
        <f t="shared" si="14"/>
        <v>X</v>
      </c>
      <c r="BH141" s="556" t="str">
        <f t="shared" si="15"/>
        <v/>
      </c>
      <c r="BI141" s="556" t="str">
        <f t="shared" si="16"/>
        <v/>
      </c>
      <c r="BJ141" s="556" t="str">
        <f t="shared" si="17"/>
        <v>Z</v>
      </c>
      <c r="BK141" s="556">
        <f t="shared" si="18"/>
        <v>0</v>
      </c>
      <c r="BL141" s="556" t="str">
        <f t="shared" si="19"/>
        <v/>
      </c>
      <c r="BM141" s="497">
        <f t="shared" si="20"/>
        <v>0</v>
      </c>
    </row>
    <row r="142" spans="1:65">
      <c r="A142">
        <v>53902</v>
      </c>
      <c r="B142" t="s">
        <v>3414</v>
      </c>
      <c r="C142" t="s">
        <v>3418</v>
      </c>
      <c r="D142" t="s">
        <v>3419</v>
      </c>
      <c r="F142" s="503">
        <v>46044</v>
      </c>
      <c r="H142" t="s">
        <v>3420</v>
      </c>
      <c r="I142" t="s">
        <v>1753</v>
      </c>
      <c r="J142">
        <v>0</v>
      </c>
      <c r="K142" t="s">
        <v>1681</v>
      </c>
      <c r="W142">
        <v>0.61</v>
      </c>
      <c r="X142">
        <v>0.61</v>
      </c>
      <c r="Y142">
        <v>0</v>
      </c>
      <c r="Z142">
        <v>0</v>
      </c>
      <c r="AA142">
        <v>205</v>
      </c>
      <c r="AE142" t="s">
        <v>1039</v>
      </c>
      <c r="AI142">
        <v>85</v>
      </c>
      <c r="AJ142">
        <v>1850295</v>
      </c>
      <c r="AK142">
        <v>0</v>
      </c>
      <c r="AL142">
        <v>0</v>
      </c>
      <c r="AN142" t="s">
        <v>1703</v>
      </c>
      <c r="AO142">
        <v>2.95</v>
      </c>
      <c r="AX142">
        <v>20260122</v>
      </c>
      <c r="AY142" t="s">
        <v>1828</v>
      </c>
      <c r="BG142" s="556" t="str">
        <f t="shared" si="14"/>
        <v>O</v>
      </c>
      <c r="BH142" s="556" t="str">
        <f t="shared" si="15"/>
        <v/>
      </c>
      <c r="BI142" s="556" t="str">
        <f t="shared" si="16"/>
        <v/>
      </c>
      <c r="BJ142" s="556" t="str">
        <f t="shared" si="17"/>
        <v>6S</v>
      </c>
      <c r="BK142" s="556">
        <f t="shared" si="18"/>
        <v>0</v>
      </c>
      <c r="BL142" s="556" t="str">
        <f t="shared" si="19"/>
        <v/>
      </c>
      <c r="BM142" s="497">
        <f t="shared" si="20"/>
        <v>53902</v>
      </c>
    </row>
    <row r="143" spans="1:65">
      <c r="A143">
        <v>51805</v>
      </c>
      <c r="B143" t="s">
        <v>1853</v>
      </c>
      <c r="C143" t="s">
        <v>1854</v>
      </c>
      <c r="D143" t="s">
        <v>1772</v>
      </c>
      <c r="F143" s="503">
        <v>43819</v>
      </c>
      <c r="H143" t="s">
        <v>1855</v>
      </c>
      <c r="I143" t="s">
        <v>1753</v>
      </c>
      <c r="J143">
        <v>10000</v>
      </c>
      <c r="K143" t="s">
        <v>1068</v>
      </c>
      <c r="O143" t="s">
        <v>1675</v>
      </c>
      <c r="W143">
        <v>0.82</v>
      </c>
      <c r="X143">
        <v>0.85</v>
      </c>
      <c r="Y143">
        <v>0</v>
      </c>
      <c r="Z143">
        <v>0</v>
      </c>
      <c r="AA143">
        <v>2</v>
      </c>
      <c r="AE143" t="s">
        <v>1773</v>
      </c>
      <c r="AI143">
        <v>60</v>
      </c>
      <c r="AJ143">
        <v>1850246</v>
      </c>
      <c r="AK143">
        <v>0</v>
      </c>
      <c r="AN143" t="s">
        <v>1703</v>
      </c>
      <c r="AO143">
        <v>2.46</v>
      </c>
      <c r="AX143">
        <v>20191220</v>
      </c>
      <c r="AY143" t="s">
        <v>1754</v>
      </c>
      <c r="BG143" s="556" t="str">
        <f t="shared" si="14"/>
        <v>O</v>
      </c>
      <c r="BH143" s="556" t="str">
        <f t="shared" si="15"/>
        <v/>
      </c>
      <c r="BI143" s="556" t="str">
        <f t="shared" si="16"/>
        <v/>
      </c>
      <c r="BJ143" s="556" t="str">
        <f t="shared" si="17"/>
        <v>M4</v>
      </c>
      <c r="BK143" s="556" t="str">
        <f t="shared" si="18"/>
        <v>M3</v>
      </c>
      <c r="BL143" s="556" t="str">
        <f t="shared" si="19"/>
        <v/>
      </c>
      <c r="BM143" s="497">
        <f t="shared" si="20"/>
        <v>51805</v>
      </c>
    </row>
    <row r="144" spans="1:65">
      <c r="A144">
        <v>51804</v>
      </c>
      <c r="B144" t="s">
        <v>1856</v>
      </c>
      <c r="C144" t="s">
        <v>1854</v>
      </c>
      <c r="D144" t="s">
        <v>1772</v>
      </c>
      <c r="F144" s="503">
        <v>43819</v>
      </c>
      <c r="H144" t="s">
        <v>1855</v>
      </c>
      <c r="I144" t="s">
        <v>1753</v>
      </c>
      <c r="J144">
        <v>20000</v>
      </c>
      <c r="K144" t="s">
        <v>1068</v>
      </c>
      <c r="O144" t="s">
        <v>1675</v>
      </c>
      <c r="W144">
        <v>0.82</v>
      </c>
      <c r="X144">
        <v>0.84</v>
      </c>
      <c r="Y144">
        <v>0</v>
      </c>
      <c r="Z144">
        <v>0</v>
      </c>
      <c r="AA144">
        <v>2</v>
      </c>
      <c r="AE144" t="s">
        <v>1039</v>
      </c>
      <c r="AI144">
        <v>60</v>
      </c>
      <c r="AJ144">
        <v>1850246</v>
      </c>
      <c r="AK144">
        <v>0</v>
      </c>
      <c r="AL144">
        <v>0</v>
      </c>
      <c r="AN144" t="s">
        <v>1703</v>
      </c>
      <c r="AO144">
        <v>2.46</v>
      </c>
      <c r="AX144">
        <v>20191220</v>
      </c>
      <c r="AY144" t="s">
        <v>1754</v>
      </c>
      <c r="BG144" s="556" t="str">
        <f t="shared" si="14"/>
        <v>O</v>
      </c>
      <c r="BH144" s="556" t="str">
        <f t="shared" si="15"/>
        <v/>
      </c>
      <c r="BI144" s="556" t="str">
        <f t="shared" si="16"/>
        <v/>
      </c>
      <c r="BJ144" s="556" t="str">
        <f t="shared" si="17"/>
        <v>M4</v>
      </c>
      <c r="BK144" s="556" t="str">
        <f t="shared" si="18"/>
        <v>M3</v>
      </c>
      <c r="BL144" s="556" t="str">
        <f t="shared" si="19"/>
        <v/>
      </c>
      <c r="BM144" s="497">
        <f t="shared" si="20"/>
        <v>51804</v>
      </c>
    </row>
    <row r="145" spans="1:65">
      <c r="A145">
        <v>40064</v>
      </c>
      <c r="B145" t="s">
        <v>3405</v>
      </c>
      <c r="C145" t="s">
        <v>508</v>
      </c>
      <c r="D145" t="s">
        <v>1803</v>
      </c>
      <c r="F145" s="503">
        <v>46043</v>
      </c>
      <c r="H145" t="s">
        <v>3406</v>
      </c>
      <c r="I145" t="s">
        <v>1753</v>
      </c>
      <c r="J145">
        <v>5000</v>
      </c>
      <c r="K145" t="s">
        <v>1675</v>
      </c>
      <c r="O145" t="s">
        <v>1675</v>
      </c>
      <c r="W145">
        <v>0.6</v>
      </c>
      <c r="X145">
        <v>0.6</v>
      </c>
      <c r="Y145">
        <v>0</v>
      </c>
      <c r="Z145">
        <v>0</v>
      </c>
      <c r="AA145">
        <v>0</v>
      </c>
      <c r="AE145" t="s">
        <v>1221</v>
      </c>
      <c r="AI145">
        <v>57</v>
      </c>
      <c r="AJ145">
        <v>1000246</v>
      </c>
      <c r="AK145">
        <v>0</v>
      </c>
      <c r="AL145">
        <v>0</v>
      </c>
      <c r="AN145" t="s">
        <v>133</v>
      </c>
      <c r="AO145">
        <v>2.46</v>
      </c>
      <c r="AX145">
        <v>20260121</v>
      </c>
      <c r="AY145" t="s">
        <v>1780</v>
      </c>
      <c r="BG145" s="556" t="str">
        <f t="shared" si="14"/>
        <v>O</v>
      </c>
      <c r="BH145" s="556" t="str">
        <f t="shared" si="15"/>
        <v/>
      </c>
      <c r="BI145" s="556" t="str">
        <f t="shared" si="16"/>
        <v/>
      </c>
      <c r="BJ145" s="556" t="str">
        <f t="shared" si="17"/>
        <v>M3</v>
      </c>
      <c r="BK145" s="556" t="str">
        <f t="shared" si="18"/>
        <v>M3</v>
      </c>
      <c r="BL145" s="556" t="str">
        <f t="shared" si="19"/>
        <v/>
      </c>
      <c r="BM145" s="497">
        <f t="shared" si="20"/>
        <v>40064</v>
      </c>
    </row>
    <row r="146" spans="1:65">
      <c r="A146">
        <v>52901</v>
      </c>
      <c r="B146" t="s">
        <v>1857</v>
      </c>
      <c r="C146" t="s">
        <v>1442</v>
      </c>
      <c r="D146" t="s">
        <v>1858</v>
      </c>
      <c r="F146" s="503">
        <v>44259</v>
      </c>
      <c r="H146" t="s">
        <v>348</v>
      </c>
      <c r="I146" t="s">
        <v>1753</v>
      </c>
      <c r="J146">
        <v>5000</v>
      </c>
      <c r="K146" t="s">
        <v>1675</v>
      </c>
      <c r="O146" t="s">
        <v>1675</v>
      </c>
      <c r="W146">
        <v>0.53</v>
      </c>
      <c r="X146">
        <v>0.55000000000000004</v>
      </c>
      <c r="Y146">
        <v>0</v>
      </c>
      <c r="Z146">
        <v>0</v>
      </c>
      <c r="AA146">
        <v>0</v>
      </c>
      <c r="AE146">
        <v>101</v>
      </c>
      <c r="AI146">
        <v>57</v>
      </c>
      <c r="AJ146">
        <v>1000246</v>
      </c>
      <c r="AK146">
        <v>0</v>
      </c>
      <c r="AN146" t="s">
        <v>133</v>
      </c>
      <c r="AO146">
        <v>2.46</v>
      </c>
      <c r="AX146">
        <v>20210304</v>
      </c>
      <c r="AY146" t="s">
        <v>1780</v>
      </c>
      <c r="BG146" s="556" t="str">
        <f t="shared" si="14"/>
        <v>O</v>
      </c>
      <c r="BH146" s="556" t="str">
        <f t="shared" si="15"/>
        <v/>
      </c>
      <c r="BI146" s="556" t="str">
        <f t="shared" si="16"/>
        <v/>
      </c>
      <c r="BJ146" s="556" t="str">
        <f t="shared" si="17"/>
        <v>M3</v>
      </c>
      <c r="BK146" s="556" t="str">
        <f t="shared" si="18"/>
        <v>M3</v>
      </c>
      <c r="BL146" s="556" t="str">
        <f t="shared" si="19"/>
        <v/>
      </c>
      <c r="BM146" s="497">
        <f t="shared" si="20"/>
        <v>52901</v>
      </c>
    </row>
    <row r="147" spans="1:65">
      <c r="A147">
        <v>55021</v>
      </c>
      <c r="B147" t="s">
        <v>2907</v>
      </c>
      <c r="C147" t="s">
        <v>311</v>
      </c>
      <c r="D147" t="s">
        <v>2375</v>
      </c>
      <c r="F147" s="503">
        <v>45490</v>
      </c>
      <c r="H147" t="s">
        <v>2379</v>
      </c>
      <c r="I147" t="s">
        <v>1753</v>
      </c>
      <c r="J147">
        <v>0</v>
      </c>
      <c r="K147" t="s">
        <v>1675</v>
      </c>
      <c r="O147" t="s">
        <v>1675</v>
      </c>
      <c r="W147">
        <v>0.7</v>
      </c>
      <c r="X147">
        <v>0.7</v>
      </c>
      <c r="Y147">
        <v>0</v>
      </c>
      <c r="Z147">
        <v>0</v>
      </c>
      <c r="AA147">
        <v>0</v>
      </c>
      <c r="AE147" t="s">
        <v>1039</v>
      </c>
      <c r="AI147">
        <v>57</v>
      </c>
      <c r="AJ147">
        <v>1000260</v>
      </c>
      <c r="AK147">
        <v>0</v>
      </c>
      <c r="AL147">
        <v>0</v>
      </c>
      <c r="AN147" t="s">
        <v>133</v>
      </c>
      <c r="AO147">
        <v>2.6</v>
      </c>
      <c r="AX147">
        <v>20240717</v>
      </c>
      <c r="AY147" t="s">
        <v>1780</v>
      </c>
      <c r="BG147" s="556" t="str">
        <f t="shared" si="14"/>
        <v>O</v>
      </c>
      <c r="BH147" s="556" t="str">
        <f t="shared" si="15"/>
        <v/>
      </c>
      <c r="BI147" s="556" t="str">
        <f t="shared" si="16"/>
        <v/>
      </c>
      <c r="BJ147" s="556" t="str">
        <f t="shared" si="17"/>
        <v>M3</v>
      </c>
      <c r="BK147" s="556" t="str">
        <f t="shared" si="18"/>
        <v>M3</v>
      </c>
      <c r="BL147" s="556" t="str">
        <f t="shared" si="19"/>
        <v/>
      </c>
      <c r="BM147" s="497">
        <f t="shared" si="20"/>
        <v>55021</v>
      </c>
    </row>
    <row r="148" spans="1:65">
      <c r="A148">
        <v>55024</v>
      </c>
      <c r="B148" t="s">
        <v>3071</v>
      </c>
      <c r="C148" t="s">
        <v>3072</v>
      </c>
      <c r="D148" t="s">
        <v>2375</v>
      </c>
      <c r="F148" s="503">
        <v>45734</v>
      </c>
      <c r="H148" t="s">
        <v>253</v>
      </c>
      <c r="I148" t="s">
        <v>1753</v>
      </c>
      <c r="J148">
        <v>5000</v>
      </c>
      <c r="K148" t="s">
        <v>3073</v>
      </c>
      <c r="O148" t="s">
        <v>1675</v>
      </c>
      <c r="W148">
        <v>0.66</v>
      </c>
      <c r="X148">
        <v>0.59</v>
      </c>
      <c r="Y148">
        <v>0</v>
      </c>
      <c r="Z148">
        <v>0</v>
      </c>
      <c r="AA148">
        <v>2</v>
      </c>
      <c r="AE148" t="s">
        <v>1221</v>
      </c>
      <c r="AI148">
        <v>60</v>
      </c>
      <c r="AJ148">
        <v>1850260</v>
      </c>
      <c r="AK148">
        <v>0</v>
      </c>
      <c r="AL148">
        <v>0</v>
      </c>
      <c r="AN148" t="s">
        <v>1703</v>
      </c>
      <c r="AO148">
        <v>2.6</v>
      </c>
      <c r="AX148">
        <v>20250318</v>
      </c>
      <c r="AY148" t="s">
        <v>1754</v>
      </c>
      <c r="BG148" s="556" t="str">
        <f t="shared" si="14"/>
        <v>O</v>
      </c>
      <c r="BH148" s="556" t="str">
        <f t="shared" si="15"/>
        <v/>
      </c>
      <c r="BI148" s="556" t="str">
        <f t="shared" si="16"/>
        <v/>
      </c>
      <c r="BJ148" s="556" t="str">
        <f t="shared" si="17"/>
        <v>3S</v>
      </c>
      <c r="BK148" s="556" t="str">
        <f t="shared" si="18"/>
        <v>M3</v>
      </c>
      <c r="BL148" s="556" t="str">
        <f t="shared" si="19"/>
        <v/>
      </c>
      <c r="BM148" s="497">
        <f t="shared" si="20"/>
        <v>55024</v>
      </c>
    </row>
    <row r="149" spans="1:65">
      <c r="A149">
        <v>40034</v>
      </c>
      <c r="B149" t="s">
        <v>2393</v>
      </c>
      <c r="C149" t="s">
        <v>2394</v>
      </c>
      <c r="D149" t="s">
        <v>1803</v>
      </c>
      <c r="F149" s="503">
        <v>45010</v>
      </c>
      <c r="H149" t="s">
        <v>253</v>
      </c>
      <c r="I149" t="s">
        <v>1753</v>
      </c>
      <c r="J149">
        <v>5000</v>
      </c>
      <c r="K149" t="s">
        <v>1068</v>
      </c>
      <c r="O149" t="s">
        <v>1068</v>
      </c>
      <c r="W149">
        <v>0.6</v>
      </c>
      <c r="X149">
        <v>0.54</v>
      </c>
      <c r="Y149">
        <v>0</v>
      </c>
      <c r="Z149">
        <v>0</v>
      </c>
      <c r="AA149">
        <v>2</v>
      </c>
      <c r="AE149" t="s">
        <v>3189</v>
      </c>
      <c r="AI149">
        <v>60</v>
      </c>
      <c r="AJ149">
        <v>1850246</v>
      </c>
      <c r="AK149">
        <v>0</v>
      </c>
      <c r="AN149" t="s">
        <v>1703</v>
      </c>
      <c r="AO149">
        <v>2.46</v>
      </c>
      <c r="AX149">
        <v>20230325</v>
      </c>
      <c r="AY149" t="s">
        <v>1754</v>
      </c>
      <c r="BG149" s="556" t="str">
        <f t="shared" si="14"/>
        <v>O</v>
      </c>
      <c r="BH149" s="556" t="str">
        <f t="shared" si="15"/>
        <v/>
      </c>
      <c r="BI149" s="556" t="str">
        <f t="shared" si="16"/>
        <v/>
      </c>
      <c r="BJ149" s="556" t="str">
        <f t="shared" si="17"/>
        <v>M4</v>
      </c>
      <c r="BK149" s="556" t="str">
        <f t="shared" si="18"/>
        <v>M4</v>
      </c>
      <c r="BL149" s="556" t="str">
        <f t="shared" si="19"/>
        <v/>
      </c>
      <c r="BM149" s="497">
        <f t="shared" si="20"/>
        <v>40034</v>
      </c>
    </row>
    <row r="150" spans="1:65">
      <c r="A150">
        <v>50649</v>
      </c>
      <c r="B150" t="s">
        <v>3097</v>
      </c>
      <c r="C150" t="s">
        <v>77</v>
      </c>
      <c r="D150" t="s">
        <v>1829</v>
      </c>
      <c r="F150" s="503">
        <v>45771</v>
      </c>
      <c r="H150" t="s">
        <v>348</v>
      </c>
      <c r="I150" t="s">
        <v>1753</v>
      </c>
      <c r="J150">
        <v>5000</v>
      </c>
      <c r="K150" t="s">
        <v>1675</v>
      </c>
      <c r="O150" t="s">
        <v>1675</v>
      </c>
      <c r="W150">
        <v>0.64</v>
      </c>
      <c r="X150">
        <v>0.64</v>
      </c>
      <c r="Y150">
        <v>0</v>
      </c>
      <c r="Z150">
        <v>0</v>
      </c>
      <c r="AA150">
        <v>2</v>
      </c>
      <c r="AE150" t="s">
        <v>1039</v>
      </c>
      <c r="AI150">
        <v>60</v>
      </c>
      <c r="AJ150">
        <v>1850246</v>
      </c>
      <c r="AK150">
        <v>0</v>
      </c>
      <c r="AL150">
        <v>0</v>
      </c>
      <c r="AN150" t="s">
        <v>1703</v>
      </c>
      <c r="AO150">
        <v>2.46</v>
      </c>
      <c r="AX150">
        <v>20250424</v>
      </c>
      <c r="AY150" t="s">
        <v>1754</v>
      </c>
      <c r="BG150" s="556" t="str">
        <f t="shared" si="14"/>
        <v>O</v>
      </c>
      <c r="BH150" s="556" t="str">
        <f t="shared" si="15"/>
        <v/>
      </c>
      <c r="BI150" s="556" t="str">
        <f t="shared" si="16"/>
        <v/>
      </c>
      <c r="BJ150" s="556" t="str">
        <f t="shared" si="17"/>
        <v>M3</v>
      </c>
      <c r="BK150" s="556" t="str">
        <f t="shared" si="18"/>
        <v>M3</v>
      </c>
      <c r="BL150" s="556" t="str">
        <f t="shared" si="19"/>
        <v/>
      </c>
      <c r="BM150" s="497">
        <f t="shared" si="20"/>
        <v>50649</v>
      </c>
    </row>
    <row r="151" spans="1:65">
      <c r="A151">
        <v>20062</v>
      </c>
      <c r="B151" t="s">
        <v>1399</v>
      </c>
      <c r="C151" t="s">
        <v>1400</v>
      </c>
      <c r="D151" t="s">
        <v>1774</v>
      </c>
      <c r="F151" s="503">
        <v>44014</v>
      </c>
      <c r="H151" t="s">
        <v>348</v>
      </c>
      <c r="I151" t="s">
        <v>1753</v>
      </c>
      <c r="J151">
        <v>5000</v>
      </c>
      <c r="K151" t="s">
        <v>1675</v>
      </c>
      <c r="O151" t="s">
        <v>1675</v>
      </c>
      <c r="S151" t="s">
        <v>2301</v>
      </c>
      <c r="W151">
        <v>0.66</v>
      </c>
      <c r="X151">
        <v>0.67</v>
      </c>
      <c r="Y151">
        <v>0</v>
      </c>
      <c r="Z151">
        <v>0</v>
      </c>
      <c r="AA151">
        <v>0</v>
      </c>
      <c r="AE151" t="s">
        <v>1761</v>
      </c>
      <c r="AI151">
        <v>59</v>
      </c>
      <c r="AJ151">
        <v>3020246</v>
      </c>
      <c r="AK151">
        <v>0</v>
      </c>
      <c r="AN151" t="s">
        <v>135</v>
      </c>
      <c r="AO151">
        <v>2.46</v>
      </c>
      <c r="AR151" t="s">
        <v>2948</v>
      </c>
      <c r="AX151">
        <v>20200702</v>
      </c>
      <c r="AY151" t="s">
        <v>1836</v>
      </c>
      <c r="BG151" s="556" t="str">
        <f t="shared" si="14"/>
        <v>O</v>
      </c>
      <c r="BH151" s="556" t="str">
        <f t="shared" si="15"/>
        <v/>
      </c>
      <c r="BI151" s="556" t="str">
        <f t="shared" si="16"/>
        <v/>
      </c>
      <c r="BJ151" s="556" t="str">
        <f t="shared" si="17"/>
        <v>M3</v>
      </c>
      <c r="BK151" s="556" t="str">
        <f t="shared" si="18"/>
        <v>M3</v>
      </c>
      <c r="BL151" s="556" t="str">
        <f t="shared" si="19"/>
        <v>CT</v>
      </c>
      <c r="BM151" s="497">
        <f t="shared" si="20"/>
        <v>20062</v>
      </c>
    </row>
    <row r="152" spans="1:65">
      <c r="A152">
        <v>52120</v>
      </c>
      <c r="B152" t="s">
        <v>346</v>
      </c>
      <c r="C152" t="s">
        <v>324</v>
      </c>
      <c r="D152" t="s">
        <v>1796</v>
      </c>
      <c r="F152" s="503">
        <v>43774</v>
      </c>
      <c r="H152" t="s">
        <v>348</v>
      </c>
      <c r="I152" t="s">
        <v>1753</v>
      </c>
      <c r="J152">
        <v>4000</v>
      </c>
      <c r="K152" t="s">
        <v>1675</v>
      </c>
      <c r="O152" t="s">
        <v>2300</v>
      </c>
      <c r="W152">
        <v>0.72</v>
      </c>
      <c r="X152">
        <v>0.91</v>
      </c>
      <c r="Y152">
        <v>0</v>
      </c>
      <c r="Z152">
        <v>0</v>
      </c>
      <c r="AA152">
        <v>0</v>
      </c>
      <c r="AE152" t="s">
        <v>1221</v>
      </c>
      <c r="AI152">
        <v>18</v>
      </c>
      <c r="AJ152">
        <v>1000260</v>
      </c>
      <c r="AK152">
        <v>0</v>
      </c>
      <c r="AN152" t="s">
        <v>133</v>
      </c>
      <c r="AO152">
        <v>2.6</v>
      </c>
      <c r="AX152">
        <v>20191105</v>
      </c>
      <c r="AY152" t="s">
        <v>1800</v>
      </c>
      <c r="AZ152" t="s">
        <v>1792</v>
      </c>
      <c r="BA152" t="s">
        <v>1787</v>
      </c>
      <c r="BG152" s="556" t="str">
        <f t="shared" si="14"/>
        <v>O</v>
      </c>
      <c r="BH152" s="556" t="str">
        <f t="shared" si="15"/>
        <v>Y</v>
      </c>
      <c r="BI152" s="556" t="str">
        <f t="shared" si="16"/>
        <v/>
      </c>
      <c r="BJ152" s="556" t="str">
        <f t="shared" si="17"/>
        <v>M3</v>
      </c>
      <c r="BK152" s="556" t="str">
        <f t="shared" si="18"/>
        <v>S6</v>
      </c>
      <c r="BL152" s="556" t="str">
        <f t="shared" si="19"/>
        <v/>
      </c>
      <c r="BM152" s="497">
        <f t="shared" si="20"/>
        <v>52120</v>
      </c>
    </row>
    <row r="153" spans="1:65">
      <c r="A153">
        <v>55002</v>
      </c>
      <c r="B153" t="s">
        <v>2365</v>
      </c>
      <c r="C153" t="s">
        <v>2378</v>
      </c>
      <c r="D153" t="s">
        <v>2375</v>
      </c>
      <c r="F153" s="503">
        <v>44998</v>
      </c>
      <c r="H153" t="s">
        <v>2379</v>
      </c>
      <c r="I153" t="s">
        <v>1753</v>
      </c>
      <c r="J153">
        <v>5000</v>
      </c>
      <c r="K153" t="s">
        <v>1675</v>
      </c>
      <c r="O153" t="s">
        <v>1675</v>
      </c>
      <c r="W153">
        <v>0.81</v>
      </c>
      <c r="X153">
        <v>0.81</v>
      </c>
      <c r="Y153">
        <v>0</v>
      </c>
      <c r="Z153">
        <v>0</v>
      </c>
      <c r="AA153">
        <v>0</v>
      </c>
      <c r="AE153" t="s">
        <v>2708</v>
      </c>
      <c r="AI153">
        <v>57</v>
      </c>
      <c r="AJ153">
        <v>1000260</v>
      </c>
      <c r="AK153">
        <v>0</v>
      </c>
      <c r="AL153">
        <v>0</v>
      </c>
      <c r="AN153" t="s">
        <v>133</v>
      </c>
      <c r="AO153">
        <v>2.6</v>
      </c>
      <c r="AX153">
        <v>20230313</v>
      </c>
      <c r="AY153" t="s">
        <v>1780</v>
      </c>
      <c r="BG153" s="556" t="str">
        <f t="shared" si="14"/>
        <v>O</v>
      </c>
      <c r="BH153" s="556" t="str">
        <f t="shared" si="15"/>
        <v/>
      </c>
      <c r="BI153" s="556" t="str">
        <f t="shared" si="16"/>
        <v/>
      </c>
      <c r="BJ153" s="556" t="str">
        <f t="shared" si="17"/>
        <v>M3</v>
      </c>
      <c r="BK153" s="556" t="str">
        <f t="shared" si="18"/>
        <v>M3</v>
      </c>
      <c r="BL153" s="556" t="str">
        <f t="shared" si="19"/>
        <v/>
      </c>
      <c r="BM153" s="497">
        <f t="shared" si="20"/>
        <v>55002</v>
      </c>
    </row>
    <row r="154" spans="1:65">
      <c r="A154">
        <v>55701</v>
      </c>
      <c r="B154" t="s">
        <v>2603</v>
      </c>
      <c r="C154" t="s">
        <v>220</v>
      </c>
      <c r="D154" t="s">
        <v>2604</v>
      </c>
      <c r="F154" s="503">
        <v>45063</v>
      </c>
      <c r="H154" t="s">
        <v>2605</v>
      </c>
      <c r="I154" t="s">
        <v>1753</v>
      </c>
      <c r="J154">
        <v>5000</v>
      </c>
      <c r="K154" t="s">
        <v>1675</v>
      </c>
      <c r="O154" t="s">
        <v>1675</v>
      </c>
      <c r="W154">
        <v>0.7</v>
      </c>
      <c r="X154">
        <v>0.74</v>
      </c>
      <c r="Y154">
        <v>0</v>
      </c>
      <c r="Z154">
        <v>0</v>
      </c>
      <c r="AA154">
        <v>0</v>
      </c>
      <c r="AE154" t="s">
        <v>3030</v>
      </c>
      <c r="AI154">
        <v>57</v>
      </c>
      <c r="AJ154">
        <v>1000260</v>
      </c>
      <c r="AK154">
        <v>0</v>
      </c>
      <c r="AL154">
        <v>0</v>
      </c>
      <c r="AN154" t="s">
        <v>133</v>
      </c>
      <c r="AO154">
        <v>2.6</v>
      </c>
      <c r="AX154">
        <v>20230517</v>
      </c>
      <c r="AY154" t="s">
        <v>1780</v>
      </c>
      <c r="BG154" s="556" t="str">
        <f t="shared" si="14"/>
        <v>O</v>
      </c>
      <c r="BH154" s="556" t="str">
        <f t="shared" si="15"/>
        <v/>
      </c>
      <c r="BI154" s="556" t="str">
        <f t="shared" si="16"/>
        <v/>
      </c>
      <c r="BJ154" s="556" t="str">
        <f t="shared" si="17"/>
        <v>M3</v>
      </c>
      <c r="BK154" s="556" t="str">
        <f t="shared" si="18"/>
        <v>M3</v>
      </c>
      <c r="BL154" s="556" t="str">
        <f t="shared" si="19"/>
        <v/>
      </c>
      <c r="BM154" s="497">
        <f t="shared" si="20"/>
        <v>55701</v>
      </c>
    </row>
    <row r="155" spans="1:65">
      <c r="A155">
        <v>40012</v>
      </c>
      <c r="B155" t="s">
        <v>252</v>
      </c>
      <c r="C155" t="s">
        <v>201</v>
      </c>
      <c r="D155" t="s">
        <v>1803</v>
      </c>
      <c r="F155" s="503">
        <v>43733</v>
      </c>
      <c r="H155" t="s">
        <v>348</v>
      </c>
      <c r="I155" t="s">
        <v>1753</v>
      </c>
      <c r="J155">
        <v>5000</v>
      </c>
      <c r="K155" t="s">
        <v>1675</v>
      </c>
      <c r="O155" t="s">
        <v>1675</v>
      </c>
      <c r="W155">
        <v>0.67</v>
      </c>
      <c r="X155">
        <v>0.67</v>
      </c>
      <c r="Y155">
        <v>0</v>
      </c>
      <c r="Z155">
        <v>0</v>
      </c>
      <c r="AA155">
        <v>1</v>
      </c>
      <c r="AE155">
        <v>102</v>
      </c>
      <c r="AI155">
        <v>60</v>
      </c>
      <c r="AJ155">
        <v>1000246</v>
      </c>
      <c r="AK155">
        <v>0</v>
      </c>
      <c r="AN155" t="s">
        <v>133</v>
      </c>
      <c r="AO155">
        <v>2.46</v>
      </c>
      <c r="AT155" t="s">
        <v>1838</v>
      </c>
      <c r="AX155">
        <v>20190925</v>
      </c>
      <c r="AY155" t="s">
        <v>1754</v>
      </c>
      <c r="BG155" s="556" t="str">
        <f t="shared" si="14"/>
        <v>O</v>
      </c>
      <c r="BH155" s="556" t="str">
        <f t="shared" si="15"/>
        <v/>
      </c>
      <c r="BI155" s="556" t="str">
        <f t="shared" si="16"/>
        <v/>
      </c>
      <c r="BJ155" s="556" t="str">
        <f t="shared" si="17"/>
        <v>M3</v>
      </c>
      <c r="BK155" s="556" t="str">
        <f t="shared" si="18"/>
        <v>M3</v>
      </c>
      <c r="BL155" s="556" t="str">
        <f t="shared" si="19"/>
        <v/>
      </c>
      <c r="BM155" s="497">
        <f t="shared" si="20"/>
        <v>40012</v>
      </c>
    </row>
    <row r="156" spans="1:65">
      <c r="A156">
        <v>40015</v>
      </c>
      <c r="B156" t="s">
        <v>536</v>
      </c>
      <c r="C156" t="s">
        <v>201</v>
      </c>
      <c r="D156" t="s">
        <v>1803</v>
      </c>
      <c r="F156" s="503">
        <v>43792</v>
      </c>
      <c r="H156" t="s">
        <v>348</v>
      </c>
      <c r="I156" t="s">
        <v>1753</v>
      </c>
      <c r="J156">
        <v>5000</v>
      </c>
      <c r="K156" t="s">
        <v>1675</v>
      </c>
      <c r="O156" t="s">
        <v>1675</v>
      </c>
      <c r="W156">
        <v>0.64</v>
      </c>
      <c r="X156">
        <v>0.7</v>
      </c>
      <c r="Y156">
        <v>0</v>
      </c>
      <c r="Z156">
        <v>0</v>
      </c>
      <c r="AA156">
        <v>2</v>
      </c>
      <c r="AE156">
        <v>101</v>
      </c>
      <c r="AI156">
        <v>60</v>
      </c>
      <c r="AJ156">
        <v>1850246</v>
      </c>
      <c r="AK156">
        <v>0</v>
      </c>
      <c r="AN156" t="s">
        <v>1703</v>
      </c>
      <c r="AO156">
        <v>2.46</v>
      </c>
      <c r="AT156" t="s">
        <v>1859</v>
      </c>
      <c r="AX156">
        <v>20191123</v>
      </c>
      <c r="AY156" t="s">
        <v>1754</v>
      </c>
      <c r="BG156" s="556" t="str">
        <f t="shared" si="14"/>
        <v>O</v>
      </c>
      <c r="BH156" s="556" t="str">
        <f t="shared" si="15"/>
        <v/>
      </c>
      <c r="BI156" s="556" t="str">
        <f t="shared" si="16"/>
        <v/>
      </c>
      <c r="BJ156" s="556" t="str">
        <f t="shared" si="17"/>
        <v>M3</v>
      </c>
      <c r="BK156" s="556" t="str">
        <f t="shared" si="18"/>
        <v>M3</v>
      </c>
      <c r="BL156" s="556" t="str">
        <f t="shared" si="19"/>
        <v/>
      </c>
      <c r="BM156" s="497">
        <f t="shared" si="20"/>
        <v>40015</v>
      </c>
    </row>
    <row r="157" spans="1:65">
      <c r="A157">
        <v>45011</v>
      </c>
      <c r="B157" t="s">
        <v>3304</v>
      </c>
      <c r="C157" t="s">
        <v>201</v>
      </c>
      <c r="D157" t="s">
        <v>3305</v>
      </c>
      <c r="F157" s="503">
        <v>45990</v>
      </c>
      <c r="H157" t="s">
        <v>348</v>
      </c>
      <c r="I157" t="s">
        <v>1753</v>
      </c>
      <c r="J157">
        <v>0</v>
      </c>
      <c r="K157" t="s">
        <v>1675</v>
      </c>
      <c r="O157" t="s">
        <v>1675</v>
      </c>
      <c r="W157">
        <v>0.62</v>
      </c>
      <c r="X157">
        <v>0.62</v>
      </c>
      <c r="Y157">
        <v>0</v>
      </c>
      <c r="Z157">
        <v>0</v>
      </c>
      <c r="AA157">
        <v>2</v>
      </c>
      <c r="AE157" t="s">
        <v>1039</v>
      </c>
      <c r="AI157">
        <v>60</v>
      </c>
      <c r="AJ157">
        <v>1850246</v>
      </c>
      <c r="AK157">
        <v>0</v>
      </c>
      <c r="AL157">
        <v>0</v>
      </c>
      <c r="AN157" t="s">
        <v>1703</v>
      </c>
      <c r="AO157">
        <v>2.46</v>
      </c>
      <c r="AX157">
        <v>20251129</v>
      </c>
      <c r="AY157" t="s">
        <v>1754</v>
      </c>
      <c r="BG157" s="556" t="str">
        <f t="shared" si="14"/>
        <v>O</v>
      </c>
      <c r="BH157" s="556" t="str">
        <f t="shared" si="15"/>
        <v/>
      </c>
      <c r="BI157" s="556" t="str">
        <f t="shared" si="16"/>
        <v/>
      </c>
      <c r="BJ157" s="556" t="str">
        <f t="shared" si="17"/>
        <v>M3</v>
      </c>
      <c r="BK157" s="556" t="str">
        <f t="shared" si="18"/>
        <v>M3</v>
      </c>
      <c r="BL157" s="556" t="str">
        <f t="shared" si="19"/>
        <v/>
      </c>
      <c r="BM157" s="497">
        <f t="shared" si="20"/>
        <v>45011</v>
      </c>
    </row>
    <row r="158" spans="1:65">
      <c r="A158">
        <v>55009</v>
      </c>
      <c r="B158" t="s">
        <v>2366</v>
      </c>
      <c r="C158" t="s">
        <v>2421</v>
      </c>
      <c r="D158" t="s">
        <v>2375</v>
      </c>
      <c r="F158" s="503">
        <v>44999</v>
      </c>
      <c r="H158" t="s">
        <v>253</v>
      </c>
      <c r="I158" t="s">
        <v>1753</v>
      </c>
      <c r="J158">
        <v>5000</v>
      </c>
      <c r="K158" t="s">
        <v>1675</v>
      </c>
      <c r="O158" t="s">
        <v>1675</v>
      </c>
      <c r="W158">
        <v>0.59</v>
      </c>
      <c r="X158">
        <v>0.59</v>
      </c>
      <c r="Y158">
        <v>0</v>
      </c>
      <c r="Z158">
        <v>0</v>
      </c>
      <c r="AA158" t="s">
        <v>2380</v>
      </c>
      <c r="AE158" t="s">
        <v>2698</v>
      </c>
      <c r="AI158">
        <v>60</v>
      </c>
      <c r="AJ158">
        <v>2200220</v>
      </c>
      <c r="AK158">
        <v>0</v>
      </c>
      <c r="AL158">
        <v>0</v>
      </c>
      <c r="AN158" t="s">
        <v>2345</v>
      </c>
      <c r="AO158">
        <v>2.2000000000000002</v>
      </c>
      <c r="AX158">
        <v>20230314</v>
      </c>
      <c r="AY158" t="s">
        <v>1754</v>
      </c>
      <c r="BG158" s="556" t="str">
        <f t="shared" si="14"/>
        <v>O</v>
      </c>
      <c r="BH158" s="556" t="str">
        <f t="shared" si="15"/>
        <v/>
      </c>
      <c r="BI158" s="556" t="str">
        <f t="shared" si="16"/>
        <v/>
      </c>
      <c r="BJ158" s="556" t="str">
        <f t="shared" si="17"/>
        <v>M3</v>
      </c>
      <c r="BK158" s="556" t="str">
        <f t="shared" si="18"/>
        <v>M3</v>
      </c>
      <c r="BL158" s="556" t="str">
        <f t="shared" si="19"/>
        <v/>
      </c>
      <c r="BM158" s="497">
        <f t="shared" si="20"/>
        <v>55009</v>
      </c>
    </row>
    <row r="159" spans="1:65">
      <c r="A159">
        <v>53108</v>
      </c>
      <c r="B159" t="s">
        <v>1690</v>
      </c>
      <c r="C159" t="s">
        <v>167</v>
      </c>
      <c r="D159" t="s">
        <v>1819</v>
      </c>
      <c r="F159" s="503">
        <v>44414</v>
      </c>
      <c r="H159" t="s">
        <v>348</v>
      </c>
      <c r="I159" t="s">
        <v>1753</v>
      </c>
      <c r="J159">
        <v>5000</v>
      </c>
      <c r="K159" t="s">
        <v>1675</v>
      </c>
      <c r="O159" t="s">
        <v>1675</v>
      </c>
      <c r="W159">
        <v>0.65</v>
      </c>
      <c r="X159">
        <v>0.64</v>
      </c>
      <c r="Y159">
        <v>0</v>
      </c>
      <c r="Z159">
        <v>0</v>
      </c>
      <c r="AA159">
        <v>2</v>
      </c>
      <c r="AE159" t="s">
        <v>1039</v>
      </c>
      <c r="AI159">
        <v>60</v>
      </c>
      <c r="AJ159">
        <v>1850246</v>
      </c>
      <c r="AK159">
        <v>0</v>
      </c>
      <c r="AL159">
        <v>0</v>
      </c>
      <c r="AN159" t="s">
        <v>1703</v>
      </c>
      <c r="AO159">
        <v>2.46</v>
      </c>
      <c r="AX159">
        <v>20210806</v>
      </c>
      <c r="AY159" t="s">
        <v>1754</v>
      </c>
      <c r="BG159" s="556" t="str">
        <f t="shared" si="14"/>
        <v>O</v>
      </c>
      <c r="BH159" s="556" t="str">
        <f t="shared" si="15"/>
        <v/>
      </c>
      <c r="BI159" s="556" t="str">
        <f t="shared" si="16"/>
        <v/>
      </c>
      <c r="BJ159" s="556" t="str">
        <f t="shared" si="17"/>
        <v>M3</v>
      </c>
      <c r="BK159" s="556" t="str">
        <f t="shared" si="18"/>
        <v>M3</v>
      </c>
      <c r="BL159" s="556" t="str">
        <f t="shared" si="19"/>
        <v/>
      </c>
      <c r="BM159" s="497">
        <f t="shared" si="20"/>
        <v>53108</v>
      </c>
    </row>
    <row r="160" spans="1:65">
      <c r="A160">
        <v>55703</v>
      </c>
      <c r="B160" t="s">
        <v>3039</v>
      </c>
      <c r="C160" t="s">
        <v>1941</v>
      </c>
      <c r="D160" t="s">
        <v>2604</v>
      </c>
      <c r="F160" s="503">
        <v>45670</v>
      </c>
      <c r="H160" t="s">
        <v>2379</v>
      </c>
      <c r="I160" t="s">
        <v>1753</v>
      </c>
      <c r="J160">
        <v>0</v>
      </c>
      <c r="K160" t="s">
        <v>1675</v>
      </c>
      <c r="O160" t="s">
        <v>1675</v>
      </c>
      <c r="W160">
        <v>0.67</v>
      </c>
      <c r="X160">
        <v>0.67</v>
      </c>
      <c r="Y160">
        <v>0</v>
      </c>
      <c r="Z160">
        <v>0</v>
      </c>
      <c r="AA160">
        <v>2</v>
      </c>
      <c r="AE160" t="s">
        <v>1039</v>
      </c>
      <c r="AI160">
        <v>60</v>
      </c>
      <c r="AJ160">
        <v>1850260</v>
      </c>
      <c r="AK160">
        <v>0</v>
      </c>
      <c r="AL160">
        <v>0</v>
      </c>
      <c r="AN160" t="s">
        <v>1703</v>
      </c>
      <c r="AO160">
        <v>2.6</v>
      </c>
      <c r="AX160">
        <v>20250113</v>
      </c>
      <c r="AY160" t="s">
        <v>1754</v>
      </c>
      <c r="BG160" s="556" t="str">
        <f t="shared" si="14"/>
        <v>O</v>
      </c>
      <c r="BH160" s="556" t="str">
        <f t="shared" si="15"/>
        <v/>
      </c>
      <c r="BI160" s="556" t="str">
        <f t="shared" si="16"/>
        <v/>
      </c>
      <c r="BJ160" s="556" t="str">
        <f t="shared" si="17"/>
        <v>M3</v>
      </c>
      <c r="BK160" s="556" t="str">
        <f t="shared" si="18"/>
        <v>M3</v>
      </c>
      <c r="BL160" s="556" t="str">
        <f t="shared" si="19"/>
        <v/>
      </c>
      <c r="BM160" s="497">
        <f t="shared" si="20"/>
        <v>55703</v>
      </c>
    </row>
    <row r="161" spans="1:65">
      <c r="A161">
        <v>51816</v>
      </c>
      <c r="B161" t="s">
        <v>559</v>
      </c>
      <c r="C161" t="s">
        <v>561</v>
      </c>
      <c r="D161" t="s">
        <v>1772</v>
      </c>
      <c r="F161" s="503">
        <v>43965</v>
      </c>
      <c r="H161" t="s">
        <v>352</v>
      </c>
      <c r="I161" t="s">
        <v>1753</v>
      </c>
      <c r="J161">
        <v>0</v>
      </c>
      <c r="K161" t="s">
        <v>1675</v>
      </c>
      <c r="O161" t="s">
        <v>1675</v>
      </c>
      <c r="W161">
        <v>0.8</v>
      </c>
      <c r="X161">
        <v>0.83</v>
      </c>
      <c r="Y161">
        <v>0</v>
      </c>
      <c r="Z161">
        <v>0</v>
      </c>
      <c r="AA161">
        <v>2</v>
      </c>
      <c r="AE161" t="s">
        <v>1039</v>
      </c>
      <c r="AI161">
        <v>60</v>
      </c>
      <c r="AJ161">
        <v>1850246</v>
      </c>
      <c r="AK161">
        <v>0</v>
      </c>
      <c r="AN161" t="s">
        <v>1703</v>
      </c>
      <c r="AO161">
        <v>2.46</v>
      </c>
      <c r="AX161">
        <v>20200514</v>
      </c>
      <c r="AY161" t="s">
        <v>1754</v>
      </c>
      <c r="BG161" s="556" t="str">
        <f t="shared" si="14"/>
        <v>O</v>
      </c>
      <c r="BH161" s="556" t="str">
        <f t="shared" si="15"/>
        <v/>
      </c>
      <c r="BI161" s="556" t="str">
        <f t="shared" si="16"/>
        <v/>
      </c>
      <c r="BJ161" s="556" t="str">
        <f t="shared" si="17"/>
        <v>M3</v>
      </c>
      <c r="BK161" s="556" t="str">
        <f t="shared" si="18"/>
        <v>M3</v>
      </c>
      <c r="BL161" s="556" t="str">
        <f t="shared" si="19"/>
        <v/>
      </c>
      <c r="BM161" s="497">
        <f t="shared" si="20"/>
        <v>51816</v>
      </c>
    </row>
    <row r="162" spans="1:65">
      <c r="A162">
        <v>52121</v>
      </c>
      <c r="B162" t="s">
        <v>350</v>
      </c>
      <c r="C162" t="s">
        <v>324</v>
      </c>
      <c r="D162" t="s">
        <v>1796</v>
      </c>
      <c r="F162" s="503">
        <v>43774</v>
      </c>
      <c r="H162" t="s">
        <v>352</v>
      </c>
      <c r="I162" t="s">
        <v>1753</v>
      </c>
      <c r="J162">
        <v>4000</v>
      </c>
      <c r="K162" t="s">
        <v>1675</v>
      </c>
      <c r="O162" t="s">
        <v>2300</v>
      </c>
      <c r="W162">
        <v>0.78</v>
      </c>
      <c r="X162">
        <v>0.95</v>
      </c>
      <c r="Y162">
        <v>0</v>
      </c>
      <c r="Z162">
        <v>0</v>
      </c>
      <c r="AA162">
        <v>0</v>
      </c>
      <c r="AE162" t="s">
        <v>1221</v>
      </c>
      <c r="AI162">
        <v>18</v>
      </c>
      <c r="AJ162">
        <v>1000260</v>
      </c>
      <c r="AK162">
        <v>0</v>
      </c>
      <c r="AL162">
        <v>0</v>
      </c>
      <c r="AN162" t="s">
        <v>133</v>
      </c>
      <c r="AO162">
        <v>2.6</v>
      </c>
      <c r="AX162">
        <v>20191105</v>
      </c>
      <c r="AY162" t="s">
        <v>1800</v>
      </c>
      <c r="AZ162" t="s">
        <v>1792</v>
      </c>
      <c r="BA162" t="s">
        <v>1787</v>
      </c>
      <c r="BG162" s="556" t="str">
        <f t="shared" si="14"/>
        <v>O</v>
      </c>
      <c r="BH162" s="556" t="str">
        <f t="shared" si="15"/>
        <v>Y</v>
      </c>
      <c r="BI162" s="556" t="str">
        <f t="shared" si="16"/>
        <v/>
      </c>
      <c r="BJ162" s="556" t="str">
        <f t="shared" si="17"/>
        <v>M3</v>
      </c>
      <c r="BK162" s="556" t="str">
        <f t="shared" si="18"/>
        <v>S6</v>
      </c>
      <c r="BL162" s="556" t="str">
        <f t="shared" si="19"/>
        <v/>
      </c>
      <c r="BM162" s="497">
        <f t="shared" si="20"/>
        <v>52121</v>
      </c>
    </row>
    <row r="163" spans="1:65">
      <c r="A163">
        <v>50308</v>
      </c>
      <c r="B163" t="s">
        <v>1473</v>
      </c>
      <c r="C163" t="s">
        <v>1474</v>
      </c>
      <c r="D163" t="s">
        <v>1799</v>
      </c>
      <c r="F163" s="503">
        <v>44077</v>
      </c>
      <c r="H163" t="s">
        <v>352</v>
      </c>
      <c r="I163" t="s">
        <v>1753</v>
      </c>
      <c r="J163">
        <v>4000</v>
      </c>
      <c r="K163" t="s">
        <v>1675</v>
      </c>
      <c r="O163" t="s">
        <v>2300</v>
      </c>
      <c r="W163">
        <v>0.7</v>
      </c>
      <c r="X163">
        <v>0.97</v>
      </c>
      <c r="Y163">
        <v>0</v>
      </c>
      <c r="Z163">
        <v>0</v>
      </c>
      <c r="AA163">
        <v>0</v>
      </c>
      <c r="AE163" t="s">
        <v>1039</v>
      </c>
      <c r="AI163">
        <v>82</v>
      </c>
      <c r="AJ163">
        <v>1000246</v>
      </c>
      <c r="AK163">
        <v>0</v>
      </c>
      <c r="AL163">
        <v>0</v>
      </c>
      <c r="AN163" t="s">
        <v>133</v>
      </c>
      <c r="AO163">
        <v>2.46</v>
      </c>
      <c r="AX163">
        <v>20200903</v>
      </c>
      <c r="AY163" t="s">
        <v>1800</v>
      </c>
      <c r="AZ163" t="s">
        <v>1781</v>
      </c>
      <c r="BA163" t="s">
        <v>1787</v>
      </c>
      <c r="BG163" s="556" t="str">
        <f t="shared" si="14"/>
        <v>O</v>
      </c>
      <c r="BH163" s="556" t="str">
        <f t="shared" si="15"/>
        <v>Y</v>
      </c>
      <c r="BI163" s="556" t="str">
        <f t="shared" si="16"/>
        <v/>
      </c>
      <c r="BJ163" s="556" t="str">
        <f t="shared" si="17"/>
        <v>M3</v>
      </c>
      <c r="BK163" s="556" t="str">
        <f t="shared" si="18"/>
        <v>S6</v>
      </c>
      <c r="BL163" s="556" t="str">
        <f t="shared" si="19"/>
        <v/>
      </c>
      <c r="BM163" s="497">
        <f t="shared" si="20"/>
        <v>50308</v>
      </c>
    </row>
    <row r="164" spans="1:65">
      <c r="A164">
        <v>40227</v>
      </c>
      <c r="B164" t="s">
        <v>3074</v>
      </c>
      <c r="C164" t="s">
        <v>46</v>
      </c>
      <c r="D164" t="s">
        <v>1771</v>
      </c>
      <c r="F164" s="503">
        <v>45740</v>
      </c>
      <c r="H164" t="s">
        <v>352</v>
      </c>
      <c r="I164" t="s">
        <v>1753</v>
      </c>
      <c r="J164">
        <v>5000</v>
      </c>
      <c r="K164" t="s">
        <v>1675</v>
      </c>
      <c r="O164" t="s">
        <v>1675</v>
      </c>
      <c r="W164">
        <v>0.68</v>
      </c>
      <c r="X164">
        <v>0.68</v>
      </c>
      <c r="Y164">
        <v>0</v>
      </c>
      <c r="Z164">
        <v>0</v>
      </c>
      <c r="AA164">
        <v>2</v>
      </c>
      <c r="AE164" t="s">
        <v>1773</v>
      </c>
      <c r="AI164">
        <v>60</v>
      </c>
      <c r="AJ164">
        <v>1850246</v>
      </c>
      <c r="AK164">
        <v>0</v>
      </c>
      <c r="AL164">
        <v>0</v>
      </c>
      <c r="AN164" t="s">
        <v>1703</v>
      </c>
      <c r="AO164">
        <v>2.46</v>
      </c>
      <c r="AX164">
        <v>20250324</v>
      </c>
      <c r="AY164" t="s">
        <v>1754</v>
      </c>
      <c r="BG164" s="556" t="str">
        <f t="shared" si="14"/>
        <v>O</v>
      </c>
      <c r="BH164" s="556" t="str">
        <f t="shared" si="15"/>
        <v/>
      </c>
      <c r="BI164" s="556" t="str">
        <f t="shared" si="16"/>
        <v/>
      </c>
      <c r="BJ164" s="556" t="str">
        <f t="shared" si="17"/>
        <v>M3</v>
      </c>
      <c r="BK164" s="556" t="str">
        <f t="shared" si="18"/>
        <v>M3</v>
      </c>
      <c r="BL164" s="556" t="str">
        <f t="shared" si="19"/>
        <v/>
      </c>
      <c r="BM164" s="497">
        <f t="shared" si="20"/>
        <v>40227</v>
      </c>
    </row>
    <row r="165" spans="1:65">
      <c r="A165">
        <v>40223</v>
      </c>
      <c r="B165" t="s">
        <v>2801</v>
      </c>
      <c r="C165" t="s">
        <v>46</v>
      </c>
      <c r="D165" t="s">
        <v>1771</v>
      </c>
      <c r="F165" s="503">
        <v>45426</v>
      </c>
      <c r="H165" t="s">
        <v>352</v>
      </c>
      <c r="I165" t="s">
        <v>1753</v>
      </c>
      <c r="J165">
        <v>5000</v>
      </c>
      <c r="K165" t="s">
        <v>1675</v>
      </c>
      <c r="O165" t="s">
        <v>1675</v>
      </c>
      <c r="W165">
        <v>0.68</v>
      </c>
      <c r="X165">
        <v>0.68</v>
      </c>
      <c r="Y165">
        <v>0</v>
      </c>
      <c r="Z165">
        <v>0</v>
      </c>
      <c r="AA165">
        <v>2</v>
      </c>
      <c r="AE165" t="s">
        <v>1039</v>
      </c>
      <c r="AI165">
        <v>60</v>
      </c>
      <c r="AJ165">
        <v>1850246</v>
      </c>
      <c r="AK165">
        <v>0</v>
      </c>
      <c r="AL165">
        <v>0</v>
      </c>
      <c r="AN165" t="s">
        <v>1703</v>
      </c>
      <c r="AO165">
        <v>2.46</v>
      </c>
      <c r="AX165">
        <v>20240514</v>
      </c>
      <c r="AY165" t="s">
        <v>1754</v>
      </c>
      <c r="BG165" s="556" t="str">
        <f t="shared" si="14"/>
        <v>O</v>
      </c>
      <c r="BH165" s="556" t="str">
        <f t="shared" si="15"/>
        <v/>
      </c>
      <c r="BI165" s="556" t="str">
        <f t="shared" si="16"/>
        <v/>
      </c>
      <c r="BJ165" s="556" t="str">
        <f t="shared" si="17"/>
        <v>M3</v>
      </c>
      <c r="BK165" s="556" t="str">
        <f t="shared" si="18"/>
        <v>M3</v>
      </c>
      <c r="BL165" s="556" t="str">
        <f t="shared" si="19"/>
        <v/>
      </c>
      <c r="BM165" s="497">
        <f t="shared" si="20"/>
        <v>40223</v>
      </c>
    </row>
    <row r="166" spans="1:65">
      <c r="A166">
        <v>51825</v>
      </c>
      <c r="B166" t="s">
        <v>562</v>
      </c>
      <c r="C166" t="s">
        <v>564</v>
      </c>
      <c r="D166" t="s">
        <v>1772</v>
      </c>
      <c r="F166" s="503">
        <v>43965</v>
      </c>
      <c r="H166" t="s">
        <v>565</v>
      </c>
      <c r="I166" t="s">
        <v>1753</v>
      </c>
      <c r="J166">
        <v>3000</v>
      </c>
      <c r="K166">
        <v>9</v>
      </c>
      <c r="O166" t="s">
        <v>1675</v>
      </c>
      <c r="W166">
        <v>1.48</v>
      </c>
      <c r="X166">
        <v>1.5</v>
      </c>
      <c r="Y166">
        <v>0</v>
      </c>
      <c r="Z166">
        <v>0</v>
      </c>
      <c r="AA166">
        <v>2</v>
      </c>
      <c r="AE166" t="s">
        <v>1039</v>
      </c>
      <c r="AI166">
        <v>60</v>
      </c>
      <c r="AJ166">
        <v>1850382</v>
      </c>
      <c r="AK166">
        <v>0</v>
      </c>
      <c r="AN166" t="s">
        <v>1704</v>
      </c>
      <c r="AO166">
        <v>3.82</v>
      </c>
      <c r="AX166">
        <v>20200514</v>
      </c>
      <c r="AY166" t="s">
        <v>1754</v>
      </c>
      <c r="BG166" s="556" t="str">
        <f t="shared" si="14"/>
        <v>O</v>
      </c>
      <c r="BH166" s="556" t="str">
        <f t="shared" si="15"/>
        <v/>
      </c>
      <c r="BI166" s="556" t="str">
        <f t="shared" si="16"/>
        <v/>
      </c>
      <c r="BJ166" s="556">
        <f t="shared" si="17"/>
        <v>9</v>
      </c>
      <c r="BK166" s="556" t="str">
        <f t="shared" si="18"/>
        <v>M3</v>
      </c>
      <c r="BL166" s="556" t="str">
        <f t="shared" si="19"/>
        <v/>
      </c>
      <c r="BM166" s="497">
        <f t="shared" si="20"/>
        <v>51825</v>
      </c>
    </row>
    <row r="167" spans="1:65">
      <c r="A167">
        <v>20063</v>
      </c>
      <c r="B167" t="s">
        <v>1394</v>
      </c>
      <c r="C167" t="s">
        <v>1395</v>
      </c>
      <c r="D167" t="s">
        <v>1774</v>
      </c>
      <c r="F167" s="503">
        <v>44065</v>
      </c>
      <c r="H167" t="s">
        <v>1860</v>
      </c>
      <c r="I167" t="s">
        <v>1753</v>
      </c>
      <c r="J167">
        <v>4000</v>
      </c>
      <c r="K167" t="s">
        <v>1068</v>
      </c>
      <c r="O167" t="s">
        <v>1675</v>
      </c>
      <c r="W167">
        <v>0.99</v>
      </c>
      <c r="X167">
        <v>0.96</v>
      </c>
      <c r="Y167">
        <v>0</v>
      </c>
      <c r="Z167">
        <v>0</v>
      </c>
      <c r="AA167">
        <v>0</v>
      </c>
      <c r="AE167" t="s">
        <v>1761</v>
      </c>
      <c r="AI167">
        <v>57</v>
      </c>
      <c r="AJ167">
        <v>3020246</v>
      </c>
      <c r="AK167">
        <v>0</v>
      </c>
      <c r="AN167" t="s">
        <v>135</v>
      </c>
      <c r="AO167">
        <v>2.46</v>
      </c>
      <c r="AX167">
        <v>20200822</v>
      </c>
      <c r="AY167" t="s">
        <v>1780</v>
      </c>
      <c r="BG167" s="556" t="str">
        <f t="shared" si="14"/>
        <v>O</v>
      </c>
      <c r="BH167" s="556" t="str">
        <f t="shared" si="15"/>
        <v/>
      </c>
      <c r="BI167" s="556" t="str">
        <f t="shared" si="16"/>
        <v/>
      </c>
      <c r="BJ167" s="556" t="str">
        <f t="shared" si="17"/>
        <v>M4</v>
      </c>
      <c r="BK167" s="556" t="str">
        <f t="shared" si="18"/>
        <v>M3</v>
      </c>
      <c r="BL167" s="556" t="str">
        <f t="shared" si="19"/>
        <v/>
      </c>
      <c r="BM167" s="497">
        <f t="shared" si="20"/>
        <v>20063</v>
      </c>
    </row>
    <row r="168" spans="1:65">
      <c r="A168">
        <v>53903</v>
      </c>
      <c r="B168" t="s">
        <v>3415</v>
      </c>
      <c r="C168" t="s">
        <v>3418</v>
      </c>
      <c r="D168" t="s">
        <v>3419</v>
      </c>
      <c r="F168" s="503">
        <v>46044</v>
      </c>
      <c r="H168" t="s">
        <v>3421</v>
      </c>
      <c r="I168" t="s">
        <v>1753</v>
      </c>
      <c r="J168">
        <v>0</v>
      </c>
      <c r="K168" t="s">
        <v>1681</v>
      </c>
      <c r="W168">
        <v>0.88</v>
      </c>
      <c r="X168">
        <v>0.88</v>
      </c>
      <c r="Y168">
        <v>0</v>
      </c>
      <c r="Z168">
        <v>0</v>
      </c>
      <c r="AA168">
        <v>205</v>
      </c>
      <c r="AE168" t="s">
        <v>1039</v>
      </c>
      <c r="AI168">
        <v>85</v>
      </c>
      <c r="AJ168">
        <v>1850295</v>
      </c>
      <c r="AK168">
        <v>0</v>
      </c>
      <c r="AL168">
        <v>0</v>
      </c>
      <c r="AN168" t="s">
        <v>1703</v>
      </c>
      <c r="AO168">
        <v>2.95</v>
      </c>
      <c r="AX168">
        <v>20260122</v>
      </c>
      <c r="AY168" t="s">
        <v>1828</v>
      </c>
      <c r="BG168" s="556" t="str">
        <f t="shared" si="14"/>
        <v>O</v>
      </c>
      <c r="BH168" s="556" t="str">
        <f t="shared" si="15"/>
        <v/>
      </c>
      <c r="BI168" s="556" t="str">
        <f t="shared" si="16"/>
        <v/>
      </c>
      <c r="BJ168" s="556" t="str">
        <f t="shared" si="17"/>
        <v>6S</v>
      </c>
      <c r="BK168" s="556">
        <f t="shared" si="18"/>
        <v>0</v>
      </c>
      <c r="BL168" s="556" t="str">
        <f t="shared" si="19"/>
        <v/>
      </c>
      <c r="BM168" s="497">
        <f t="shared" si="20"/>
        <v>53903</v>
      </c>
    </row>
    <row r="169" spans="1:65">
      <c r="A169">
        <v>51814</v>
      </c>
      <c r="B169" t="s">
        <v>566</v>
      </c>
      <c r="C169" t="s">
        <v>568</v>
      </c>
      <c r="D169" t="s">
        <v>1772</v>
      </c>
      <c r="F169" s="503">
        <v>43965</v>
      </c>
      <c r="H169" t="s">
        <v>569</v>
      </c>
      <c r="I169" t="s">
        <v>1753</v>
      </c>
      <c r="J169">
        <v>15000</v>
      </c>
      <c r="K169" t="s">
        <v>1675</v>
      </c>
      <c r="O169" t="s">
        <v>1675</v>
      </c>
      <c r="W169">
        <v>0.69</v>
      </c>
      <c r="X169">
        <v>0.68</v>
      </c>
      <c r="Y169">
        <v>0</v>
      </c>
      <c r="Z169">
        <v>0</v>
      </c>
      <c r="AA169">
        <v>2</v>
      </c>
      <c r="AE169" t="s">
        <v>1039</v>
      </c>
      <c r="AI169">
        <v>60</v>
      </c>
      <c r="AJ169">
        <v>1850246</v>
      </c>
      <c r="AK169">
        <v>0</v>
      </c>
      <c r="AL169">
        <v>0</v>
      </c>
      <c r="AN169" t="s">
        <v>1703</v>
      </c>
      <c r="AO169">
        <v>2.46</v>
      </c>
      <c r="AX169">
        <v>20200514</v>
      </c>
      <c r="AY169" t="s">
        <v>1754</v>
      </c>
      <c r="BG169" s="556" t="str">
        <f t="shared" si="14"/>
        <v>O</v>
      </c>
      <c r="BH169" s="556" t="str">
        <f t="shared" si="15"/>
        <v/>
      </c>
      <c r="BI169" s="556" t="str">
        <f t="shared" si="16"/>
        <v/>
      </c>
      <c r="BJ169" s="556" t="str">
        <f t="shared" si="17"/>
        <v>M3</v>
      </c>
      <c r="BK169" s="556" t="str">
        <f t="shared" si="18"/>
        <v>M3</v>
      </c>
      <c r="BL169" s="556" t="str">
        <f t="shared" si="19"/>
        <v/>
      </c>
      <c r="BM169" s="497">
        <f t="shared" si="20"/>
        <v>51814</v>
      </c>
    </row>
    <row r="170" spans="1:65">
      <c r="A170">
        <v>51832</v>
      </c>
      <c r="B170" t="s">
        <v>3276</v>
      </c>
      <c r="C170" t="s">
        <v>201</v>
      </c>
      <c r="D170" t="s">
        <v>1772</v>
      </c>
      <c r="F170" s="503">
        <v>44655</v>
      </c>
      <c r="H170" t="s">
        <v>1861</v>
      </c>
      <c r="I170" t="s">
        <v>1753</v>
      </c>
      <c r="J170">
        <v>10000</v>
      </c>
      <c r="K170" t="s">
        <v>1675</v>
      </c>
      <c r="O170" t="s">
        <v>1675</v>
      </c>
      <c r="W170">
        <v>0.87</v>
      </c>
      <c r="X170">
        <v>0.89</v>
      </c>
      <c r="Y170">
        <v>0</v>
      </c>
      <c r="Z170">
        <v>0</v>
      </c>
      <c r="AA170">
        <v>2</v>
      </c>
      <c r="AE170" t="s">
        <v>1039</v>
      </c>
      <c r="AI170">
        <v>60</v>
      </c>
      <c r="AJ170">
        <v>1850246</v>
      </c>
      <c r="AK170">
        <v>0</v>
      </c>
      <c r="AN170" t="s">
        <v>1703</v>
      </c>
      <c r="AO170">
        <v>2.46</v>
      </c>
      <c r="AX170">
        <v>20220404</v>
      </c>
      <c r="AY170" t="s">
        <v>1754</v>
      </c>
      <c r="BG170" s="556" t="str">
        <f t="shared" si="14"/>
        <v>O</v>
      </c>
      <c r="BH170" s="556" t="str">
        <f t="shared" si="15"/>
        <v/>
      </c>
      <c r="BI170" s="556" t="str">
        <f t="shared" si="16"/>
        <v/>
      </c>
      <c r="BJ170" s="556" t="str">
        <f t="shared" si="17"/>
        <v>M3</v>
      </c>
      <c r="BK170" s="556" t="str">
        <f t="shared" si="18"/>
        <v>M3</v>
      </c>
      <c r="BL170" s="556" t="str">
        <f t="shared" si="19"/>
        <v/>
      </c>
      <c r="BM170" s="497">
        <f t="shared" si="20"/>
        <v>51832</v>
      </c>
    </row>
    <row r="171" spans="1:65">
      <c r="A171">
        <v>40011</v>
      </c>
      <c r="B171" t="s">
        <v>1688</v>
      </c>
      <c r="C171" t="s">
        <v>191</v>
      </c>
      <c r="D171" t="s">
        <v>1803</v>
      </c>
      <c r="F171" s="503">
        <v>43733</v>
      </c>
      <c r="H171" t="s">
        <v>389</v>
      </c>
      <c r="I171" t="s">
        <v>1753</v>
      </c>
      <c r="J171">
        <v>5000</v>
      </c>
      <c r="K171" t="s">
        <v>1068</v>
      </c>
      <c r="O171" t="s">
        <v>1675</v>
      </c>
      <c r="W171">
        <v>0.89</v>
      </c>
      <c r="X171">
        <v>0.86</v>
      </c>
      <c r="Y171">
        <v>0</v>
      </c>
      <c r="Z171">
        <v>0</v>
      </c>
      <c r="AA171">
        <v>1</v>
      </c>
      <c r="AE171">
        <v>102</v>
      </c>
      <c r="AI171">
        <v>60</v>
      </c>
      <c r="AJ171">
        <v>1000246</v>
      </c>
      <c r="AK171">
        <v>0</v>
      </c>
      <c r="AN171" t="s">
        <v>133</v>
      </c>
      <c r="AO171">
        <v>2.46</v>
      </c>
      <c r="AT171" t="s">
        <v>1859</v>
      </c>
      <c r="AX171">
        <v>20190925</v>
      </c>
      <c r="AY171" t="s">
        <v>1754</v>
      </c>
      <c r="BG171" s="556" t="str">
        <f t="shared" si="14"/>
        <v>O</v>
      </c>
      <c r="BH171" s="556" t="str">
        <f t="shared" si="15"/>
        <v/>
      </c>
      <c r="BI171" s="556" t="str">
        <f t="shared" si="16"/>
        <v/>
      </c>
      <c r="BJ171" s="556" t="str">
        <f t="shared" si="17"/>
        <v>M4</v>
      </c>
      <c r="BK171" s="556" t="str">
        <f t="shared" si="18"/>
        <v>M3</v>
      </c>
      <c r="BL171" s="556" t="str">
        <f t="shared" si="19"/>
        <v/>
      </c>
      <c r="BM171" s="497">
        <f t="shared" si="20"/>
        <v>40011</v>
      </c>
    </row>
    <row r="172" spans="1:65">
      <c r="A172">
        <v>55017</v>
      </c>
      <c r="B172" t="s">
        <v>2908</v>
      </c>
      <c r="C172" t="s">
        <v>2909</v>
      </c>
      <c r="D172" t="s">
        <v>2375</v>
      </c>
      <c r="F172" s="503">
        <v>45493</v>
      </c>
      <c r="H172" t="s">
        <v>389</v>
      </c>
      <c r="I172" t="s">
        <v>1753</v>
      </c>
      <c r="J172">
        <v>3000</v>
      </c>
      <c r="K172">
        <v>9</v>
      </c>
      <c r="O172" t="s">
        <v>1675</v>
      </c>
      <c r="W172">
        <v>0.89</v>
      </c>
      <c r="X172">
        <v>0.89</v>
      </c>
      <c r="Y172">
        <v>0</v>
      </c>
      <c r="Z172">
        <v>0</v>
      </c>
      <c r="AA172">
        <v>2</v>
      </c>
      <c r="AE172" t="s">
        <v>1039</v>
      </c>
      <c r="AI172">
        <v>60</v>
      </c>
      <c r="AJ172">
        <v>1850320</v>
      </c>
      <c r="AK172">
        <v>0</v>
      </c>
      <c r="AL172">
        <v>0</v>
      </c>
      <c r="AN172" t="s">
        <v>1703</v>
      </c>
      <c r="AO172">
        <v>3.2</v>
      </c>
      <c r="AX172">
        <v>20240720</v>
      </c>
      <c r="AY172" t="s">
        <v>1754</v>
      </c>
      <c r="BG172" s="556" t="str">
        <f t="shared" si="14"/>
        <v>O</v>
      </c>
      <c r="BH172" s="556" t="str">
        <f t="shared" si="15"/>
        <v/>
      </c>
      <c r="BI172" s="556" t="str">
        <f t="shared" si="16"/>
        <v/>
      </c>
      <c r="BJ172" s="556">
        <f t="shared" si="17"/>
        <v>9</v>
      </c>
      <c r="BK172" s="556" t="str">
        <f t="shared" si="18"/>
        <v>M3</v>
      </c>
      <c r="BL172" s="556" t="str">
        <f t="shared" si="19"/>
        <v/>
      </c>
      <c r="BM172" s="497">
        <f t="shared" si="20"/>
        <v>55017</v>
      </c>
    </row>
    <row r="173" spans="1:65">
      <c r="A173">
        <v>53904</v>
      </c>
      <c r="B173" t="s">
        <v>3416</v>
      </c>
      <c r="C173" t="s">
        <v>3418</v>
      </c>
      <c r="D173" t="s">
        <v>3419</v>
      </c>
      <c r="F173" s="503">
        <v>46044</v>
      </c>
      <c r="H173" t="s">
        <v>3422</v>
      </c>
      <c r="I173" t="s">
        <v>1753</v>
      </c>
      <c r="J173">
        <v>0</v>
      </c>
      <c r="K173" t="s">
        <v>1681</v>
      </c>
      <c r="W173">
        <v>1.05</v>
      </c>
      <c r="X173">
        <v>1.05</v>
      </c>
      <c r="Y173">
        <v>0</v>
      </c>
      <c r="Z173">
        <v>0</v>
      </c>
      <c r="AA173">
        <v>205</v>
      </c>
      <c r="AE173" t="s">
        <v>1039</v>
      </c>
      <c r="AI173">
        <v>85</v>
      </c>
      <c r="AJ173">
        <v>1850295</v>
      </c>
      <c r="AK173">
        <v>0</v>
      </c>
      <c r="AL173">
        <v>0</v>
      </c>
      <c r="AN173" t="s">
        <v>1703</v>
      </c>
      <c r="AO173">
        <v>2.95</v>
      </c>
      <c r="AX173">
        <v>20260122</v>
      </c>
      <c r="AY173" t="s">
        <v>1828</v>
      </c>
      <c r="BG173" s="556" t="str">
        <f t="shared" si="14"/>
        <v>O</v>
      </c>
      <c r="BH173" s="556" t="str">
        <f t="shared" si="15"/>
        <v/>
      </c>
      <c r="BI173" s="556" t="str">
        <f t="shared" si="16"/>
        <v/>
      </c>
      <c r="BJ173" s="556" t="str">
        <f t="shared" si="17"/>
        <v>6S</v>
      </c>
      <c r="BK173" s="556">
        <f t="shared" si="18"/>
        <v>0</v>
      </c>
      <c r="BL173" s="556" t="str">
        <f t="shared" si="19"/>
        <v/>
      </c>
      <c r="BM173" s="497">
        <f t="shared" si="20"/>
        <v>53904</v>
      </c>
    </row>
    <row r="174" spans="1:65">
      <c r="A174">
        <v>51504</v>
      </c>
      <c r="B174" t="s">
        <v>876</v>
      </c>
      <c r="C174" t="s">
        <v>878</v>
      </c>
      <c r="D174" t="s">
        <v>1760</v>
      </c>
      <c r="F174" s="503">
        <v>43603</v>
      </c>
      <c r="H174" t="s">
        <v>879</v>
      </c>
      <c r="I174" t="s">
        <v>1753</v>
      </c>
      <c r="J174">
        <v>2000</v>
      </c>
      <c r="K174" t="s">
        <v>1675</v>
      </c>
      <c r="O174" t="s">
        <v>1675</v>
      </c>
      <c r="W174">
        <v>1.18</v>
      </c>
      <c r="X174">
        <v>1.2</v>
      </c>
      <c r="Y174">
        <v>0</v>
      </c>
      <c r="Z174">
        <v>0</v>
      </c>
      <c r="AA174">
        <v>0</v>
      </c>
      <c r="AE174" t="s">
        <v>1761</v>
      </c>
      <c r="AI174">
        <v>57</v>
      </c>
      <c r="AJ174">
        <v>3020260</v>
      </c>
      <c r="AK174">
        <v>0</v>
      </c>
      <c r="AN174" t="s">
        <v>135</v>
      </c>
      <c r="AO174">
        <v>2.6</v>
      </c>
      <c r="AX174">
        <v>20190518</v>
      </c>
      <c r="AY174" t="s">
        <v>1780</v>
      </c>
      <c r="BG174" s="556" t="str">
        <f t="shared" si="14"/>
        <v>O</v>
      </c>
      <c r="BH174" s="556" t="str">
        <f t="shared" si="15"/>
        <v/>
      </c>
      <c r="BI174" s="556" t="str">
        <f t="shared" si="16"/>
        <v/>
      </c>
      <c r="BJ174" s="556" t="str">
        <f t="shared" si="17"/>
        <v>M3</v>
      </c>
      <c r="BK174" s="556" t="str">
        <f t="shared" si="18"/>
        <v>M3</v>
      </c>
      <c r="BL174" s="556" t="str">
        <f t="shared" si="19"/>
        <v/>
      </c>
      <c r="BM174" s="497">
        <f t="shared" si="20"/>
        <v>51504</v>
      </c>
    </row>
    <row r="175" spans="1:65">
      <c r="A175">
        <v>53114</v>
      </c>
      <c r="B175" t="s">
        <v>1722</v>
      </c>
      <c r="C175" t="s">
        <v>1862</v>
      </c>
      <c r="D175" t="s">
        <v>1819</v>
      </c>
      <c r="F175" s="503">
        <v>44747</v>
      </c>
      <c r="H175" t="s">
        <v>1863</v>
      </c>
      <c r="I175" t="s">
        <v>1753</v>
      </c>
      <c r="J175">
        <v>1000</v>
      </c>
      <c r="K175">
        <v>9</v>
      </c>
      <c r="O175" t="s">
        <v>1675</v>
      </c>
      <c r="W175">
        <v>2.2999999999999998</v>
      </c>
      <c r="X175">
        <v>2.2999999999999998</v>
      </c>
      <c r="Y175">
        <v>0</v>
      </c>
      <c r="Z175">
        <v>0</v>
      </c>
      <c r="AA175">
        <v>2</v>
      </c>
      <c r="AE175" t="s">
        <v>1039</v>
      </c>
      <c r="AI175">
        <v>60</v>
      </c>
      <c r="AJ175">
        <v>1850382</v>
      </c>
      <c r="AK175">
        <v>0</v>
      </c>
      <c r="AN175" t="s">
        <v>1704</v>
      </c>
      <c r="AO175">
        <v>3.82</v>
      </c>
      <c r="AX175">
        <v>20220705</v>
      </c>
      <c r="AY175" t="s">
        <v>1754</v>
      </c>
      <c r="BG175" s="556" t="str">
        <f t="shared" si="14"/>
        <v>O</v>
      </c>
      <c r="BH175" s="556" t="str">
        <f t="shared" si="15"/>
        <v/>
      </c>
      <c r="BI175" s="556" t="str">
        <f t="shared" si="16"/>
        <v/>
      </c>
      <c r="BJ175" s="556">
        <f t="shared" si="17"/>
        <v>9</v>
      </c>
      <c r="BK175" s="556" t="str">
        <f t="shared" si="18"/>
        <v>M3</v>
      </c>
      <c r="BL175" s="556" t="str">
        <f t="shared" si="19"/>
        <v/>
      </c>
      <c r="BM175" s="497">
        <f t="shared" si="20"/>
        <v>53114</v>
      </c>
    </row>
    <row r="176" spans="1:65">
      <c r="A176">
        <v>53905</v>
      </c>
      <c r="B176" t="s">
        <v>3417</v>
      </c>
      <c r="C176" t="s">
        <v>3418</v>
      </c>
      <c r="D176" t="s">
        <v>3419</v>
      </c>
      <c r="F176" s="503">
        <v>46044</v>
      </c>
      <c r="H176" t="s">
        <v>3423</v>
      </c>
      <c r="I176" t="s">
        <v>1753</v>
      </c>
      <c r="J176">
        <v>0</v>
      </c>
      <c r="K176" t="s">
        <v>1681</v>
      </c>
      <c r="W176">
        <v>1.6</v>
      </c>
      <c r="X176">
        <v>1.6</v>
      </c>
      <c r="Y176">
        <v>0</v>
      </c>
      <c r="Z176">
        <v>0</v>
      </c>
      <c r="AA176">
        <v>205</v>
      </c>
      <c r="AE176" t="s">
        <v>1039</v>
      </c>
      <c r="AI176">
        <v>85</v>
      </c>
      <c r="AJ176">
        <v>1850295</v>
      </c>
      <c r="AK176">
        <v>0</v>
      </c>
      <c r="AL176">
        <v>0</v>
      </c>
      <c r="AN176" t="s">
        <v>1703</v>
      </c>
      <c r="AO176">
        <v>2.95</v>
      </c>
      <c r="AX176">
        <v>20260122</v>
      </c>
      <c r="AY176" t="s">
        <v>1828</v>
      </c>
      <c r="BG176" s="556" t="str">
        <f t="shared" si="14"/>
        <v>O</v>
      </c>
      <c r="BH176" s="556" t="str">
        <f t="shared" si="15"/>
        <v/>
      </c>
      <c r="BI176" s="556" t="str">
        <f t="shared" si="16"/>
        <v/>
      </c>
      <c r="BJ176" s="556" t="str">
        <f t="shared" si="17"/>
        <v>6S</v>
      </c>
      <c r="BK176" s="556">
        <f t="shared" si="18"/>
        <v>0</v>
      </c>
      <c r="BL176" s="556" t="str">
        <f t="shared" si="19"/>
        <v/>
      </c>
      <c r="BM176" s="497">
        <f t="shared" si="20"/>
        <v>53905</v>
      </c>
    </row>
    <row r="177" spans="1:65">
      <c r="A177">
        <v>55500</v>
      </c>
      <c r="B177" t="s">
        <v>2632</v>
      </c>
      <c r="C177" t="s">
        <v>2395</v>
      </c>
      <c r="D177" t="s">
        <v>2396</v>
      </c>
      <c r="F177" s="503">
        <v>45010</v>
      </c>
      <c r="H177" t="s">
        <v>2397</v>
      </c>
      <c r="I177" t="s">
        <v>1753</v>
      </c>
      <c r="J177">
        <v>1500</v>
      </c>
      <c r="K177" t="s">
        <v>1706</v>
      </c>
      <c r="O177" t="s">
        <v>1068</v>
      </c>
      <c r="W177">
        <v>1.6</v>
      </c>
      <c r="X177">
        <v>1.6</v>
      </c>
      <c r="Y177">
        <v>0</v>
      </c>
      <c r="Z177">
        <v>0</v>
      </c>
      <c r="AA177">
        <v>0</v>
      </c>
      <c r="AE177" t="s">
        <v>1039</v>
      </c>
      <c r="AI177">
        <v>18</v>
      </c>
      <c r="AJ177">
        <v>1850246</v>
      </c>
      <c r="AK177">
        <v>0</v>
      </c>
      <c r="AN177" t="s">
        <v>1703</v>
      </c>
      <c r="AO177">
        <v>2.46</v>
      </c>
      <c r="AX177">
        <v>20230325</v>
      </c>
      <c r="AY177" t="s">
        <v>1800</v>
      </c>
      <c r="AZ177" t="s">
        <v>2390</v>
      </c>
      <c r="BG177" s="556" t="str">
        <f t="shared" si="14"/>
        <v>O</v>
      </c>
      <c r="BH177" s="556" t="str">
        <f t="shared" si="15"/>
        <v>Y</v>
      </c>
      <c r="BI177" s="556" t="str">
        <f t="shared" si="16"/>
        <v/>
      </c>
      <c r="BJ177" s="556" t="str">
        <f t="shared" si="17"/>
        <v>6L</v>
      </c>
      <c r="BK177" s="556" t="str">
        <f t="shared" si="18"/>
        <v>M4</v>
      </c>
      <c r="BL177" s="556" t="str">
        <f t="shared" si="19"/>
        <v/>
      </c>
      <c r="BM177" s="497">
        <f t="shared" si="20"/>
        <v>55500</v>
      </c>
    </row>
    <row r="178" spans="1:65">
      <c r="A178">
        <v>20071</v>
      </c>
      <c r="B178" t="s">
        <v>1401</v>
      </c>
      <c r="C178" t="s">
        <v>828</v>
      </c>
      <c r="D178" t="s">
        <v>1774</v>
      </c>
      <c r="F178" s="503">
        <v>44050</v>
      </c>
      <c r="H178" t="s">
        <v>1864</v>
      </c>
      <c r="I178" t="s">
        <v>1753</v>
      </c>
      <c r="J178">
        <v>500</v>
      </c>
      <c r="K178">
        <v>8</v>
      </c>
      <c r="W178">
        <v>4.8099999999999996</v>
      </c>
      <c r="X178">
        <v>4.83</v>
      </c>
      <c r="Y178">
        <v>0</v>
      </c>
      <c r="Z178">
        <v>0</v>
      </c>
      <c r="AA178">
        <v>0</v>
      </c>
      <c r="AE178" t="s">
        <v>1761</v>
      </c>
      <c r="AI178">
        <v>81</v>
      </c>
      <c r="AJ178">
        <v>3330295</v>
      </c>
      <c r="AK178">
        <v>0</v>
      </c>
      <c r="AL178">
        <v>0</v>
      </c>
      <c r="AN178" t="s">
        <v>1865</v>
      </c>
      <c r="AO178">
        <v>2.95</v>
      </c>
      <c r="AX178">
        <v>20200807</v>
      </c>
      <c r="AY178" t="s">
        <v>1866</v>
      </c>
      <c r="BG178" s="556" t="str">
        <f t="shared" si="14"/>
        <v>O</v>
      </c>
      <c r="BH178" s="556" t="str">
        <f t="shared" si="15"/>
        <v/>
      </c>
      <c r="BI178" s="556" t="str">
        <f t="shared" si="16"/>
        <v/>
      </c>
      <c r="BJ178" s="556">
        <f t="shared" si="17"/>
        <v>8</v>
      </c>
      <c r="BK178" s="556">
        <f t="shared" si="18"/>
        <v>0</v>
      </c>
      <c r="BL178" s="556" t="str">
        <f t="shared" si="19"/>
        <v/>
      </c>
      <c r="BM178" s="497">
        <f t="shared" si="20"/>
        <v>20071</v>
      </c>
    </row>
    <row r="179" spans="1:65">
      <c r="B179" t="s">
        <v>2354</v>
      </c>
      <c r="C179" t="s">
        <v>1056</v>
      </c>
      <c r="D179" t="s">
        <v>1867</v>
      </c>
      <c r="F179" s="503">
        <v>44067</v>
      </c>
      <c r="H179" t="s">
        <v>1868</v>
      </c>
      <c r="I179" t="s">
        <v>1753</v>
      </c>
      <c r="J179">
        <v>20000</v>
      </c>
      <c r="K179" t="s">
        <v>1756</v>
      </c>
      <c r="W179">
        <v>7.0000000000000007E-2</v>
      </c>
      <c r="X179">
        <v>7.0000000000000007E-2</v>
      </c>
      <c r="Y179">
        <v>0</v>
      </c>
      <c r="Z179">
        <v>0</v>
      </c>
      <c r="AA179">
        <v>0</v>
      </c>
      <c r="AE179" t="s">
        <v>1761</v>
      </c>
      <c r="AI179">
        <v>12</v>
      </c>
      <c r="AJ179" t="s">
        <v>1869</v>
      </c>
      <c r="AK179">
        <v>0</v>
      </c>
      <c r="AN179" t="s">
        <v>1870</v>
      </c>
      <c r="AO179" t="s">
        <v>1785</v>
      </c>
      <c r="AX179">
        <v>20200824</v>
      </c>
      <c r="AY179" t="s">
        <v>2051</v>
      </c>
      <c r="BG179" s="556" t="str">
        <f t="shared" si="14"/>
        <v>X</v>
      </c>
      <c r="BH179" s="556" t="str">
        <f t="shared" si="15"/>
        <v/>
      </c>
      <c r="BI179" s="556" t="str">
        <f t="shared" si="16"/>
        <v/>
      </c>
      <c r="BJ179" s="556" t="str">
        <f t="shared" si="17"/>
        <v>Z</v>
      </c>
      <c r="BK179" s="556">
        <f t="shared" si="18"/>
        <v>0</v>
      </c>
      <c r="BL179" s="556" t="str">
        <f t="shared" si="19"/>
        <v/>
      </c>
      <c r="BM179" s="497">
        <f t="shared" si="20"/>
        <v>0</v>
      </c>
    </row>
    <row r="180" spans="1:65">
      <c r="B180" t="s">
        <v>1871</v>
      </c>
      <c r="C180" t="s">
        <v>1872</v>
      </c>
      <c r="D180" t="s">
        <v>1782</v>
      </c>
      <c r="F180" s="503">
        <v>44288</v>
      </c>
      <c r="H180" t="s">
        <v>1873</v>
      </c>
      <c r="I180" t="s">
        <v>1753</v>
      </c>
      <c r="J180">
        <v>0</v>
      </c>
      <c r="K180" t="s">
        <v>1756</v>
      </c>
      <c r="W180">
        <v>0.17</v>
      </c>
      <c r="X180">
        <v>0.17</v>
      </c>
      <c r="Y180">
        <v>0</v>
      </c>
      <c r="Z180">
        <v>0</v>
      </c>
      <c r="AA180">
        <v>0</v>
      </c>
      <c r="AE180">
        <v>0</v>
      </c>
      <c r="AI180">
        <v>84</v>
      </c>
      <c r="AJ180" t="s">
        <v>1874</v>
      </c>
      <c r="AK180">
        <v>0</v>
      </c>
      <c r="AL180">
        <v>0</v>
      </c>
      <c r="AN180" t="s">
        <v>1875</v>
      </c>
      <c r="AO180" t="s">
        <v>1795</v>
      </c>
      <c r="AX180">
        <v>20210402</v>
      </c>
      <c r="AY180" t="s">
        <v>1786</v>
      </c>
      <c r="BG180" s="556" t="str">
        <f t="shared" si="14"/>
        <v>X</v>
      </c>
      <c r="BH180" s="556" t="str">
        <f t="shared" si="15"/>
        <v>Y</v>
      </c>
      <c r="BI180" s="556" t="str">
        <f t="shared" si="16"/>
        <v/>
      </c>
      <c r="BJ180" s="556" t="str">
        <f t="shared" si="17"/>
        <v>Z</v>
      </c>
      <c r="BK180" s="556">
        <f t="shared" si="18"/>
        <v>0</v>
      </c>
      <c r="BL180" s="556" t="str">
        <f t="shared" si="19"/>
        <v/>
      </c>
      <c r="BM180" s="497">
        <f t="shared" si="20"/>
        <v>0</v>
      </c>
    </row>
    <row r="181" spans="1:65">
      <c r="B181" t="s">
        <v>1876</v>
      </c>
      <c r="C181" t="s">
        <v>1056</v>
      </c>
      <c r="D181" t="s">
        <v>1782</v>
      </c>
      <c r="F181" s="503">
        <v>44288</v>
      </c>
      <c r="H181" t="s">
        <v>1877</v>
      </c>
      <c r="I181" t="s">
        <v>1753</v>
      </c>
      <c r="J181">
        <v>0</v>
      </c>
      <c r="K181" t="s">
        <v>1756</v>
      </c>
      <c r="W181">
        <v>0.86</v>
      </c>
      <c r="X181">
        <v>0.86</v>
      </c>
      <c r="Y181">
        <v>0</v>
      </c>
      <c r="Z181">
        <v>0</v>
      </c>
      <c r="AA181">
        <v>0</v>
      </c>
      <c r="AE181">
        <v>0</v>
      </c>
      <c r="AI181">
        <v>84</v>
      </c>
      <c r="AJ181" t="s">
        <v>1878</v>
      </c>
      <c r="AK181">
        <v>0</v>
      </c>
      <c r="AL181">
        <v>0</v>
      </c>
      <c r="AN181" t="s">
        <v>1098</v>
      </c>
      <c r="AO181" t="s">
        <v>1879</v>
      </c>
      <c r="AX181">
        <v>20210402</v>
      </c>
      <c r="AY181" t="s">
        <v>1786</v>
      </c>
      <c r="BG181" s="556" t="str">
        <f t="shared" si="14"/>
        <v>X</v>
      </c>
      <c r="BH181" s="556" t="str">
        <f t="shared" si="15"/>
        <v>Y</v>
      </c>
      <c r="BI181" s="556" t="str">
        <f t="shared" si="16"/>
        <v/>
      </c>
      <c r="BJ181" s="556" t="str">
        <f t="shared" si="17"/>
        <v>Z</v>
      </c>
      <c r="BK181" s="556">
        <f t="shared" si="18"/>
        <v>0</v>
      </c>
      <c r="BL181" s="556" t="str">
        <f t="shared" si="19"/>
        <v/>
      </c>
      <c r="BM181" s="497">
        <f t="shared" si="20"/>
        <v>0</v>
      </c>
    </row>
    <row r="182" spans="1:65">
      <c r="B182" t="s">
        <v>3239</v>
      </c>
      <c r="C182" t="s">
        <v>1056</v>
      </c>
      <c r="D182" t="s">
        <v>1782</v>
      </c>
      <c r="F182" s="503">
        <v>45932</v>
      </c>
      <c r="H182" t="s">
        <v>3445</v>
      </c>
      <c r="J182">
        <v>0</v>
      </c>
      <c r="W182">
        <v>1.4</v>
      </c>
      <c r="X182">
        <v>1.4</v>
      </c>
      <c r="Y182">
        <v>0</v>
      </c>
      <c r="Z182">
        <v>0</v>
      </c>
      <c r="AA182">
        <v>0</v>
      </c>
      <c r="AE182">
        <v>0</v>
      </c>
      <c r="AI182">
        <v>84</v>
      </c>
      <c r="AJ182" t="s">
        <v>1887</v>
      </c>
      <c r="AK182">
        <v>0</v>
      </c>
      <c r="AN182" t="s">
        <v>1098</v>
      </c>
      <c r="AO182" t="s">
        <v>1884</v>
      </c>
      <c r="AX182">
        <v>20251002</v>
      </c>
      <c r="AY182" t="s">
        <v>1786</v>
      </c>
      <c r="BG182" s="556" t="str">
        <f t="shared" si="14"/>
        <v>X</v>
      </c>
      <c r="BH182" s="556" t="str">
        <f t="shared" si="15"/>
        <v>Y</v>
      </c>
      <c r="BI182" s="556" t="str">
        <f t="shared" si="16"/>
        <v/>
      </c>
      <c r="BJ182" s="556">
        <f t="shared" si="17"/>
        <v>0</v>
      </c>
      <c r="BK182" s="556">
        <f t="shared" si="18"/>
        <v>0</v>
      </c>
      <c r="BL182" s="556" t="str">
        <f t="shared" si="19"/>
        <v/>
      </c>
      <c r="BM182" s="497">
        <f t="shared" si="20"/>
        <v>0</v>
      </c>
    </row>
    <row r="183" spans="1:65">
      <c r="B183" t="s">
        <v>1880</v>
      </c>
      <c r="C183" t="s">
        <v>1056</v>
      </c>
      <c r="D183" t="s">
        <v>1782</v>
      </c>
      <c r="F183" s="503">
        <v>44315</v>
      </c>
      <c r="H183" t="s">
        <v>1881</v>
      </c>
      <c r="I183" t="s">
        <v>1753</v>
      </c>
      <c r="J183">
        <v>0</v>
      </c>
      <c r="K183" t="s">
        <v>1756</v>
      </c>
      <c r="W183">
        <v>0.2</v>
      </c>
      <c r="X183">
        <v>0.21</v>
      </c>
      <c r="Y183">
        <v>0</v>
      </c>
      <c r="Z183">
        <v>0</v>
      </c>
      <c r="AA183">
        <v>0</v>
      </c>
      <c r="AE183">
        <v>0</v>
      </c>
      <c r="AI183">
        <v>84</v>
      </c>
      <c r="AJ183" t="s">
        <v>1882</v>
      </c>
      <c r="AK183">
        <v>0</v>
      </c>
      <c r="AN183" t="s">
        <v>1883</v>
      </c>
      <c r="AO183" t="s">
        <v>1884</v>
      </c>
      <c r="AX183">
        <v>20210429</v>
      </c>
      <c r="AY183" t="s">
        <v>1786</v>
      </c>
      <c r="BG183" s="556" t="str">
        <f t="shared" si="14"/>
        <v>X</v>
      </c>
      <c r="BH183" s="556" t="str">
        <f t="shared" si="15"/>
        <v>Y</v>
      </c>
      <c r="BI183" s="556" t="str">
        <f t="shared" si="16"/>
        <v/>
      </c>
      <c r="BJ183" s="556" t="str">
        <f t="shared" si="17"/>
        <v>Z</v>
      </c>
      <c r="BK183" s="556">
        <f t="shared" si="18"/>
        <v>0</v>
      </c>
      <c r="BL183" s="556" t="str">
        <f t="shared" si="19"/>
        <v/>
      </c>
      <c r="BM183" s="497">
        <f t="shared" si="20"/>
        <v>0</v>
      </c>
    </row>
    <row r="184" spans="1:65">
      <c r="B184" t="s">
        <v>1885</v>
      </c>
      <c r="C184" t="s">
        <v>1056</v>
      </c>
      <c r="D184" t="s">
        <v>1782</v>
      </c>
      <c r="F184" s="503">
        <v>44736</v>
      </c>
      <c r="H184" t="s">
        <v>1886</v>
      </c>
      <c r="I184" t="s">
        <v>1753</v>
      </c>
      <c r="J184">
        <v>0</v>
      </c>
      <c r="W184">
        <v>1.3</v>
      </c>
      <c r="X184">
        <v>0</v>
      </c>
      <c r="Y184">
        <v>0</v>
      </c>
      <c r="Z184">
        <v>0</v>
      </c>
      <c r="AA184">
        <v>0</v>
      </c>
      <c r="AE184">
        <v>0</v>
      </c>
      <c r="AI184">
        <v>84</v>
      </c>
      <c r="AJ184" t="s">
        <v>1887</v>
      </c>
      <c r="AK184">
        <v>0</v>
      </c>
      <c r="AN184" t="s">
        <v>1098</v>
      </c>
      <c r="AO184" t="s">
        <v>1884</v>
      </c>
      <c r="AX184">
        <v>20220624</v>
      </c>
      <c r="AY184" t="s">
        <v>1786</v>
      </c>
      <c r="BG184" s="556" t="str">
        <f t="shared" si="14"/>
        <v>X</v>
      </c>
      <c r="BH184" s="556" t="str">
        <f t="shared" si="15"/>
        <v>Y</v>
      </c>
      <c r="BI184" s="556" t="str">
        <f t="shared" si="16"/>
        <v/>
      </c>
      <c r="BJ184" s="556">
        <f t="shared" si="17"/>
        <v>0</v>
      </c>
      <c r="BK184" s="556">
        <f t="shared" si="18"/>
        <v>0</v>
      </c>
      <c r="BL184" s="556" t="str">
        <f t="shared" si="19"/>
        <v/>
      </c>
      <c r="BM184" s="497">
        <f t="shared" si="20"/>
        <v>0</v>
      </c>
    </row>
    <row r="185" spans="1:65">
      <c r="B185" t="s">
        <v>1888</v>
      </c>
      <c r="C185" t="s">
        <v>1056</v>
      </c>
      <c r="D185" t="s">
        <v>1782</v>
      </c>
      <c r="F185" s="503">
        <v>44288</v>
      </c>
      <c r="H185" t="s">
        <v>1889</v>
      </c>
      <c r="I185" t="s">
        <v>1753</v>
      </c>
      <c r="J185">
        <v>0</v>
      </c>
      <c r="K185" t="s">
        <v>1756</v>
      </c>
      <c r="W185">
        <v>1.0900000000000001</v>
      </c>
      <c r="X185">
        <v>1.0900000000000001</v>
      </c>
      <c r="Y185">
        <v>0</v>
      </c>
      <c r="Z185">
        <v>0</v>
      </c>
      <c r="AA185">
        <v>0</v>
      </c>
      <c r="AE185">
        <v>0</v>
      </c>
      <c r="AI185">
        <v>84</v>
      </c>
      <c r="AJ185" t="s">
        <v>1890</v>
      </c>
      <c r="AK185">
        <v>0</v>
      </c>
      <c r="AN185" t="s">
        <v>1883</v>
      </c>
      <c r="AO185" t="s">
        <v>1879</v>
      </c>
      <c r="AX185">
        <v>20210402</v>
      </c>
      <c r="AY185" t="s">
        <v>1786</v>
      </c>
      <c r="BG185" s="556" t="str">
        <f t="shared" si="14"/>
        <v>X</v>
      </c>
      <c r="BH185" s="556" t="str">
        <f t="shared" si="15"/>
        <v>Y</v>
      </c>
      <c r="BI185" s="556" t="str">
        <f t="shared" si="16"/>
        <v/>
      </c>
      <c r="BJ185" s="556" t="str">
        <f t="shared" si="17"/>
        <v>Z</v>
      </c>
      <c r="BK185" s="556">
        <f t="shared" si="18"/>
        <v>0</v>
      </c>
      <c r="BL185" s="556" t="str">
        <f t="shared" si="19"/>
        <v/>
      </c>
      <c r="BM185" s="497">
        <f t="shared" si="20"/>
        <v>0</v>
      </c>
    </row>
    <row r="186" spans="1:65">
      <c r="B186" t="s">
        <v>2326</v>
      </c>
      <c r="C186" t="s">
        <v>1042</v>
      </c>
      <c r="D186" t="s">
        <v>1782</v>
      </c>
      <c r="F186" s="503">
        <v>44930</v>
      </c>
      <c r="H186" t="s">
        <v>2327</v>
      </c>
      <c r="I186" t="s">
        <v>1753</v>
      </c>
      <c r="J186">
        <v>0</v>
      </c>
      <c r="W186">
        <v>0.23</v>
      </c>
      <c r="X186">
        <v>0.23</v>
      </c>
      <c r="Y186">
        <v>0</v>
      </c>
      <c r="Z186">
        <v>0</v>
      </c>
      <c r="AA186">
        <v>0</v>
      </c>
      <c r="AE186">
        <v>0</v>
      </c>
      <c r="AI186">
        <v>84</v>
      </c>
      <c r="AJ186" t="s">
        <v>2328</v>
      </c>
      <c r="AK186">
        <v>0</v>
      </c>
      <c r="AL186">
        <v>0</v>
      </c>
      <c r="AN186" t="s">
        <v>2095</v>
      </c>
      <c r="AO186" t="s">
        <v>1884</v>
      </c>
      <c r="AX186">
        <v>20230104</v>
      </c>
      <c r="AY186" t="s">
        <v>1786</v>
      </c>
      <c r="BG186" s="556" t="str">
        <f t="shared" si="14"/>
        <v>X</v>
      </c>
      <c r="BH186" s="556" t="str">
        <f t="shared" si="15"/>
        <v>Y</v>
      </c>
      <c r="BI186" s="556" t="str">
        <f t="shared" si="16"/>
        <v/>
      </c>
      <c r="BJ186" s="556">
        <f t="shared" si="17"/>
        <v>0</v>
      </c>
      <c r="BK186" s="556">
        <f t="shared" si="18"/>
        <v>0</v>
      </c>
      <c r="BL186" s="556" t="str">
        <f t="shared" si="19"/>
        <v/>
      </c>
      <c r="BM186" s="497">
        <f t="shared" si="20"/>
        <v>0</v>
      </c>
    </row>
    <row r="187" spans="1:65">
      <c r="B187" t="s">
        <v>1891</v>
      </c>
      <c r="C187" t="s">
        <v>1042</v>
      </c>
      <c r="D187" t="s">
        <v>1782</v>
      </c>
      <c r="F187" s="503">
        <v>44491</v>
      </c>
      <c r="H187" t="s">
        <v>1892</v>
      </c>
      <c r="I187" t="s">
        <v>1753</v>
      </c>
      <c r="J187">
        <v>0</v>
      </c>
      <c r="K187" t="s">
        <v>1756</v>
      </c>
      <c r="W187">
        <v>0</v>
      </c>
      <c r="X187">
        <v>0.2</v>
      </c>
      <c r="Y187">
        <v>0</v>
      </c>
      <c r="Z187">
        <v>0</v>
      </c>
      <c r="AA187">
        <v>0</v>
      </c>
      <c r="AE187">
        <v>0</v>
      </c>
      <c r="AI187">
        <v>84</v>
      </c>
      <c r="AJ187" t="s">
        <v>1893</v>
      </c>
      <c r="AK187">
        <v>0</v>
      </c>
      <c r="AN187" t="s">
        <v>1894</v>
      </c>
      <c r="AO187" t="s">
        <v>1884</v>
      </c>
      <c r="AX187">
        <v>20211022</v>
      </c>
      <c r="AY187" t="s">
        <v>1786</v>
      </c>
      <c r="BG187" s="556" t="str">
        <f t="shared" si="14"/>
        <v>X</v>
      </c>
      <c r="BH187" s="556" t="str">
        <f t="shared" si="15"/>
        <v>Y</v>
      </c>
      <c r="BI187" s="556" t="str">
        <f t="shared" si="16"/>
        <v/>
      </c>
      <c r="BJ187" s="556" t="str">
        <f t="shared" si="17"/>
        <v>Z</v>
      </c>
      <c r="BK187" s="556">
        <f t="shared" si="18"/>
        <v>0</v>
      </c>
      <c r="BL187" s="556" t="str">
        <f t="shared" si="19"/>
        <v/>
      </c>
      <c r="BM187" s="497">
        <f t="shared" si="20"/>
        <v>0</v>
      </c>
    </row>
    <row r="188" spans="1:65">
      <c r="B188" t="s">
        <v>1895</v>
      </c>
      <c r="C188" t="s">
        <v>1042</v>
      </c>
      <c r="D188" t="s">
        <v>1782</v>
      </c>
      <c r="F188" s="503">
        <v>44288</v>
      </c>
      <c r="H188" t="s">
        <v>1892</v>
      </c>
      <c r="I188" t="s">
        <v>1753</v>
      </c>
      <c r="J188">
        <v>0</v>
      </c>
      <c r="K188" t="s">
        <v>1756</v>
      </c>
      <c r="W188">
        <v>0.18</v>
      </c>
      <c r="X188">
        <v>0.18</v>
      </c>
      <c r="Y188">
        <v>0</v>
      </c>
      <c r="Z188">
        <v>0</v>
      </c>
      <c r="AA188">
        <v>0</v>
      </c>
      <c r="AE188">
        <v>0</v>
      </c>
      <c r="AI188">
        <v>84</v>
      </c>
      <c r="AJ188" t="s">
        <v>1896</v>
      </c>
      <c r="AK188">
        <v>0</v>
      </c>
      <c r="AL188">
        <v>0</v>
      </c>
      <c r="AN188" t="s">
        <v>1790</v>
      </c>
      <c r="AO188" t="s">
        <v>1884</v>
      </c>
      <c r="AX188">
        <v>20210402</v>
      </c>
      <c r="AY188" t="s">
        <v>1786</v>
      </c>
      <c r="BG188" s="556" t="str">
        <f t="shared" si="14"/>
        <v>X</v>
      </c>
      <c r="BH188" s="556" t="str">
        <f t="shared" si="15"/>
        <v>Y</v>
      </c>
      <c r="BI188" s="556" t="str">
        <f t="shared" si="16"/>
        <v/>
      </c>
      <c r="BJ188" s="556" t="str">
        <f t="shared" si="17"/>
        <v>Z</v>
      </c>
      <c r="BK188" s="556">
        <f t="shared" si="18"/>
        <v>0</v>
      </c>
      <c r="BL188" s="556" t="str">
        <f t="shared" si="19"/>
        <v/>
      </c>
      <c r="BM188" s="497">
        <f t="shared" si="20"/>
        <v>0</v>
      </c>
    </row>
    <row r="189" spans="1:65">
      <c r="B189" t="s">
        <v>1897</v>
      </c>
      <c r="C189" t="s">
        <v>1056</v>
      </c>
      <c r="D189" t="s">
        <v>1782</v>
      </c>
      <c r="F189" s="503">
        <v>44288</v>
      </c>
      <c r="H189" t="s">
        <v>1898</v>
      </c>
      <c r="I189" t="s">
        <v>1753</v>
      </c>
      <c r="J189">
        <v>0</v>
      </c>
      <c r="K189" t="s">
        <v>1756</v>
      </c>
      <c r="W189">
        <v>0.23</v>
      </c>
      <c r="X189">
        <v>0.23</v>
      </c>
      <c r="Y189">
        <v>0</v>
      </c>
      <c r="Z189">
        <v>0</v>
      </c>
      <c r="AA189">
        <v>0</v>
      </c>
      <c r="AE189">
        <v>0</v>
      </c>
      <c r="AI189">
        <v>84</v>
      </c>
      <c r="AJ189" t="s">
        <v>1878</v>
      </c>
      <c r="AK189">
        <v>0</v>
      </c>
      <c r="AN189" t="s">
        <v>1098</v>
      </c>
      <c r="AO189" t="s">
        <v>1879</v>
      </c>
      <c r="AX189">
        <v>20210402</v>
      </c>
      <c r="AY189" t="s">
        <v>1786</v>
      </c>
      <c r="BG189" s="556" t="str">
        <f t="shared" si="14"/>
        <v>X</v>
      </c>
      <c r="BH189" s="556" t="str">
        <f t="shared" si="15"/>
        <v>Y</v>
      </c>
      <c r="BI189" s="556" t="str">
        <f t="shared" si="16"/>
        <v/>
      </c>
      <c r="BJ189" s="556" t="str">
        <f t="shared" si="17"/>
        <v>Z</v>
      </c>
      <c r="BK189" s="556">
        <f t="shared" si="18"/>
        <v>0</v>
      </c>
      <c r="BL189" s="556" t="str">
        <f t="shared" si="19"/>
        <v/>
      </c>
      <c r="BM189" s="497">
        <f t="shared" si="20"/>
        <v>0</v>
      </c>
    </row>
    <row r="190" spans="1:65">
      <c r="B190" t="s">
        <v>2329</v>
      </c>
      <c r="C190" t="s">
        <v>1056</v>
      </c>
      <c r="D190" t="s">
        <v>1782</v>
      </c>
      <c r="F190" s="503">
        <v>44930</v>
      </c>
      <c r="H190" t="s">
        <v>2330</v>
      </c>
      <c r="I190" t="s">
        <v>1753</v>
      </c>
      <c r="J190">
        <v>0</v>
      </c>
      <c r="W190">
        <v>0.24</v>
      </c>
      <c r="X190">
        <v>0.24</v>
      </c>
      <c r="Y190">
        <v>0</v>
      </c>
      <c r="Z190">
        <v>0</v>
      </c>
      <c r="AA190">
        <v>0</v>
      </c>
      <c r="AE190">
        <v>0</v>
      </c>
      <c r="AI190">
        <v>84</v>
      </c>
      <c r="AJ190" t="s">
        <v>2098</v>
      </c>
      <c r="AK190">
        <v>0</v>
      </c>
      <c r="AL190">
        <v>0</v>
      </c>
      <c r="AN190" t="s">
        <v>1870</v>
      </c>
      <c r="AO190" t="s">
        <v>1879</v>
      </c>
      <c r="AX190">
        <v>20230104</v>
      </c>
      <c r="AY190" t="s">
        <v>1786</v>
      </c>
      <c r="BG190" s="556" t="str">
        <f t="shared" si="14"/>
        <v>X</v>
      </c>
      <c r="BH190" s="556" t="str">
        <f t="shared" si="15"/>
        <v>Y</v>
      </c>
      <c r="BI190" s="556" t="str">
        <f t="shared" si="16"/>
        <v/>
      </c>
      <c r="BJ190" s="556">
        <f t="shared" si="17"/>
        <v>0</v>
      </c>
      <c r="BK190" s="556">
        <f t="shared" si="18"/>
        <v>0</v>
      </c>
      <c r="BL190" s="556" t="str">
        <f t="shared" si="19"/>
        <v/>
      </c>
      <c r="BM190" s="497">
        <f t="shared" si="20"/>
        <v>0</v>
      </c>
    </row>
    <row r="191" spans="1:65">
      <c r="B191" t="s">
        <v>1899</v>
      </c>
      <c r="C191" t="s">
        <v>1872</v>
      </c>
      <c r="D191" t="s">
        <v>1782</v>
      </c>
      <c r="F191" s="503">
        <v>44288</v>
      </c>
      <c r="H191" t="s">
        <v>1900</v>
      </c>
      <c r="I191" t="s">
        <v>1753</v>
      </c>
      <c r="J191">
        <v>0</v>
      </c>
      <c r="K191" t="s">
        <v>1756</v>
      </c>
      <c r="W191">
        <v>0.16</v>
      </c>
      <c r="X191">
        <v>0.16</v>
      </c>
      <c r="Y191">
        <v>0</v>
      </c>
      <c r="Z191">
        <v>0</v>
      </c>
      <c r="AA191">
        <v>0</v>
      </c>
      <c r="AE191">
        <v>0</v>
      </c>
      <c r="AI191">
        <v>84</v>
      </c>
      <c r="AJ191" t="s">
        <v>1874</v>
      </c>
      <c r="AK191">
        <v>0</v>
      </c>
      <c r="AL191">
        <v>0</v>
      </c>
      <c r="AN191" t="s">
        <v>1875</v>
      </c>
      <c r="AO191" t="s">
        <v>1795</v>
      </c>
      <c r="AX191">
        <v>20210402</v>
      </c>
      <c r="AY191" t="s">
        <v>1786</v>
      </c>
      <c r="BG191" s="556" t="str">
        <f t="shared" si="14"/>
        <v>X</v>
      </c>
      <c r="BH191" s="556" t="str">
        <f t="shared" si="15"/>
        <v>Y</v>
      </c>
      <c r="BI191" s="556" t="str">
        <f t="shared" si="16"/>
        <v/>
      </c>
      <c r="BJ191" s="556" t="str">
        <f t="shared" si="17"/>
        <v>Z</v>
      </c>
      <c r="BK191" s="556">
        <f t="shared" si="18"/>
        <v>0</v>
      </c>
      <c r="BL191" s="556" t="str">
        <f t="shared" si="19"/>
        <v/>
      </c>
      <c r="BM191" s="497">
        <f t="shared" si="20"/>
        <v>0</v>
      </c>
    </row>
    <row r="192" spans="1:65">
      <c r="B192" t="s">
        <v>3236</v>
      </c>
      <c r="C192" t="s">
        <v>1872</v>
      </c>
      <c r="D192" t="s">
        <v>1782</v>
      </c>
      <c r="F192" s="503">
        <v>45926</v>
      </c>
      <c r="H192" t="s">
        <v>3237</v>
      </c>
      <c r="I192" t="s">
        <v>1753</v>
      </c>
      <c r="J192">
        <v>0</v>
      </c>
      <c r="K192" t="s">
        <v>1756</v>
      </c>
      <c r="W192">
        <v>0.15</v>
      </c>
      <c r="X192">
        <v>0.15</v>
      </c>
      <c r="Y192">
        <v>0</v>
      </c>
      <c r="Z192">
        <v>0</v>
      </c>
      <c r="AA192">
        <v>0</v>
      </c>
      <c r="AE192">
        <v>0</v>
      </c>
      <c r="AI192">
        <v>84</v>
      </c>
      <c r="AJ192" t="s">
        <v>1874</v>
      </c>
      <c r="AK192">
        <v>0</v>
      </c>
      <c r="AL192">
        <v>0</v>
      </c>
      <c r="AN192" t="s">
        <v>1875</v>
      </c>
      <c r="AO192" t="s">
        <v>1795</v>
      </c>
      <c r="AX192">
        <v>20250926</v>
      </c>
      <c r="AY192" t="s">
        <v>1786</v>
      </c>
      <c r="BG192" s="556" t="str">
        <f t="shared" si="14"/>
        <v>X</v>
      </c>
      <c r="BH192" s="556" t="str">
        <f t="shared" si="15"/>
        <v>Y</v>
      </c>
      <c r="BI192" s="556" t="str">
        <f t="shared" si="16"/>
        <v/>
      </c>
      <c r="BJ192" s="556" t="str">
        <f t="shared" si="17"/>
        <v>Z</v>
      </c>
      <c r="BK192" s="556">
        <f t="shared" si="18"/>
        <v>0</v>
      </c>
      <c r="BL192" s="556" t="str">
        <f t="shared" si="19"/>
        <v/>
      </c>
      <c r="BM192" s="497">
        <f t="shared" si="20"/>
        <v>0</v>
      </c>
    </row>
    <row r="193" spans="1:65">
      <c r="B193" t="s">
        <v>3031</v>
      </c>
      <c r="C193" t="s">
        <v>1902</v>
      </c>
      <c r="D193" t="s">
        <v>1774</v>
      </c>
      <c r="F193" s="503">
        <v>45666</v>
      </c>
      <c r="H193" t="s">
        <v>3032</v>
      </c>
      <c r="I193" t="s">
        <v>1753</v>
      </c>
      <c r="J193">
        <v>0</v>
      </c>
      <c r="W193">
        <v>7.0000000000000007E-2</v>
      </c>
      <c r="X193">
        <v>7.0000000000000007E-2</v>
      </c>
      <c r="Y193">
        <v>0</v>
      </c>
      <c r="Z193">
        <v>0</v>
      </c>
      <c r="AA193">
        <v>0</v>
      </c>
      <c r="AE193">
        <v>0</v>
      </c>
      <c r="AI193">
        <v>3</v>
      </c>
      <c r="AJ193" t="s">
        <v>1904</v>
      </c>
      <c r="AK193">
        <v>0</v>
      </c>
      <c r="AL193">
        <v>0</v>
      </c>
      <c r="AN193" t="s">
        <v>1905</v>
      </c>
      <c r="AO193" t="s">
        <v>1884</v>
      </c>
      <c r="AX193">
        <v>20250109</v>
      </c>
      <c r="AY193" t="s">
        <v>3075</v>
      </c>
      <c r="BG193" s="556" t="str">
        <f t="shared" si="14"/>
        <v>X</v>
      </c>
      <c r="BH193" s="556" t="str">
        <f t="shared" si="15"/>
        <v/>
      </c>
      <c r="BI193" s="556" t="str">
        <f t="shared" si="16"/>
        <v/>
      </c>
      <c r="BJ193" s="556">
        <f t="shared" si="17"/>
        <v>0</v>
      </c>
      <c r="BK193" s="556">
        <f t="shared" si="18"/>
        <v>0</v>
      </c>
      <c r="BL193" s="556" t="str">
        <f t="shared" si="19"/>
        <v/>
      </c>
      <c r="BM193" s="497">
        <f t="shared" si="20"/>
        <v>0</v>
      </c>
    </row>
    <row r="194" spans="1:65">
      <c r="B194" t="s">
        <v>1901</v>
      </c>
      <c r="C194" t="s">
        <v>1902</v>
      </c>
      <c r="D194" t="s">
        <v>1782</v>
      </c>
      <c r="F194" s="503">
        <v>44288</v>
      </c>
      <c r="H194" t="s">
        <v>1903</v>
      </c>
      <c r="I194" t="s">
        <v>1753</v>
      </c>
      <c r="J194">
        <v>0</v>
      </c>
      <c r="K194" t="s">
        <v>1756</v>
      </c>
      <c r="W194">
        <v>7.0000000000000007E-2</v>
      </c>
      <c r="X194">
        <v>7.0000000000000007E-2</v>
      </c>
      <c r="Y194">
        <v>0</v>
      </c>
      <c r="Z194">
        <v>0</v>
      </c>
      <c r="AA194">
        <v>0</v>
      </c>
      <c r="AE194">
        <v>0</v>
      </c>
      <c r="AI194">
        <v>84</v>
      </c>
      <c r="AJ194" t="s">
        <v>1904</v>
      </c>
      <c r="AK194">
        <v>0</v>
      </c>
      <c r="AL194">
        <v>0</v>
      </c>
      <c r="AN194" t="s">
        <v>1905</v>
      </c>
      <c r="AO194" t="s">
        <v>1884</v>
      </c>
      <c r="AX194">
        <v>20210402</v>
      </c>
      <c r="AY194" t="s">
        <v>1786</v>
      </c>
      <c r="BG194" s="556" t="str">
        <f t="shared" si="14"/>
        <v>X</v>
      </c>
      <c r="BH194" s="556" t="str">
        <f t="shared" si="15"/>
        <v>Y</v>
      </c>
      <c r="BI194" s="556" t="str">
        <f t="shared" si="16"/>
        <v/>
      </c>
      <c r="BJ194" s="556" t="str">
        <f t="shared" si="17"/>
        <v>Z</v>
      </c>
      <c r="BK194" s="556">
        <f t="shared" si="18"/>
        <v>0</v>
      </c>
      <c r="BL194" s="556" t="str">
        <f t="shared" si="19"/>
        <v/>
      </c>
      <c r="BM194" s="497">
        <f t="shared" si="20"/>
        <v>0</v>
      </c>
    </row>
    <row r="195" spans="1:65">
      <c r="B195" t="s">
        <v>1034</v>
      </c>
      <c r="C195" t="s">
        <v>1036</v>
      </c>
      <c r="D195" t="s">
        <v>1763</v>
      </c>
      <c r="F195" s="503">
        <v>43367</v>
      </c>
      <c r="H195" t="s">
        <v>1037</v>
      </c>
      <c r="I195" t="s">
        <v>1753</v>
      </c>
      <c r="J195">
        <v>3000</v>
      </c>
      <c r="K195" t="s">
        <v>1756</v>
      </c>
      <c r="W195">
        <v>0</v>
      </c>
      <c r="X195">
        <v>0.37</v>
      </c>
      <c r="Y195">
        <v>0</v>
      </c>
      <c r="Z195">
        <v>0</v>
      </c>
      <c r="AE195">
        <v>0</v>
      </c>
      <c r="AI195">
        <v>80</v>
      </c>
      <c r="AJ195" t="s">
        <v>1906</v>
      </c>
      <c r="AK195">
        <v>0</v>
      </c>
      <c r="AL195">
        <v>0</v>
      </c>
      <c r="AN195" t="s">
        <v>1038</v>
      </c>
      <c r="AO195" t="s">
        <v>1907</v>
      </c>
      <c r="AX195">
        <v>20180924</v>
      </c>
      <c r="AY195" t="s">
        <v>1762</v>
      </c>
      <c r="BG195" s="556" t="str">
        <f t="shared" ref="BG195:BG258" si="21">IF(LEFT(AY195,2)="98","X","O")</f>
        <v>X</v>
      </c>
      <c r="BH195" s="556" t="str">
        <f t="shared" ref="BH195:BH258" si="22">IF(IFERROR(SEARCH("45",$AY195,1),0)&gt;0,"Y","")</f>
        <v/>
      </c>
      <c r="BI195" s="556" t="str">
        <f t="shared" ref="BI195:BI258" si="23">IF(IFERROR(SEARCH("86",$AY195,1),0)&gt;0,"Y","")</f>
        <v/>
      </c>
      <c r="BJ195" s="556" t="str">
        <f t="shared" ref="BJ195:BJ258" si="24">IF(L195="",K195,IF(M195="",K195&amp;","&amp;L195,IF(N195="",K195&amp;","&amp;L195&amp;","&amp;M195,K195&amp;","&amp;L195&amp;","&amp;M195&amp;","&amp;N195)))</f>
        <v>Z</v>
      </c>
      <c r="BK195" s="556">
        <f t="shared" ref="BK195:BK258" si="25">IF(P195="",O195,IF(Q195="",O195&amp;","&amp;P195,IF(R195="",O195&amp;","&amp;P195&amp;","&amp;Q195,IO195&amp;","&amp;P195&amp;","&amp;Q195&amp;","&amp;R195)))</f>
        <v>0</v>
      </c>
      <c r="BL195" s="556" t="str">
        <f t="shared" ref="BL195:BL258" si="26">IF(S195=0,"",S195)</f>
        <v/>
      </c>
      <c r="BM195" s="497">
        <f t="shared" ref="BM195:BM258" si="27">A195</f>
        <v>0</v>
      </c>
    </row>
    <row r="196" spans="1:65">
      <c r="B196" t="s">
        <v>1769</v>
      </c>
      <c r="C196" t="s">
        <v>1902</v>
      </c>
      <c r="D196" t="s">
        <v>1782</v>
      </c>
      <c r="F196" s="503">
        <v>44288</v>
      </c>
      <c r="H196" t="s">
        <v>1908</v>
      </c>
      <c r="I196" t="s">
        <v>1753</v>
      </c>
      <c r="J196">
        <v>0</v>
      </c>
      <c r="K196" t="s">
        <v>1756</v>
      </c>
      <c r="W196">
        <v>0</v>
      </c>
      <c r="X196">
        <v>0.06</v>
      </c>
      <c r="Y196">
        <v>0</v>
      </c>
      <c r="Z196">
        <v>0</v>
      </c>
      <c r="AA196">
        <v>0</v>
      </c>
      <c r="AE196">
        <v>0</v>
      </c>
      <c r="AI196">
        <v>84</v>
      </c>
      <c r="AJ196" t="s">
        <v>1904</v>
      </c>
      <c r="AK196">
        <v>0</v>
      </c>
      <c r="AL196">
        <v>0</v>
      </c>
      <c r="AN196" t="s">
        <v>1905</v>
      </c>
      <c r="AO196" t="s">
        <v>1884</v>
      </c>
      <c r="AX196">
        <v>20210402</v>
      </c>
      <c r="AY196" t="s">
        <v>1786</v>
      </c>
      <c r="BG196" s="556" t="str">
        <f t="shared" si="21"/>
        <v>X</v>
      </c>
      <c r="BH196" s="556" t="str">
        <f t="shared" si="22"/>
        <v>Y</v>
      </c>
      <c r="BI196" s="556" t="str">
        <f t="shared" si="23"/>
        <v/>
      </c>
      <c r="BJ196" s="556" t="str">
        <f t="shared" si="24"/>
        <v>Z</v>
      </c>
      <c r="BK196" s="556">
        <f t="shared" si="25"/>
        <v>0</v>
      </c>
      <c r="BL196" s="556" t="str">
        <f t="shared" si="26"/>
        <v/>
      </c>
      <c r="BM196" s="497">
        <f t="shared" si="27"/>
        <v>0</v>
      </c>
    </row>
    <row r="197" spans="1:65">
      <c r="B197" t="s">
        <v>1272</v>
      </c>
      <c r="C197" t="s">
        <v>1274</v>
      </c>
      <c r="D197" t="s">
        <v>1796</v>
      </c>
      <c r="F197" s="503">
        <v>43917</v>
      </c>
      <c r="H197" t="s">
        <v>1275</v>
      </c>
      <c r="I197" t="s">
        <v>1753</v>
      </c>
      <c r="J197">
        <v>0</v>
      </c>
      <c r="K197" t="s">
        <v>1756</v>
      </c>
      <c r="W197">
        <v>0</v>
      </c>
      <c r="X197">
        <v>0.56000000000000005</v>
      </c>
      <c r="Y197">
        <v>0</v>
      </c>
      <c r="Z197">
        <v>0</v>
      </c>
      <c r="AA197">
        <v>0</v>
      </c>
      <c r="AE197" t="s">
        <v>1221</v>
      </c>
      <c r="AI197">
        <v>80</v>
      </c>
      <c r="AJ197" t="s">
        <v>1909</v>
      </c>
      <c r="AK197">
        <v>0</v>
      </c>
      <c r="AN197" t="s">
        <v>133</v>
      </c>
      <c r="AO197">
        <v>5</v>
      </c>
      <c r="AX197">
        <v>20200327</v>
      </c>
      <c r="AY197" t="s">
        <v>1762</v>
      </c>
      <c r="BG197" s="556" t="str">
        <f t="shared" si="21"/>
        <v>X</v>
      </c>
      <c r="BH197" s="556" t="str">
        <f t="shared" si="22"/>
        <v/>
      </c>
      <c r="BI197" s="556" t="str">
        <f t="shared" si="23"/>
        <v/>
      </c>
      <c r="BJ197" s="556" t="str">
        <f t="shared" si="24"/>
        <v>Z</v>
      </c>
      <c r="BK197" s="556">
        <f t="shared" si="25"/>
        <v>0</v>
      </c>
      <c r="BL197" s="556" t="str">
        <f t="shared" si="26"/>
        <v/>
      </c>
      <c r="BM197" s="497">
        <f t="shared" si="27"/>
        <v>0</v>
      </c>
    </row>
    <row r="198" spans="1:65">
      <c r="B198" t="s">
        <v>1276</v>
      </c>
      <c r="C198" t="s">
        <v>1278</v>
      </c>
      <c r="D198" t="s">
        <v>1796</v>
      </c>
      <c r="F198" s="503">
        <v>43917</v>
      </c>
      <c r="H198" t="s">
        <v>1275</v>
      </c>
      <c r="I198" t="s">
        <v>1753</v>
      </c>
      <c r="J198">
        <v>0</v>
      </c>
      <c r="K198" t="s">
        <v>1756</v>
      </c>
      <c r="W198">
        <v>0</v>
      </c>
      <c r="X198">
        <v>0.61</v>
      </c>
      <c r="Y198">
        <v>0</v>
      </c>
      <c r="Z198">
        <v>0</v>
      </c>
      <c r="AA198">
        <v>0</v>
      </c>
      <c r="AE198" t="s">
        <v>1221</v>
      </c>
      <c r="AI198">
        <v>80</v>
      </c>
      <c r="AJ198" t="s">
        <v>1909</v>
      </c>
      <c r="AK198">
        <v>0</v>
      </c>
      <c r="AL198">
        <v>0</v>
      </c>
      <c r="AN198" t="s">
        <v>133</v>
      </c>
      <c r="AO198">
        <v>5</v>
      </c>
      <c r="AX198">
        <v>20200327</v>
      </c>
      <c r="AY198" t="s">
        <v>1762</v>
      </c>
      <c r="BG198" s="556" t="str">
        <f t="shared" si="21"/>
        <v>X</v>
      </c>
      <c r="BH198" s="556" t="str">
        <f t="shared" si="22"/>
        <v/>
      </c>
      <c r="BI198" s="556" t="str">
        <f t="shared" si="23"/>
        <v/>
      </c>
      <c r="BJ198" s="556" t="str">
        <f t="shared" si="24"/>
        <v>Z</v>
      </c>
      <c r="BK198" s="556">
        <f t="shared" si="25"/>
        <v>0</v>
      </c>
      <c r="BL198" s="556" t="str">
        <f t="shared" si="26"/>
        <v/>
      </c>
      <c r="BM198" s="497">
        <f t="shared" si="27"/>
        <v>0</v>
      </c>
    </row>
    <row r="199" spans="1:65">
      <c r="A199">
        <v>52122</v>
      </c>
      <c r="B199" t="s">
        <v>394</v>
      </c>
      <c r="C199" t="s">
        <v>220</v>
      </c>
      <c r="D199" t="s">
        <v>1796</v>
      </c>
      <c r="F199" s="503">
        <v>43775</v>
      </c>
      <c r="H199" t="s">
        <v>396</v>
      </c>
      <c r="I199" t="s">
        <v>1753</v>
      </c>
      <c r="J199">
        <v>5000</v>
      </c>
      <c r="K199" t="s">
        <v>1068</v>
      </c>
      <c r="O199" t="s">
        <v>1068</v>
      </c>
      <c r="W199">
        <v>0.74</v>
      </c>
      <c r="X199">
        <v>0.83</v>
      </c>
      <c r="Y199">
        <v>0</v>
      </c>
      <c r="Z199">
        <v>0</v>
      </c>
      <c r="AA199">
        <v>0</v>
      </c>
      <c r="AE199" t="s">
        <v>1221</v>
      </c>
      <c r="AI199">
        <v>57</v>
      </c>
      <c r="AJ199">
        <v>1000345</v>
      </c>
      <c r="AK199">
        <v>0</v>
      </c>
      <c r="AL199">
        <v>0</v>
      </c>
      <c r="AN199" t="s">
        <v>133</v>
      </c>
      <c r="AO199">
        <v>3.45</v>
      </c>
      <c r="AX199">
        <v>20191106</v>
      </c>
      <c r="AY199" t="s">
        <v>1780</v>
      </c>
      <c r="BG199" s="556" t="str">
        <f t="shared" si="21"/>
        <v>O</v>
      </c>
      <c r="BH199" s="556" t="str">
        <f t="shared" si="22"/>
        <v/>
      </c>
      <c r="BI199" s="556" t="str">
        <f t="shared" si="23"/>
        <v/>
      </c>
      <c r="BJ199" s="556" t="str">
        <f t="shared" si="24"/>
        <v>M4</v>
      </c>
      <c r="BK199" s="556" t="str">
        <f t="shared" si="25"/>
        <v>M4</v>
      </c>
      <c r="BL199" s="556" t="str">
        <f t="shared" si="26"/>
        <v/>
      </c>
      <c r="BM199" s="497">
        <f t="shared" si="27"/>
        <v>52122</v>
      </c>
    </row>
    <row r="200" spans="1:65">
      <c r="A200">
        <v>45013</v>
      </c>
      <c r="B200" t="s">
        <v>3508</v>
      </c>
      <c r="C200" t="s">
        <v>3306</v>
      </c>
      <c r="D200" t="s">
        <v>3305</v>
      </c>
      <c r="F200" s="503">
        <v>45990</v>
      </c>
      <c r="H200" t="s">
        <v>3307</v>
      </c>
      <c r="I200" t="s">
        <v>1753</v>
      </c>
      <c r="J200">
        <v>0</v>
      </c>
      <c r="K200" t="s">
        <v>1068</v>
      </c>
      <c r="O200" t="s">
        <v>1068</v>
      </c>
      <c r="W200">
        <v>1</v>
      </c>
      <c r="X200">
        <v>1</v>
      </c>
      <c r="Y200">
        <v>0</v>
      </c>
      <c r="Z200">
        <v>0</v>
      </c>
      <c r="AA200">
        <v>0</v>
      </c>
      <c r="AE200" t="s">
        <v>1039</v>
      </c>
      <c r="AI200">
        <v>57</v>
      </c>
      <c r="AJ200">
        <v>1850345</v>
      </c>
      <c r="AK200">
        <v>0</v>
      </c>
      <c r="AL200">
        <v>0</v>
      </c>
      <c r="AN200" t="s">
        <v>1703</v>
      </c>
      <c r="AO200">
        <v>3.45</v>
      </c>
      <c r="AX200">
        <v>20251129</v>
      </c>
      <c r="AY200" t="s">
        <v>1780</v>
      </c>
      <c r="BG200" s="556" t="str">
        <f t="shared" si="21"/>
        <v>O</v>
      </c>
      <c r="BH200" s="556" t="str">
        <f t="shared" si="22"/>
        <v/>
      </c>
      <c r="BI200" s="556" t="str">
        <f t="shared" si="23"/>
        <v/>
      </c>
      <c r="BJ200" s="556" t="str">
        <f t="shared" si="24"/>
        <v>M4</v>
      </c>
      <c r="BK200" s="556" t="str">
        <f t="shared" si="25"/>
        <v>M4</v>
      </c>
      <c r="BL200" s="556" t="str">
        <f t="shared" si="26"/>
        <v/>
      </c>
      <c r="BM200" s="497">
        <f t="shared" si="27"/>
        <v>45013</v>
      </c>
    </row>
    <row r="201" spans="1:65">
      <c r="B201" t="s">
        <v>1279</v>
      </c>
      <c r="C201" t="s">
        <v>1271</v>
      </c>
      <c r="D201" t="s">
        <v>1796</v>
      </c>
      <c r="F201" s="503">
        <v>43917</v>
      </c>
      <c r="H201" t="s">
        <v>396</v>
      </c>
      <c r="I201" t="s">
        <v>1753</v>
      </c>
      <c r="J201">
        <v>0</v>
      </c>
      <c r="K201" t="s">
        <v>1756</v>
      </c>
      <c r="W201">
        <v>0</v>
      </c>
      <c r="X201">
        <v>0.17</v>
      </c>
      <c r="Y201">
        <v>0</v>
      </c>
      <c r="Z201">
        <v>0</v>
      </c>
      <c r="AA201">
        <v>0</v>
      </c>
      <c r="AE201" t="s">
        <v>1773</v>
      </c>
      <c r="AI201">
        <v>80</v>
      </c>
      <c r="AJ201">
        <v>4360320</v>
      </c>
      <c r="AK201">
        <v>0</v>
      </c>
      <c r="AL201">
        <v>0</v>
      </c>
      <c r="AN201" t="s">
        <v>134</v>
      </c>
      <c r="AO201">
        <v>3.2</v>
      </c>
      <c r="AX201">
        <v>20200327</v>
      </c>
      <c r="AY201" t="s">
        <v>1762</v>
      </c>
      <c r="BG201" s="556" t="str">
        <f t="shared" si="21"/>
        <v>X</v>
      </c>
      <c r="BH201" s="556" t="str">
        <f t="shared" si="22"/>
        <v/>
      </c>
      <c r="BI201" s="556" t="str">
        <f t="shared" si="23"/>
        <v/>
      </c>
      <c r="BJ201" s="556" t="str">
        <f t="shared" si="24"/>
        <v>Z</v>
      </c>
      <c r="BK201" s="556">
        <f t="shared" si="25"/>
        <v>0</v>
      </c>
      <c r="BL201" s="556" t="str">
        <f t="shared" si="26"/>
        <v/>
      </c>
      <c r="BM201" s="497">
        <f t="shared" si="27"/>
        <v>0</v>
      </c>
    </row>
    <row r="202" spans="1:65">
      <c r="A202">
        <v>50311</v>
      </c>
      <c r="B202" t="s">
        <v>1910</v>
      </c>
      <c r="C202" t="s">
        <v>1911</v>
      </c>
      <c r="D202" t="s">
        <v>1799</v>
      </c>
      <c r="F202" s="503">
        <v>44722</v>
      </c>
      <c r="H202" t="s">
        <v>1912</v>
      </c>
      <c r="I202" t="s">
        <v>1753</v>
      </c>
      <c r="J202">
        <v>5000</v>
      </c>
      <c r="K202" t="s">
        <v>1068</v>
      </c>
      <c r="O202" t="s">
        <v>1068</v>
      </c>
      <c r="W202">
        <v>0.59</v>
      </c>
      <c r="X202">
        <v>0.56999999999999995</v>
      </c>
      <c r="Y202">
        <v>0</v>
      </c>
      <c r="Z202">
        <v>0</v>
      </c>
      <c r="AA202">
        <v>2</v>
      </c>
      <c r="AE202" t="s">
        <v>1039</v>
      </c>
      <c r="AI202">
        <v>60</v>
      </c>
      <c r="AJ202">
        <v>1850348</v>
      </c>
      <c r="AK202">
        <v>0</v>
      </c>
      <c r="AN202" t="s">
        <v>1703</v>
      </c>
      <c r="AO202">
        <v>3.48</v>
      </c>
      <c r="AX202">
        <v>20220610</v>
      </c>
      <c r="AY202" t="s">
        <v>1754</v>
      </c>
      <c r="BG202" s="556" t="str">
        <f t="shared" si="21"/>
        <v>O</v>
      </c>
      <c r="BH202" s="556" t="str">
        <f t="shared" si="22"/>
        <v/>
      </c>
      <c r="BI202" s="556" t="str">
        <f t="shared" si="23"/>
        <v/>
      </c>
      <c r="BJ202" s="556" t="str">
        <f t="shared" si="24"/>
        <v>M4</v>
      </c>
      <c r="BK202" s="556" t="str">
        <f t="shared" si="25"/>
        <v>M4</v>
      </c>
      <c r="BL202" s="556" t="str">
        <f t="shared" si="26"/>
        <v/>
      </c>
      <c r="BM202" s="497">
        <f t="shared" si="27"/>
        <v>50311</v>
      </c>
    </row>
    <row r="203" spans="1:65">
      <c r="A203">
        <v>20052</v>
      </c>
      <c r="B203" t="s">
        <v>748</v>
      </c>
      <c r="C203" t="s">
        <v>751</v>
      </c>
      <c r="D203" t="s">
        <v>1774</v>
      </c>
      <c r="F203" s="503">
        <v>43010</v>
      </c>
      <c r="H203" t="s">
        <v>752</v>
      </c>
      <c r="I203" t="s">
        <v>1753</v>
      </c>
      <c r="J203">
        <v>4000</v>
      </c>
      <c r="K203" t="s">
        <v>1068</v>
      </c>
      <c r="O203" t="s">
        <v>1068</v>
      </c>
      <c r="W203">
        <v>0.82</v>
      </c>
      <c r="X203">
        <v>0.84</v>
      </c>
      <c r="Y203">
        <v>0</v>
      </c>
      <c r="Z203">
        <v>0</v>
      </c>
      <c r="AA203">
        <v>2</v>
      </c>
      <c r="AE203" t="s">
        <v>1039</v>
      </c>
      <c r="AI203">
        <v>60</v>
      </c>
      <c r="AJ203">
        <v>1850355</v>
      </c>
      <c r="AK203">
        <v>0</v>
      </c>
      <c r="AL203">
        <v>0</v>
      </c>
      <c r="AN203" t="s">
        <v>1703</v>
      </c>
      <c r="AO203">
        <v>3.55</v>
      </c>
      <c r="AV203" s="504">
        <v>46056</v>
      </c>
      <c r="AX203">
        <v>20171002</v>
      </c>
      <c r="AY203" t="s">
        <v>1754</v>
      </c>
      <c r="BG203" s="556" t="str">
        <f t="shared" si="21"/>
        <v>O</v>
      </c>
      <c r="BH203" s="556" t="str">
        <f t="shared" si="22"/>
        <v/>
      </c>
      <c r="BI203" s="556" t="str">
        <f t="shared" si="23"/>
        <v/>
      </c>
      <c r="BJ203" s="556" t="str">
        <f t="shared" si="24"/>
        <v>M4</v>
      </c>
      <c r="BK203" s="556" t="str">
        <f t="shared" si="25"/>
        <v>M4</v>
      </c>
      <c r="BL203" s="556" t="str">
        <f t="shared" si="26"/>
        <v/>
      </c>
      <c r="BM203" s="497">
        <f t="shared" si="27"/>
        <v>20052</v>
      </c>
    </row>
    <row r="204" spans="1:65">
      <c r="A204">
        <v>52123</v>
      </c>
      <c r="B204" t="s">
        <v>406</v>
      </c>
      <c r="C204" t="s">
        <v>318</v>
      </c>
      <c r="D204" t="s">
        <v>1796</v>
      </c>
      <c r="F204" s="503">
        <v>43775</v>
      </c>
      <c r="H204" t="s">
        <v>403</v>
      </c>
      <c r="I204" t="s">
        <v>1753</v>
      </c>
      <c r="J204">
        <v>0</v>
      </c>
      <c r="K204" t="s">
        <v>1068</v>
      </c>
      <c r="O204" t="s">
        <v>1068</v>
      </c>
      <c r="W204">
        <v>1</v>
      </c>
      <c r="X204">
        <v>1</v>
      </c>
      <c r="Y204">
        <v>0</v>
      </c>
      <c r="Z204">
        <v>0</v>
      </c>
      <c r="AA204">
        <v>0</v>
      </c>
      <c r="AE204" t="s">
        <v>1221</v>
      </c>
      <c r="AI204">
        <v>57</v>
      </c>
      <c r="AJ204">
        <v>1000345</v>
      </c>
      <c r="AK204">
        <v>0</v>
      </c>
      <c r="AL204">
        <v>0</v>
      </c>
      <c r="AN204" t="s">
        <v>133</v>
      </c>
      <c r="AO204">
        <v>3.45</v>
      </c>
      <c r="AX204">
        <v>20191106</v>
      </c>
      <c r="AY204" t="s">
        <v>1780</v>
      </c>
      <c r="BG204" s="556" t="str">
        <f t="shared" si="21"/>
        <v>O</v>
      </c>
      <c r="BH204" s="556" t="str">
        <f t="shared" si="22"/>
        <v/>
      </c>
      <c r="BI204" s="556" t="str">
        <f t="shared" si="23"/>
        <v/>
      </c>
      <c r="BJ204" s="556" t="str">
        <f t="shared" si="24"/>
        <v>M4</v>
      </c>
      <c r="BK204" s="556" t="str">
        <f t="shared" si="25"/>
        <v>M4</v>
      </c>
      <c r="BL204" s="556" t="str">
        <f t="shared" si="26"/>
        <v/>
      </c>
      <c r="BM204" s="497">
        <f t="shared" si="27"/>
        <v>52123</v>
      </c>
    </row>
    <row r="205" spans="1:65">
      <c r="A205">
        <v>52124</v>
      </c>
      <c r="B205" t="s">
        <v>401</v>
      </c>
      <c r="C205" t="s">
        <v>220</v>
      </c>
      <c r="D205" t="s">
        <v>1796</v>
      </c>
      <c r="F205" s="503">
        <v>43776</v>
      </c>
      <c r="H205" t="s">
        <v>403</v>
      </c>
      <c r="I205" t="s">
        <v>1753</v>
      </c>
      <c r="J205">
        <v>0</v>
      </c>
      <c r="K205" t="s">
        <v>1068</v>
      </c>
      <c r="O205" t="s">
        <v>1068</v>
      </c>
      <c r="W205">
        <v>0.8</v>
      </c>
      <c r="X205">
        <v>0.87</v>
      </c>
      <c r="Y205">
        <v>0</v>
      </c>
      <c r="Z205">
        <v>0</v>
      </c>
      <c r="AA205">
        <v>0</v>
      </c>
      <c r="AE205" t="s">
        <v>1221</v>
      </c>
      <c r="AI205">
        <v>57</v>
      </c>
      <c r="AJ205">
        <v>1000345</v>
      </c>
      <c r="AK205">
        <v>0</v>
      </c>
      <c r="AN205" t="s">
        <v>133</v>
      </c>
      <c r="AO205">
        <v>3.45</v>
      </c>
      <c r="AX205">
        <v>20191107</v>
      </c>
      <c r="AY205" t="s">
        <v>1780</v>
      </c>
      <c r="BG205" s="556" t="str">
        <f t="shared" si="21"/>
        <v>O</v>
      </c>
      <c r="BH205" s="556" t="str">
        <f t="shared" si="22"/>
        <v/>
      </c>
      <c r="BI205" s="556" t="str">
        <f t="shared" si="23"/>
        <v/>
      </c>
      <c r="BJ205" s="556" t="str">
        <f t="shared" si="24"/>
        <v>M4</v>
      </c>
      <c r="BK205" s="556" t="str">
        <f t="shared" si="25"/>
        <v>M4</v>
      </c>
      <c r="BL205" s="556" t="str">
        <f t="shared" si="26"/>
        <v/>
      </c>
      <c r="BM205" s="497">
        <f t="shared" si="27"/>
        <v>52124</v>
      </c>
    </row>
    <row r="206" spans="1:65">
      <c r="A206">
        <v>50647</v>
      </c>
      <c r="B206" t="s">
        <v>3110</v>
      </c>
      <c r="C206" t="s">
        <v>1027</v>
      </c>
      <c r="D206" t="s">
        <v>1829</v>
      </c>
      <c r="F206" s="503">
        <v>45771</v>
      </c>
      <c r="H206" t="s">
        <v>3098</v>
      </c>
      <c r="I206" t="s">
        <v>1753</v>
      </c>
      <c r="J206">
        <v>2000</v>
      </c>
      <c r="K206" t="s">
        <v>1068</v>
      </c>
      <c r="O206" t="s">
        <v>1068</v>
      </c>
      <c r="W206">
        <v>1.29</v>
      </c>
      <c r="X206">
        <v>1.41</v>
      </c>
      <c r="Y206">
        <v>0</v>
      </c>
      <c r="Z206">
        <v>0</v>
      </c>
      <c r="AA206">
        <v>0</v>
      </c>
      <c r="AE206" t="s">
        <v>1039</v>
      </c>
      <c r="AI206">
        <v>57</v>
      </c>
      <c r="AJ206">
        <v>2200348</v>
      </c>
      <c r="AK206">
        <v>0</v>
      </c>
      <c r="AN206" t="s">
        <v>2345</v>
      </c>
      <c r="AO206">
        <v>3.48</v>
      </c>
      <c r="AX206">
        <v>20250424</v>
      </c>
      <c r="AY206" t="s">
        <v>1780</v>
      </c>
      <c r="BG206" s="556" t="str">
        <f t="shared" si="21"/>
        <v>O</v>
      </c>
      <c r="BH206" s="556" t="str">
        <f t="shared" si="22"/>
        <v/>
      </c>
      <c r="BI206" s="556" t="str">
        <f t="shared" si="23"/>
        <v/>
      </c>
      <c r="BJ206" s="556" t="str">
        <f t="shared" si="24"/>
        <v>M4</v>
      </c>
      <c r="BK206" s="556" t="str">
        <f t="shared" si="25"/>
        <v>M4</v>
      </c>
      <c r="BL206" s="556" t="str">
        <f t="shared" si="26"/>
        <v/>
      </c>
      <c r="BM206" s="497">
        <f t="shared" si="27"/>
        <v>50647</v>
      </c>
    </row>
    <row r="207" spans="1:65">
      <c r="A207">
        <v>50642</v>
      </c>
      <c r="B207" t="s">
        <v>658</v>
      </c>
      <c r="C207" t="s">
        <v>659</v>
      </c>
      <c r="D207" t="s">
        <v>1829</v>
      </c>
      <c r="F207" s="503">
        <v>43902</v>
      </c>
      <c r="H207" t="s">
        <v>400</v>
      </c>
      <c r="I207" t="s">
        <v>1913</v>
      </c>
      <c r="J207">
        <v>2000</v>
      </c>
      <c r="K207" t="s">
        <v>1068</v>
      </c>
      <c r="O207" t="s">
        <v>1068</v>
      </c>
      <c r="S207" t="s">
        <v>2301</v>
      </c>
      <c r="W207">
        <v>1.73</v>
      </c>
      <c r="X207">
        <v>1.74</v>
      </c>
      <c r="Y207">
        <v>0</v>
      </c>
      <c r="Z207">
        <v>0</v>
      </c>
      <c r="AA207">
        <v>2</v>
      </c>
      <c r="AE207" t="s">
        <v>1039</v>
      </c>
      <c r="AI207">
        <v>69</v>
      </c>
      <c r="AJ207">
        <v>1850320</v>
      </c>
      <c r="AK207">
        <v>0</v>
      </c>
      <c r="AN207" t="s">
        <v>1703</v>
      </c>
      <c r="AO207">
        <v>3.2</v>
      </c>
      <c r="AR207" t="s">
        <v>2948</v>
      </c>
      <c r="AX207">
        <v>20200312</v>
      </c>
      <c r="AY207" t="s">
        <v>1830</v>
      </c>
      <c r="BG207" s="556" t="str">
        <f t="shared" si="21"/>
        <v>O</v>
      </c>
      <c r="BH207" s="556" t="str">
        <f t="shared" si="22"/>
        <v/>
      </c>
      <c r="BI207" s="556" t="str">
        <f t="shared" si="23"/>
        <v/>
      </c>
      <c r="BJ207" s="556" t="str">
        <f t="shared" si="24"/>
        <v>M4</v>
      </c>
      <c r="BK207" s="556" t="str">
        <f t="shared" si="25"/>
        <v>M4</v>
      </c>
      <c r="BL207" s="556" t="str">
        <f t="shared" si="26"/>
        <v>CT</v>
      </c>
      <c r="BM207" s="497">
        <f t="shared" si="27"/>
        <v>50642</v>
      </c>
    </row>
    <row r="208" spans="1:65">
      <c r="A208">
        <v>51820</v>
      </c>
      <c r="B208" t="s">
        <v>1914</v>
      </c>
      <c r="C208" t="s">
        <v>1915</v>
      </c>
      <c r="D208" t="s">
        <v>1772</v>
      </c>
      <c r="F208" s="503">
        <v>44077</v>
      </c>
      <c r="H208" t="s">
        <v>400</v>
      </c>
      <c r="I208" t="s">
        <v>1753</v>
      </c>
      <c r="J208">
        <v>2000</v>
      </c>
      <c r="K208" t="s">
        <v>1068</v>
      </c>
      <c r="O208" t="s">
        <v>1068</v>
      </c>
      <c r="W208">
        <v>1.24</v>
      </c>
      <c r="X208">
        <v>1.26</v>
      </c>
      <c r="Y208">
        <v>0</v>
      </c>
      <c r="Z208">
        <v>0</v>
      </c>
      <c r="AA208">
        <v>0</v>
      </c>
      <c r="AE208" t="s">
        <v>1761</v>
      </c>
      <c r="AI208">
        <v>57</v>
      </c>
      <c r="AJ208">
        <v>3020467</v>
      </c>
      <c r="AK208">
        <v>0</v>
      </c>
      <c r="AL208">
        <v>0</v>
      </c>
      <c r="AN208" t="s">
        <v>135</v>
      </c>
      <c r="AO208">
        <v>4.67</v>
      </c>
      <c r="AX208">
        <v>20200903</v>
      </c>
      <c r="AY208" t="s">
        <v>1780</v>
      </c>
      <c r="BG208" s="556" t="str">
        <f t="shared" si="21"/>
        <v>O</v>
      </c>
      <c r="BH208" s="556" t="str">
        <f t="shared" si="22"/>
        <v/>
      </c>
      <c r="BI208" s="556" t="str">
        <f t="shared" si="23"/>
        <v/>
      </c>
      <c r="BJ208" s="556" t="str">
        <f t="shared" si="24"/>
        <v>M4</v>
      </c>
      <c r="BK208" s="556" t="str">
        <f t="shared" si="25"/>
        <v>M4</v>
      </c>
      <c r="BL208" s="556" t="str">
        <f t="shared" si="26"/>
        <v/>
      </c>
      <c r="BM208" s="497">
        <f t="shared" si="27"/>
        <v>51820</v>
      </c>
    </row>
    <row r="209" spans="1:65">
      <c r="A209">
        <v>50117</v>
      </c>
      <c r="B209" t="s">
        <v>1916</v>
      </c>
      <c r="C209" t="s">
        <v>1917</v>
      </c>
      <c r="D209" t="s">
        <v>1918</v>
      </c>
      <c r="F209" s="503">
        <v>44148</v>
      </c>
      <c r="H209" t="s">
        <v>400</v>
      </c>
      <c r="I209" t="s">
        <v>1753</v>
      </c>
      <c r="J209">
        <v>2000</v>
      </c>
      <c r="K209" t="s">
        <v>1068</v>
      </c>
      <c r="O209" t="s">
        <v>1068</v>
      </c>
      <c r="W209">
        <v>1.4</v>
      </c>
      <c r="X209">
        <v>1.33</v>
      </c>
      <c r="Y209">
        <v>0</v>
      </c>
      <c r="Z209">
        <v>0</v>
      </c>
      <c r="AA209">
        <v>0</v>
      </c>
      <c r="AE209" t="s">
        <v>1761</v>
      </c>
      <c r="AI209">
        <v>57</v>
      </c>
      <c r="AJ209">
        <v>3020345</v>
      </c>
      <c r="AK209">
        <v>0</v>
      </c>
      <c r="AL209">
        <v>0</v>
      </c>
      <c r="AN209" t="s">
        <v>2629</v>
      </c>
      <c r="AO209">
        <v>3.45</v>
      </c>
      <c r="AX209">
        <v>20201113</v>
      </c>
      <c r="AY209" t="s">
        <v>1780</v>
      </c>
      <c r="BG209" s="556" t="str">
        <f t="shared" si="21"/>
        <v>O</v>
      </c>
      <c r="BH209" s="556" t="str">
        <f t="shared" si="22"/>
        <v/>
      </c>
      <c r="BI209" s="556" t="str">
        <f t="shared" si="23"/>
        <v/>
      </c>
      <c r="BJ209" s="556" t="str">
        <f t="shared" si="24"/>
        <v>M4</v>
      </c>
      <c r="BK209" s="556" t="str">
        <f t="shared" si="25"/>
        <v>M4</v>
      </c>
      <c r="BL209" s="556" t="str">
        <f t="shared" si="26"/>
        <v/>
      </c>
      <c r="BM209" s="497">
        <f t="shared" si="27"/>
        <v>50117</v>
      </c>
    </row>
    <row r="210" spans="1:65">
      <c r="A210">
        <v>52126</v>
      </c>
      <c r="B210" t="s">
        <v>398</v>
      </c>
      <c r="C210" t="s">
        <v>311</v>
      </c>
      <c r="D210" t="s">
        <v>1796</v>
      </c>
      <c r="F210" s="503">
        <v>43774</v>
      </c>
      <c r="H210" t="s">
        <v>400</v>
      </c>
      <c r="I210" t="s">
        <v>1753</v>
      </c>
      <c r="J210">
        <v>0</v>
      </c>
      <c r="K210" t="s">
        <v>1068</v>
      </c>
      <c r="O210" t="s">
        <v>1068</v>
      </c>
      <c r="W210">
        <v>0.76</v>
      </c>
      <c r="X210">
        <v>0.69</v>
      </c>
      <c r="Y210">
        <v>0</v>
      </c>
      <c r="Z210">
        <v>0</v>
      </c>
      <c r="AA210">
        <v>0</v>
      </c>
      <c r="AE210" t="s">
        <v>1221</v>
      </c>
      <c r="AI210">
        <v>57</v>
      </c>
      <c r="AJ210">
        <v>1000345</v>
      </c>
      <c r="AK210">
        <v>0</v>
      </c>
      <c r="AN210" t="s">
        <v>133</v>
      </c>
      <c r="AO210">
        <v>3.45</v>
      </c>
      <c r="AX210">
        <v>20191105</v>
      </c>
      <c r="AY210" t="s">
        <v>1780</v>
      </c>
      <c r="BG210" s="556" t="str">
        <f t="shared" si="21"/>
        <v>O</v>
      </c>
      <c r="BH210" s="556" t="str">
        <f t="shared" si="22"/>
        <v/>
      </c>
      <c r="BI210" s="556" t="str">
        <f t="shared" si="23"/>
        <v/>
      </c>
      <c r="BJ210" s="556" t="str">
        <f t="shared" si="24"/>
        <v>M4</v>
      </c>
      <c r="BK210" s="556" t="str">
        <f t="shared" si="25"/>
        <v>M4</v>
      </c>
      <c r="BL210" s="556" t="str">
        <f t="shared" si="26"/>
        <v/>
      </c>
      <c r="BM210" s="497">
        <f t="shared" si="27"/>
        <v>52126</v>
      </c>
    </row>
    <row r="211" spans="1:65">
      <c r="A211">
        <v>52125</v>
      </c>
      <c r="B211" t="s">
        <v>404</v>
      </c>
      <c r="C211" t="s">
        <v>324</v>
      </c>
      <c r="D211" t="s">
        <v>1796</v>
      </c>
      <c r="F211" s="503">
        <v>43776</v>
      </c>
      <c r="H211" t="s">
        <v>400</v>
      </c>
      <c r="I211" t="s">
        <v>1753</v>
      </c>
      <c r="J211">
        <v>2000</v>
      </c>
      <c r="K211" t="s">
        <v>1068</v>
      </c>
      <c r="O211" t="s">
        <v>2302</v>
      </c>
      <c r="W211">
        <v>0.94</v>
      </c>
      <c r="X211">
        <v>1.4</v>
      </c>
      <c r="Y211">
        <v>0</v>
      </c>
      <c r="Z211">
        <v>0</v>
      </c>
      <c r="AA211">
        <v>0</v>
      </c>
      <c r="AE211" t="s">
        <v>1221</v>
      </c>
      <c r="AI211">
        <v>18</v>
      </c>
      <c r="AJ211">
        <v>1000345</v>
      </c>
      <c r="AK211">
        <v>0</v>
      </c>
      <c r="AL211">
        <v>0</v>
      </c>
      <c r="AN211" t="s">
        <v>133</v>
      </c>
      <c r="AO211">
        <v>3.45</v>
      </c>
      <c r="AX211">
        <v>20191107</v>
      </c>
      <c r="AY211" t="s">
        <v>1800</v>
      </c>
      <c r="AZ211" t="s">
        <v>1897</v>
      </c>
      <c r="BA211" t="s">
        <v>1895</v>
      </c>
      <c r="BG211" s="556" t="str">
        <f t="shared" si="21"/>
        <v>O</v>
      </c>
      <c r="BH211" s="556" t="str">
        <f t="shared" si="22"/>
        <v>Y</v>
      </c>
      <c r="BI211" s="556" t="str">
        <f t="shared" si="23"/>
        <v/>
      </c>
      <c r="BJ211" s="556" t="str">
        <f t="shared" si="24"/>
        <v>M4</v>
      </c>
      <c r="BK211" s="556" t="str">
        <f t="shared" si="25"/>
        <v>S4</v>
      </c>
      <c r="BL211" s="556" t="str">
        <f t="shared" si="26"/>
        <v/>
      </c>
      <c r="BM211" s="497">
        <f t="shared" si="27"/>
        <v>52125</v>
      </c>
    </row>
    <row r="212" spans="1:65">
      <c r="A212">
        <v>50114</v>
      </c>
      <c r="B212" t="s">
        <v>1919</v>
      </c>
      <c r="C212" t="s">
        <v>220</v>
      </c>
      <c r="D212" t="s">
        <v>1918</v>
      </c>
      <c r="F212" s="503">
        <v>44160</v>
      </c>
      <c r="H212" t="s">
        <v>400</v>
      </c>
      <c r="I212" t="s">
        <v>1753</v>
      </c>
      <c r="J212">
        <v>2000</v>
      </c>
      <c r="K212" t="s">
        <v>1068</v>
      </c>
      <c r="O212" t="s">
        <v>1068</v>
      </c>
      <c r="W212">
        <v>0.83</v>
      </c>
      <c r="X212">
        <v>0.96</v>
      </c>
      <c r="Y212">
        <v>0</v>
      </c>
      <c r="Z212">
        <v>0</v>
      </c>
      <c r="AA212">
        <v>0</v>
      </c>
      <c r="AE212" t="s">
        <v>1039</v>
      </c>
      <c r="AI212">
        <v>57</v>
      </c>
      <c r="AJ212">
        <v>1000345</v>
      </c>
      <c r="AK212">
        <v>0</v>
      </c>
      <c r="AN212" t="s">
        <v>133</v>
      </c>
      <c r="AO212">
        <v>3.45</v>
      </c>
      <c r="AX212">
        <v>20201125</v>
      </c>
      <c r="AY212" t="s">
        <v>1780</v>
      </c>
      <c r="BG212" s="556" t="str">
        <f t="shared" si="21"/>
        <v>O</v>
      </c>
      <c r="BH212" s="556" t="str">
        <f t="shared" si="22"/>
        <v/>
      </c>
      <c r="BI212" s="556" t="str">
        <f t="shared" si="23"/>
        <v/>
      </c>
      <c r="BJ212" s="556" t="str">
        <f t="shared" si="24"/>
        <v>M4</v>
      </c>
      <c r="BK212" s="556" t="str">
        <f t="shared" si="25"/>
        <v>M4</v>
      </c>
      <c r="BL212" s="556" t="str">
        <f t="shared" si="26"/>
        <v/>
      </c>
      <c r="BM212" s="497">
        <f t="shared" si="27"/>
        <v>50114</v>
      </c>
    </row>
    <row r="213" spans="1:65">
      <c r="A213">
        <v>50106</v>
      </c>
      <c r="B213" t="s">
        <v>1669</v>
      </c>
      <c r="C213" t="s">
        <v>113</v>
      </c>
      <c r="D213" t="s">
        <v>1918</v>
      </c>
      <c r="F213" s="503">
        <v>44117</v>
      </c>
      <c r="H213" t="s">
        <v>400</v>
      </c>
      <c r="I213" t="s">
        <v>1753</v>
      </c>
      <c r="J213">
        <v>2000</v>
      </c>
      <c r="K213" t="s">
        <v>1068</v>
      </c>
      <c r="O213" t="s">
        <v>2302</v>
      </c>
      <c r="W213">
        <v>0.98</v>
      </c>
      <c r="X213">
        <v>1.1599999999999999</v>
      </c>
      <c r="Y213">
        <v>0</v>
      </c>
      <c r="Z213">
        <v>0</v>
      </c>
      <c r="AA213">
        <v>0</v>
      </c>
      <c r="AE213" t="s">
        <v>1039</v>
      </c>
      <c r="AI213">
        <v>82</v>
      </c>
      <c r="AJ213">
        <v>1000345</v>
      </c>
      <c r="AK213">
        <v>0</v>
      </c>
      <c r="AN213" t="s">
        <v>133</v>
      </c>
      <c r="AO213">
        <v>3.45</v>
      </c>
      <c r="AX213">
        <v>20201013</v>
      </c>
      <c r="AY213" t="s">
        <v>1800</v>
      </c>
      <c r="AZ213" t="s">
        <v>1895</v>
      </c>
      <c r="BG213" s="556" t="str">
        <f t="shared" si="21"/>
        <v>O</v>
      </c>
      <c r="BH213" s="556" t="str">
        <f t="shared" si="22"/>
        <v>Y</v>
      </c>
      <c r="BI213" s="556" t="str">
        <f t="shared" si="23"/>
        <v/>
      </c>
      <c r="BJ213" s="556" t="str">
        <f t="shared" si="24"/>
        <v>M4</v>
      </c>
      <c r="BK213" s="556" t="str">
        <f t="shared" si="25"/>
        <v>S4</v>
      </c>
      <c r="BL213" s="556" t="str">
        <f t="shared" si="26"/>
        <v/>
      </c>
      <c r="BM213" s="497">
        <f t="shared" si="27"/>
        <v>50106</v>
      </c>
    </row>
    <row r="214" spans="1:65">
      <c r="A214">
        <v>53106</v>
      </c>
      <c r="B214" t="s">
        <v>1691</v>
      </c>
      <c r="C214" t="s">
        <v>113</v>
      </c>
      <c r="D214" t="s">
        <v>1819</v>
      </c>
      <c r="F214" s="503">
        <v>44415</v>
      </c>
      <c r="H214" t="s">
        <v>673</v>
      </c>
      <c r="I214" t="s">
        <v>1753</v>
      </c>
      <c r="J214">
        <v>4000</v>
      </c>
      <c r="K214" t="s">
        <v>1068</v>
      </c>
      <c r="O214" t="s">
        <v>2302</v>
      </c>
      <c r="W214">
        <v>1.01</v>
      </c>
      <c r="X214">
        <v>1.22</v>
      </c>
      <c r="Y214">
        <v>0</v>
      </c>
      <c r="Z214">
        <v>0</v>
      </c>
      <c r="AA214">
        <v>0</v>
      </c>
      <c r="AE214" t="s">
        <v>2128</v>
      </c>
      <c r="AI214">
        <v>18</v>
      </c>
      <c r="AJ214">
        <v>2700345</v>
      </c>
      <c r="AK214">
        <v>0</v>
      </c>
      <c r="AL214">
        <v>0</v>
      </c>
      <c r="AN214" t="s">
        <v>1731</v>
      </c>
      <c r="AO214">
        <v>3.45</v>
      </c>
      <c r="AX214">
        <v>20210807</v>
      </c>
      <c r="AY214" t="s">
        <v>1800</v>
      </c>
      <c r="AZ214" t="s">
        <v>1891</v>
      </c>
      <c r="BG214" s="556" t="str">
        <f t="shared" si="21"/>
        <v>O</v>
      </c>
      <c r="BH214" s="556" t="str">
        <f t="shared" si="22"/>
        <v>Y</v>
      </c>
      <c r="BI214" s="556" t="str">
        <f t="shared" si="23"/>
        <v/>
      </c>
      <c r="BJ214" s="556" t="str">
        <f t="shared" si="24"/>
        <v>M4</v>
      </c>
      <c r="BK214" s="556" t="str">
        <f t="shared" si="25"/>
        <v>S4</v>
      </c>
      <c r="BL214" s="556" t="str">
        <f t="shared" si="26"/>
        <v/>
      </c>
      <c r="BM214" s="497">
        <f t="shared" si="27"/>
        <v>53106</v>
      </c>
    </row>
    <row r="215" spans="1:65">
      <c r="A215">
        <v>50116</v>
      </c>
      <c r="B215" t="s">
        <v>1920</v>
      </c>
      <c r="C215" t="s">
        <v>201</v>
      </c>
      <c r="D215" t="s">
        <v>1918</v>
      </c>
      <c r="F215" s="503">
        <v>44148</v>
      </c>
      <c r="H215" t="s">
        <v>400</v>
      </c>
      <c r="I215" t="s">
        <v>1753</v>
      </c>
      <c r="J215">
        <v>2000</v>
      </c>
      <c r="K215" t="s">
        <v>1068</v>
      </c>
      <c r="O215" t="s">
        <v>1068</v>
      </c>
      <c r="W215">
        <v>0.83</v>
      </c>
      <c r="X215">
        <v>0.85</v>
      </c>
      <c r="Y215">
        <v>0</v>
      </c>
      <c r="Z215">
        <v>0</v>
      </c>
      <c r="AA215">
        <v>2</v>
      </c>
      <c r="AE215" t="s">
        <v>1773</v>
      </c>
      <c r="AI215">
        <v>60</v>
      </c>
      <c r="AJ215">
        <v>1850325</v>
      </c>
      <c r="AK215">
        <v>0</v>
      </c>
      <c r="AL215">
        <v>0</v>
      </c>
      <c r="AN215" t="s">
        <v>1703</v>
      </c>
      <c r="AO215">
        <v>3.25</v>
      </c>
      <c r="AX215">
        <v>20201113</v>
      </c>
      <c r="AY215" t="s">
        <v>1754</v>
      </c>
      <c r="BG215" s="556" t="str">
        <f t="shared" si="21"/>
        <v>O</v>
      </c>
      <c r="BH215" s="556" t="str">
        <f t="shared" si="22"/>
        <v/>
      </c>
      <c r="BI215" s="556" t="str">
        <f t="shared" si="23"/>
        <v/>
      </c>
      <c r="BJ215" s="556" t="str">
        <f t="shared" si="24"/>
        <v>M4</v>
      </c>
      <c r="BK215" s="556" t="str">
        <f t="shared" si="25"/>
        <v>M4</v>
      </c>
      <c r="BL215" s="556" t="str">
        <f t="shared" si="26"/>
        <v/>
      </c>
      <c r="BM215" s="497">
        <f t="shared" si="27"/>
        <v>50116</v>
      </c>
    </row>
    <row r="216" spans="1:65">
      <c r="A216">
        <v>50100</v>
      </c>
      <c r="B216" t="s">
        <v>671</v>
      </c>
      <c r="C216" t="s">
        <v>255</v>
      </c>
      <c r="D216" t="s">
        <v>1918</v>
      </c>
      <c r="F216" s="503">
        <v>43490</v>
      </c>
      <c r="H216" t="s">
        <v>673</v>
      </c>
      <c r="I216" t="s">
        <v>1753</v>
      </c>
      <c r="J216">
        <v>2000</v>
      </c>
      <c r="K216" t="s">
        <v>1068</v>
      </c>
      <c r="O216" t="s">
        <v>1068</v>
      </c>
      <c r="W216">
        <v>0.82</v>
      </c>
      <c r="X216">
        <v>0.85</v>
      </c>
      <c r="Y216">
        <v>0</v>
      </c>
      <c r="Z216">
        <v>0</v>
      </c>
      <c r="AA216">
        <v>2</v>
      </c>
      <c r="AE216" t="s">
        <v>1039</v>
      </c>
      <c r="AI216">
        <v>60</v>
      </c>
      <c r="AJ216">
        <v>1850325</v>
      </c>
      <c r="AK216">
        <v>0</v>
      </c>
      <c r="AN216" t="s">
        <v>1703</v>
      </c>
      <c r="AO216">
        <v>3.25</v>
      </c>
      <c r="AX216">
        <v>20190125</v>
      </c>
      <c r="AY216" t="s">
        <v>1754</v>
      </c>
      <c r="BG216" s="556" t="str">
        <f t="shared" si="21"/>
        <v>O</v>
      </c>
      <c r="BH216" s="556" t="str">
        <f t="shared" si="22"/>
        <v/>
      </c>
      <c r="BI216" s="556" t="str">
        <f t="shared" si="23"/>
        <v/>
      </c>
      <c r="BJ216" s="556" t="str">
        <f t="shared" si="24"/>
        <v>M4</v>
      </c>
      <c r="BK216" s="556" t="str">
        <f t="shared" si="25"/>
        <v>M4</v>
      </c>
      <c r="BL216" s="556" t="str">
        <f t="shared" si="26"/>
        <v/>
      </c>
      <c r="BM216" s="497">
        <f t="shared" si="27"/>
        <v>50100</v>
      </c>
    </row>
    <row r="217" spans="1:65">
      <c r="A217">
        <v>31021</v>
      </c>
      <c r="B217" t="s">
        <v>604</v>
      </c>
      <c r="C217" t="s">
        <v>606</v>
      </c>
      <c r="D217" t="s">
        <v>1921</v>
      </c>
      <c r="F217" s="503">
        <v>43362</v>
      </c>
      <c r="H217" t="s">
        <v>400</v>
      </c>
      <c r="I217" t="s">
        <v>1913</v>
      </c>
      <c r="J217">
        <v>0</v>
      </c>
      <c r="K217" t="s">
        <v>1068</v>
      </c>
      <c r="O217" t="s">
        <v>1068</v>
      </c>
      <c r="S217" t="s">
        <v>2301</v>
      </c>
      <c r="W217">
        <v>0.96</v>
      </c>
      <c r="X217">
        <v>0.96</v>
      </c>
      <c r="Y217">
        <v>0</v>
      </c>
      <c r="Z217">
        <v>0</v>
      </c>
      <c r="AA217">
        <v>2</v>
      </c>
      <c r="AE217" t="s">
        <v>1039</v>
      </c>
      <c r="AI217">
        <v>69</v>
      </c>
      <c r="AJ217">
        <v>1850320</v>
      </c>
      <c r="AK217">
        <v>0</v>
      </c>
      <c r="AN217" t="s">
        <v>1703</v>
      </c>
      <c r="AO217">
        <v>3.2</v>
      </c>
      <c r="AR217" t="s">
        <v>2948</v>
      </c>
      <c r="AX217">
        <v>20180919</v>
      </c>
      <c r="AY217" t="s">
        <v>1830</v>
      </c>
      <c r="BG217" s="556" t="str">
        <f t="shared" si="21"/>
        <v>O</v>
      </c>
      <c r="BH217" s="556" t="str">
        <f t="shared" si="22"/>
        <v/>
      </c>
      <c r="BI217" s="556" t="str">
        <f t="shared" si="23"/>
        <v/>
      </c>
      <c r="BJ217" s="556" t="str">
        <f t="shared" si="24"/>
        <v>M4</v>
      </c>
      <c r="BK217" s="556" t="str">
        <f t="shared" si="25"/>
        <v>M4</v>
      </c>
      <c r="BL217" s="556" t="str">
        <f t="shared" si="26"/>
        <v>CT</v>
      </c>
      <c r="BM217" s="497">
        <f t="shared" si="27"/>
        <v>31021</v>
      </c>
    </row>
    <row r="218" spans="1:65">
      <c r="A218">
        <v>50113</v>
      </c>
      <c r="B218" t="s">
        <v>1922</v>
      </c>
      <c r="C218" t="s">
        <v>984</v>
      </c>
      <c r="D218" t="s">
        <v>1918</v>
      </c>
      <c r="F218" s="503">
        <v>44148</v>
      </c>
      <c r="H218" t="s">
        <v>400</v>
      </c>
      <c r="I218" t="s">
        <v>1753</v>
      </c>
      <c r="J218">
        <v>2000</v>
      </c>
      <c r="K218" t="s">
        <v>1068</v>
      </c>
      <c r="O218" t="s">
        <v>1068</v>
      </c>
      <c r="W218">
        <v>0.98</v>
      </c>
      <c r="X218">
        <v>1</v>
      </c>
      <c r="Y218">
        <v>0</v>
      </c>
      <c r="Z218">
        <v>0</v>
      </c>
      <c r="AA218">
        <v>2</v>
      </c>
      <c r="AE218" t="s">
        <v>1773</v>
      </c>
      <c r="AI218">
        <v>60</v>
      </c>
      <c r="AJ218">
        <v>1850325</v>
      </c>
      <c r="AK218">
        <v>0</v>
      </c>
      <c r="AL218">
        <v>0</v>
      </c>
      <c r="AN218" t="s">
        <v>1703</v>
      </c>
      <c r="AO218">
        <v>3.25</v>
      </c>
      <c r="AX218">
        <v>20201113</v>
      </c>
      <c r="AY218" t="s">
        <v>1754</v>
      </c>
      <c r="BG218" s="556" t="str">
        <f t="shared" si="21"/>
        <v>O</v>
      </c>
      <c r="BH218" s="556" t="str">
        <f t="shared" si="22"/>
        <v/>
      </c>
      <c r="BI218" s="556" t="str">
        <f t="shared" si="23"/>
        <v/>
      </c>
      <c r="BJ218" s="556" t="str">
        <f t="shared" si="24"/>
        <v>M4</v>
      </c>
      <c r="BK218" s="556" t="str">
        <f t="shared" si="25"/>
        <v>M4</v>
      </c>
      <c r="BL218" s="556" t="str">
        <f t="shared" si="26"/>
        <v/>
      </c>
      <c r="BM218" s="497">
        <f t="shared" si="27"/>
        <v>50113</v>
      </c>
    </row>
    <row r="219" spans="1:65">
      <c r="A219">
        <v>50112</v>
      </c>
      <c r="B219" t="s">
        <v>1923</v>
      </c>
      <c r="C219" t="s">
        <v>984</v>
      </c>
      <c r="D219" t="s">
        <v>1918</v>
      </c>
      <c r="F219" s="503">
        <v>44148</v>
      </c>
      <c r="H219" t="s">
        <v>400</v>
      </c>
      <c r="I219" t="s">
        <v>1753</v>
      </c>
      <c r="J219">
        <v>3000</v>
      </c>
      <c r="K219" t="s">
        <v>1068</v>
      </c>
      <c r="O219" t="s">
        <v>1068</v>
      </c>
      <c r="W219">
        <v>0.98</v>
      </c>
      <c r="X219">
        <v>1</v>
      </c>
      <c r="Y219">
        <v>0</v>
      </c>
      <c r="Z219">
        <v>0</v>
      </c>
      <c r="AA219">
        <v>2</v>
      </c>
      <c r="AE219" t="s">
        <v>1039</v>
      </c>
      <c r="AI219">
        <v>60</v>
      </c>
      <c r="AJ219">
        <v>1850325</v>
      </c>
      <c r="AK219">
        <v>0</v>
      </c>
      <c r="AL219">
        <v>0</v>
      </c>
      <c r="AN219" t="s">
        <v>1703</v>
      </c>
      <c r="AO219">
        <v>3.25</v>
      </c>
      <c r="AX219">
        <v>20201113</v>
      </c>
      <c r="AY219" t="s">
        <v>1754</v>
      </c>
      <c r="BG219" s="556" t="str">
        <f t="shared" si="21"/>
        <v>O</v>
      </c>
      <c r="BH219" s="556" t="str">
        <f t="shared" si="22"/>
        <v/>
      </c>
      <c r="BI219" s="556" t="str">
        <f t="shared" si="23"/>
        <v/>
      </c>
      <c r="BJ219" s="556" t="str">
        <f t="shared" si="24"/>
        <v>M4</v>
      </c>
      <c r="BK219" s="556" t="str">
        <f t="shared" si="25"/>
        <v>M4</v>
      </c>
      <c r="BL219" s="556" t="str">
        <f t="shared" si="26"/>
        <v/>
      </c>
      <c r="BM219" s="497">
        <f t="shared" si="27"/>
        <v>50112</v>
      </c>
    </row>
    <row r="220" spans="1:65">
      <c r="A220">
        <v>53102</v>
      </c>
      <c r="B220" t="s">
        <v>1692</v>
      </c>
      <c r="C220" t="s">
        <v>984</v>
      </c>
      <c r="D220" t="s">
        <v>1819</v>
      </c>
      <c r="F220" s="503">
        <v>44414</v>
      </c>
      <c r="H220" t="s">
        <v>400</v>
      </c>
      <c r="I220" t="s">
        <v>1753</v>
      </c>
      <c r="J220">
        <v>2000</v>
      </c>
      <c r="K220" t="s">
        <v>1068</v>
      </c>
      <c r="O220" t="s">
        <v>1068</v>
      </c>
      <c r="W220">
        <v>1.1599999999999999</v>
      </c>
      <c r="X220">
        <v>1.04</v>
      </c>
      <c r="Y220">
        <v>0</v>
      </c>
      <c r="Z220">
        <v>0</v>
      </c>
      <c r="AA220">
        <v>0</v>
      </c>
      <c r="AE220" t="s">
        <v>1761</v>
      </c>
      <c r="AI220">
        <v>57</v>
      </c>
      <c r="AJ220">
        <v>3020325</v>
      </c>
      <c r="AK220">
        <v>0</v>
      </c>
      <c r="AL220">
        <v>0</v>
      </c>
      <c r="AN220" t="s">
        <v>135</v>
      </c>
      <c r="AO220">
        <v>3.25</v>
      </c>
      <c r="AX220">
        <v>20210806</v>
      </c>
      <c r="AY220" t="s">
        <v>1780</v>
      </c>
      <c r="BG220" s="556" t="str">
        <f t="shared" si="21"/>
        <v>O</v>
      </c>
      <c r="BH220" s="556" t="str">
        <f t="shared" si="22"/>
        <v/>
      </c>
      <c r="BI220" s="556" t="str">
        <f t="shared" si="23"/>
        <v/>
      </c>
      <c r="BJ220" s="556" t="str">
        <f t="shared" si="24"/>
        <v>M4</v>
      </c>
      <c r="BK220" s="556" t="str">
        <f t="shared" si="25"/>
        <v>M4</v>
      </c>
      <c r="BL220" s="556" t="str">
        <f t="shared" si="26"/>
        <v/>
      </c>
      <c r="BM220" s="497">
        <f t="shared" si="27"/>
        <v>53102</v>
      </c>
    </row>
    <row r="221" spans="1:65">
      <c r="A221">
        <v>50118</v>
      </c>
      <c r="B221" t="s">
        <v>1924</v>
      </c>
      <c r="C221" t="s">
        <v>1925</v>
      </c>
      <c r="D221" t="s">
        <v>1918</v>
      </c>
      <c r="F221" s="503">
        <v>44148</v>
      </c>
      <c r="H221" t="s">
        <v>400</v>
      </c>
      <c r="I221" t="s">
        <v>1753</v>
      </c>
      <c r="J221">
        <v>0</v>
      </c>
      <c r="K221" t="s">
        <v>1068</v>
      </c>
      <c r="O221" t="s">
        <v>1068</v>
      </c>
      <c r="W221">
        <v>1.05</v>
      </c>
      <c r="X221">
        <v>1.07</v>
      </c>
      <c r="Y221">
        <v>0</v>
      </c>
      <c r="Z221">
        <v>0</v>
      </c>
      <c r="AA221">
        <v>0</v>
      </c>
      <c r="AE221" t="s">
        <v>1761</v>
      </c>
      <c r="AI221">
        <v>57</v>
      </c>
      <c r="AJ221">
        <v>3020345</v>
      </c>
      <c r="AK221">
        <v>0</v>
      </c>
      <c r="AL221">
        <v>0</v>
      </c>
      <c r="AN221" t="s">
        <v>2629</v>
      </c>
      <c r="AO221">
        <v>3.45</v>
      </c>
      <c r="AX221">
        <v>20201113</v>
      </c>
      <c r="AY221" t="s">
        <v>1780</v>
      </c>
      <c r="BG221" s="556" t="str">
        <f t="shared" si="21"/>
        <v>O</v>
      </c>
      <c r="BH221" s="556" t="str">
        <f t="shared" si="22"/>
        <v/>
      </c>
      <c r="BI221" s="556" t="str">
        <f t="shared" si="23"/>
        <v/>
      </c>
      <c r="BJ221" s="556" t="str">
        <f t="shared" si="24"/>
        <v>M4</v>
      </c>
      <c r="BK221" s="556" t="str">
        <f t="shared" si="25"/>
        <v>M4</v>
      </c>
      <c r="BL221" s="556" t="str">
        <f t="shared" si="26"/>
        <v/>
      </c>
      <c r="BM221" s="497">
        <f t="shared" si="27"/>
        <v>50118</v>
      </c>
    </row>
    <row r="222" spans="1:65">
      <c r="A222">
        <v>45008</v>
      </c>
      <c r="B222" t="s">
        <v>3277</v>
      </c>
      <c r="C222" t="s">
        <v>3278</v>
      </c>
      <c r="D222" t="s">
        <v>3279</v>
      </c>
      <c r="F222" s="503">
        <v>45966</v>
      </c>
      <c r="H222" t="s">
        <v>2674</v>
      </c>
      <c r="I222" t="s">
        <v>1753</v>
      </c>
      <c r="J222">
        <v>4000</v>
      </c>
      <c r="K222" t="s">
        <v>1068</v>
      </c>
      <c r="O222" t="s">
        <v>1068</v>
      </c>
      <c r="W222">
        <v>1.47</v>
      </c>
      <c r="X222">
        <v>1.47</v>
      </c>
      <c r="Y222">
        <v>0</v>
      </c>
      <c r="Z222">
        <v>0</v>
      </c>
      <c r="AA222">
        <v>2</v>
      </c>
      <c r="AE222" t="s">
        <v>3474</v>
      </c>
      <c r="AI222">
        <v>57</v>
      </c>
      <c r="AJ222">
        <v>1850345</v>
      </c>
      <c r="AK222">
        <v>0</v>
      </c>
      <c r="AL222">
        <v>0</v>
      </c>
      <c r="AN222" t="s">
        <v>1703</v>
      </c>
      <c r="AO222">
        <v>3.45</v>
      </c>
      <c r="AX222">
        <v>20251105</v>
      </c>
      <c r="AY222" t="s">
        <v>1780</v>
      </c>
      <c r="BG222" s="556" t="str">
        <f t="shared" si="21"/>
        <v>O</v>
      </c>
      <c r="BH222" s="556" t="str">
        <f t="shared" si="22"/>
        <v/>
      </c>
      <c r="BI222" s="556" t="str">
        <f t="shared" si="23"/>
        <v/>
      </c>
      <c r="BJ222" s="556" t="str">
        <f t="shared" si="24"/>
        <v>M4</v>
      </c>
      <c r="BK222" s="556" t="str">
        <f t="shared" si="25"/>
        <v>M4</v>
      </c>
      <c r="BL222" s="556" t="str">
        <f t="shared" si="26"/>
        <v/>
      </c>
      <c r="BM222" s="497">
        <f t="shared" si="27"/>
        <v>45008</v>
      </c>
    </row>
    <row r="223" spans="1:65">
      <c r="A223">
        <v>51839</v>
      </c>
      <c r="B223" t="s">
        <v>2672</v>
      </c>
      <c r="C223" t="s">
        <v>2673</v>
      </c>
      <c r="D223" t="s">
        <v>1772</v>
      </c>
      <c r="F223" s="503">
        <v>45219</v>
      </c>
      <c r="H223" t="s">
        <v>2674</v>
      </c>
      <c r="I223" t="s">
        <v>1753</v>
      </c>
      <c r="J223">
        <v>12000</v>
      </c>
      <c r="K223" t="s">
        <v>1068</v>
      </c>
      <c r="O223" t="s">
        <v>1068</v>
      </c>
      <c r="W223">
        <v>0.93</v>
      </c>
      <c r="X223">
        <v>0.94</v>
      </c>
      <c r="Y223">
        <v>0</v>
      </c>
      <c r="Z223">
        <v>0</v>
      </c>
      <c r="AA223">
        <v>2</v>
      </c>
      <c r="AE223" t="s">
        <v>1221</v>
      </c>
      <c r="AI223">
        <v>60</v>
      </c>
      <c r="AJ223">
        <v>1850355</v>
      </c>
      <c r="AK223">
        <v>0</v>
      </c>
      <c r="AN223" t="s">
        <v>1703</v>
      </c>
      <c r="AO223">
        <v>3.55</v>
      </c>
      <c r="AX223">
        <v>20231020</v>
      </c>
      <c r="AY223" t="s">
        <v>1754</v>
      </c>
      <c r="BG223" s="556" t="str">
        <f t="shared" si="21"/>
        <v>O</v>
      </c>
      <c r="BH223" s="556" t="str">
        <f t="shared" si="22"/>
        <v/>
      </c>
      <c r="BI223" s="556" t="str">
        <f t="shared" si="23"/>
        <v/>
      </c>
      <c r="BJ223" s="556" t="str">
        <f t="shared" si="24"/>
        <v>M4</v>
      </c>
      <c r="BK223" s="556" t="str">
        <f t="shared" si="25"/>
        <v>M4</v>
      </c>
      <c r="BL223" s="556" t="str">
        <f t="shared" si="26"/>
        <v/>
      </c>
      <c r="BM223" s="497">
        <f t="shared" si="27"/>
        <v>51839</v>
      </c>
    </row>
    <row r="224" spans="1:65">
      <c r="A224">
        <v>45020</v>
      </c>
      <c r="B224" t="s">
        <v>3334</v>
      </c>
      <c r="C224" t="s">
        <v>3265</v>
      </c>
      <c r="D224" t="s">
        <v>3280</v>
      </c>
      <c r="F224" s="503">
        <v>46007</v>
      </c>
      <c r="H224" t="s">
        <v>3390</v>
      </c>
      <c r="I224" t="s">
        <v>1753</v>
      </c>
      <c r="J224">
        <v>3000</v>
      </c>
      <c r="K224" t="s">
        <v>1068</v>
      </c>
      <c r="O224" t="s">
        <v>1068</v>
      </c>
      <c r="W224">
        <v>1.27</v>
      </c>
      <c r="X224">
        <v>1.27</v>
      </c>
      <c r="Y224">
        <v>0</v>
      </c>
      <c r="Z224">
        <v>0</v>
      </c>
      <c r="AA224">
        <v>204</v>
      </c>
      <c r="AE224" t="s">
        <v>3192</v>
      </c>
      <c r="AI224">
        <v>60</v>
      </c>
      <c r="AJ224">
        <v>1850355</v>
      </c>
      <c r="AK224">
        <v>0</v>
      </c>
      <c r="AL224">
        <v>0</v>
      </c>
      <c r="AN224" t="s">
        <v>1703</v>
      </c>
      <c r="AO224">
        <v>3.55</v>
      </c>
      <c r="AT224" t="s">
        <v>3246</v>
      </c>
      <c r="AX224">
        <v>20251216</v>
      </c>
      <c r="AY224" t="s">
        <v>1754</v>
      </c>
      <c r="BG224" s="556" t="str">
        <f t="shared" si="21"/>
        <v>O</v>
      </c>
      <c r="BH224" s="556" t="str">
        <f t="shared" si="22"/>
        <v/>
      </c>
      <c r="BI224" s="556" t="str">
        <f t="shared" si="23"/>
        <v/>
      </c>
      <c r="BJ224" s="556" t="str">
        <f t="shared" si="24"/>
        <v>M4</v>
      </c>
      <c r="BK224" s="556" t="str">
        <f t="shared" si="25"/>
        <v>M4</v>
      </c>
      <c r="BL224" s="556" t="str">
        <f t="shared" si="26"/>
        <v/>
      </c>
      <c r="BM224" s="497">
        <f t="shared" si="27"/>
        <v>45020</v>
      </c>
    </row>
    <row r="225" spans="1:65">
      <c r="A225">
        <v>51813</v>
      </c>
      <c r="B225" t="s">
        <v>570</v>
      </c>
      <c r="C225" t="s">
        <v>167</v>
      </c>
      <c r="D225" t="s">
        <v>1772</v>
      </c>
      <c r="F225" s="503">
        <v>43965</v>
      </c>
      <c r="H225" t="s">
        <v>572</v>
      </c>
      <c r="I225" t="s">
        <v>1753</v>
      </c>
      <c r="J225">
        <v>0</v>
      </c>
      <c r="K225" t="s">
        <v>1068</v>
      </c>
      <c r="O225" t="s">
        <v>1068</v>
      </c>
      <c r="W225">
        <v>0.72</v>
      </c>
      <c r="X225">
        <v>0.73</v>
      </c>
      <c r="Y225">
        <v>0</v>
      </c>
      <c r="Z225">
        <v>0</v>
      </c>
      <c r="AA225">
        <v>2</v>
      </c>
      <c r="AE225" t="s">
        <v>1039</v>
      </c>
      <c r="AI225">
        <v>60</v>
      </c>
      <c r="AJ225">
        <v>1850330</v>
      </c>
      <c r="AK225">
        <v>0</v>
      </c>
      <c r="AL225">
        <v>0</v>
      </c>
      <c r="AN225" t="s">
        <v>1703</v>
      </c>
      <c r="AO225">
        <v>3.3</v>
      </c>
      <c r="AX225">
        <v>20200514</v>
      </c>
      <c r="AY225" t="s">
        <v>1754</v>
      </c>
      <c r="BG225" s="556" t="str">
        <f t="shared" si="21"/>
        <v>O</v>
      </c>
      <c r="BH225" s="556" t="str">
        <f t="shared" si="22"/>
        <v/>
      </c>
      <c r="BI225" s="556" t="str">
        <f t="shared" si="23"/>
        <v/>
      </c>
      <c r="BJ225" s="556" t="str">
        <f t="shared" si="24"/>
        <v>M4</v>
      </c>
      <c r="BK225" s="556" t="str">
        <f t="shared" si="25"/>
        <v>M4</v>
      </c>
      <c r="BL225" s="556" t="str">
        <f t="shared" si="26"/>
        <v/>
      </c>
      <c r="BM225" s="497">
        <f t="shared" si="27"/>
        <v>51813</v>
      </c>
    </row>
    <row r="226" spans="1:65">
      <c r="A226">
        <v>45022</v>
      </c>
      <c r="B226" t="s">
        <v>3335</v>
      </c>
      <c r="C226" t="s">
        <v>3336</v>
      </c>
      <c r="D226" t="s">
        <v>3280</v>
      </c>
      <c r="F226" s="503">
        <v>46007</v>
      </c>
      <c r="H226" t="s">
        <v>572</v>
      </c>
      <c r="I226" t="s">
        <v>1753</v>
      </c>
      <c r="J226">
        <v>3000</v>
      </c>
      <c r="K226" t="s">
        <v>1068</v>
      </c>
      <c r="O226" t="s">
        <v>1068</v>
      </c>
      <c r="W226">
        <v>1.25</v>
      </c>
      <c r="X226">
        <v>1.33</v>
      </c>
      <c r="Y226">
        <v>0</v>
      </c>
      <c r="Z226">
        <v>0</v>
      </c>
      <c r="AA226">
        <v>2</v>
      </c>
      <c r="AE226" t="s">
        <v>3374</v>
      </c>
      <c r="AI226">
        <v>60</v>
      </c>
      <c r="AJ226">
        <v>1850325</v>
      </c>
      <c r="AK226">
        <v>0</v>
      </c>
      <c r="AL226">
        <v>0</v>
      </c>
      <c r="AN226" t="s">
        <v>1703</v>
      </c>
      <c r="AO226">
        <v>3.25</v>
      </c>
      <c r="AR226" t="s">
        <v>3246</v>
      </c>
      <c r="AX226">
        <v>20251216</v>
      </c>
      <c r="AY226" t="s">
        <v>1754</v>
      </c>
      <c r="BG226" s="556" t="str">
        <f t="shared" si="21"/>
        <v>O</v>
      </c>
      <c r="BH226" s="556" t="str">
        <f t="shared" si="22"/>
        <v/>
      </c>
      <c r="BI226" s="556" t="str">
        <f t="shared" si="23"/>
        <v/>
      </c>
      <c r="BJ226" s="556" t="str">
        <f t="shared" si="24"/>
        <v>M4</v>
      </c>
      <c r="BK226" s="556" t="str">
        <f t="shared" si="25"/>
        <v>M4</v>
      </c>
      <c r="BL226" s="556" t="str">
        <f t="shared" si="26"/>
        <v/>
      </c>
      <c r="BM226" s="497">
        <f t="shared" si="27"/>
        <v>45022</v>
      </c>
    </row>
    <row r="227" spans="1:65">
      <c r="A227">
        <v>45014</v>
      </c>
      <c r="B227" t="s">
        <v>3337</v>
      </c>
      <c r="C227" t="s">
        <v>3095</v>
      </c>
      <c r="D227" t="s">
        <v>3280</v>
      </c>
      <c r="F227" s="503">
        <v>46007</v>
      </c>
      <c r="H227" t="s">
        <v>392</v>
      </c>
      <c r="I227" t="s">
        <v>1753</v>
      </c>
      <c r="J227">
        <v>3000</v>
      </c>
      <c r="K227" t="s">
        <v>1068</v>
      </c>
      <c r="O227" t="s">
        <v>1068</v>
      </c>
      <c r="S227" t="s">
        <v>2301</v>
      </c>
      <c r="W227">
        <v>1.1200000000000001</v>
      </c>
      <c r="X227">
        <v>1.1200000000000001</v>
      </c>
      <c r="Y227">
        <v>0</v>
      </c>
      <c r="Z227">
        <v>0</v>
      </c>
      <c r="AA227">
        <v>0</v>
      </c>
      <c r="AE227" t="s">
        <v>1761</v>
      </c>
      <c r="AI227">
        <v>59</v>
      </c>
      <c r="AJ227">
        <v>3020320</v>
      </c>
      <c r="AK227">
        <v>0</v>
      </c>
      <c r="AL227">
        <v>0</v>
      </c>
      <c r="AN227" t="s">
        <v>135</v>
      </c>
      <c r="AO227">
        <v>3.2</v>
      </c>
      <c r="AR227" t="s">
        <v>2948</v>
      </c>
      <c r="AX227">
        <v>20251216</v>
      </c>
      <c r="AY227" t="s">
        <v>1836</v>
      </c>
      <c r="BG227" s="556" t="str">
        <f t="shared" si="21"/>
        <v>O</v>
      </c>
      <c r="BH227" s="556" t="str">
        <f t="shared" si="22"/>
        <v/>
      </c>
      <c r="BI227" s="556" t="str">
        <f t="shared" si="23"/>
        <v/>
      </c>
      <c r="BJ227" s="556" t="str">
        <f t="shared" si="24"/>
        <v>M4</v>
      </c>
      <c r="BK227" s="556" t="str">
        <f t="shared" si="25"/>
        <v>M4</v>
      </c>
      <c r="BL227" s="556" t="str">
        <f t="shared" si="26"/>
        <v>CT</v>
      </c>
      <c r="BM227" s="497">
        <f t="shared" si="27"/>
        <v>45014</v>
      </c>
    </row>
    <row r="228" spans="1:65">
      <c r="A228">
        <v>53117</v>
      </c>
      <c r="B228" t="s">
        <v>2750</v>
      </c>
      <c r="C228" t="s">
        <v>2756</v>
      </c>
      <c r="D228" t="s">
        <v>1819</v>
      </c>
      <c r="F228" s="503">
        <v>45367</v>
      </c>
      <c r="I228" t="s">
        <v>1753</v>
      </c>
      <c r="J228">
        <v>2000</v>
      </c>
      <c r="K228" t="s">
        <v>1068</v>
      </c>
      <c r="O228" t="s">
        <v>1068</v>
      </c>
      <c r="W228">
        <v>1.1599999999999999</v>
      </c>
      <c r="X228">
        <v>1.1599999999999999</v>
      </c>
      <c r="Y228">
        <v>0</v>
      </c>
      <c r="Z228">
        <v>0</v>
      </c>
      <c r="AA228">
        <v>0</v>
      </c>
      <c r="AE228" t="s">
        <v>2754</v>
      </c>
      <c r="AI228">
        <v>57</v>
      </c>
      <c r="AJ228">
        <v>4300320</v>
      </c>
      <c r="AK228">
        <v>0</v>
      </c>
      <c r="AL228">
        <v>0</v>
      </c>
      <c r="AN228" t="s">
        <v>185</v>
      </c>
      <c r="AO228">
        <v>3.2</v>
      </c>
      <c r="AX228">
        <v>20240316</v>
      </c>
      <c r="AY228" t="s">
        <v>1780</v>
      </c>
      <c r="BG228" s="556" t="str">
        <f t="shared" si="21"/>
        <v>O</v>
      </c>
      <c r="BH228" s="556" t="str">
        <f t="shared" si="22"/>
        <v/>
      </c>
      <c r="BI228" s="556" t="str">
        <f t="shared" si="23"/>
        <v/>
      </c>
      <c r="BJ228" s="556" t="str">
        <f t="shared" si="24"/>
        <v>M4</v>
      </c>
      <c r="BK228" s="556" t="str">
        <f t="shared" si="25"/>
        <v>M4</v>
      </c>
      <c r="BL228" s="556" t="str">
        <f t="shared" si="26"/>
        <v/>
      </c>
      <c r="BM228" s="497">
        <f t="shared" si="27"/>
        <v>53117</v>
      </c>
    </row>
    <row r="229" spans="1:65">
      <c r="A229">
        <v>50107</v>
      </c>
      <c r="B229" t="s">
        <v>1926</v>
      </c>
      <c r="C229" t="s">
        <v>742</v>
      </c>
      <c r="D229" t="s">
        <v>1918</v>
      </c>
      <c r="F229" s="503">
        <v>44148</v>
      </c>
      <c r="H229" t="s">
        <v>392</v>
      </c>
      <c r="I229" t="s">
        <v>1753</v>
      </c>
      <c r="J229">
        <v>0</v>
      </c>
      <c r="K229" t="s">
        <v>1068</v>
      </c>
      <c r="O229" t="s">
        <v>1068</v>
      </c>
      <c r="W229">
        <v>1.17</v>
      </c>
      <c r="X229">
        <v>1.19</v>
      </c>
      <c r="Y229">
        <v>0</v>
      </c>
      <c r="Z229">
        <v>0</v>
      </c>
      <c r="AA229">
        <v>2</v>
      </c>
      <c r="AE229" t="s">
        <v>1039</v>
      </c>
      <c r="AI229">
        <v>60</v>
      </c>
      <c r="AJ229">
        <v>1850345</v>
      </c>
      <c r="AK229">
        <v>0</v>
      </c>
      <c r="AL229">
        <v>0</v>
      </c>
      <c r="AN229" t="s">
        <v>1703</v>
      </c>
      <c r="AO229">
        <v>3.45</v>
      </c>
      <c r="AX229">
        <v>20201113</v>
      </c>
      <c r="AY229" t="s">
        <v>1754</v>
      </c>
      <c r="BG229" s="556" t="str">
        <f t="shared" si="21"/>
        <v>O</v>
      </c>
      <c r="BH229" s="556" t="str">
        <f t="shared" si="22"/>
        <v/>
      </c>
      <c r="BI229" s="556" t="str">
        <f t="shared" si="23"/>
        <v/>
      </c>
      <c r="BJ229" s="556" t="str">
        <f t="shared" si="24"/>
        <v>M4</v>
      </c>
      <c r="BK229" s="556" t="str">
        <f t="shared" si="25"/>
        <v>M4</v>
      </c>
      <c r="BL229" s="556" t="str">
        <f t="shared" si="26"/>
        <v/>
      </c>
      <c r="BM229" s="497">
        <f t="shared" si="27"/>
        <v>50107</v>
      </c>
    </row>
    <row r="230" spans="1:65">
      <c r="A230">
        <v>52024</v>
      </c>
      <c r="B230" t="s">
        <v>1927</v>
      </c>
      <c r="C230" t="s">
        <v>1928</v>
      </c>
      <c r="D230" t="s">
        <v>1755</v>
      </c>
      <c r="F230" s="503">
        <v>44847</v>
      </c>
      <c r="H230" t="s">
        <v>1929</v>
      </c>
      <c r="I230" t="s">
        <v>1753</v>
      </c>
      <c r="J230">
        <v>2000</v>
      </c>
      <c r="K230" t="s">
        <v>1068</v>
      </c>
      <c r="O230" t="s">
        <v>1068</v>
      </c>
      <c r="W230">
        <v>0.67</v>
      </c>
      <c r="X230">
        <v>0.67</v>
      </c>
      <c r="Y230">
        <v>0</v>
      </c>
      <c r="Z230">
        <v>0</v>
      </c>
      <c r="AA230">
        <v>0</v>
      </c>
      <c r="AE230" t="s">
        <v>1761</v>
      </c>
      <c r="AI230">
        <v>57</v>
      </c>
      <c r="AJ230">
        <v>3020345</v>
      </c>
      <c r="AK230">
        <v>0</v>
      </c>
      <c r="AL230">
        <v>0</v>
      </c>
      <c r="AN230" t="s">
        <v>2629</v>
      </c>
      <c r="AO230">
        <v>3.45</v>
      </c>
      <c r="AX230">
        <v>20221013</v>
      </c>
      <c r="AY230" t="s">
        <v>1780</v>
      </c>
      <c r="BG230" s="556" t="str">
        <f t="shared" si="21"/>
        <v>O</v>
      </c>
      <c r="BH230" s="556" t="str">
        <f t="shared" si="22"/>
        <v/>
      </c>
      <c r="BI230" s="556" t="str">
        <f t="shared" si="23"/>
        <v/>
      </c>
      <c r="BJ230" s="556" t="str">
        <f t="shared" si="24"/>
        <v>M4</v>
      </c>
      <c r="BK230" s="556" t="str">
        <f t="shared" si="25"/>
        <v>M4</v>
      </c>
      <c r="BL230" s="556" t="str">
        <f t="shared" si="26"/>
        <v/>
      </c>
      <c r="BM230" s="497">
        <f t="shared" si="27"/>
        <v>52024</v>
      </c>
    </row>
    <row r="231" spans="1:65">
      <c r="A231">
        <v>54002</v>
      </c>
      <c r="B231" t="s">
        <v>1930</v>
      </c>
      <c r="C231" t="s">
        <v>1931</v>
      </c>
      <c r="D231" t="s">
        <v>1807</v>
      </c>
      <c r="F231" s="503">
        <v>44792</v>
      </c>
      <c r="H231" t="s">
        <v>60</v>
      </c>
      <c r="I231" t="s">
        <v>1753</v>
      </c>
      <c r="J231">
        <v>2000</v>
      </c>
      <c r="K231" t="s">
        <v>1068</v>
      </c>
      <c r="O231" t="s">
        <v>1068</v>
      </c>
      <c r="W231">
        <v>1.05</v>
      </c>
      <c r="X231">
        <v>1.05</v>
      </c>
      <c r="Y231">
        <v>0</v>
      </c>
      <c r="Z231">
        <v>0</v>
      </c>
      <c r="AA231">
        <v>3</v>
      </c>
      <c r="AE231" t="s">
        <v>1039</v>
      </c>
      <c r="AI231">
        <v>60</v>
      </c>
      <c r="AJ231">
        <v>4350293</v>
      </c>
      <c r="AK231">
        <v>0</v>
      </c>
      <c r="AN231" t="s">
        <v>184</v>
      </c>
      <c r="AO231">
        <v>2.93</v>
      </c>
      <c r="AX231">
        <v>20220819</v>
      </c>
      <c r="AY231" t="s">
        <v>1754</v>
      </c>
      <c r="BG231" s="556" t="str">
        <f t="shared" si="21"/>
        <v>O</v>
      </c>
      <c r="BH231" s="556" t="str">
        <f t="shared" si="22"/>
        <v/>
      </c>
      <c r="BI231" s="556" t="str">
        <f t="shared" si="23"/>
        <v/>
      </c>
      <c r="BJ231" s="556" t="str">
        <f t="shared" si="24"/>
        <v>M4</v>
      </c>
      <c r="BK231" s="556" t="str">
        <f t="shared" si="25"/>
        <v>M4</v>
      </c>
      <c r="BL231" s="556" t="str">
        <f t="shared" si="26"/>
        <v/>
      </c>
      <c r="BM231" s="497">
        <f t="shared" si="27"/>
        <v>54002</v>
      </c>
    </row>
    <row r="232" spans="1:65">
      <c r="A232">
        <v>40016</v>
      </c>
      <c r="B232" t="s">
        <v>390</v>
      </c>
      <c r="C232" t="s">
        <v>47</v>
      </c>
      <c r="D232" t="s">
        <v>1803</v>
      </c>
      <c r="F232" s="503">
        <v>43794</v>
      </c>
      <c r="H232" t="s">
        <v>392</v>
      </c>
      <c r="I232" t="s">
        <v>1753</v>
      </c>
      <c r="J232">
        <v>0</v>
      </c>
      <c r="K232" t="s">
        <v>1068</v>
      </c>
      <c r="O232" t="s">
        <v>1068</v>
      </c>
      <c r="S232" t="s">
        <v>2301</v>
      </c>
      <c r="W232">
        <v>0.99</v>
      </c>
      <c r="X232">
        <v>1.05</v>
      </c>
      <c r="Y232">
        <v>0</v>
      </c>
      <c r="Z232">
        <v>0</v>
      </c>
      <c r="AA232">
        <v>1</v>
      </c>
      <c r="AE232">
        <v>101</v>
      </c>
      <c r="AI232">
        <v>69</v>
      </c>
      <c r="AJ232">
        <v>1000320</v>
      </c>
      <c r="AK232">
        <v>0</v>
      </c>
      <c r="AN232" t="s">
        <v>133</v>
      </c>
      <c r="AO232">
        <v>3.2</v>
      </c>
      <c r="AR232" t="s">
        <v>2948</v>
      </c>
      <c r="AT232" t="s">
        <v>1932</v>
      </c>
      <c r="AX232">
        <v>20191125</v>
      </c>
      <c r="AY232" t="s">
        <v>1830</v>
      </c>
      <c r="BG232" s="556" t="str">
        <f t="shared" si="21"/>
        <v>O</v>
      </c>
      <c r="BH232" s="556" t="str">
        <f t="shared" si="22"/>
        <v/>
      </c>
      <c r="BI232" s="556" t="str">
        <f t="shared" si="23"/>
        <v/>
      </c>
      <c r="BJ232" s="556" t="str">
        <f t="shared" si="24"/>
        <v>M4</v>
      </c>
      <c r="BK232" s="556" t="str">
        <f t="shared" si="25"/>
        <v>M4</v>
      </c>
      <c r="BL232" s="556" t="str">
        <f t="shared" si="26"/>
        <v>CT</v>
      </c>
      <c r="BM232" s="497">
        <f t="shared" si="27"/>
        <v>40016</v>
      </c>
    </row>
    <row r="233" spans="1:65">
      <c r="A233">
        <v>20033</v>
      </c>
      <c r="B233" t="s">
        <v>607</v>
      </c>
      <c r="C233" t="s">
        <v>47</v>
      </c>
      <c r="D233" t="s">
        <v>1774</v>
      </c>
      <c r="F233" s="503">
        <v>42748</v>
      </c>
      <c r="H233" t="s">
        <v>60</v>
      </c>
      <c r="I233" t="s">
        <v>1753</v>
      </c>
      <c r="J233">
        <v>2000</v>
      </c>
      <c r="K233" t="s">
        <v>1068</v>
      </c>
      <c r="O233" t="s">
        <v>1068</v>
      </c>
      <c r="S233" t="s">
        <v>2301</v>
      </c>
      <c r="W233">
        <v>0.99</v>
      </c>
      <c r="X233">
        <v>0.98</v>
      </c>
      <c r="Y233">
        <v>0</v>
      </c>
      <c r="Z233">
        <v>0</v>
      </c>
      <c r="AA233">
        <v>2</v>
      </c>
      <c r="AE233" t="s">
        <v>1039</v>
      </c>
      <c r="AI233">
        <v>69</v>
      </c>
      <c r="AJ233">
        <v>1850320</v>
      </c>
      <c r="AK233">
        <v>0</v>
      </c>
      <c r="AL233">
        <v>0</v>
      </c>
      <c r="AN233" t="s">
        <v>1703</v>
      </c>
      <c r="AO233">
        <v>3.2</v>
      </c>
      <c r="AR233" t="s">
        <v>2948</v>
      </c>
      <c r="AV233" s="504">
        <v>46059</v>
      </c>
      <c r="AX233">
        <v>20170113</v>
      </c>
      <c r="AY233" t="s">
        <v>1830</v>
      </c>
      <c r="BG233" s="556" t="str">
        <f t="shared" si="21"/>
        <v>O</v>
      </c>
      <c r="BH233" s="556" t="str">
        <f t="shared" si="22"/>
        <v/>
      </c>
      <c r="BI233" s="556" t="str">
        <f t="shared" si="23"/>
        <v/>
      </c>
      <c r="BJ233" s="556" t="str">
        <f t="shared" si="24"/>
        <v>M4</v>
      </c>
      <c r="BK233" s="556" t="str">
        <f t="shared" si="25"/>
        <v>M4</v>
      </c>
      <c r="BL233" s="556" t="str">
        <f t="shared" si="26"/>
        <v>CT</v>
      </c>
      <c r="BM233" s="497">
        <f t="shared" si="27"/>
        <v>20033</v>
      </c>
    </row>
    <row r="234" spans="1:65">
      <c r="A234">
        <v>52127</v>
      </c>
      <c r="B234" t="s">
        <v>408</v>
      </c>
      <c r="C234" t="s">
        <v>220</v>
      </c>
      <c r="D234" t="s">
        <v>1796</v>
      </c>
      <c r="F234" s="503">
        <v>43776</v>
      </c>
      <c r="H234" t="s">
        <v>392</v>
      </c>
      <c r="I234" t="s">
        <v>1753</v>
      </c>
      <c r="J234">
        <v>0</v>
      </c>
      <c r="K234" t="s">
        <v>1068</v>
      </c>
      <c r="O234" t="s">
        <v>1068</v>
      </c>
      <c r="W234">
        <v>1.02</v>
      </c>
      <c r="X234">
        <v>1.0900000000000001</v>
      </c>
      <c r="Y234">
        <v>0</v>
      </c>
      <c r="Z234">
        <v>0</v>
      </c>
      <c r="AA234">
        <v>0</v>
      </c>
      <c r="AE234" t="s">
        <v>1221</v>
      </c>
      <c r="AI234">
        <v>57</v>
      </c>
      <c r="AJ234">
        <v>1000345</v>
      </c>
      <c r="AK234">
        <v>0</v>
      </c>
      <c r="AL234">
        <v>0</v>
      </c>
      <c r="AN234" t="s">
        <v>133</v>
      </c>
      <c r="AO234">
        <v>3.45</v>
      </c>
      <c r="AX234">
        <v>20191107</v>
      </c>
      <c r="AY234" t="s">
        <v>1780</v>
      </c>
      <c r="BG234" s="556" t="str">
        <f t="shared" si="21"/>
        <v>O</v>
      </c>
      <c r="BH234" s="556" t="str">
        <f t="shared" si="22"/>
        <v/>
      </c>
      <c r="BI234" s="556" t="str">
        <f t="shared" si="23"/>
        <v/>
      </c>
      <c r="BJ234" s="556" t="str">
        <f t="shared" si="24"/>
        <v>M4</v>
      </c>
      <c r="BK234" s="556" t="str">
        <f t="shared" si="25"/>
        <v>M4</v>
      </c>
      <c r="BL234" s="556" t="str">
        <f t="shared" si="26"/>
        <v/>
      </c>
      <c r="BM234" s="497">
        <f t="shared" si="27"/>
        <v>52127</v>
      </c>
    </row>
    <row r="235" spans="1:65">
      <c r="A235">
        <v>52128</v>
      </c>
      <c r="B235" t="s">
        <v>410</v>
      </c>
      <c r="C235" t="s">
        <v>324</v>
      </c>
      <c r="D235" t="s">
        <v>1796</v>
      </c>
      <c r="F235" s="503">
        <v>43776</v>
      </c>
      <c r="H235" t="s">
        <v>392</v>
      </c>
      <c r="I235" t="s">
        <v>1753</v>
      </c>
      <c r="J235">
        <v>2000</v>
      </c>
      <c r="K235" t="s">
        <v>1068</v>
      </c>
      <c r="O235" t="s">
        <v>2302</v>
      </c>
      <c r="W235">
        <v>1.07</v>
      </c>
      <c r="X235">
        <v>1.53</v>
      </c>
      <c r="Y235">
        <v>0</v>
      </c>
      <c r="Z235">
        <v>0</v>
      </c>
      <c r="AA235">
        <v>0</v>
      </c>
      <c r="AE235" t="s">
        <v>1221</v>
      </c>
      <c r="AI235">
        <v>18</v>
      </c>
      <c r="AJ235">
        <v>1000345</v>
      </c>
      <c r="AK235">
        <v>0</v>
      </c>
      <c r="AL235">
        <v>0</v>
      </c>
      <c r="AN235" t="s">
        <v>133</v>
      </c>
      <c r="AO235">
        <v>3.45</v>
      </c>
      <c r="AX235">
        <v>20191107</v>
      </c>
      <c r="AY235" t="s">
        <v>1800</v>
      </c>
      <c r="AZ235" t="s">
        <v>1897</v>
      </c>
      <c r="BA235" t="s">
        <v>1895</v>
      </c>
      <c r="BG235" s="556" t="str">
        <f t="shared" si="21"/>
        <v>O</v>
      </c>
      <c r="BH235" s="556" t="str">
        <f t="shared" si="22"/>
        <v>Y</v>
      </c>
      <c r="BI235" s="556" t="str">
        <f t="shared" si="23"/>
        <v/>
      </c>
      <c r="BJ235" s="556" t="str">
        <f t="shared" si="24"/>
        <v>M4</v>
      </c>
      <c r="BK235" s="556" t="str">
        <f t="shared" si="25"/>
        <v>S4</v>
      </c>
      <c r="BL235" s="556" t="str">
        <f t="shared" si="26"/>
        <v/>
      </c>
      <c r="BM235" s="497">
        <f t="shared" si="27"/>
        <v>52128</v>
      </c>
    </row>
    <row r="236" spans="1:65">
      <c r="A236">
        <v>52804</v>
      </c>
      <c r="B236" t="s">
        <v>1933</v>
      </c>
      <c r="C236" t="s">
        <v>113</v>
      </c>
      <c r="D236" t="s">
        <v>1835</v>
      </c>
      <c r="F236" s="503">
        <v>44655</v>
      </c>
      <c r="H236" t="s">
        <v>1934</v>
      </c>
      <c r="I236" t="s">
        <v>1753</v>
      </c>
      <c r="J236">
        <v>3000</v>
      </c>
      <c r="K236" t="s">
        <v>1068</v>
      </c>
      <c r="O236" t="s">
        <v>2302</v>
      </c>
      <c r="W236">
        <v>1.04</v>
      </c>
      <c r="X236">
        <v>1.02</v>
      </c>
      <c r="Y236">
        <v>0</v>
      </c>
      <c r="Z236">
        <v>0</v>
      </c>
      <c r="AA236">
        <v>1</v>
      </c>
      <c r="AE236" t="s">
        <v>1039</v>
      </c>
      <c r="AI236">
        <v>18</v>
      </c>
      <c r="AJ236">
        <v>1000345</v>
      </c>
      <c r="AK236">
        <v>0</v>
      </c>
      <c r="AN236" t="s">
        <v>133</v>
      </c>
      <c r="AO236">
        <v>3.45</v>
      </c>
      <c r="AX236">
        <v>20220404</v>
      </c>
      <c r="AY236" t="s">
        <v>1800</v>
      </c>
      <c r="AZ236" t="s">
        <v>1895</v>
      </c>
      <c r="BG236" s="556" t="str">
        <f t="shared" si="21"/>
        <v>O</v>
      </c>
      <c r="BH236" s="556" t="str">
        <f t="shared" si="22"/>
        <v>Y</v>
      </c>
      <c r="BI236" s="556" t="str">
        <f t="shared" si="23"/>
        <v/>
      </c>
      <c r="BJ236" s="556" t="str">
        <f t="shared" si="24"/>
        <v>M4</v>
      </c>
      <c r="BK236" s="556" t="str">
        <f t="shared" si="25"/>
        <v>S4</v>
      </c>
      <c r="BL236" s="556" t="str">
        <f t="shared" si="26"/>
        <v/>
      </c>
      <c r="BM236" s="497">
        <f t="shared" si="27"/>
        <v>52804</v>
      </c>
    </row>
    <row r="237" spans="1:65">
      <c r="A237">
        <v>50115</v>
      </c>
      <c r="B237" t="s">
        <v>1935</v>
      </c>
      <c r="C237" t="s">
        <v>1172</v>
      </c>
      <c r="D237" t="s">
        <v>1918</v>
      </c>
      <c r="F237" s="503">
        <v>44148</v>
      </c>
      <c r="H237" t="s">
        <v>392</v>
      </c>
      <c r="I237" t="s">
        <v>1753</v>
      </c>
      <c r="J237">
        <v>0</v>
      </c>
      <c r="K237" t="s">
        <v>1068</v>
      </c>
      <c r="O237" t="s">
        <v>1068</v>
      </c>
      <c r="W237">
        <v>0.93</v>
      </c>
      <c r="X237">
        <v>1.0900000000000001</v>
      </c>
      <c r="Y237">
        <v>0</v>
      </c>
      <c r="Z237">
        <v>0</v>
      </c>
      <c r="AA237">
        <v>0</v>
      </c>
      <c r="AE237" t="s">
        <v>1039</v>
      </c>
      <c r="AI237">
        <v>57</v>
      </c>
      <c r="AJ237">
        <v>1000345</v>
      </c>
      <c r="AK237">
        <v>0</v>
      </c>
      <c r="AL237">
        <v>0</v>
      </c>
      <c r="AN237" t="s">
        <v>133</v>
      </c>
      <c r="AO237">
        <v>3.45</v>
      </c>
      <c r="AX237">
        <v>20201113</v>
      </c>
      <c r="AY237" t="s">
        <v>1780</v>
      </c>
      <c r="BG237" s="556" t="str">
        <f t="shared" si="21"/>
        <v>O</v>
      </c>
      <c r="BH237" s="556" t="str">
        <f t="shared" si="22"/>
        <v/>
      </c>
      <c r="BI237" s="556" t="str">
        <f t="shared" si="23"/>
        <v/>
      </c>
      <c r="BJ237" s="556" t="str">
        <f t="shared" si="24"/>
        <v>M4</v>
      </c>
      <c r="BK237" s="556" t="str">
        <f t="shared" si="25"/>
        <v>M4</v>
      </c>
      <c r="BL237" s="556" t="str">
        <f t="shared" si="26"/>
        <v/>
      </c>
      <c r="BM237" s="497">
        <f t="shared" si="27"/>
        <v>50115</v>
      </c>
    </row>
    <row r="238" spans="1:65">
      <c r="A238">
        <v>21100</v>
      </c>
      <c r="B238" t="s">
        <v>1936</v>
      </c>
      <c r="C238" t="s">
        <v>201</v>
      </c>
      <c r="D238" t="s">
        <v>1937</v>
      </c>
      <c r="F238" s="503">
        <v>44148</v>
      </c>
      <c r="H238" t="s">
        <v>392</v>
      </c>
      <c r="I238" t="s">
        <v>1753</v>
      </c>
      <c r="J238">
        <v>2000</v>
      </c>
      <c r="K238" t="s">
        <v>1068</v>
      </c>
      <c r="O238" t="s">
        <v>1068</v>
      </c>
      <c r="W238">
        <v>0.99</v>
      </c>
      <c r="X238">
        <v>1.01</v>
      </c>
      <c r="Y238">
        <v>0</v>
      </c>
      <c r="Z238">
        <v>0</v>
      </c>
      <c r="AA238">
        <v>0</v>
      </c>
      <c r="AE238" t="s">
        <v>1039</v>
      </c>
      <c r="AI238">
        <v>57</v>
      </c>
      <c r="AJ238">
        <v>1000320</v>
      </c>
      <c r="AK238">
        <v>0</v>
      </c>
      <c r="AN238" t="s">
        <v>133</v>
      </c>
      <c r="AO238">
        <v>3.2</v>
      </c>
      <c r="AX238">
        <v>20201113</v>
      </c>
      <c r="AY238" t="s">
        <v>1780</v>
      </c>
      <c r="BG238" s="556" t="str">
        <f t="shared" si="21"/>
        <v>O</v>
      </c>
      <c r="BH238" s="556" t="str">
        <f t="shared" si="22"/>
        <v/>
      </c>
      <c r="BI238" s="556" t="str">
        <f t="shared" si="23"/>
        <v/>
      </c>
      <c r="BJ238" s="556" t="str">
        <f t="shared" si="24"/>
        <v>M4</v>
      </c>
      <c r="BK238" s="556" t="str">
        <f t="shared" si="25"/>
        <v>M4</v>
      </c>
      <c r="BL238" s="556" t="str">
        <f t="shared" si="26"/>
        <v/>
      </c>
      <c r="BM238" s="497">
        <f t="shared" si="27"/>
        <v>21100</v>
      </c>
    </row>
    <row r="239" spans="1:65">
      <c r="A239">
        <v>20604</v>
      </c>
      <c r="B239" t="s">
        <v>1938</v>
      </c>
      <c r="C239" t="s">
        <v>201</v>
      </c>
      <c r="D239" t="s">
        <v>1813</v>
      </c>
      <c r="F239" s="503">
        <v>44114</v>
      </c>
      <c r="H239" t="s">
        <v>392</v>
      </c>
      <c r="I239" t="s">
        <v>1753</v>
      </c>
      <c r="J239">
        <v>2000</v>
      </c>
      <c r="K239" t="s">
        <v>1068</v>
      </c>
      <c r="O239" t="s">
        <v>1068</v>
      </c>
      <c r="W239">
        <v>0.99</v>
      </c>
      <c r="X239">
        <v>1.01</v>
      </c>
      <c r="Y239">
        <v>0</v>
      </c>
      <c r="Z239">
        <v>0</v>
      </c>
      <c r="AA239">
        <v>2</v>
      </c>
      <c r="AE239" t="s">
        <v>3189</v>
      </c>
      <c r="AI239">
        <v>60</v>
      </c>
      <c r="AJ239">
        <v>1850320</v>
      </c>
      <c r="AK239">
        <v>0</v>
      </c>
      <c r="AL239">
        <v>0</v>
      </c>
      <c r="AN239" t="s">
        <v>1703</v>
      </c>
      <c r="AO239">
        <v>3.2</v>
      </c>
      <c r="AT239" t="s">
        <v>2949</v>
      </c>
      <c r="AX239">
        <v>20201010</v>
      </c>
      <c r="AY239" t="s">
        <v>1754</v>
      </c>
      <c r="BG239" s="556" t="str">
        <f t="shared" si="21"/>
        <v>O</v>
      </c>
      <c r="BH239" s="556" t="str">
        <f t="shared" si="22"/>
        <v/>
      </c>
      <c r="BI239" s="556" t="str">
        <f t="shared" si="23"/>
        <v/>
      </c>
      <c r="BJ239" s="556" t="str">
        <f t="shared" si="24"/>
        <v>M4</v>
      </c>
      <c r="BK239" s="556" t="str">
        <f t="shared" si="25"/>
        <v>M4</v>
      </c>
      <c r="BL239" s="556" t="str">
        <f t="shared" si="26"/>
        <v/>
      </c>
      <c r="BM239" s="497">
        <f t="shared" si="27"/>
        <v>20604</v>
      </c>
    </row>
    <row r="240" spans="1:65">
      <c r="A240">
        <v>50101</v>
      </c>
      <c r="B240" t="s">
        <v>609</v>
      </c>
      <c r="C240" t="s">
        <v>611</v>
      </c>
      <c r="D240" t="s">
        <v>1918</v>
      </c>
      <c r="F240" s="503">
        <v>43490</v>
      </c>
      <c r="H240" t="s">
        <v>60</v>
      </c>
      <c r="I240" t="s">
        <v>1753</v>
      </c>
      <c r="J240">
        <v>2000</v>
      </c>
      <c r="K240" t="s">
        <v>1068</v>
      </c>
      <c r="O240" t="s">
        <v>2302</v>
      </c>
      <c r="W240">
        <v>0.99</v>
      </c>
      <c r="X240">
        <v>1.02</v>
      </c>
      <c r="Y240">
        <v>0</v>
      </c>
      <c r="Z240">
        <v>0</v>
      </c>
      <c r="AA240">
        <v>2</v>
      </c>
      <c r="AE240" t="s">
        <v>1039</v>
      </c>
      <c r="AI240">
        <v>70</v>
      </c>
      <c r="AJ240">
        <v>1850320</v>
      </c>
      <c r="AK240">
        <v>0</v>
      </c>
      <c r="AN240" t="s">
        <v>1703</v>
      </c>
      <c r="AO240">
        <v>3.2</v>
      </c>
      <c r="AX240">
        <v>20190125</v>
      </c>
      <c r="AY240" t="s">
        <v>1939</v>
      </c>
      <c r="AZ240" t="s">
        <v>1871</v>
      </c>
      <c r="BG240" s="556" t="str">
        <f t="shared" si="21"/>
        <v>O</v>
      </c>
      <c r="BH240" s="556" t="str">
        <f t="shared" si="22"/>
        <v>Y</v>
      </c>
      <c r="BI240" s="556" t="str">
        <f t="shared" si="23"/>
        <v/>
      </c>
      <c r="BJ240" s="556" t="str">
        <f t="shared" si="24"/>
        <v>M4</v>
      </c>
      <c r="BK240" s="556" t="str">
        <f t="shared" si="25"/>
        <v>S4</v>
      </c>
      <c r="BL240" s="556" t="str">
        <f t="shared" si="26"/>
        <v/>
      </c>
      <c r="BM240" s="497">
        <f t="shared" si="27"/>
        <v>50101</v>
      </c>
    </row>
    <row r="241" spans="1:65">
      <c r="A241">
        <v>53109</v>
      </c>
      <c r="B241" t="s">
        <v>1693</v>
      </c>
      <c r="C241" t="s">
        <v>167</v>
      </c>
      <c r="D241" t="s">
        <v>1819</v>
      </c>
      <c r="F241" s="503">
        <v>44414</v>
      </c>
      <c r="H241" t="s">
        <v>392</v>
      </c>
      <c r="I241" t="s">
        <v>1753</v>
      </c>
      <c r="J241">
        <v>2000</v>
      </c>
      <c r="K241" t="s">
        <v>1068</v>
      </c>
      <c r="O241" t="s">
        <v>1068</v>
      </c>
      <c r="W241">
        <v>0.91</v>
      </c>
      <c r="X241">
        <v>0.93</v>
      </c>
      <c r="Y241">
        <v>0</v>
      </c>
      <c r="Z241">
        <v>0</v>
      </c>
      <c r="AA241">
        <v>2</v>
      </c>
      <c r="AE241" t="s">
        <v>1039</v>
      </c>
      <c r="AI241">
        <v>60</v>
      </c>
      <c r="AJ241">
        <v>1850330</v>
      </c>
      <c r="AK241">
        <v>0</v>
      </c>
      <c r="AL241">
        <v>0</v>
      </c>
      <c r="AN241" t="s">
        <v>1703</v>
      </c>
      <c r="AO241">
        <v>3.3</v>
      </c>
      <c r="AX241">
        <v>20210806</v>
      </c>
      <c r="AY241" t="s">
        <v>1754</v>
      </c>
      <c r="BG241" s="556" t="str">
        <f t="shared" si="21"/>
        <v>O</v>
      </c>
      <c r="BH241" s="556" t="str">
        <f t="shared" si="22"/>
        <v/>
      </c>
      <c r="BI241" s="556" t="str">
        <f t="shared" si="23"/>
        <v/>
      </c>
      <c r="BJ241" s="556" t="str">
        <f t="shared" si="24"/>
        <v>M4</v>
      </c>
      <c r="BK241" s="556" t="str">
        <f t="shared" si="25"/>
        <v>M4</v>
      </c>
      <c r="BL241" s="556" t="str">
        <f t="shared" si="26"/>
        <v/>
      </c>
      <c r="BM241" s="497">
        <f t="shared" si="27"/>
        <v>53109</v>
      </c>
    </row>
    <row r="242" spans="1:65">
      <c r="A242">
        <v>50110</v>
      </c>
      <c r="B242" t="s">
        <v>1940</v>
      </c>
      <c r="C242" t="s">
        <v>1941</v>
      </c>
      <c r="D242" t="s">
        <v>1918</v>
      </c>
      <c r="F242" s="503">
        <v>44148</v>
      </c>
      <c r="H242" t="s">
        <v>392</v>
      </c>
      <c r="I242" t="s">
        <v>1753</v>
      </c>
      <c r="J242">
        <v>0</v>
      </c>
      <c r="K242" t="s">
        <v>1068</v>
      </c>
      <c r="O242" t="s">
        <v>1068</v>
      </c>
      <c r="W242">
        <v>0.91</v>
      </c>
      <c r="X242">
        <v>0.98</v>
      </c>
      <c r="Y242">
        <v>0</v>
      </c>
      <c r="Z242">
        <v>0</v>
      </c>
      <c r="AA242">
        <v>2</v>
      </c>
      <c r="AE242" t="s">
        <v>1039</v>
      </c>
      <c r="AI242">
        <v>60</v>
      </c>
      <c r="AJ242">
        <v>1850345</v>
      </c>
      <c r="AK242">
        <v>0</v>
      </c>
      <c r="AL242">
        <v>0</v>
      </c>
      <c r="AN242" t="s">
        <v>1703</v>
      </c>
      <c r="AO242">
        <v>3.45</v>
      </c>
      <c r="AX242">
        <v>20201113</v>
      </c>
      <c r="AY242" t="s">
        <v>1754</v>
      </c>
      <c r="BG242" s="556" t="str">
        <f t="shared" si="21"/>
        <v>O</v>
      </c>
      <c r="BH242" s="556" t="str">
        <f t="shared" si="22"/>
        <v/>
      </c>
      <c r="BI242" s="556" t="str">
        <f t="shared" si="23"/>
        <v/>
      </c>
      <c r="BJ242" s="556" t="str">
        <f t="shared" si="24"/>
        <v>M4</v>
      </c>
      <c r="BK242" s="556" t="str">
        <f t="shared" si="25"/>
        <v>M4</v>
      </c>
      <c r="BL242" s="556" t="str">
        <f t="shared" si="26"/>
        <v/>
      </c>
      <c r="BM242" s="497">
        <f t="shared" si="27"/>
        <v>50110</v>
      </c>
    </row>
    <row r="243" spans="1:65">
      <c r="A243">
        <v>52001</v>
      </c>
      <c r="B243" t="s">
        <v>734</v>
      </c>
      <c r="C243" t="s">
        <v>736</v>
      </c>
      <c r="D243" t="s">
        <v>1755</v>
      </c>
      <c r="F243" s="503">
        <v>43685</v>
      </c>
      <c r="H243" t="s">
        <v>392</v>
      </c>
      <c r="I243" t="s">
        <v>1753</v>
      </c>
      <c r="J243">
        <v>2000</v>
      </c>
      <c r="K243" t="s">
        <v>1068</v>
      </c>
      <c r="O243" t="s">
        <v>2302</v>
      </c>
      <c r="W243">
        <v>1.0900000000000001</v>
      </c>
      <c r="X243">
        <v>1.1599999999999999</v>
      </c>
      <c r="Y243">
        <v>0</v>
      </c>
      <c r="Z243">
        <v>0</v>
      </c>
      <c r="AA243">
        <v>2</v>
      </c>
      <c r="AE243" t="s">
        <v>1039</v>
      </c>
      <c r="AI243">
        <v>70</v>
      </c>
      <c r="AJ243">
        <v>1850345</v>
      </c>
      <c r="AK243">
        <v>0</v>
      </c>
      <c r="AN243" t="s">
        <v>1703</v>
      </c>
      <c r="AO243">
        <v>3.45</v>
      </c>
      <c r="AX243">
        <v>20190808</v>
      </c>
      <c r="AY243" t="s">
        <v>1939</v>
      </c>
      <c r="AZ243" t="s">
        <v>1899</v>
      </c>
      <c r="BG243" s="556" t="str">
        <f t="shared" si="21"/>
        <v>O</v>
      </c>
      <c r="BH243" s="556" t="str">
        <f t="shared" si="22"/>
        <v>Y</v>
      </c>
      <c r="BI243" s="556" t="str">
        <f t="shared" si="23"/>
        <v/>
      </c>
      <c r="BJ243" s="556" t="str">
        <f t="shared" si="24"/>
        <v>M4</v>
      </c>
      <c r="BK243" s="556" t="str">
        <f t="shared" si="25"/>
        <v>S4</v>
      </c>
      <c r="BL243" s="556" t="str">
        <f t="shared" si="26"/>
        <v/>
      </c>
      <c r="BM243" s="497">
        <f t="shared" si="27"/>
        <v>52001</v>
      </c>
    </row>
    <row r="244" spans="1:65">
      <c r="A244">
        <v>20057</v>
      </c>
      <c r="B244" t="s">
        <v>1942</v>
      </c>
      <c r="C244" t="s">
        <v>45</v>
      </c>
      <c r="D244" t="s">
        <v>1774</v>
      </c>
      <c r="F244" s="503">
        <v>44523</v>
      </c>
      <c r="H244" t="s">
        <v>60</v>
      </c>
      <c r="I244" t="s">
        <v>1753</v>
      </c>
      <c r="J244">
        <v>3000</v>
      </c>
      <c r="K244" t="s">
        <v>1068</v>
      </c>
      <c r="O244" t="s">
        <v>2299</v>
      </c>
      <c r="W244">
        <v>1.32</v>
      </c>
      <c r="X244">
        <v>1.32</v>
      </c>
      <c r="Y244">
        <v>0</v>
      </c>
      <c r="Z244">
        <v>0</v>
      </c>
      <c r="AA244">
        <v>2</v>
      </c>
      <c r="AE244" t="s">
        <v>1039</v>
      </c>
      <c r="AI244">
        <v>60</v>
      </c>
      <c r="AJ244">
        <v>1850325</v>
      </c>
      <c r="AK244">
        <v>0</v>
      </c>
      <c r="AL244">
        <v>0</v>
      </c>
      <c r="AN244" t="s">
        <v>1703</v>
      </c>
      <c r="AO244">
        <v>3.25</v>
      </c>
      <c r="AX244">
        <v>20211123</v>
      </c>
      <c r="AY244" t="s">
        <v>1754</v>
      </c>
      <c r="BG244" s="556" t="str">
        <f t="shared" si="21"/>
        <v>O</v>
      </c>
      <c r="BH244" s="556" t="str">
        <f t="shared" si="22"/>
        <v/>
      </c>
      <c r="BI244" s="556" t="str">
        <f t="shared" si="23"/>
        <v/>
      </c>
      <c r="BJ244" s="556" t="str">
        <f t="shared" si="24"/>
        <v>M4</v>
      </c>
      <c r="BK244" s="556" t="str">
        <f t="shared" si="25"/>
        <v>TS1</v>
      </c>
      <c r="BL244" s="556" t="str">
        <f t="shared" si="26"/>
        <v/>
      </c>
      <c r="BM244" s="497">
        <f t="shared" si="27"/>
        <v>20057</v>
      </c>
    </row>
    <row r="245" spans="1:65">
      <c r="A245" t="s">
        <v>1943</v>
      </c>
      <c r="B245" t="s">
        <v>1944</v>
      </c>
      <c r="C245" t="s">
        <v>81</v>
      </c>
      <c r="D245" t="s">
        <v>1803</v>
      </c>
      <c r="F245" s="503">
        <v>44604</v>
      </c>
      <c r="H245" t="s">
        <v>392</v>
      </c>
      <c r="I245" t="s">
        <v>1753</v>
      </c>
      <c r="J245">
        <v>0</v>
      </c>
      <c r="K245" t="s">
        <v>1068</v>
      </c>
      <c r="O245" t="s">
        <v>1068</v>
      </c>
      <c r="S245" t="s">
        <v>2301</v>
      </c>
      <c r="W245">
        <v>1.21</v>
      </c>
      <c r="X245">
        <v>1.23</v>
      </c>
      <c r="Y245">
        <v>0</v>
      </c>
      <c r="Z245">
        <v>0</v>
      </c>
      <c r="AA245">
        <v>2</v>
      </c>
      <c r="AE245">
        <v>101</v>
      </c>
      <c r="AI245">
        <v>69</v>
      </c>
      <c r="AJ245">
        <v>1850320</v>
      </c>
      <c r="AK245">
        <v>0</v>
      </c>
      <c r="AL245">
        <v>0</v>
      </c>
      <c r="AN245" t="s">
        <v>1703</v>
      </c>
      <c r="AO245">
        <v>3.2</v>
      </c>
      <c r="AX245">
        <v>20220212</v>
      </c>
      <c r="AY245" t="s">
        <v>1830</v>
      </c>
      <c r="BG245" s="556" t="str">
        <f t="shared" si="21"/>
        <v>O</v>
      </c>
      <c r="BH245" s="556" t="str">
        <f t="shared" si="22"/>
        <v/>
      </c>
      <c r="BI245" s="556" t="str">
        <f t="shared" si="23"/>
        <v/>
      </c>
      <c r="BJ245" s="556" t="str">
        <f t="shared" si="24"/>
        <v>M4</v>
      </c>
      <c r="BK245" s="556" t="str">
        <f t="shared" si="25"/>
        <v>M4</v>
      </c>
      <c r="BL245" s="556" t="str">
        <f t="shared" si="26"/>
        <v>CT</v>
      </c>
      <c r="BM245" s="497" t="str">
        <f t="shared" si="27"/>
        <v>LGSO2</v>
      </c>
    </row>
    <row r="246" spans="1:65">
      <c r="A246">
        <v>40038</v>
      </c>
      <c r="B246" t="s">
        <v>2683</v>
      </c>
      <c r="C246" t="s">
        <v>2684</v>
      </c>
      <c r="D246" t="s">
        <v>1803</v>
      </c>
      <c r="F246" s="503">
        <v>45239</v>
      </c>
      <c r="H246" t="s">
        <v>392</v>
      </c>
      <c r="I246" t="s">
        <v>1753</v>
      </c>
      <c r="J246">
        <v>1000</v>
      </c>
      <c r="K246" t="s">
        <v>1068</v>
      </c>
      <c r="O246" t="s">
        <v>1068</v>
      </c>
      <c r="W246">
        <v>1.21</v>
      </c>
      <c r="X246">
        <v>1.21</v>
      </c>
      <c r="Y246">
        <v>0</v>
      </c>
      <c r="Z246">
        <v>0</v>
      </c>
      <c r="AA246">
        <v>2</v>
      </c>
      <c r="AE246" t="s">
        <v>326</v>
      </c>
      <c r="AI246">
        <v>5</v>
      </c>
      <c r="AJ246">
        <v>1850320</v>
      </c>
      <c r="AK246">
        <v>0</v>
      </c>
      <c r="AL246">
        <v>0</v>
      </c>
      <c r="AN246" t="s">
        <v>1703</v>
      </c>
      <c r="AO246">
        <v>3.2</v>
      </c>
      <c r="AR246" t="s">
        <v>2948</v>
      </c>
      <c r="AT246" t="s">
        <v>3224</v>
      </c>
      <c r="AX246">
        <v>20231109</v>
      </c>
      <c r="AY246" t="s">
        <v>3240</v>
      </c>
      <c r="BG246" s="556" t="str">
        <f t="shared" si="21"/>
        <v>O</v>
      </c>
      <c r="BH246" s="556" t="str">
        <f t="shared" si="22"/>
        <v/>
      </c>
      <c r="BI246" s="556" t="str">
        <f t="shared" si="23"/>
        <v/>
      </c>
      <c r="BJ246" s="556" t="str">
        <f t="shared" si="24"/>
        <v>M4</v>
      </c>
      <c r="BK246" s="556" t="str">
        <f t="shared" si="25"/>
        <v>M4</v>
      </c>
      <c r="BL246" s="556" t="str">
        <f t="shared" si="26"/>
        <v/>
      </c>
      <c r="BM246" s="497">
        <f t="shared" si="27"/>
        <v>40038</v>
      </c>
    </row>
    <row r="247" spans="1:65">
      <c r="A247">
        <v>20086</v>
      </c>
      <c r="B247" t="s">
        <v>2564</v>
      </c>
      <c r="C247" t="s">
        <v>2565</v>
      </c>
      <c r="D247" t="s">
        <v>1774</v>
      </c>
      <c r="F247" s="503">
        <v>45029</v>
      </c>
      <c r="H247" t="s">
        <v>60</v>
      </c>
      <c r="I247" t="s">
        <v>1753</v>
      </c>
      <c r="J247">
        <v>0</v>
      </c>
      <c r="K247" t="s">
        <v>1068</v>
      </c>
      <c r="O247" t="s">
        <v>1068</v>
      </c>
      <c r="W247">
        <v>1.21</v>
      </c>
      <c r="X247">
        <v>1.21</v>
      </c>
      <c r="Y247">
        <v>0</v>
      </c>
      <c r="Z247">
        <v>0</v>
      </c>
      <c r="AA247">
        <v>2</v>
      </c>
      <c r="AE247" t="s">
        <v>326</v>
      </c>
      <c r="AI247">
        <v>97</v>
      </c>
      <c r="AJ247">
        <v>1850320</v>
      </c>
      <c r="AK247">
        <v>0</v>
      </c>
      <c r="AL247">
        <v>0</v>
      </c>
      <c r="AN247" t="s">
        <v>1703</v>
      </c>
      <c r="AO247">
        <v>3.2</v>
      </c>
      <c r="AR247" t="s">
        <v>2948</v>
      </c>
      <c r="AT247" t="s">
        <v>3224</v>
      </c>
      <c r="BG247" s="556" t="str">
        <f t="shared" si="21"/>
        <v>O</v>
      </c>
      <c r="BH247" s="556" t="str">
        <f t="shared" si="22"/>
        <v/>
      </c>
      <c r="BI247" s="556" t="str">
        <f t="shared" si="23"/>
        <v/>
      </c>
      <c r="BJ247" s="556" t="str">
        <f t="shared" si="24"/>
        <v>M4</v>
      </c>
      <c r="BK247" s="556" t="str">
        <f t="shared" si="25"/>
        <v>M4</v>
      </c>
      <c r="BL247" s="556" t="str">
        <f t="shared" si="26"/>
        <v/>
      </c>
      <c r="BM247" s="497">
        <f t="shared" si="27"/>
        <v>20086</v>
      </c>
    </row>
    <row r="248" spans="1:65">
      <c r="E248">
        <v>20230413</v>
      </c>
      <c r="F248" t="s">
        <v>2579</v>
      </c>
      <c r="G248" t="s">
        <v>1871</v>
      </c>
      <c r="BG248" s="556" t="str">
        <f t="shared" si="21"/>
        <v>O</v>
      </c>
      <c r="BH248" s="556" t="str">
        <f t="shared" si="22"/>
        <v/>
      </c>
      <c r="BI248" s="556" t="str">
        <f t="shared" si="23"/>
        <v/>
      </c>
      <c r="BJ248" s="556">
        <f t="shared" si="24"/>
        <v>0</v>
      </c>
      <c r="BK248" s="556">
        <f t="shared" si="25"/>
        <v>0</v>
      </c>
      <c r="BL248" s="556" t="str">
        <f t="shared" si="26"/>
        <v/>
      </c>
      <c r="BM248" s="497">
        <f t="shared" si="27"/>
        <v>0</v>
      </c>
    </row>
    <row r="249" spans="1:65">
      <c r="A249">
        <v>20028</v>
      </c>
      <c r="B249" t="s">
        <v>80</v>
      </c>
      <c r="C249" t="s">
        <v>81</v>
      </c>
      <c r="D249" t="s">
        <v>1839</v>
      </c>
      <c r="F249" s="503">
        <v>43362</v>
      </c>
      <c r="H249" t="s">
        <v>392</v>
      </c>
      <c r="I249" t="s">
        <v>1913</v>
      </c>
      <c r="J249">
        <v>2000</v>
      </c>
      <c r="K249" t="s">
        <v>1068</v>
      </c>
      <c r="O249" t="s">
        <v>1068</v>
      </c>
      <c r="S249" t="s">
        <v>2301</v>
      </c>
      <c r="W249">
        <v>1.27</v>
      </c>
      <c r="X249">
        <v>1.25</v>
      </c>
      <c r="Y249">
        <v>0</v>
      </c>
      <c r="Z249">
        <v>0</v>
      </c>
      <c r="AA249">
        <v>2</v>
      </c>
      <c r="AE249" t="s">
        <v>1039</v>
      </c>
      <c r="AI249">
        <v>69</v>
      </c>
      <c r="AJ249">
        <v>1850320</v>
      </c>
      <c r="AK249">
        <v>0</v>
      </c>
      <c r="AN249" t="s">
        <v>1703</v>
      </c>
      <c r="AO249">
        <v>3.2</v>
      </c>
      <c r="AR249" t="s">
        <v>2948</v>
      </c>
      <c r="AV249" s="504">
        <v>46060</v>
      </c>
      <c r="AX249">
        <v>20180919</v>
      </c>
      <c r="AY249" t="s">
        <v>1830</v>
      </c>
      <c r="BG249" s="556" t="str">
        <f t="shared" si="21"/>
        <v>O</v>
      </c>
      <c r="BH249" s="556" t="str">
        <f t="shared" si="22"/>
        <v/>
      </c>
      <c r="BI249" s="556" t="str">
        <f t="shared" si="23"/>
        <v/>
      </c>
      <c r="BJ249" s="556" t="str">
        <f t="shared" si="24"/>
        <v>M4</v>
      </c>
      <c r="BK249" s="556" t="str">
        <f t="shared" si="25"/>
        <v>M4</v>
      </c>
      <c r="BL249" s="556" t="str">
        <f t="shared" si="26"/>
        <v>CT</v>
      </c>
      <c r="BM249" s="497">
        <f t="shared" si="27"/>
        <v>20028</v>
      </c>
    </row>
    <row r="250" spans="1:65">
      <c r="A250">
        <v>40040</v>
      </c>
      <c r="B250" t="s">
        <v>2685</v>
      </c>
      <c r="C250" t="s">
        <v>81</v>
      </c>
      <c r="D250" t="s">
        <v>1803</v>
      </c>
      <c r="F250" s="503">
        <v>45237</v>
      </c>
      <c r="H250" t="s">
        <v>392</v>
      </c>
      <c r="I250" t="s">
        <v>1753</v>
      </c>
      <c r="J250">
        <v>2000</v>
      </c>
      <c r="K250" t="s">
        <v>1068</v>
      </c>
      <c r="O250" t="s">
        <v>1068</v>
      </c>
      <c r="W250">
        <v>1.24</v>
      </c>
      <c r="X250">
        <v>1.27</v>
      </c>
      <c r="Y250">
        <v>0</v>
      </c>
      <c r="Z250">
        <v>0</v>
      </c>
      <c r="AA250">
        <v>2</v>
      </c>
      <c r="AE250" t="s">
        <v>1039</v>
      </c>
      <c r="AI250">
        <v>69</v>
      </c>
      <c r="AJ250">
        <v>1850320</v>
      </c>
      <c r="AK250">
        <v>0</v>
      </c>
      <c r="AL250">
        <v>0</v>
      </c>
      <c r="AN250" t="s">
        <v>1703</v>
      </c>
      <c r="AO250">
        <v>3.2</v>
      </c>
      <c r="AR250" t="s">
        <v>2948</v>
      </c>
      <c r="AX250">
        <v>20231107</v>
      </c>
      <c r="AY250" t="s">
        <v>1830</v>
      </c>
      <c r="BG250" s="556" t="str">
        <f t="shared" si="21"/>
        <v>O</v>
      </c>
      <c r="BH250" s="556" t="str">
        <f t="shared" si="22"/>
        <v/>
      </c>
      <c r="BI250" s="556" t="str">
        <f t="shared" si="23"/>
        <v/>
      </c>
      <c r="BJ250" s="556" t="str">
        <f t="shared" si="24"/>
        <v>M4</v>
      </c>
      <c r="BK250" s="556" t="str">
        <f t="shared" si="25"/>
        <v>M4</v>
      </c>
      <c r="BL250" s="556" t="str">
        <f t="shared" si="26"/>
        <v/>
      </c>
      <c r="BM250" s="497">
        <f t="shared" si="27"/>
        <v>40040</v>
      </c>
    </row>
    <row r="251" spans="1:65">
      <c r="A251">
        <v>20600</v>
      </c>
      <c r="B251" t="s">
        <v>886</v>
      </c>
      <c r="C251" t="s">
        <v>888</v>
      </c>
      <c r="D251" t="s">
        <v>1813</v>
      </c>
      <c r="F251" s="503">
        <v>42824</v>
      </c>
      <c r="H251" t="s">
        <v>889</v>
      </c>
      <c r="I251" t="s">
        <v>1753</v>
      </c>
      <c r="J251">
        <v>3000</v>
      </c>
      <c r="K251" t="s">
        <v>1068</v>
      </c>
      <c r="O251" t="s">
        <v>1068</v>
      </c>
      <c r="S251" t="s">
        <v>2301</v>
      </c>
      <c r="W251">
        <v>1.26</v>
      </c>
      <c r="X251">
        <v>1.27</v>
      </c>
      <c r="Y251">
        <v>0</v>
      </c>
      <c r="Z251">
        <v>0</v>
      </c>
      <c r="AA251">
        <v>0</v>
      </c>
      <c r="AE251" t="s">
        <v>1761</v>
      </c>
      <c r="AI251">
        <v>59</v>
      </c>
      <c r="AJ251">
        <v>3020325</v>
      </c>
      <c r="AK251">
        <v>0</v>
      </c>
      <c r="AL251">
        <v>0</v>
      </c>
      <c r="AN251" t="s">
        <v>135</v>
      </c>
      <c r="AO251">
        <v>3.25</v>
      </c>
      <c r="AR251" t="s">
        <v>2948</v>
      </c>
      <c r="AV251" s="504">
        <v>46061</v>
      </c>
      <c r="AX251">
        <v>20170330</v>
      </c>
      <c r="AY251" t="s">
        <v>1836</v>
      </c>
      <c r="BG251" s="556" t="str">
        <f t="shared" si="21"/>
        <v>O</v>
      </c>
      <c r="BH251" s="556" t="str">
        <f t="shared" si="22"/>
        <v/>
      </c>
      <c r="BI251" s="556" t="str">
        <f t="shared" si="23"/>
        <v/>
      </c>
      <c r="BJ251" s="556" t="str">
        <f t="shared" si="24"/>
        <v>M4</v>
      </c>
      <c r="BK251" s="556" t="str">
        <f t="shared" si="25"/>
        <v>M4</v>
      </c>
      <c r="BL251" s="556" t="str">
        <f t="shared" si="26"/>
        <v>CT</v>
      </c>
      <c r="BM251" s="497">
        <f t="shared" si="27"/>
        <v>20600</v>
      </c>
    </row>
    <row r="252" spans="1:65">
      <c r="A252">
        <v>50103</v>
      </c>
      <c r="B252" t="s">
        <v>621</v>
      </c>
      <c r="C252" t="s">
        <v>623</v>
      </c>
      <c r="D252" t="s">
        <v>1918</v>
      </c>
      <c r="F252" s="503">
        <v>43490</v>
      </c>
      <c r="H252" t="s">
        <v>60</v>
      </c>
      <c r="I252" t="s">
        <v>1753</v>
      </c>
      <c r="J252">
        <v>2000</v>
      </c>
      <c r="K252" t="s">
        <v>1068</v>
      </c>
      <c r="O252" t="s">
        <v>1068</v>
      </c>
      <c r="W252">
        <v>1.23</v>
      </c>
      <c r="X252">
        <v>1.26</v>
      </c>
      <c r="Y252">
        <v>0</v>
      </c>
      <c r="Z252">
        <v>0</v>
      </c>
      <c r="AA252">
        <v>2</v>
      </c>
      <c r="AE252" t="s">
        <v>1773</v>
      </c>
      <c r="AI252">
        <v>60</v>
      </c>
      <c r="AJ252">
        <v>1850320</v>
      </c>
      <c r="AK252">
        <v>0</v>
      </c>
      <c r="AN252" t="s">
        <v>1703</v>
      </c>
      <c r="AO252">
        <v>3.2</v>
      </c>
      <c r="AV252" s="504">
        <v>46082</v>
      </c>
      <c r="AX252">
        <v>20190125</v>
      </c>
      <c r="AY252" t="s">
        <v>1754</v>
      </c>
      <c r="BG252" s="556" t="str">
        <f t="shared" si="21"/>
        <v>O</v>
      </c>
      <c r="BH252" s="556" t="str">
        <f t="shared" si="22"/>
        <v/>
      </c>
      <c r="BI252" s="556" t="str">
        <f t="shared" si="23"/>
        <v/>
      </c>
      <c r="BJ252" s="556" t="str">
        <f t="shared" si="24"/>
        <v>M4</v>
      </c>
      <c r="BK252" s="556" t="str">
        <f t="shared" si="25"/>
        <v>M4</v>
      </c>
      <c r="BL252" s="556" t="str">
        <f t="shared" si="26"/>
        <v/>
      </c>
      <c r="BM252" s="497">
        <f t="shared" si="27"/>
        <v>50103</v>
      </c>
    </row>
    <row r="253" spans="1:65">
      <c r="A253">
        <v>50102</v>
      </c>
      <c r="B253" t="s">
        <v>624</v>
      </c>
      <c r="C253" t="s">
        <v>626</v>
      </c>
      <c r="D253" t="s">
        <v>1918</v>
      </c>
      <c r="F253" s="503">
        <v>43490</v>
      </c>
      <c r="H253" t="s">
        <v>60</v>
      </c>
      <c r="I253" t="s">
        <v>1753</v>
      </c>
      <c r="J253">
        <v>2000</v>
      </c>
      <c r="K253" t="s">
        <v>1068</v>
      </c>
      <c r="O253" t="s">
        <v>1068</v>
      </c>
      <c r="W253">
        <v>1.27</v>
      </c>
      <c r="X253">
        <v>1.25</v>
      </c>
      <c r="Y253">
        <v>0</v>
      </c>
      <c r="Z253">
        <v>0</v>
      </c>
      <c r="AA253">
        <v>2</v>
      </c>
      <c r="AE253" t="s">
        <v>1039</v>
      </c>
      <c r="AI253">
        <v>60</v>
      </c>
      <c r="AJ253">
        <v>1850320</v>
      </c>
      <c r="AK253">
        <v>0</v>
      </c>
      <c r="AN253" t="s">
        <v>1703</v>
      </c>
      <c r="AO253">
        <v>3.2</v>
      </c>
      <c r="AV253" s="504">
        <v>46083</v>
      </c>
      <c r="AX253">
        <v>20190125</v>
      </c>
      <c r="AY253" t="s">
        <v>1754</v>
      </c>
      <c r="BG253" s="556" t="str">
        <f t="shared" si="21"/>
        <v>O</v>
      </c>
      <c r="BH253" s="556" t="str">
        <f t="shared" si="22"/>
        <v/>
      </c>
      <c r="BI253" s="556" t="str">
        <f t="shared" si="23"/>
        <v/>
      </c>
      <c r="BJ253" s="556" t="str">
        <f t="shared" si="24"/>
        <v>M4</v>
      </c>
      <c r="BK253" s="556" t="str">
        <f t="shared" si="25"/>
        <v>M4</v>
      </c>
      <c r="BL253" s="556" t="str">
        <f t="shared" si="26"/>
        <v/>
      </c>
      <c r="BM253" s="497">
        <f t="shared" si="27"/>
        <v>50102</v>
      </c>
    </row>
    <row r="254" spans="1:65">
      <c r="A254">
        <v>50631</v>
      </c>
      <c r="B254" t="s">
        <v>890</v>
      </c>
      <c r="C254" t="s">
        <v>891</v>
      </c>
      <c r="D254" t="s">
        <v>1829</v>
      </c>
      <c r="F254" s="503">
        <v>43550</v>
      </c>
      <c r="H254" t="s">
        <v>60</v>
      </c>
      <c r="I254" t="s">
        <v>1753</v>
      </c>
      <c r="J254">
        <v>2000</v>
      </c>
      <c r="K254" t="s">
        <v>1068</v>
      </c>
      <c r="O254" t="s">
        <v>1068</v>
      </c>
      <c r="W254">
        <v>1.22</v>
      </c>
      <c r="X254">
        <v>1.3</v>
      </c>
      <c r="Y254">
        <v>0</v>
      </c>
      <c r="Z254">
        <v>0</v>
      </c>
      <c r="AA254">
        <v>0</v>
      </c>
      <c r="AE254" t="s">
        <v>1761</v>
      </c>
      <c r="AI254">
        <v>63</v>
      </c>
      <c r="AJ254">
        <v>3020320</v>
      </c>
      <c r="AK254">
        <v>0</v>
      </c>
      <c r="AN254" t="s">
        <v>135</v>
      </c>
      <c r="AO254">
        <v>3.2</v>
      </c>
      <c r="AX254">
        <v>20190326</v>
      </c>
      <c r="AY254" t="s">
        <v>1945</v>
      </c>
      <c r="AZ254" t="s">
        <v>1901</v>
      </c>
      <c r="BG254" s="556" t="str">
        <f t="shared" si="21"/>
        <v>O</v>
      </c>
      <c r="BH254" s="556" t="str">
        <f t="shared" si="22"/>
        <v/>
      </c>
      <c r="BI254" s="556" t="str">
        <f t="shared" si="23"/>
        <v/>
      </c>
      <c r="BJ254" s="556" t="str">
        <f t="shared" si="24"/>
        <v>M4</v>
      </c>
      <c r="BK254" s="556" t="str">
        <f t="shared" si="25"/>
        <v>M4</v>
      </c>
      <c r="BL254" s="556" t="str">
        <f t="shared" si="26"/>
        <v/>
      </c>
      <c r="BM254" s="497">
        <f t="shared" si="27"/>
        <v>50631</v>
      </c>
    </row>
    <row r="255" spans="1:65">
      <c r="A255">
        <v>52020</v>
      </c>
      <c r="B255" t="s">
        <v>1946</v>
      </c>
      <c r="C255" t="s">
        <v>427</v>
      </c>
      <c r="D255" t="s">
        <v>1755</v>
      </c>
      <c r="F255" s="503">
        <v>44160</v>
      </c>
      <c r="H255" t="s">
        <v>392</v>
      </c>
      <c r="I255" t="s">
        <v>1753</v>
      </c>
      <c r="J255">
        <v>2000</v>
      </c>
      <c r="K255" t="s">
        <v>1068</v>
      </c>
      <c r="O255" t="s">
        <v>1068</v>
      </c>
      <c r="W255">
        <v>1.2</v>
      </c>
      <c r="X255">
        <v>1.22</v>
      </c>
      <c r="Y255">
        <v>0</v>
      </c>
      <c r="Z255">
        <v>0</v>
      </c>
      <c r="AA255">
        <v>0</v>
      </c>
      <c r="AE255" t="s">
        <v>1039</v>
      </c>
      <c r="AI255">
        <v>57</v>
      </c>
      <c r="AJ255">
        <v>1000345</v>
      </c>
      <c r="AK255">
        <v>0</v>
      </c>
      <c r="AL255">
        <v>0</v>
      </c>
      <c r="AN255" t="s">
        <v>133</v>
      </c>
      <c r="AO255">
        <v>3.45</v>
      </c>
      <c r="AX255">
        <v>20201125</v>
      </c>
      <c r="AY255" t="s">
        <v>1780</v>
      </c>
      <c r="BG255" s="556" t="str">
        <f t="shared" si="21"/>
        <v>O</v>
      </c>
      <c r="BH255" s="556" t="str">
        <f t="shared" si="22"/>
        <v/>
      </c>
      <c r="BI255" s="556" t="str">
        <f t="shared" si="23"/>
        <v/>
      </c>
      <c r="BJ255" s="556" t="str">
        <f t="shared" si="24"/>
        <v>M4</v>
      </c>
      <c r="BK255" s="556" t="str">
        <f t="shared" si="25"/>
        <v>M4</v>
      </c>
      <c r="BL255" s="556" t="str">
        <f t="shared" si="26"/>
        <v/>
      </c>
      <c r="BM255" s="497">
        <f t="shared" si="27"/>
        <v>52020</v>
      </c>
    </row>
    <row r="256" spans="1:65">
      <c r="A256">
        <v>50634</v>
      </c>
      <c r="B256" t="s">
        <v>737</v>
      </c>
      <c r="C256" t="s">
        <v>739</v>
      </c>
      <c r="D256" t="s">
        <v>1829</v>
      </c>
      <c r="F256" s="503">
        <v>43803</v>
      </c>
      <c r="H256" t="s">
        <v>392</v>
      </c>
      <c r="I256" t="s">
        <v>1753</v>
      </c>
      <c r="J256">
        <v>2000</v>
      </c>
      <c r="K256" t="s">
        <v>1068</v>
      </c>
      <c r="O256" t="s">
        <v>2302</v>
      </c>
      <c r="W256">
        <v>1.1399999999999999</v>
      </c>
      <c r="X256">
        <v>1.2</v>
      </c>
      <c r="Y256">
        <v>0</v>
      </c>
      <c r="Z256">
        <v>0</v>
      </c>
      <c r="AA256">
        <v>2</v>
      </c>
      <c r="AE256" t="s">
        <v>1039</v>
      </c>
      <c r="AI256">
        <v>70</v>
      </c>
      <c r="AJ256">
        <v>1850345</v>
      </c>
      <c r="AK256">
        <v>0</v>
      </c>
      <c r="AN256" t="s">
        <v>1703</v>
      </c>
      <c r="AO256">
        <v>3.45</v>
      </c>
      <c r="AX256">
        <v>20191204</v>
      </c>
      <c r="AY256" t="s">
        <v>1939</v>
      </c>
      <c r="AZ256" t="s">
        <v>1899</v>
      </c>
      <c r="BG256" s="556" t="str">
        <f t="shared" si="21"/>
        <v>O</v>
      </c>
      <c r="BH256" s="556" t="str">
        <f t="shared" si="22"/>
        <v>Y</v>
      </c>
      <c r="BI256" s="556" t="str">
        <f t="shared" si="23"/>
        <v/>
      </c>
      <c r="BJ256" s="556" t="str">
        <f t="shared" si="24"/>
        <v>M4</v>
      </c>
      <c r="BK256" s="556" t="str">
        <f t="shared" si="25"/>
        <v>S4</v>
      </c>
      <c r="BL256" s="556" t="str">
        <f t="shared" si="26"/>
        <v/>
      </c>
      <c r="BM256" s="497">
        <f t="shared" si="27"/>
        <v>50634</v>
      </c>
    </row>
    <row r="257" spans="1:65">
      <c r="A257">
        <v>52002</v>
      </c>
      <c r="B257" t="s">
        <v>920</v>
      </c>
      <c r="C257" t="s">
        <v>921</v>
      </c>
      <c r="D257" t="s">
        <v>1755</v>
      </c>
      <c r="F257" s="503">
        <v>43685</v>
      </c>
      <c r="H257" t="s">
        <v>392</v>
      </c>
      <c r="I257" t="s">
        <v>1753</v>
      </c>
      <c r="J257">
        <v>2000</v>
      </c>
      <c r="K257" t="s">
        <v>1068</v>
      </c>
      <c r="O257" t="s">
        <v>1068</v>
      </c>
      <c r="W257">
        <v>1.4</v>
      </c>
      <c r="X257">
        <v>1.42</v>
      </c>
      <c r="Y257">
        <v>0</v>
      </c>
      <c r="Z257">
        <v>0</v>
      </c>
      <c r="AA257">
        <v>0</v>
      </c>
      <c r="AE257" t="s">
        <v>1761</v>
      </c>
      <c r="AI257">
        <v>57</v>
      </c>
      <c r="AJ257">
        <v>3020345</v>
      </c>
      <c r="AK257">
        <v>0</v>
      </c>
      <c r="AN257" t="s">
        <v>2629</v>
      </c>
      <c r="AO257">
        <v>3.45</v>
      </c>
      <c r="AX257">
        <v>20190808</v>
      </c>
      <c r="AY257" t="s">
        <v>1780</v>
      </c>
      <c r="BG257" s="556" t="str">
        <f t="shared" si="21"/>
        <v>O</v>
      </c>
      <c r="BH257" s="556" t="str">
        <f t="shared" si="22"/>
        <v/>
      </c>
      <c r="BI257" s="556" t="str">
        <f t="shared" si="23"/>
        <v/>
      </c>
      <c r="BJ257" s="556" t="str">
        <f t="shared" si="24"/>
        <v>M4</v>
      </c>
      <c r="BK257" s="556" t="str">
        <f t="shared" si="25"/>
        <v>M4</v>
      </c>
      <c r="BL257" s="556" t="str">
        <f t="shared" si="26"/>
        <v/>
      </c>
      <c r="BM257" s="497">
        <f t="shared" si="27"/>
        <v>52002</v>
      </c>
    </row>
    <row r="258" spans="1:65">
      <c r="A258">
        <v>53608</v>
      </c>
      <c r="B258" t="s">
        <v>2580</v>
      </c>
      <c r="C258" t="s">
        <v>2581</v>
      </c>
      <c r="D258" t="s">
        <v>2191</v>
      </c>
      <c r="F258" s="503">
        <v>45010</v>
      </c>
      <c r="H258" t="s">
        <v>1929</v>
      </c>
      <c r="I258" t="s">
        <v>1753</v>
      </c>
      <c r="J258">
        <v>3000</v>
      </c>
      <c r="K258" t="s">
        <v>1068</v>
      </c>
      <c r="O258" t="s">
        <v>1068</v>
      </c>
      <c r="W258">
        <v>1.18</v>
      </c>
      <c r="X258">
        <v>1.18</v>
      </c>
      <c r="Y258">
        <v>0</v>
      </c>
      <c r="Z258">
        <v>0</v>
      </c>
      <c r="AA258">
        <v>0</v>
      </c>
      <c r="AE258" t="s">
        <v>2079</v>
      </c>
      <c r="AI258">
        <v>87</v>
      </c>
      <c r="AJ258">
        <v>3020345</v>
      </c>
      <c r="AK258">
        <v>0</v>
      </c>
      <c r="AN258" t="s">
        <v>2629</v>
      </c>
      <c r="AO258">
        <v>3.45</v>
      </c>
      <c r="AU258" t="s">
        <v>3225</v>
      </c>
      <c r="AX258">
        <v>20230325</v>
      </c>
      <c r="AY258" t="s">
        <v>2072</v>
      </c>
      <c r="BG258" s="556" t="str">
        <f t="shared" si="21"/>
        <v>O</v>
      </c>
      <c r="BH258" s="556" t="str">
        <f t="shared" si="22"/>
        <v/>
      </c>
      <c r="BI258" s="556" t="str">
        <f t="shared" si="23"/>
        <v>Y</v>
      </c>
      <c r="BJ258" s="556" t="str">
        <f t="shared" si="24"/>
        <v>M4</v>
      </c>
      <c r="BK258" s="556" t="str">
        <f t="shared" si="25"/>
        <v>M4</v>
      </c>
      <c r="BL258" s="556" t="str">
        <f t="shared" si="26"/>
        <v/>
      </c>
      <c r="BM258" s="497">
        <f t="shared" si="27"/>
        <v>53608</v>
      </c>
    </row>
    <row r="259" spans="1:65">
      <c r="A259">
        <v>20605</v>
      </c>
      <c r="B259" t="s">
        <v>1947</v>
      </c>
      <c r="C259" t="s">
        <v>984</v>
      </c>
      <c r="D259" t="s">
        <v>1813</v>
      </c>
      <c r="F259" s="503">
        <v>44114</v>
      </c>
      <c r="H259" t="s">
        <v>392</v>
      </c>
      <c r="I259" t="s">
        <v>1753</v>
      </c>
      <c r="J259">
        <v>2000</v>
      </c>
      <c r="K259" t="s">
        <v>1068</v>
      </c>
      <c r="O259" t="s">
        <v>1068</v>
      </c>
      <c r="W259">
        <v>1.21</v>
      </c>
      <c r="X259">
        <v>1.24</v>
      </c>
      <c r="Y259">
        <v>0</v>
      </c>
      <c r="Z259">
        <v>0</v>
      </c>
      <c r="AA259">
        <v>2</v>
      </c>
      <c r="AE259" t="s">
        <v>3189</v>
      </c>
      <c r="AI259">
        <v>60</v>
      </c>
      <c r="AJ259">
        <v>1850320</v>
      </c>
      <c r="AK259">
        <v>0</v>
      </c>
      <c r="AL259">
        <v>0</v>
      </c>
      <c r="AN259" t="s">
        <v>1703</v>
      </c>
      <c r="AO259">
        <v>3.2</v>
      </c>
      <c r="AT259" t="s">
        <v>2949</v>
      </c>
      <c r="AX259">
        <v>20201010</v>
      </c>
      <c r="AY259" t="s">
        <v>1754</v>
      </c>
      <c r="BG259" s="556" t="str">
        <f t="shared" ref="BG259:BG322" si="28">IF(LEFT(AY259,2)="98","X","O")</f>
        <v>O</v>
      </c>
      <c r="BH259" s="556" t="str">
        <f t="shared" ref="BH259:BH322" si="29">IF(IFERROR(SEARCH("45",$AY259,1),0)&gt;0,"Y","")</f>
        <v/>
      </c>
      <c r="BI259" s="556" t="str">
        <f t="shared" ref="BI259:BI322" si="30">IF(IFERROR(SEARCH("86",$AY259,1),0)&gt;0,"Y","")</f>
        <v/>
      </c>
      <c r="BJ259" s="556" t="str">
        <f t="shared" ref="BJ259:BJ322" si="31">IF(L259="",K259,IF(M259="",K259&amp;","&amp;L259,IF(N259="",K259&amp;","&amp;L259&amp;","&amp;M259,K259&amp;","&amp;L259&amp;","&amp;M259&amp;","&amp;N259)))</f>
        <v>M4</v>
      </c>
      <c r="BK259" s="556" t="str">
        <f t="shared" ref="BK259:BK322" si="32">IF(P259="",O259,IF(Q259="",O259&amp;","&amp;P259,IF(R259="",O259&amp;","&amp;P259&amp;","&amp;Q259,IO259&amp;","&amp;P259&amp;","&amp;Q259&amp;","&amp;R259)))</f>
        <v>M4</v>
      </c>
      <c r="BL259" s="556" t="str">
        <f t="shared" ref="BL259:BL322" si="33">IF(S259=0,"",S259)</f>
        <v/>
      </c>
      <c r="BM259" s="497">
        <f t="shared" ref="BM259:BM322" si="34">A259</f>
        <v>20605</v>
      </c>
    </row>
    <row r="260" spans="1:65">
      <c r="A260">
        <v>45012</v>
      </c>
      <c r="B260" t="s">
        <v>3308</v>
      </c>
      <c r="C260" t="s">
        <v>984</v>
      </c>
      <c r="D260" t="s">
        <v>3305</v>
      </c>
      <c r="F260" s="503">
        <v>45990</v>
      </c>
      <c r="H260" t="s">
        <v>392</v>
      </c>
      <c r="I260" t="s">
        <v>1753</v>
      </c>
      <c r="J260">
        <v>0</v>
      </c>
      <c r="K260" t="s">
        <v>1068</v>
      </c>
      <c r="O260" t="s">
        <v>1068</v>
      </c>
      <c r="W260">
        <v>1.21</v>
      </c>
      <c r="X260">
        <v>1.21</v>
      </c>
      <c r="Y260">
        <v>0</v>
      </c>
      <c r="Z260">
        <v>0</v>
      </c>
      <c r="AA260">
        <v>2</v>
      </c>
      <c r="AE260" t="s">
        <v>1039</v>
      </c>
      <c r="AI260">
        <v>60</v>
      </c>
      <c r="AJ260">
        <v>1850320</v>
      </c>
      <c r="AK260">
        <v>0</v>
      </c>
      <c r="AL260">
        <v>0</v>
      </c>
      <c r="AN260" t="s">
        <v>1703</v>
      </c>
      <c r="AO260">
        <v>3.2</v>
      </c>
      <c r="AX260">
        <v>20251129</v>
      </c>
      <c r="AY260" t="s">
        <v>1754</v>
      </c>
      <c r="BG260" s="556" t="str">
        <f t="shared" si="28"/>
        <v>O</v>
      </c>
      <c r="BH260" s="556" t="str">
        <f t="shared" si="29"/>
        <v/>
      </c>
      <c r="BI260" s="556" t="str">
        <f t="shared" si="30"/>
        <v/>
      </c>
      <c r="BJ260" s="556" t="str">
        <f t="shared" si="31"/>
        <v>M4</v>
      </c>
      <c r="BK260" s="556" t="str">
        <f t="shared" si="32"/>
        <v>M4</v>
      </c>
      <c r="BL260" s="556" t="str">
        <f t="shared" si="33"/>
        <v/>
      </c>
      <c r="BM260" s="497">
        <f t="shared" si="34"/>
        <v>45012</v>
      </c>
    </row>
    <row r="261" spans="1:65">
      <c r="A261">
        <v>20606</v>
      </c>
      <c r="B261" t="s">
        <v>1738</v>
      </c>
      <c r="C261" t="s">
        <v>984</v>
      </c>
      <c r="D261" t="s">
        <v>1813</v>
      </c>
      <c r="F261" s="503">
        <v>44111</v>
      </c>
      <c r="H261" t="s">
        <v>392</v>
      </c>
      <c r="I261" t="s">
        <v>1753</v>
      </c>
      <c r="J261">
        <v>2000</v>
      </c>
      <c r="K261" t="s">
        <v>1068</v>
      </c>
      <c r="O261" t="s">
        <v>1068</v>
      </c>
      <c r="W261">
        <v>1.21</v>
      </c>
      <c r="X261">
        <v>1.27</v>
      </c>
      <c r="Y261">
        <v>0</v>
      </c>
      <c r="Z261">
        <v>0</v>
      </c>
      <c r="AA261">
        <v>0</v>
      </c>
      <c r="AE261" t="s">
        <v>1761</v>
      </c>
      <c r="AI261">
        <v>57</v>
      </c>
      <c r="AJ261">
        <v>3020320</v>
      </c>
      <c r="AK261">
        <v>0</v>
      </c>
      <c r="AN261" t="s">
        <v>135</v>
      </c>
      <c r="AO261">
        <v>3.2</v>
      </c>
      <c r="AX261">
        <v>20201007</v>
      </c>
      <c r="AY261" t="s">
        <v>1780</v>
      </c>
      <c r="BG261" s="556" t="str">
        <f t="shared" si="28"/>
        <v>O</v>
      </c>
      <c r="BH261" s="556" t="str">
        <f t="shared" si="29"/>
        <v/>
      </c>
      <c r="BI261" s="556" t="str">
        <f t="shared" si="30"/>
        <v/>
      </c>
      <c r="BJ261" s="556" t="str">
        <f t="shared" si="31"/>
        <v>M4</v>
      </c>
      <c r="BK261" s="556" t="str">
        <f t="shared" si="32"/>
        <v>M4</v>
      </c>
      <c r="BL261" s="556" t="str">
        <f t="shared" si="33"/>
        <v/>
      </c>
      <c r="BM261" s="497">
        <f t="shared" si="34"/>
        <v>20606</v>
      </c>
    </row>
    <row r="262" spans="1:65">
      <c r="A262">
        <v>20043</v>
      </c>
      <c r="B262" t="s">
        <v>196</v>
      </c>
      <c r="C262" t="s">
        <v>197</v>
      </c>
      <c r="D262" t="s">
        <v>1774</v>
      </c>
      <c r="F262" s="503">
        <v>42748</v>
      </c>
      <c r="H262" t="s">
        <v>60</v>
      </c>
      <c r="I262" t="s">
        <v>1753</v>
      </c>
      <c r="J262">
        <v>2000</v>
      </c>
      <c r="K262" t="s">
        <v>1068</v>
      </c>
      <c r="O262" t="s">
        <v>1068</v>
      </c>
      <c r="W262">
        <v>1.34</v>
      </c>
      <c r="X262">
        <v>1.34</v>
      </c>
      <c r="Y262">
        <v>0</v>
      </c>
      <c r="Z262">
        <v>0</v>
      </c>
      <c r="AA262">
        <v>2</v>
      </c>
      <c r="AE262" t="s">
        <v>1039</v>
      </c>
      <c r="AI262">
        <v>60</v>
      </c>
      <c r="AJ262">
        <v>1850355</v>
      </c>
      <c r="AK262">
        <v>0</v>
      </c>
      <c r="AL262">
        <v>0</v>
      </c>
      <c r="AN262" t="s">
        <v>1703</v>
      </c>
      <c r="AO262">
        <v>3.55</v>
      </c>
      <c r="AX262">
        <v>20170113</v>
      </c>
      <c r="AY262" t="s">
        <v>1754</v>
      </c>
      <c r="BG262" s="556" t="str">
        <f t="shared" si="28"/>
        <v>O</v>
      </c>
      <c r="BH262" s="556" t="str">
        <f t="shared" si="29"/>
        <v/>
      </c>
      <c r="BI262" s="556" t="str">
        <f t="shared" si="30"/>
        <v/>
      </c>
      <c r="BJ262" s="556" t="str">
        <f t="shared" si="31"/>
        <v>M4</v>
      </c>
      <c r="BK262" s="556" t="str">
        <f t="shared" si="32"/>
        <v>M4</v>
      </c>
      <c r="BL262" s="556" t="str">
        <f t="shared" si="33"/>
        <v/>
      </c>
      <c r="BM262" s="497">
        <f t="shared" si="34"/>
        <v>20043</v>
      </c>
    </row>
    <row r="263" spans="1:65">
      <c r="A263">
        <v>99012</v>
      </c>
      <c r="B263" t="s">
        <v>1948</v>
      </c>
      <c r="C263" t="s">
        <v>1949</v>
      </c>
      <c r="D263" t="s">
        <v>358</v>
      </c>
      <c r="F263" s="503">
        <v>44581</v>
      </c>
      <c r="H263" t="s">
        <v>392</v>
      </c>
      <c r="I263" t="s">
        <v>1753</v>
      </c>
      <c r="J263">
        <v>2000</v>
      </c>
      <c r="K263" t="s">
        <v>1068</v>
      </c>
      <c r="O263" t="s">
        <v>1068</v>
      </c>
      <c r="W263">
        <v>1</v>
      </c>
      <c r="X263">
        <v>1.02</v>
      </c>
      <c r="Y263">
        <v>0</v>
      </c>
      <c r="Z263">
        <v>0</v>
      </c>
      <c r="AA263">
        <v>2</v>
      </c>
      <c r="AE263" t="s">
        <v>1039</v>
      </c>
      <c r="AI263">
        <v>60</v>
      </c>
      <c r="AJ263">
        <v>1850320</v>
      </c>
      <c r="AK263">
        <v>0</v>
      </c>
      <c r="AN263" t="s">
        <v>1703</v>
      </c>
      <c r="AO263">
        <v>3.2</v>
      </c>
      <c r="AX263">
        <v>20220120</v>
      </c>
      <c r="AY263" t="s">
        <v>1754</v>
      </c>
      <c r="BG263" s="556" t="str">
        <f t="shared" si="28"/>
        <v>O</v>
      </c>
      <c r="BH263" s="556" t="str">
        <f t="shared" si="29"/>
        <v/>
      </c>
      <c r="BI263" s="556" t="str">
        <f t="shared" si="30"/>
        <v/>
      </c>
      <c r="BJ263" s="556" t="str">
        <f t="shared" si="31"/>
        <v>M4</v>
      </c>
      <c r="BK263" s="556" t="str">
        <f t="shared" si="32"/>
        <v>M4</v>
      </c>
      <c r="BL263" s="556" t="str">
        <f t="shared" si="33"/>
        <v/>
      </c>
      <c r="BM263" s="497">
        <f t="shared" si="34"/>
        <v>99012</v>
      </c>
    </row>
    <row r="264" spans="1:65">
      <c r="A264">
        <v>50312</v>
      </c>
      <c r="B264" t="s">
        <v>2336</v>
      </c>
      <c r="C264" t="s">
        <v>2337</v>
      </c>
      <c r="D264" t="s">
        <v>2324</v>
      </c>
      <c r="F264" s="503">
        <v>44930</v>
      </c>
      <c r="H264" t="s">
        <v>2338</v>
      </c>
      <c r="I264" t="s">
        <v>1753</v>
      </c>
      <c r="J264">
        <v>5000</v>
      </c>
      <c r="K264" t="s">
        <v>1068</v>
      </c>
      <c r="O264" t="s">
        <v>1068</v>
      </c>
      <c r="W264">
        <v>0.86</v>
      </c>
      <c r="X264">
        <v>0.85</v>
      </c>
      <c r="Y264">
        <v>0</v>
      </c>
      <c r="Z264">
        <v>0</v>
      </c>
      <c r="AA264">
        <v>2</v>
      </c>
      <c r="AE264" t="s">
        <v>1039</v>
      </c>
      <c r="AI264">
        <v>60</v>
      </c>
      <c r="AJ264">
        <v>1850345</v>
      </c>
      <c r="AK264">
        <v>0</v>
      </c>
      <c r="AN264" t="s">
        <v>1703</v>
      </c>
      <c r="AO264">
        <v>3.45</v>
      </c>
      <c r="AX264">
        <v>20230104</v>
      </c>
      <c r="AY264" t="s">
        <v>1754</v>
      </c>
      <c r="BG264" s="556" t="str">
        <f t="shared" si="28"/>
        <v>O</v>
      </c>
      <c r="BH264" s="556" t="str">
        <f t="shared" si="29"/>
        <v/>
      </c>
      <c r="BI264" s="556" t="str">
        <f t="shared" si="30"/>
        <v/>
      </c>
      <c r="BJ264" s="556" t="str">
        <f t="shared" si="31"/>
        <v>M4</v>
      </c>
      <c r="BK264" s="556" t="str">
        <f t="shared" si="32"/>
        <v>M4</v>
      </c>
      <c r="BL264" s="556" t="str">
        <f t="shared" si="33"/>
        <v/>
      </c>
      <c r="BM264" s="497">
        <f t="shared" si="34"/>
        <v>50312</v>
      </c>
    </row>
    <row r="265" spans="1:65">
      <c r="A265">
        <v>50637</v>
      </c>
      <c r="B265" t="s">
        <v>618</v>
      </c>
      <c r="C265" t="s">
        <v>619</v>
      </c>
      <c r="D265" t="s">
        <v>1829</v>
      </c>
      <c r="F265" s="503">
        <v>43803</v>
      </c>
      <c r="H265" t="s">
        <v>620</v>
      </c>
      <c r="I265" t="s">
        <v>1753</v>
      </c>
      <c r="J265">
        <v>2000</v>
      </c>
      <c r="K265" t="s">
        <v>1068</v>
      </c>
      <c r="O265" t="s">
        <v>1068</v>
      </c>
      <c r="S265" t="s">
        <v>2301</v>
      </c>
      <c r="W265">
        <v>1.22</v>
      </c>
      <c r="X265">
        <v>1.25</v>
      </c>
      <c r="Y265">
        <v>0</v>
      </c>
      <c r="Z265">
        <v>0</v>
      </c>
      <c r="AA265">
        <v>2</v>
      </c>
      <c r="AE265" t="s">
        <v>1039</v>
      </c>
      <c r="AI265">
        <v>69</v>
      </c>
      <c r="AJ265">
        <v>1850320</v>
      </c>
      <c r="AK265">
        <v>0</v>
      </c>
      <c r="AL265">
        <v>0</v>
      </c>
      <c r="AN265" t="s">
        <v>1703</v>
      </c>
      <c r="AO265">
        <v>3.2</v>
      </c>
      <c r="AR265" t="s">
        <v>2948</v>
      </c>
      <c r="AX265">
        <v>20191204</v>
      </c>
      <c r="AY265" t="s">
        <v>1830</v>
      </c>
      <c r="BG265" s="556" t="str">
        <f t="shared" si="28"/>
        <v>O</v>
      </c>
      <c r="BH265" s="556" t="str">
        <f t="shared" si="29"/>
        <v/>
      </c>
      <c r="BI265" s="556" t="str">
        <f t="shared" si="30"/>
        <v/>
      </c>
      <c r="BJ265" s="556" t="str">
        <f t="shared" si="31"/>
        <v>M4</v>
      </c>
      <c r="BK265" s="556" t="str">
        <f t="shared" si="32"/>
        <v>M4</v>
      </c>
      <c r="BL265" s="556" t="str">
        <f t="shared" si="33"/>
        <v>CT</v>
      </c>
      <c r="BM265" s="497">
        <f t="shared" si="34"/>
        <v>50637</v>
      </c>
    </row>
    <row r="266" spans="1:65">
      <c r="A266">
        <v>50641</v>
      </c>
      <c r="B266" t="s">
        <v>660</v>
      </c>
      <c r="C266" t="s">
        <v>661</v>
      </c>
      <c r="D266" t="s">
        <v>1829</v>
      </c>
      <c r="F266" s="503">
        <v>43902</v>
      </c>
      <c r="H266" t="s">
        <v>620</v>
      </c>
      <c r="I266" t="s">
        <v>1753</v>
      </c>
      <c r="J266">
        <v>2000</v>
      </c>
      <c r="K266" t="s">
        <v>1068</v>
      </c>
      <c r="O266" t="s">
        <v>1068</v>
      </c>
      <c r="S266" t="s">
        <v>2301</v>
      </c>
      <c r="W266">
        <v>1.62</v>
      </c>
      <c r="X266">
        <v>1.58</v>
      </c>
      <c r="Y266">
        <v>0</v>
      </c>
      <c r="Z266">
        <v>0</v>
      </c>
      <c r="AA266">
        <v>2</v>
      </c>
      <c r="AE266" t="s">
        <v>1039</v>
      </c>
      <c r="AI266">
        <v>69</v>
      </c>
      <c r="AJ266">
        <v>1850320</v>
      </c>
      <c r="AK266">
        <v>0</v>
      </c>
      <c r="AN266" t="s">
        <v>1703</v>
      </c>
      <c r="AO266">
        <v>3.2</v>
      </c>
      <c r="AR266" t="s">
        <v>2948</v>
      </c>
      <c r="AX266">
        <v>20200312</v>
      </c>
      <c r="AY266" t="s">
        <v>1830</v>
      </c>
      <c r="BG266" s="556" t="str">
        <f t="shared" si="28"/>
        <v>O</v>
      </c>
      <c r="BH266" s="556" t="str">
        <f t="shared" si="29"/>
        <v/>
      </c>
      <c r="BI266" s="556" t="str">
        <f t="shared" si="30"/>
        <v/>
      </c>
      <c r="BJ266" s="556" t="str">
        <f t="shared" si="31"/>
        <v>M4</v>
      </c>
      <c r="BK266" s="556" t="str">
        <f t="shared" si="32"/>
        <v>M4</v>
      </c>
      <c r="BL266" s="556" t="str">
        <f t="shared" si="33"/>
        <v>CT</v>
      </c>
      <c r="BM266" s="497">
        <f t="shared" si="34"/>
        <v>50641</v>
      </c>
    </row>
    <row r="267" spans="1:65">
      <c r="A267">
        <v>99002</v>
      </c>
      <c r="B267" t="s">
        <v>697</v>
      </c>
      <c r="C267" t="s">
        <v>694</v>
      </c>
      <c r="D267" t="s">
        <v>358</v>
      </c>
      <c r="F267" s="503">
        <v>43382</v>
      </c>
      <c r="H267" t="s">
        <v>620</v>
      </c>
      <c r="I267" t="s">
        <v>1753</v>
      </c>
      <c r="J267">
        <v>2000</v>
      </c>
      <c r="K267" t="s">
        <v>1068</v>
      </c>
      <c r="O267" t="s">
        <v>1068</v>
      </c>
      <c r="W267">
        <v>1.69</v>
      </c>
      <c r="X267">
        <v>1.67</v>
      </c>
      <c r="Y267">
        <v>0</v>
      </c>
      <c r="Z267">
        <v>0</v>
      </c>
      <c r="AA267">
        <v>2</v>
      </c>
      <c r="AE267" t="s">
        <v>1039</v>
      </c>
      <c r="AI267">
        <v>74</v>
      </c>
      <c r="AJ267">
        <v>1850325</v>
      </c>
      <c r="AK267">
        <v>0</v>
      </c>
      <c r="AL267">
        <v>0</v>
      </c>
      <c r="AN267" t="s">
        <v>1703</v>
      </c>
      <c r="AO267">
        <v>3.25</v>
      </c>
      <c r="AV267" s="504">
        <v>46085</v>
      </c>
      <c r="AX267">
        <v>20181009</v>
      </c>
      <c r="AY267" t="s">
        <v>1768</v>
      </c>
      <c r="AZ267" t="s">
        <v>1950</v>
      </c>
      <c r="BG267" s="556" t="str">
        <f t="shared" si="28"/>
        <v>O</v>
      </c>
      <c r="BH267" s="556" t="str">
        <f t="shared" si="29"/>
        <v/>
      </c>
      <c r="BI267" s="556" t="str">
        <f t="shared" si="30"/>
        <v/>
      </c>
      <c r="BJ267" s="556" t="str">
        <f t="shared" si="31"/>
        <v>M4</v>
      </c>
      <c r="BK267" s="556" t="str">
        <f t="shared" si="32"/>
        <v>M4</v>
      </c>
      <c r="BL267" s="556" t="str">
        <f t="shared" si="33"/>
        <v/>
      </c>
      <c r="BM267" s="497">
        <f t="shared" si="34"/>
        <v>99002</v>
      </c>
    </row>
    <row r="268" spans="1:65">
      <c r="A268">
        <v>51801</v>
      </c>
      <c r="B268" t="s">
        <v>662</v>
      </c>
      <c r="C268" t="s">
        <v>664</v>
      </c>
      <c r="D268" t="s">
        <v>1772</v>
      </c>
      <c r="F268" s="503">
        <v>43820</v>
      </c>
      <c r="H268" t="s">
        <v>665</v>
      </c>
      <c r="I268" t="s">
        <v>1753</v>
      </c>
      <c r="J268">
        <v>10000</v>
      </c>
      <c r="K268" t="s">
        <v>1068</v>
      </c>
      <c r="O268" t="s">
        <v>1068</v>
      </c>
      <c r="W268">
        <v>1.1499999999999999</v>
      </c>
      <c r="X268">
        <v>1.1100000000000001</v>
      </c>
      <c r="Y268">
        <v>0</v>
      </c>
      <c r="Z268">
        <v>0</v>
      </c>
      <c r="AA268">
        <v>2</v>
      </c>
      <c r="AE268" t="s">
        <v>1039</v>
      </c>
      <c r="AI268">
        <v>60</v>
      </c>
      <c r="AJ268">
        <v>1850320</v>
      </c>
      <c r="AK268">
        <v>0</v>
      </c>
      <c r="AL268">
        <v>0</v>
      </c>
      <c r="AN268" t="s">
        <v>1703</v>
      </c>
      <c r="AO268">
        <v>3.2</v>
      </c>
      <c r="AT268" t="s">
        <v>2950</v>
      </c>
      <c r="AX268">
        <v>20191221</v>
      </c>
      <c r="AY268" t="s">
        <v>1754</v>
      </c>
      <c r="BG268" s="556" t="str">
        <f t="shared" si="28"/>
        <v>O</v>
      </c>
      <c r="BH268" s="556" t="str">
        <f t="shared" si="29"/>
        <v/>
      </c>
      <c r="BI268" s="556" t="str">
        <f t="shared" si="30"/>
        <v/>
      </c>
      <c r="BJ268" s="556" t="str">
        <f t="shared" si="31"/>
        <v>M4</v>
      </c>
      <c r="BK268" s="556" t="str">
        <f t="shared" si="32"/>
        <v>M4</v>
      </c>
      <c r="BL268" s="556" t="str">
        <f t="shared" si="33"/>
        <v/>
      </c>
      <c r="BM268" s="497">
        <f t="shared" si="34"/>
        <v>51801</v>
      </c>
    </row>
    <row r="269" spans="1:65">
      <c r="A269">
        <v>50105</v>
      </c>
      <c r="B269" t="s">
        <v>415</v>
      </c>
      <c r="C269" t="s">
        <v>113</v>
      </c>
      <c r="D269" t="s">
        <v>1918</v>
      </c>
      <c r="F269" s="503">
        <v>43598</v>
      </c>
      <c r="H269" t="s">
        <v>417</v>
      </c>
      <c r="I269" t="s">
        <v>1753</v>
      </c>
      <c r="J269">
        <v>2000</v>
      </c>
      <c r="K269" t="s">
        <v>1068</v>
      </c>
      <c r="O269" t="s">
        <v>2302</v>
      </c>
      <c r="W269">
        <v>1.21</v>
      </c>
      <c r="X269">
        <v>1.42</v>
      </c>
      <c r="Y269">
        <v>0</v>
      </c>
      <c r="Z269">
        <v>0</v>
      </c>
      <c r="AA269">
        <v>0</v>
      </c>
      <c r="AE269" t="s">
        <v>1039</v>
      </c>
      <c r="AI269">
        <v>18</v>
      </c>
      <c r="AJ269">
        <v>1000345</v>
      </c>
      <c r="AK269">
        <v>0</v>
      </c>
      <c r="AN269" t="s">
        <v>133</v>
      </c>
      <c r="AO269">
        <v>3.45</v>
      </c>
      <c r="AX269">
        <v>20190513</v>
      </c>
      <c r="AY269" t="s">
        <v>1800</v>
      </c>
      <c r="AZ269" t="s">
        <v>1895</v>
      </c>
      <c r="BG269" s="556" t="str">
        <f t="shared" si="28"/>
        <v>O</v>
      </c>
      <c r="BH269" s="556" t="str">
        <f t="shared" si="29"/>
        <v>Y</v>
      </c>
      <c r="BI269" s="556" t="str">
        <f t="shared" si="30"/>
        <v/>
      </c>
      <c r="BJ269" s="556" t="str">
        <f t="shared" si="31"/>
        <v>M4</v>
      </c>
      <c r="BK269" s="556" t="str">
        <f t="shared" si="32"/>
        <v>S4</v>
      </c>
      <c r="BL269" s="556" t="str">
        <f t="shared" si="33"/>
        <v/>
      </c>
      <c r="BM269" s="497">
        <f t="shared" si="34"/>
        <v>50105</v>
      </c>
    </row>
    <row r="270" spans="1:65">
      <c r="A270">
        <v>50313</v>
      </c>
      <c r="B270" t="s">
        <v>2339</v>
      </c>
      <c r="C270" t="s">
        <v>2340</v>
      </c>
      <c r="D270" t="s">
        <v>2324</v>
      </c>
      <c r="F270" s="503">
        <v>44930</v>
      </c>
      <c r="H270" t="s">
        <v>2318</v>
      </c>
      <c r="I270" t="s">
        <v>1753</v>
      </c>
      <c r="J270">
        <v>2000</v>
      </c>
      <c r="K270" t="s">
        <v>1068</v>
      </c>
      <c r="O270" t="s">
        <v>1068</v>
      </c>
      <c r="W270">
        <v>1.42</v>
      </c>
      <c r="X270">
        <v>1.42</v>
      </c>
      <c r="Y270">
        <v>0</v>
      </c>
      <c r="Z270">
        <v>0</v>
      </c>
      <c r="AA270">
        <v>802</v>
      </c>
      <c r="AE270" t="s">
        <v>1773</v>
      </c>
      <c r="AI270">
        <v>60</v>
      </c>
      <c r="AJ270">
        <v>1200345</v>
      </c>
      <c r="AK270">
        <v>0</v>
      </c>
      <c r="AL270">
        <v>0</v>
      </c>
      <c r="AN270" t="s">
        <v>1720</v>
      </c>
      <c r="AO270">
        <v>3.45</v>
      </c>
      <c r="AX270">
        <v>20230104</v>
      </c>
      <c r="AY270" t="s">
        <v>1754</v>
      </c>
      <c r="BG270" s="556" t="str">
        <f t="shared" si="28"/>
        <v>O</v>
      </c>
      <c r="BH270" s="556" t="str">
        <f t="shared" si="29"/>
        <v/>
      </c>
      <c r="BI270" s="556" t="str">
        <f t="shared" si="30"/>
        <v/>
      </c>
      <c r="BJ270" s="556" t="str">
        <f t="shared" si="31"/>
        <v>M4</v>
      </c>
      <c r="BK270" s="556" t="str">
        <f t="shared" si="32"/>
        <v>M4</v>
      </c>
      <c r="BL270" s="556" t="str">
        <f t="shared" si="33"/>
        <v/>
      </c>
      <c r="BM270" s="497">
        <f t="shared" si="34"/>
        <v>50313</v>
      </c>
    </row>
    <row r="271" spans="1:65">
      <c r="A271">
        <v>20607</v>
      </c>
      <c r="B271" t="s">
        <v>1667</v>
      </c>
      <c r="C271" t="s">
        <v>204</v>
      </c>
      <c r="D271" t="s">
        <v>1813</v>
      </c>
      <c r="F271" s="503">
        <v>44111</v>
      </c>
      <c r="H271" t="s">
        <v>414</v>
      </c>
      <c r="I271" t="s">
        <v>1753</v>
      </c>
      <c r="J271">
        <v>2000</v>
      </c>
      <c r="K271" t="s">
        <v>1068</v>
      </c>
      <c r="O271" t="s">
        <v>1068</v>
      </c>
      <c r="W271">
        <v>1.29</v>
      </c>
      <c r="X271">
        <v>1.29</v>
      </c>
      <c r="Y271">
        <v>0</v>
      </c>
      <c r="Z271">
        <v>0</v>
      </c>
      <c r="AA271">
        <v>0</v>
      </c>
      <c r="AE271" t="s">
        <v>1761</v>
      </c>
      <c r="AI271">
        <v>57</v>
      </c>
      <c r="AJ271">
        <v>3020320</v>
      </c>
      <c r="AK271">
        <v>0</v>
      </c>
      <c r="AN271" t="s">
        <v>135</v>
      </c>
      <c r="AO271">
        <v>3.2</v>
      </c>
      <c r="AX271">
        <v>20201007</v>
      </c>
      <c r="AY271" t="s">
        <v>1780</v>
      </c>
      <c r="BG271" s="556" t="str">
        <f t="shared" si="28"/>
        <v>O</v>
      </c>
      <c r="BH271" s="556" t="str">
        <f t="shared" si="29"/>
        <v/>
      </c>
      <c r="BI271" s="556" t="str">
        <f t="shared" si="30"/>
        <v/>
      </c>
      <c r="BJ271" s="556" t="str">
        <f t="shared" si="31"/>
        <v>M4</v>
      </c>
      <c r="BK271" s="556" t="str">
        <f t="shared" si="32"/>
        <v>M4</v>
      </c>
      <c r="BL271" s="556" t="str">
        <f t="shared" si="33"/>
        <v/>
      </c>
      <c r="BM271" s="497">
        <f t="shared" si="34"/>
        <v>20607</v>
      </c>
    </row>
    <row r="272" spans="1:65">
      <c r="A272">
        <v>50108</v>
      </c>
      <c r="B272" t="s">
        <v>1951</v>
      </c>
      <c r="C272" t="s">
        <v>742</v>
      </c>
      <c r="D272" t="s">
        <v>1918</v>
      </c>
      <c r="F272" s="503">
        <v>44148</v>
      </c>
      <c r="H272" t="s">
        <v>414</v>
      </c>
      <c r="I272" t="s">
        <v>1753</v>
      </c>
      <c r="J272">
        <v>2000</v>
      </c>
      <c r="K272" t="s">
        <v>1068</v>
      </c>
      <c r="O272" t="s">
        <v>1068</v>
      </c>
      <c r="W272">
        <v>1.31</v>
      </c>
      <c r="X272">
        <v>1.33</v>
      </c>
      <c r="Y272">
        <v>0</v>
      </c>
      <c r="Z272">
        <v>0</v>
      </c>
      <c r="AA272">
        <v>2</v>
      </c>
      <c r="AE272" t="s">
        <v>1039</v>
      </c>
      <c r="AI272">
        <v>60</v>
      </c>
      <c r="AJ272">
        <v>1850345</v>
      </c>
      <c r="AK272">
        <v>0</v>
      </c>
      <c r="AN272" t="s">
        <v>1703</v>
      </c>
      <c r="AO272">
        <v>3.45</v>
      </c>
      <c r="AX272">
        <v>20201113</v>
      </c>
      <c r="AY272" t="s">
        <v>1754</v>
      </c>
      <c r="BG272" s="556" t="str">
        <f t="shared" si="28"/>
        <v>O</v>
      </c>
      <c r="BH272" s="556" t="str">
        <f t="shared" si="29"/>
        <v/>
      </c>
      <c r="BI272" s="556" t="str">
        <f t="shared" si="30"/>
        <v/>
      </c>
      <c r="BJ272" s="556" t="str">
        <f t="shared" si="31"/>
        <v>M4</v>
      </c>
      <c r="BK272" s="556" t="str">
        <f t="shared" si="32"/>
        <v>M4</v>
      </c>
      <c r="BL272" s="556" t="str">
        <f t="shared" si="33"/>
        <v/>
      </c>
      <c r="BM272" s="497">
        <f t="shared" si="34"/>
        <v>50108</v>
      </c>
    </row>
    <row r="273" spans="1:65">
      <c r="A273">
        <v>45018</v>
      </c>
      <c r="B273" t="s">
        <v>3338</v>
      </c>
      <c r="C273" t="s">
        <v>3339</v>
      </c>
      <c r="D273" t="s">
        <v>3280</v>
      </c>
      <c r="F273" s="503">
        <v>46007</v>
      </c>
      <c r="H273" t="s">
        <v>3100</v>
      </c>
      <c r="I273" t="s">
        <v>1753</v>
      </c>
      <c r="J273">
        <v>0</v>
      </c>
      <c r="K273" t="s">
        <v>1068</v>
      </c>
      <c r="O273" t="s">
        <v>1068</v>
      </c>
      <c r="W273">
        <v>1.34</v>
      </c>
      <c r="X273">
        <v>1.34</v>
      </c>
      <c r="Y273">
        <v>0</v>
      </c>
      <c r="Z273">
        <v>0</v>
      </c>
      <c r="AA273">
        <v>2</v>
      </c>
      <c r="AE273" t="s">
        <v>3375</v>
      </c>
      <c r="AI273">
        <v>60</v>
      </c>
      <c r="AJ273">
        <v>1850355</v>
      </c>
      <c r="AK273">
        <v>0</v>
      </c>
      <c r="AN273" t="s">
        <v>1703</v>
      </c>
      <c r="AO273">
        <v>3.55</v>
      </c>
      <c r="AT273" t="s">
        <v>3246</v>
      </c>
      <c r="AX273">
        <v>20251216</v>
      </c>
      <c r="AY273" t="s">
        <v>1754</v>
      </c>
      <c r="BG273" s="556" t="str">
        <f t="shared" si="28"/>
        <v>O</v>
      </c>
      <c r="BH273" s="556" t="str">
        <f t="shared" si="29"/>
        <v/>
      </c>
      <c r="BI273" s="556" t="str">
        <f t="shared" si="30"/>
        <v/>
      </c>
      <c r="BJ273" s="556" t="str">
        <f t="shared" si="31"/>
        <v>M4</v>
      </c>
      <c r="BK273" s="556" t="str">
        <f t="shared" si="32"/>
        <v>M4</v>
      </c>
      <c r="BL273" s="556" t="str">
        <f t="shared" si="33"/>
        <v/>
      </c>
      <c r="BM273" s="497">
        <f t="shared" si="34"/>
        <v>45018</v>
      </c>
    </row>
    <row r="274" spans="1:65">
      <c r="A274">
        <v>40020</v>
      </c>
      <c r="B274" t="s">
        <v>1952</v>
      </c>
      <c r="C274" t="s">
        <v>1953</v>
      </c>
      <c r="D274" t="s">
        <v>1803</v>
      </c>
      <c r="F274" s="503">
        <v>44077</v>
      </c>
      <c r="H274" t="s">
        <v>414</v>
      </c>
      <c r="I274" t="s">
        <v>1753</v>
      </c>
      <c r="J274">
        <v>0</v>
      </c>
      <c r="K274" t="s">
        <v>1068</v>
      </c>
      <c r="O274" t="s">
        <v>1068</v>
      </c>
      <c r="W274">
        <v>1.92</v>
      </c>
      <c r="X274">
        <v>1.95</v>
      </c>
      <c r="Y274">
        <v>0</v>
      </c>
      <c r="Z274">
        <v>0</v>
      </c>
      <c r="AA274">
        <v>2</v>
      </c>
      <c r="AE274">
        <v>101</v>
      </c>
      <c r="AI274">
        <v>60</v>
      </c>
      <c r="AJ274">
        <v>1850355</v>
      </c>
      <c r="AK274">
        <v>0</v>
      </c>
      <c r="AN274" t="s">
        <v>1703</v>
      </c>
      <c r="AO274">
        <v>3.55</v>
      </c>
      <c r="AT274" t="s">
        <v>1837</v>
      </c>
      <c r="AX274">
        <v>20200903</v>
      </c>
      <c r="AY274" t="s">
        <v>1754</v>
      </c>
      <c r="BG274" s="556" t="str">
        <f t="shared" si="28"/>
        <v>O</v>
      </c>
      <c r="BH274" s="556" t="str">
        <f t="shared" si="29"/>
        <v/>
      </c>
      <c r="BI274" s="556" t="str">
        <f t="shared" si="30"/>
        <v/>
      </c>
      <c r="BJ274" s="556" t="str">
        <f t="shared" si="31"/>
        <v>M4</v>
      </c>
      <c r="BK274" s="556" t="str">
        <f t="shared" si="32"/>
        <v>M4</v>
      </c>
      <c r="BL274" s="556" t="str">
        <f t="shared" si="33"/>
        <v/>
      </c>
      <c r="BM274" s="497">
        <f t="shared" si="34"/>
        <v>40020</v>
      </c>
    </row>
    <row r="275" spans="1:65">
      <c r="A275">
        <v>31025</v>
      </c>
      <c r="B275" t="s">
        <v>674</v>
      </c>
      <c r="C275" t="s">
        <v>676</v>
      </c>
      <c r="D275" t="s">
        <v>1954</v>
      </c>
      <c r="F275" s="503">
        <v>43382</v>
      </c>
      <c r="H275" t="s">
        <v>414</v>
      </c>
      <c r="I275" t="s">
        <v>1753</v>
      </c>
      <c r="J275">
        <v>0</v>
      </c>
      <c r="K275" t="s">
        <v>1068</v>
      </c>
      <c r="O275" t="s">
        <v>1068</v>
      </c>
      <c r="W275">
        <v>0.94</v>
      </c>
      <c r="X275">
        <v>0.93</v>
      </c>
      <c r="Y275">
        <v>0</v>
      </c>
      <c r="Z275">
        <v>0</v>
      </c>
      <c r="AA275">
        <v>2</v>
      </c>
      <c r="AE275" t="s">
        <v>1039</v>
      </c>
      <c r="AI275">
        <v>60</v>
      </c>
      <c r="AJ275">
        <v>1850325</v>
      </c>
      <c r="AK275">
        <v>0</v>
      </c>
      <c r="AL275">
        <v>0</v>
      </c>
      <c r="AN275" t="s">
        <v>1703</v>
      </c>
      <c r="AO275">
        <v>3.25</v>
      </c>
      <c r="AX275">
        <v>20181009</v>
      </c>
      <c r="AY275" t="s">
        <v>1754</v>
      </c>
      <c r="BG275" s="556" t="str">
        <f t="shared" si="28"/>
        <v>O</v>
      </c>
      <c r="BH275" s="556" t="str">
        <f t="shared" si="29"/>
        <v/>
      </c>
      <c r="BI275" s="556" t="str">
        <f t="shared" si="30"/>
        <v/>
      </c>
      <c r="BJ275" s="556" t="str">
        <f t="shared" si="31"/>
        <v>M4</v>
      </c>
      <c r="BK275" s="556" t="str">
        <f t="shared" si="32"/>
        <v>M4</v>
      </c>
      <c r="BL275" s="556" t="str">
        <f t="shared" si="33"/>
        <v/>
      </c>
      <c r="BM275" s="497">
        <f t="shared" si="34"/>
        <v>31025</v>
      </c>
    </row>
    <row r="276" spans="1:65">
      <c r="A276">
        <v>20101</v>
      </c>
      <c r="B276" t="s">
        <v>3256</v>
      </c>
      <c r="C276" t="s">
        <v>3257</v>
      </c>
      <c r="D276" t="s">
        <v>1774</v>
      </c>
      <c r="F276" s="503">
        <v>45954</v>
      </c>
      <c r="H276" t="s">
        <v>414</v>
      </c>
      <c r="I276" t="s">
        <v>1753</v>
      </c>
      <c r="J276">
        <v>4000</v>
      </c>
      <c r="K276" t="s">
        <v>1068</v>
      </c>
      <c r="O276" t="s">
        <v>1068</v>
      </c>
      <c r="W276">
        <v>0.93</v>
      </c>
      <c r="X276">
        <v>0.93</v>
      </c>
      <c r="Y276">
        <v>0</v>
      </c>
      <c r="Z276">
        <v>0</v>
      </c>
      <c r="AA276">
        <v>2</v>
      </c>
      <c r="AE276" t="s">
        <v>1039</v>
      </c>
      <c r="AI276">
        <v>60</v>
      </c>
      <c r="AJ276">
        <v>1850325</v>
      </c>
      <c r="AK276">
        <v>0</v>
      </c>
      <c r="AL276">
        <v>0</v>
      </c>
      <c r="AN276" t="s">
        <v>1703</v>
      </c>
      <c r="AO276">
        <v>3.25</v>
      </c>
      <c r="AX276">
        <v>20251024</v>
      </c>
      <c r="AY276" t="s">
        <v>1754</v>
      </c>
      <c r="BG276" s="556" t="str">
        <f t="shared" si="28"/>
        <v>O</v>
      </c>
      <c r="BH276" s="556" t="str">
        <f t="shared" si="29"/>
        <v/>
      </c>
      <c r="BI276" s="556" t="str">
        <f t="shared" si="30"/>
        <v/>
      </c>
      <c r="BJ276" s="556" t="str">
        <f t="shared" si="31"/>
        <v>M4</v>
      </c>
      <c r="BK276" s="556" t="str">
        <f t="shared" si="32"/>
        <v>M4</v>
      </c>
      <c r="BL276" s="556" t="str">
        <f t="shared" si="33"/>
        <v/>
      </c>
      <c r="BM276" s="497">
        <f t="shared" si="34"/>
        <v>20101</v>
      </c>
    </row>
    <row r="277" spans="1:65">
      <c r="A277">
        <v>50627</v>
      </c>
      <c r="B277" t="s">
        <v>880</v>
      </c>
      <c r="C277" t="s">
        <v>882</v>
      </c>
      <c r="D277" t="s">
        <v>1954</v>
      </c>
      <c r="F277" s="503">
        <v>43382</v>
      </c>
      <c r="H277" t="s">
        <v>414</v>
      </c>
      <c r="I277" t="s">
        <v>1753</v>
      </c>
      <c r="J277">
        <v>0</v>
      </c>
      <c r="K277" t="s">
        <v>1068</v>
      </c>
      <c r="O277" t="s">
        <v>1068</v>
      </c>
      <c r="S277" t="s">
        <v>2301</v>
      </c>
      <c r="W277">
        <v>0.95</v>
      </c>
      <c r="X277">
        <v>0.94</v>
      </c>
      <c r="Y277">
        <v>0.9</v>
      </c>
      <c r="Z277">
        <v>0</v>
      </c>
      <c r="AA277">
        <v>0</v>
      </c>
      <c r="AE277" t="s">
        <v>1761</v>
      </c>
      <c r="AI277">
        <v>59</v>
      </c>
      <c r="AJ277">
        <v>3020320</v>
      </c>
      <c r="AK277">
        <v>0</v>
      </c>
      <c r="AN277" t="s">
        <v>135</v>
      </c>
      <c r="AO277">
        <v>3.2</v>
      </c>
      <c r="AR277" t="s">
        <v>2948</v>
      </c>
      <c r="AX277">
        <v>20181009</v>
      </c>
      <c r="AY277" t="s">
        <v>1836</v>
      </c>
      <c r="BG277" s="556" t="str">
        <f t="shared" si="28"/>
        <v>O</v>
      </c>
      <c r="BH277" s="556" t="str">
        <f t="shared" si="29"/>
        <v/>
      </c>
      <c r="BI277" s="556" t="str">
        <f t="shared" si="30"/>
        <v/>
      </c>
      <c r="BJ277" s="556" t="str">
        <f t="shared" si="31"/>
        <v>M4</v>
      </c>
      <c r="BK277" s="556" t="str">
        <f t="shared" si="32"/>
        <v>M4</v>
      </c>
      <c r="BL277" s="556" t="str">
        <f t="shared" si="33"/>
        <v>CT</v>
      </c>
      <c r="BM277" s="497">
        <f t="shared" si="34"/>
        <v>50627</v>
      </c>
    </row>
    <row r="278" spans="1:65">
      <c r="A278">
        <v>52129</v>
      </c>
      <c r="B278" t="s">
        <v>412</v>
      </c>
      <c r="C278" t="s">
        <v>324</v>
      </c>
      <c r="D278" t="s">
        <v>1796</v>
      </c>
      <c r="F278" s="503">
        <v>43776</v>
      </c>
      <c r="H278" t="s">
        <v>414</v>
      </c>
      <c r="I278" t="s">
        <v>1753</v>
      </c>
      <c r="J278">
        <v>0</v>
      </c>
      <c r="K278" t="s">
        <v>1068</v>
      </c>
      <c r="O278" t="s">
        <v>2302</v>
      </c>
      <c r="W278">
        <v>1.1599999999999999</v>
      </c>
      <c r="X278">
        <v>1.63</v>
      </c>
      <c r="Y278">
        <v>0</v>
      </c>
      <c r="Z278">
        <v>0</v>
      </c>
      <c r="AA278">
        <v>0</v>
      </c>
      <c r="AE278" t="s">
        <v>1221</v>
      </c>
      <c r="AI278">
        <v>18</v>
      </c>
      <c r="AJ278">
        <v>1000345</v>
      </c>
      <c r="AK278">
        <v>0</v>
      </c>
      <c r="AN278" t="s">
        <v>133</v>
      </c>
      <c r="AO278">
        <v>3.45</v>
      </c>
      <c r="AX278">
        <v>20191107</v>
      </c>
      <c r="AY278" t="s">
        <v>1800</v>
      </c>
      <c r="AZ278" t="s">
        <v>1897</v>
      </c>
      <c r="BA278" t="s">
        <v>1895</v>
      </c>
      <c r="BG278" s="556" t="str">
        <f t="shared" si="28"/>
        <v>O</v>
      </c>
      <c r="BH278" s="556" t="str">
        <f t="shared" si="29"/>
        <v>Y</v>
      </c>
      <c r="BI278" s="556" t="str">
        <f t="shared" si="30"/>
        <v/>
      </c>
      <c r="BJ278" s="556" t="str">
        <f t="shared" si="31"/>
        <v>M4</v>
      </c>
      <c r="BK278" s="556" t="str">
        <f t="shared" si="32"/>
        <v>S4</v>
      </c>
      <c r="BL278" s="556" t="str">
        <f t="shared" si="33"/>
        <v/>
      </c>
      <c r="BM278" s="497">
        <f t="shared" si="34"/>
        <v>52129</v>
      </c>
    </row>
    <row r="279" spans="1:65">
      <c r="A279">
        <v>51834</v>
      </c>
      <c r="B279" t="s">
        <v>2317</v>
      </c>
      <c r="C279" t="s">
        <v>113</v>
      </c>
      <c r="D279" t="s">
        <v>1772</v>
      </c>
      <c r="F279" s="503">
        <v>44942</v>
      </c>
      <c r="H279" t="s">
        <v>414</v>
      </c>
      <c r="I279" t="s">
        <v>1753</v>
      </c>
      <c r="J279">
        <v>10000</v>
      </c>
      <c r="K279" t="s">
        <v>1068</v>
      </c>
      <c r="O279" t="s">
        <v>2302</v>
      </c>
      <c r="W279">
        <v>1.1599999999999999</v>
      </c>
      <c r="X279">
        <v>1.42</v>
      </c>
      <c r="Y279">
        <v>0</v>
      </c>
      <c r="Z279">
        <v>0</v>
      </c>
      <c r="AA279">
        <v>0</v>
      </c>
      <c r="AE279" t="s">
        <v>1039</v>
      </c>
      <c r="AI279">
        <v>82</v>
      </c>
      <c r="AJ279">
        <v>1000345</v>
      </c>
      <c r="AK279">
        <v>0</v>
      </c>
      <c r="AN279" t="s">
        <v>133</v>
      </c>
      <c r="AO279">
        <v>3.45</v>
      </c>
      <c r="AX279">
        <v>20230116</v>
      </c>
      <c r="AY279" t="s">
        <v>1800</v>
      </c>
      <c r="AZ279" t="s">
        <v>1895</v>
      </c>
      <c r="BG279" s="556" t="str">
        <f t="shared" si="28"/>
        <v>O</v>
      </c>
      <c r="BH279" s="556" t="str">
        <f t="shared" si="29"/>
        <v>Y</v>
      </c>
      <c r="BI279" s="556" t="str">
        <f t="shared" si="30"/>
        <v/>
      </c>
      <c r="BJ279" s="556" t="str">
        <f t="shared" si="31"/>
        <v>M4</v>
      </c>
      <c r="BK279" s="556" t="str">
        <f t="shared" si="32"/>
        <v>S4</v>
      </c>
      <c r="BL279" s="556" t="str">
        <f t="shared" si="33"/>
        <v/>
      </c>
      <c r="BM279" s="497">
        <f t="shared" si="34"/>
        <v>51834</v>
      </c>
    </row>
    <row r="280" spans="1:65">
      <c r="A280">
        <v>40017</v>
      </c>
      <c r="B280" t="s">
        <v>599</v>
      </c>
      <c r="C280" t="s">
        <v>201</v>
      </c>
      <c r="D280" t="s">
        <v>1803</v>
      </c>
      <c r="F280" s="503">
        <v>43815</v>
      </c>
      <c r="H280" t="s">
        <v>414</v>
      </c>
      <c r="I280" t="s">
        <v>1753</v>
      </c>
      <c r="J280">
        <v>4000</v>
      </c>
      <c r="K280" t="s">
        <v>1068</v>
      </c>
      <c r="O280" t="s">
        <v>1068</v>
      </c>
      <c r="W280">
        <v>1.1200000000000001</v>
      </c>
      <c r="X280">
        <v>1.18</v>
      </c>
      <c r="Y280">
        <v>0</v>
      </c>
      <c r="Z280">
        <v>0</v>
      </c>
      <c r="AA280">
        <v>2</v>
      </c>
      <c r="AE280">
        <v>102</v>
      </c>
      <c r="AI280">
        <v>60</v>
      </c>
      <c r="AJ280">
        <v>1850320</v>
      </c>
      <c r="AK280">
        <v>0</v>
      </c>
      <c r="AL280">
        <v>0</v>
      </c>
      <c r="AN280" t="s">
        <v>1703</v>
      </c>
      <c r="AO280">
        <v>3.2</v>
      </c>
      <c r="AT280" t="s">
        <v>1955</v>
      </c>
      <c r="AX280">
        <v>20191216</v>
      </c>
      <c r="AY280" t="s">
        <v>1754</v>
      </c>
      <c r="BG280" s="556" t="str">
        <f t="shared" si="28"/>
        <v>O</v>
      </c>
      <c r="BH280" s="556" t="str">
        <f t="shared" si="29"/>
        <v/>
      </c>
      <c r="BI280" s="556" t="str">
        <f t="shared" si="30"/>
        <v/>
      </c>
      <c r="BJ280" s="556" t="str">
        <f t="shared" si="31"/>
        <v>M4</v>
      </c>
      <c r="BK280" s="556" t="str">
        <f t="shared" si="32"/>
        <v>M4</v>
      </c>
      <c r="BL280" s="556" t="str">
        <f t="shared" si="33"/>
        <v/>
      </c>
      <c r="BM280" s="497">
        <f t="shared" si="34"/>
        <v>40017</v>
      </c>
    </row>
    <row r="281" spans="1:65">
      <c r="A281">
        <v>40203</v>
      </c>
      <c r="B281" t="s">
        <v>222</v>
      </c>
      <c r="C281" t="s">
        <v>201</v>
      </c>
      <c r="D281" t="s">
        <v>1771</v>
      </c>
      <c r="F281" s="503">
        <v>43897</v>
      </c>
      <c r="H281" t="s">
        <v>414</v>
      </c>
      <c r="I281" t="s">
        <v>1753</v>
      </c>
      <c r="J281">
        <v>2000</v>
      </c>
      <c r="K281" t="s">
        <v>1068</v>
      </c>
      <c r="O281" t="s">
        <v>1068</v>
      </c>
      <c r="W281">
        <v>1.17</v>
      </c>
      <c r="X281">
        <v>1.1000000000000001</v>
      </c>
      <c r="Y281">
        <v>0</v>
      </c>
      <c r="Z281">
        <v>0</v>
      </c>
      <c r="AA281">
        <v>2</v>
      </c>
      <c r="AE281" t="s">
        <v>1039</v>
      </c>
      <c r="AI281">
        <v>60</v>
      </c>
      <c r="AJ281">
        <v>1850320</v>
      </c>
      <c r="AK281">
        <v>0</v>
      </c>
      <c r="AN281" t="s">
        <v>1703</v>
      </c>
      <c r="AO281">
        <v>3.2</v>
      </c>
      <c r="AX281">
        <v>20200307</v>
      </c>
      <c r="AY281" t="s">
        <v>1754</v>
      </c>
      <c r="BG281" s="556" t="str">
        <f t="shared" si="28"/>
        <v>O</v>
      </c>
      <c r="BH281" s="556" t="str">
        <f t="shared" si="29"/>
        <v/>
      </c>
      <c r="BI281" s="556" t="str">
        <f t="shared" si="30"/>
        <v/>
      </c>
      <c r="BJ281" s="556" t="str">
        <f t="shared" si="31"/>
        <v>M4</v>
      </c>
      <c r="BK281" s="556" t="str">
        <f t="shared" si="32"/>
        <v>M4</v>
      </c>
      <c r="BL281" s="556" t="str">
        <f t="shared" si="33"/>
        <v/>
      </c>
      <c r="BM281" s="497">
        <f t="shared" si="34"/>
        <v>40203</v>
      </c>
    </row>
    <row r="282" spans="1:65">
      <c r="A282">
        <v>60000</v>
      </c>
      <c r="B282" t="s">
        <v>713</v>
      </c>
      <c r="C282" t="s">
        <v>716</v>
      </c>
      <c r="D282" t="s">
        <v>1956</v>
      </c>
      <c r="F282" s="503">
        <v>43679</v>
      </c>
      <c r="H282" t="s">
        <v>59</v>
      </c>
      <c r="I282" t="s">
        <v>1753</v>
      </c>
      <c r="J282">
        <v>20000</v>
      </c>
      <c r="K282" t="s">
        <v>1068</v>
      </c>
      <c r="O282" t="s">
        <v>1068</v>
      </c>
      <c r="W282">
        <v>1.05</v>
      </c>
      <c r="X282">
        <v>1.05</v>
      </c>
      <c r="Y282">
        <v>0</v>
      </c>
      <c r="Z282">
        <v>0</v>
      </c>
      <c r="AA282">
        <v>2</v>
      </c>
      <c r="AE282">
        <v>0</v>
      </c>
      <c r="AI282">
        <v>76</v>
      </c>
      <c r="AJ282">
        <v>1850330</v>
      </c>
      <c r="AK282">
        <v>0</v>
      </c>
      <c r="AL282">
        <v>0</v>
      </c>
      <c r="AN282" t="s">
        <v>1703</v>
      </c>
      <c r="AO282">
        <v>3.3</v>
      </c>
      <c r="AX282">
        <v>20190802</v>
      </c>
      <c r="AY282" t="s">
        <v>1957</v>
      </c>
      <c r="BG282" s="556" t="str">
        <f t="shared" si="28"/>
        <v>O</v>
      </c>
      <c r="BH282" s="556" t="str">
        <f t="shared" si="29"/>
        <v/>
      </c>
      <c r="BI282" s="556" t="str">
        <f t="shared" si="30"/>
        <v/>
      </c>
      <c r="BJ282" s="556" t="str">
        <f t="shared" si="31"/>
        <v>M4</v>
      </c>
      <c r="BK282" s="556" t="str">
        <f t="shared" si="32"/>
        <v>M4</v>
      </c>
      <c r="BL282" s="556" t="str">
        <f t="shared" si="33"/>
        <v/>
      </c>
      <c r="BM282" s="497">
        <f t="shared" si="34"/>
        <v>60000</v>
      </c>
    </row>
    <row r="283" spans="1:65">
      <c r="A283">
        <v>20068</v>
      </c>
      <c r="B283" t="s">
        <v>195</v>
      </c>
      <c r="C283" t="s">
        <v>167</v>
      </c>
      <c r="D283" t="s">
        <v>1816</v>
      </c>
      <c r="F283" s="503">
        <v>43455</v>
      </c>
      <c r="H283" t="s">
        <v>59</v>
      </c>
      <c r="I283" t="s">
        <v>1753</v>
      </c>
      <c r="J283">
        <v>2000</v>
      </c>
      <c r="K283" t="s">
        <v>1068</v>
      </c>
      <c r="O283" t="s">
        <v>1068</v>
      </c>
      <c r="W283">
        <v>1.05</v>
      </c>
      <c r="X283">
        <v>1.05</v>
      </c>
      <c r="Y283">
        <v>0</v>
      </c>
      <c r="Z283">
        <v>0</v>
      </c>
      <c r="AA283">
        <v>2</v>
      </c>
      <c r="AE283" t="s">
        <v>1773</v>
      </c>
      <c r="AI283">
        <v>60</v>
      </c>
      <c r="AJ283">
        <v>1850330</v>
      </c>
      <c r="AK283">
        <v>0</v>
      </c>
      <c r="AN283" t="s">
        <v>1703</v>
      </c>
      <c r="AO283">
        <v>3.3</v>
      </c>
      <c r="AX283">
        <v>20181221</v>
      </c>
      <c r="AY283" t="s">
        <v>1754</v>
      </c>
      <c r="BG283" s="556" t="str">
        <f t="shared" si="28"/>
        <v>O</v>
      </c>
      <c r="BH283" s="556" t="str">
        <f t="shared" si="29"/>
        <v/>
      </c>
      <c r="BI283" s="556" t="str">
        <f t="shared" si="30"/>
        <v/>
      </c>
      <c r="BJ283" s="556" t="str">
        <f t="shared" si="31"/>
        <v>M4</v>
      </c>
      <c r="BK283" s="556" t="str">
        <f t="shared" si="32"/>
        <v>M4</v>
      </c>
      <c r="BL283" s="556" t="str">
        <f t="shared" si="33"/>
        <v/>
      </c>
      <c r="BM283" s="497">
        <f t="shared" si="34"/>
        <v>20068</v>
      </c>
    </row>
    <row r="284" spans="1:65">
      <c r="A284">
        <v>53110</v>
      </c>
      <c r="B284" t="s">
        <v>1958</v>
      </c>
      <c r="C284" t="s">
        <v>167</v>
      </c>
      <c r="D284" t="s">
        <v>1819</v>
      </c>
      <c r="F284" s="503">
        <v>44414</v>
      </c>
      <c r="H284" t="s">
        <v>414</v>
      </c>
      <c r="I284" t="s">
        <v>1753</v>
      </c>
      <c r="J284">
        <v>0</v>
      </c>
      <c r="K284" t="s">
        <v>1068</v>
      </c>
      <c r="O284" t="s">
        <v>1068</v>
      </c>
      <c r="W284">
        <v>1.04</v>
      </c>
      <c r="X284">
        <v>1.06</v>
      </c>
      <c r="Y284">
        <v>0</v>
      </c>
      <c r="Z284">
        <v>0</v>
      </c>
      <c r="AA284">
        <v>2</v>
      </c>
      <c r="AE284" t="s">
        <v>1039</v>
      </c>
      <c r="AI284">
        <v>60</v>
      </c>
      <c r="AJ284">
        <v>3020325</v>
      </c>
      <c r="AK284">
        <v>0</v>
      </c>
      <c r="AL284">
        <v>0</v>
      </c>
      <c r="AN284" t="s">
        <v>135</v>
      </c>
      <c r="AO284">
        <v>3.25</v>
      </c>
      <c r="AX284">
        <v>20210806</v>
      </c>
      <c r="AY284" t="s">
        <v>1754</v>
      </c>
      <c r="BG284" s="556" t="str">
        <f t="shared" si="28"/>
        <v>O</v>
      </c>
      <c r="BH284" s="556" t="str">
        <f t="shared" si="29"/>
        <v/>
      </c>
      <c r="BI284" s="556" t="str">
        <f t="shared" si="30"/>
        <v/>
      </c>
      <c r="BJ284" s="556" t="str">
        <f t="shared" si="31"/>
        <v>M4</v>
      </c>
      <c r="BK284" s="556" t="str">
        <f t="shared" si="32"/>
        <v>M4</v>
      </c>
      <c r="BL284" s="556" t="str">
        <f t="shared" si="33"/>
        <v/>
      </c>
      <c r="BM284" s="497">
        <f t="shared" si="34"/>
        <v>53110</v>
      </c>
    </row>
    <row r="285" spans="1:65">
      <c r="A285">
        <v>53110</v>
      </c>
      <c r="B285" t="s">
        <v>1694</v>
      </c>
      <c r="C285" t="s">
        <v>167</v>
      </c>
      <c r="D285" t="s">
        <v>1819</v>
      </c>
      <c r="F285" s="503">
        <v>44414</v>
      </c>
      <c r="H285" t="s">
        <v>414</v>
      </c>
      <c r="I285" t="s">
        <v>1753</v>
      </c>
      <c r="J285">
        <v>2000</v>
      </c>
      <c r="K285" t="s">
        <v>1068</v>
      </c>
      <c r="O285" t="s">
        <v>1068</v>
      </c>
      <c r="W285">
        <v>1.1000000000000001</v>
      </c>
      <c r="X285">
        <v>1.1000000000000001</v>
      </c>
      <c r="Y285">
        <v>0</v>
      </c>
      <c r="Z285">
        <v>0</v>
      </c>
      <c r="AA285">
        <v>0</v>
      </c>
      <c r="AE285" t="s">
        <v>1761</v>
      </c>
      <c r="AI285">
        <v>57</v>
      </c>
      <c r="AJ285">
        <v>3020330</v>
      </c>
      <c r="AK285">
        <v>0</v>
      </c>
      <c r="AL285">
        <v>0</v>
      </c>
      <c r="AN285" t="s">
        <v>135</v>
      </c>
      <c r="AO285">
        <v>3.3</v>
      </c>
      <c r="AX285">
        <v>20210806</v>
      </c>
      <c r="AY285" t="s">
        <v>1780</v>
      </c>
      <c r="BG285" s="556" t="str">
        <f t="shared" si="28"/>
        <v>O</v>
      </c>
      <c r="BH285" s="556" t="str">
        <f t="shared" si="29"/>
        <v/>
      </c>
      <c r="BI285" s="556" t="str">
        <f t="shared" si="30"/>
        <v/>
      </c>
      <c r="BJ285" s="556" t="str">
        <f t="shared" si="31"/>
        <v>M4</v>
      </c>
      <c r="BK285" s="556" t="str">
        <f t="shared" si="32"/>
        <v>M4</v>
      </c>
      <c r="BL285" s="556" t="str">
        <f t="shared" si="33"/>
        <v/>
      </c>
      <c r="BM285" s="497">
        <f t="shared" si="34"/>
        <v>53110</v>
      </c>
    </row>
    <row r="286" spans="1:65">
      <c r="A286">
        <v>40221</v>
      </c>
      <c r="B286" t="s">
        <v>2736</v>
      </c>
      <c r="C286" t="s">
        <v>46</v>
      </c>
      <c r="D286" t="s">
        <v>1771</v>
      </c>
      <c r="F286" s="503">
        <v>45359</v>
      </c>
      <c r="H286" t="s">
        <v>414</v>
      </c>
      <c r="I286" t="s">
        <v>1753</v>
      </c>
      <c r="J286">
        <v>2000</v>
      </c>
      <c r="K286" t="s">
        <v>1068</v>
      </c>
      <c r="O286" t="s">
        <v>1068</v>
      </c>
      <c r="W286">
        <v>1.02</v>
      </c>
      <c r="X286">
        <v>1.02</v>
      </c>
      <c r="Y286">
        <v>0</v>
      </c>
      <c r="Z286">
        <v>0</v>
      </c>
      <c r="AA286">
        <v>2</v>
      </c>
      <c r="AE286" t="s">
        <v>1773</v>
      </c>
      <c r="AI286">
        <v>60</v>
      </c>
      <c r="AJ286">
        <v>1850320</v>
      </c>
      <c r="AK286">
        <v>0</v>
      </c>
      <c r="AN286" t="s">
        <v>1703</v>
      </c>
      <c r="AO286">
        <v>3.2</v>
      </c>
      <c r="AX286">
        <v>20240308</v>
      </c>
      <c r="AY286" t="s">
        <v>1754</v>
      </c>
      <c r="BG286" s="556" t="str">
        <f t="shared" si="28"/>
        <v>O</v>
      </c>
      <c r="BH286" s="556" t="str">
        <f t="shared" si="29"/>
        <v/>
      </c>
      <c r="BI286" s="556" t="str">
        <f t="shared" si="30"/>
        <v/>
      </c>
      <c r="BJ286" s="556" t="str">
        <f t="shared" si="31"/>
        <v>M4</v>
      </c>
      <c r="BK286" s="556" t="str">
        <f t="shared" si="32"/>
        <v>M4</v>
      </c>
      <c r="BL286" s="556" t="str">
        <f t="shared" si="33"/>
        <v/>
      </c>
      <c r="BM286" s="497">
        <f t="shared" si="34"/>
        <v>40221</v>
      </c>
    </row>
    <row r="287" spans="1:65">
      <c r="A287">
        <v>40222</v>
      </c>
      <c r="B287" t="s">
        <v>2802</v>
      </c>
      <c r="C287" t="s">
        <v>46</v>
      </c>
      <c r="D287" t="s">
        <v>1771</v>
      </c>
      <c r="F287" s="503">
        <v>45426</v>
      </c>
      <c r="H287" t="s">
        <v>414</v>
      </c>
      <c r="I287" t="s">
        <v>1753</v>
      </c>
      <c r="J287">
        <v>2000</v>
      </c>
      <c r="K287" t="s">
        <v>1068</v>
      </c>
      <c r="O287" t="s">
        <v>1068</v>
      </c>
      <c r="W287">
        <v>1.02</v>
      </c>
      <c r="X287">
        <v>1.02</v>
      </c>
      <c r="Y287">
        <v>0</v>
      </c>
      <c r="Z287">
        <v>0</v>
      </c>
      <c r="AA287">
        <v>2</v>
      </c>
      <c r="AE287" t="s">
        <v>1039</v>
      </c>
      <c r="AI287">
        <v>60</v>
      </c>
      <c r="AJ287">
        <v>1850320</v>
      </c>
      <c r="AK287">
        <v>0</v>
      </c>
      <c r="AL287">
        <v>0</v>
      </c>
      <c r="AN287" t="s">
        <v>1703</v>
      </c>
      <c r="AO287">
        <v>3.2</v>
      </c>
      <c r="AX287">
        <v>20240514</v>
      </c>
      <c r="AY287" t="s">
        <v>1754</v>
      </c>
      <c r="BG287" s="556" t="str">
        <f t="shared" si="28"/>
        <v>O</v>
      </c>
      <c r="BH287" s="556" t="str">
        <f t="shared" si="29"/>
        <v/>
      </c>
      <c r="BI287" s="556" t="str">
        <f t="shared" si="30"/>
        <v/>
      </c>
      <c r="BJ287" s="556" t="str">
        <f t="shared" si="31"/>
        <v>M4</v>
      </c>
      <c r="BK287" s="556" t="str">
        <f t="shared" si="32"/>
        <v>M4</v>
      </c>
      <c r="BL287" s="556" t="str">
        <f t="shared" si="33"/>
        <v/>
      </c>
      <c r="BM287" s="497">
        <f t="shared" si="34"/>
        <v>40222</v>
      </c>
    </row>
    <row r="288" spans="1:65">
      <c r="A288">
        <v>50648</v>
      </c>
      <c r="B288" t="s">
        <v>3111</v>
      </c>
      <c r="C288" t="s">
        <v>3099</v>
      </c>
      <c r="D288" t="s">
        <v>1829</v>
      </c>
      <c r="F288" s="503">
        <v>45771</v>
      </c>
      <c r="H288" t="s">
        <v>3100</v>
      </c>
      <c r="I288" t="s">
        <v>1753</v>
      </c>
      <c r="J288">
        <v>2000</v>
      </c>
      <c r="K288" t="s">
        <v>1068</v>
      </c>
      <c r="O288" t="s">
        <v>1068</v>
      </c>
      <c r="W288">
        <v>1.5</v>
      </c>
      <c r="X288">
        <v>1.5</v>
      </c>
      <c r="Y288">
        <v>0</v>
      </c>
      <c r="Z288">
        <v>0</v>
      </c>
      <c r="AA288" t="s">
        <v>3123</v>
      </c>
      <c r="AE288" t="s">
        <v>1039</v>
      </c>
      <c r="AI288">
        <v>60</v>
      </c>
      <c r="AJ288">
        <v>2200355</v>
      </c>
      <c r="AK288">
        <v>0</v>
      </c>
      <c r="AL288">
        <v>0</v>
      </c>
      <c r="AN288" t="s">
        <v>2345</v>
      </c>
      <c r="AO288">
        <v>3.55</v>
      </c>
      <c r="AX288">
        <v>20250424</v>
      </c>
      <c r="AY288" t="s">
        <v>1754</v>
      </c>
      <c r="BG288" s="556" t="str">
        <f t="shared" si="28"/>
        <v>O</v>
      </c>
      <c r="BH288" s="556" t="str">
        <f t="shared" si="29"/>
        <v/>
      </c>
      <c r="BI288" s="556" t="str">
        <f t="shared" si="30"/>
        <v/>
      </c>
      <c r="BJ288" s="556" t="str">
        <f t="shared" si="31"/>
        <v>M4</v>
      </c>
      <c r="BK288" s="556" t="str">
        <f t="shared" si="32"/>
        <v>M4</v>
      </c>
      <c r="BL288" s="556" t="str">
        <f t="shared" si="33"/>
        <v/>
      </c>
      <c r="BM288" s="497">
        <f t="shared" si="34"/>
        <v>50648</v>
      </c>
    </row>
    <row r="289" spans="1:65">
      <c r="A289">
        <v>52906</v>
      </c>
      <c r="B289" t="s">
        <v>1959</v>
      </c>
      <c r="C289" t="s">
        <v>45</v>
      </c>
      <c r="D289" t="s">
        <v>1858</v>
      </c>
      <c r="F289" s="503">
        <v>44340</v>
      </c>
      <c r="H289" t="s">
        <v>59</v>
      </c>
      <c r="I289" t="s">
        <v>1753</v>
      </c>
      <c r="J289">
        <v>2000</v>
      </c>
      <c r="K289" t="s">
        <v>1068</v>
      </c>
      <c r="O289" t="s">
        <v>2299</v>
      </c>
      <c r="W289">
        <v>1.45</v>
      </c>
      <c r="X289">
        <v>1.47</v>
      </c>
      <c r="Y289">
        <v>0</v>
      </c>
      <c r="Z289">
        <v>0</v>
      </c>
      <c r="AA289">
        <v>2</v>
      </c>
      <c r="AE289">
        <v>101</v>
      </c>
      <c r="AI289">
        <v>60</v>
      </c>
      <c r="AJ289">
        <v>1850325</v>
      </c>
      <c r="AK289">
        <v>0</v>
      </c>
      <c r="AN289" t="s">
        <v>1703</v>
      </c>
      <c r="AO289">
        <v>3.25</v>
      </c>
      <c r="AT289" t="s">
        <v>1960</v>
      </c>
      <c r="AX289">
        <v>20210524</v>
      </c>
      <c r="AY289" t="s">
        <v>1754</v>
      </c>
      <c r="BG289" s="556" t="str">
        <f t="shared" si="28"/>
        <v>O</v>
      </c>
      <c r="BH289" s="556" t="str">
        <f t="shared" si="29"/>
        <v/>
      </c>
      <c r="BI289" s="556" t="str">
        <f t="shared" si="30"/>
        <v/>
      </c>
      <c r="BJ289" s="556" t="str">
        <f t="shared" si="31"/>
        <v>M4</v>
      </c>
      <c r="BK289" s="556" t="str">
        <f t="shared" si="32"/>
        <v>TS1</v>
      </c>
      <c r="BL289" s="556" t="str">
        <f t="shared" si="33"/>
        <v/>
      </c>
      <c r="BM289" s="497">
        <f t="shared" si="34"/>
        <v>52906</v>
      </c>
    </row>
    <row r="290" spans="1:65">
      <c r="A290">
        <v>40019</v>
      </c>
      <c r="B290" t="s">
        <v>1961</v>
      </c>
      <c r="C290" t="s">
        <v>1962</v>
      </c>
      <c r="D290" t="s">
        <v>1803</v>
      </c>
      <c r="F290" s="503">
        <v>44077</v>
      </c>
      <c r="H290" t="s">
        <v>414</v>
      </c>
      <c r="I290" t="s">
        <v>1753</v>
      </c>
      <c r="J290">
        <v>0</v>
      </c>
      <c r="K290" t="s">
        <v>1068</v>
      </c>
      <c r="O290" t="s">
        <v>2299</v>
      </c>
      <c r="W290">
        <v>1.3</v>
      </c>
      <c r="X290">
        <v>1.51</v>
      </c>
      <c r="Y290">
        <v>0</v>
      </c>
      <c r="Z290">
        <v>0</v>
      </c>
      <c r="AA290">
        <v>2</v>
      </c>
      <c r="AE290">
        <v>101</v>
      </c>
      <c r="AI290">
        <v>60</v>
      </c>
      <c r="AJ290">
        <v>1850325</v>
      </c>
      <c r="AK290">
        <v>0</v>
      </c>
      <c r="AN290" t="s">
        <v>1703</v>
      </c>
      <c r="AO290">
        <v>3.25</v>
      </c>
      <c r="AT290" t="s">
        <v>1963</v>
      </c>
      <c r="AX290">
        <v>20200903</v>
      </c>
      <c r="AY290" t="s">
        <v>1754</v>
      </c>
      <c r="BG290" s="556" t="str">
        <f t="shared" si="28"/>
        <v>O</v>
      </c>
      <c r="BH290" s="556" t="str">
        <f t="shared" si="29"/>
        <v/>
      </c>
      <c r="BI290" s="556" t="str">
        <f t="shared" si="30"/>
        <v/>
      </c>
      <c r="BJ290" s="556" t="str">
        <f t="shared" si="31"/>
        <v>M4</v>
      </c>
      <c r="BK290" s="556" t="str">
        <f t="shared" si="32"/>
        <v>TS1</v>
      </c>
      <c r="BL290" s="556" t="str">
        <f t="shared" si="33"/>
        <v/>
      </c>
      <c r="BM290" s="497">
        <f t="shared" si="34"/>
        <v>40019</v>
      </c>
    </row>
    <row r="291" spans="1:65">
      <c r="A291">
        <v>20021</v>
      </c>
      <c r="B291" t="s">
        <v>685</v>
      </c>
      <c r="C291" t="s">
        <v>45</v>
      </c>
      <c r="D291" t="s">
        <v>1774</v>
      </c>
      <c r="F291" s="503">
        <v>44791</v>
      </c>
      <c r="H291" t="s">
        <v>59</v>
      </c>
      <c r="I291" t="s">
        <v>1753</v>
      </c>
      <c r="J291">
        <v>2000</v>
      </c>
      <c r="K291" t="s">
        <v>1068</v>
      </c>
      <c r="O291" t="s">
        <v>2299</v>
      </c>
      <c r="W291">
        <v>1.45</v>
      </c>
      <c r="X291">
        <v>1.37</v>
      </c>
      <c r="Y291">
        <v>0</v>
      </c>
      <c r="Z291">
        <v>0</v>
      </c>
      <c r="AA291">
        <v>2</v>
      </c>
      <c r="AE291" t="s">
        <v>1039</v>
      </c>
      <c r="AI291">
        <v>60</v>
      </c>
      <c r="AJ291">
        <v>1850325</v>
      </c>
      <c r="AK291">
        <v>0</v>
      </c>
      <c r="AL291">
        <v>0</v>
      </c>
      <c r="AN291" t="s">
        <v>1703</v>
      </c>
      <c r="AO291">
        <v>3.25</v>
      </c>
      <c r="AX291">
        <v>20220818</v>
      </c>
      <c r="AY291" t="s">
        <v>1754</v>
      </c>
      <c r="BG291" s="556" t="str">
        <f t="shared" si="28"/>
        <v>O</v>
      </c>
      <c r="BH291" s="556" t="str">
        <f t="shared" si="29"/>
        <v/>
      </c>
      <c r="BI291" s="556" t="str">
        <f t="shared" si="30"/>
        <v/>
      </c>
      <c r="BJ291" s="556" t="str">
        <f t="shared" si="31"/>
        <v>M4</v>
      </c>
      <c r="BK291" s="556" t="str">
        <f t="shared" si="32"/>
        <v>TS1</v>
      </c>
      <c r="BL291" s="556" t="str">
        <f t="shared" si="33"/>
        <v/>
      </c>
      <c r="BM291" s="497">
        <f t="shared" si="34"/>
        <v>20021</v>
      </c>
    </row>
    <row r="292" spans="1:65">
      <c r="A292">
        <v>31018</v>
      </c>
      <c r="B292" t="s">
        <v>906</v>
      </c>
      <c r="C292" t="s">
        <v>629</v>
      </c>
      <c r="D292" t="s">
        <v>1921</v>
      </c>
      <c r="F292" s="503">
        <v>43363</v>
      </c>
      <c r="H292" t="s">
        <v>414</v>
      </c>
      <c r="I292" t="s">
        <v>1753</v>
      </c>
      <c r="J292">
        <v>2000</v>
      </c>
      <c r="K292" t="s">
        <v>1068</v>
      </c>
      <c r="O292" t="s">
        <v>1068</v>
      </c>
      <c r="W292">
        <v>1.42</v>
      </c>
      <c r="X292">
        <v>1.3</v>
      </c>
      <c r="Y292">
        <v>0</v>
      </c>
      <c r="Z292">
        <v>0</v>
      </c>
      <c r="AA292">
        <v>0</v>
      </c>
      <c r="AE292" t="s">
        <v>1761</v>
      </c>
      <c r="AI292">
        <v>57</v>
      </c>
      <c r="AJ292">
        <v>3020330</v>
      </c>
      <c r="AK292">
        <v>0</v>
      </c>
      <c r="AN292" t="s">
        <v>135</v>
      </c>
      <c r="AO292">
        <v>3.3</v>
      </c>
      <c r="AV292" s="504">
        <v>46026</v>
      </c>
      <c r="AX292">
        <v>20180920</v>
      </c>
      <c r="AY292" t="s">
        <v>1780</v>
      </c>
      <c r="BG292" s="556" t="str">
        <f t="shared" si="28"/>
        <v>O</v>
      </c>
      <c r="BH292" s="556" t="str">
        <f t="shared" si="29"/>
        <v/>
      </c>
      <c r="BI292" s="556" t="str">
        <f t="shared" si="30"/>
        <v/>
      </c>
      <c r="BJ292" s="556" t="str">
        <f t="shared" si="31"/>
        <v>M4</v>
      </c>
      <c r="BK292" s="556" t="str">
        <f t="shared" si="32"/>
        <v>M4</v>
      </c>
      <c r="BL292" s="556" t="str">
        <f t="shared" si="33"/>
        <v/>
      </c>
      <c r="BM292" s="497">
        <f t="shared" si="34"/>
        <v>31018</v>
      </c>
    </row>
    <row r="293" spans="1:65">
      <c r="A293">
        <v>50622</v>
      </c>
      <c r="B293" t="s">
        <v>627</v>
      </c>
      <c r="C293" t="s">
        <v>629</v>
      </c>
      <c r="D293" t="s">
        <v>1921</v>
      </c>
      <c r="F293" s="503">
        <v>44190</v>
      </c>
      <c r="H293" t="s">
        <v>414</v>
      </c>
      <c r="I293" t="s">
        <v>1753</v>
      </c>
      <c r="J293">
        <v>2000</v>
      </c>
      <c r="K293" t="s">
        <v>1068</v>
      </c>
      <c r="O293" t="s">
        <v>1068</v>
      </c>
      <c r="S293" t="s">
        <v>2301</v>
      </c>
      <c r="W293">
        <v>1.32</v>
      </c>
      <c r="X293">
        <v>1.42</v>
      </c>
      <c r="Y293">
        <v>0</v>
      </c>
      <c r="Z293">
        <v>0</v>
      </c>
      <c r="AA293">
        <v>2</v>
      </c>
      <c r="AE293" t="s">
        <v>1039</v>
      </c>
      <c r="AI293">
        <v>69</v>
      </c>
      <c r="AJ293">
        <v>1850320</v>
      </c>
      <c r="AK293">
        <v>0</v>
      </c>
      <c r="AN293" t="s">
        <v>1703</v>
      </c>
      <c r="AO293">
        <v>3.2</v>
      </c>
      <c r="AR293" t="s">
        <v>2948</v>
      </c>
      <c r="AX293">
        <v>20201225</v>
      </c>
      <c r="AY293" t="s">
        <v>1830</v>
      </c>
      <c r="BG293" s="556" t="str">
        <f t="shared" si="28"/>
        <v>O</v>
      </c>
      <c r="BH293" s="556" t="str">
        <f t="shared" si="29"/>
        <v/>
      </c>
      <c r="BI293" s="556" t="str">
        <f t="shared" si="30"/>
        <v/>
      </c>
      <c r="BJ293" s="556" t="str">
        <f t="shared" si="31"/>
        <v>M4</v>
      </c>
      <c r="BK293" s="556" t="str">
        <f t="shared" si="32"/>
        <v>M4</v>
      </c>
      <c r="BL293" s="556" t="str">
        <f t="shared" si="33"/>
        <v>CT</v>
      </c>
      <c r="BM293" s="497">
        <f t="shared" si="34"/>
        <v>50622</v>
      </c>
    </row>
    <row r="294" spans="1:65">
      <c r="A294">
        <v>53560</v>
      </c>
      <c r="B294" t="s">
        <v>3080</v>
      </c>
      <c r="C294" t="s">
        <v>3082</v>
      </c>
      <c r="D294" t="s">
        <v>1827</v>
      </c>
      <c r="F294" s="503">
        <v>45743</v>
      </c>
      <c r="H294" t="s">
        <v>59</v>
      </c>
      <c r="I294" t="s">
        <v>1753</v>
      </c>
      <c r="J294">
        <v>2000</v>
      </c>
      <c r="K294" t="s">
        <v>1068</v>
      </c>
      <c r="O294" t="s">
        <v>1068</v>
      </c>
      <c r="W294">
        <v>1.32</v>
      </c>
      <c r="X294">
        <v>1.55</v>
      </c>
      <c r="Y294">
        <v>0</v>
      </c>
      <c r="Z294">
        <v>0</v>
      </c>
      <c r="AA294">
        <v>0</v>
      </c>
      <c r="AE294" t="s">
        <v>1773</v>
      </c>
      <c r="AI294">
        <v>57</v>
      </c>
      <c r="AJ294">
        <v>1000345</v>
      </c>
      <c r="AK294">
        <v>0</v>
      </c>
      <c r="AL294">
        <v>0</v>
      </c>
      <c r="AN294" t="s">
        <v>133</v>
      </c>
      <c r="AO294">
        <v>3.45</v>
      </c>
      <c r="AX294">
        <v>20250327</v>
      </c>
      <c r="AY294" t="s">
        <v>1780</v>
      </c>
      <c r="BG294" s="556" t="str">
        <f t="shared" si="28"/>
        <v>O</v>
      </c>
      <c r="BH294" s="556" t="str">
        <f t="shared" si="29"/>
        <v/>
      </c>
      <c r="BI294" s="556" t="str">
        <f t="shared" si="30"/>
        <v/>
      </c>
      <c r="BJ294" s="556" t="str">
        <f t="shared" si="31"/>
        <v>M4</v>
      </c>
      <c r="BK294" s="556" t="str">
        <f t="shared" si="32"/>
        <v>M4</v>
      </c>
      <c r="BL294" s="556" t="str">
        <f t="shared" si="33"/>
        <v/>
      </c>
      <c r="BM294" s="497">
        <f t="shared" si="34"/>
        <v>53560</v>
      </c>
    </row>
    <row r="295" spans="1:65">
      <c r="A295">
        <v>50643</v>
      </c>
      <c r="B295" t="s">
        <v>1716</v>
      </c>
      <c r="C295" t="s">
        <v>427</v>
      </c>
      <c r="D295" t="s">
        <v>1921</v>
      </c>
      <c r="F295" s="503">
        <v>44190</v>
      </c>
      <c r="H295" t="s">
        <v>414</v>
      </c>
      <c r="I295" t="s">
        <v>1753</v>
      </c>
      <c r="J295">
        <v>2000</v>
      </c>
      <c r="K295" t="s">
        <v>1068</v>
      </c>
      <c r="O295" t="s">
        <v>1068</v>
      </c>
      <c r="W295">
        <v>1.32</v>
      </c>
      <c r="X295">
        <v>1.35</v>
      </c>
      <c r="Y295">
        <v>0</v>
      </c>
      <c r="Z295">
        <v>0</v>
      </c>
      <c r="AA295">
        <v>0</v>
      </c>
      <c r="AE295" t="s">
        <v>1039</v>
      </c>
      <c r="AI295">
        <v>57</v>
      </c>
      <c r="AJ295">
        <v>1000345</v>
      </c>
      <c r="AK295">
        <v>0</v>
      </c>
      <c r="AL295">
        <v>0</v>
      </c>
      <c r="AN295" t="s">
        <v>133</v>
      </c>
      <c r="AO295">
        <v>3.45</v>
      </c>
      <c r="AX295">
        <v>20201225</v>
      </c>
      <c r="AY295" t="s">
        <v>1780</v>
      </c>
      <c r="BG295" s="556" t="str">
        <f t="shared" si="28"/>
        <v>O</v>
      </c>
      <c r="BH295" s="556" t="str">
        <f t="shared" si="29"/>
        <v/>
      </c>
      <c r="BI295" s="556" t="str">
        <f t="shared" si="30"/>
        <v/>
      </c>
      <c r="BJ295" s="556" t="str">
        <f t="shared" si="31"/>
        <v>M4</v>
      </c>
      <c r="BK295" s="556" t="str">
        <f t="shared" si="32"/>
        <v>M4</v>
      </c>
      <c r="BL295" s="556" t="str">
        <f t="shared" si="33"/>
        <v/>
      </c>
      <c r="BM295" s="497">
        <f t="shared" si="34"/>
        <v>50643</v>
      </c>
    </row>
    <row r="296" spans="1:65">
      <c r="A296">
        <v>40063</v>
      </c>
      <c r="B296" t="s">
        <v>3454</v>
      </c>
      <c r="C296" t="s">
        <v>427</v>
      </c>
      <c r="D296" t="s">
        <v>1803</v>
      </c>
      <c r="F296" s="503">
        <v>46043</v>
      </c>
      <c r="H296" t="s">
        <v>3100</v>
      </c>
      <c r="I296" t="s">
        <v>1753</v>
      </c>
      <c r="J296">
        <v>0</v>
      </c>
      <c r="K296" t="s">
        <v>1068</v>
      </c>
      <c r="O296" t="s">
        <v>1068</v>
      </c>
      <c r="W296">
        <v>1.35</v>
      </c>
      <c r="X296">
        <v>1.35</v>
      </c>
      <c r="Y296">
        <v>0</v>
      </c>
      <c r="Z296">
        <v>0</v>
      </c>
      <c r="AA296">
        <v>0</v>
      </c>
      <c r="AE296" t="s">
        <v>1039</v>
      </c>
      <c r="AI296">
        <v>57</v>
      </c>
      <c r="AJ296">
        <v>1850345</v>
      </c>
      <c r="AK296">
        <v>0</v>
      </c>
      <c r="AL296">
        <v>0</v>
      </c>
      <c r="AN296" t="s">
        <v>1703</v>
      </c>
      <c r="AO296">
        <v>3.45</v>
      </c>
      <c r="AX296">
        <v>20260121</v>
      </c>
      <c r="AY296" t="s">
        <v>1780</v>
      </c>
      <c r="BG296" s="556" t="str">
        <f t="shared" si="28"/>
        <v>O</v>
      </c>
      <c r="BH296" s="556" t="str">
        <f t="shared" si="29"/>
        <v/>
      </c>
      <c r="BI296" s="556" t="str">
        <f t="shared" si="30"/>
        <v/>
      </c>
      <c r="BJ296" s="556" t="str">
        <f t="shared" si="31"/>
        <v>M4</v>
      </c>
      <c r="BK296" s="556" t="str">
        <f t="shared" si="32"/>
        <v>M4</v>
      </c>
      <c r="BL296" s="556" t="str">
        <f t="shared" si="33"/>
        <v/>
      </c>
      <c r="BM296" s="497">
        <f t="shared" si="34"/>
        <v>40063</v>
      </c>
    </row>
    <row r="297" spans="1:65">
      <c r="A297">
        <v>20024</v>
      </c>
      <c r="B297" t="s">
        <v>1025</v>
      </c>
      <c r="C297" t="s">
        <v>1027</v>
      </c>
      <c r="D297" t="s">
        <v>1774</v>
      </c>
      <c r="F297" s="503">
        <v>42748</v>
      </c>
      <c r="H297" t="s">
        <v>59</v>
      </c>
      <c r="I297" t="s">
        <v>1753</v>
      </c>
      <c r="J297">
        <v>2000</v>
      </c>
      <c r="K297" t="s">
        <v>1068</v>
      </c>
      <c r="O297" t="s">
        <v>1068</v>
      </c>
      <c r="W297">
        <v>1.53</v>
      </c>
      <c r="X297">
        <v>1.54</v>
      </c>
      <c r="Y297">
        <v>0</v>
      </c>
      <c r="Z297">
        <v>0</v>
      </c>
      <c r="AA297">
        <v>2</v>
      </c>
      <c r="AE297" t="s">
        <v>1039</v>
      </c>
      <c r="AI297">
        <v>60</v>
      </c>
      <c r="AJ297">
        <v>1810348</v>
      </c>
      <c r="AK297">
        <v>0</v>
      </c>
      <c r="AL297">
        <v>0</v>
      </c>
      <c r="AN297" t="s">
        <v>136</v>
      </c>
      <c r="AO297">
        <v>3.48</v>
      </c>
      <c r="AV297" s="504">
        <v>46089</v>
      </c>
      <c r="AX297">
        <v>20170113</v>
      </c>
      <c r="AY297" t="s">
        <v>1754</v>
      </c>
      <c r="BG297" s="556" t="str">
        <f t="shared" si="28"/>
        <v>O</v>
      </c>
      <c r="BH297" s="556" t="str">
        <f t="shared" si="29"/>
        <v/>
      </c>
      <c r="BI297" s="556" t="str">
        <f t="shared" si="30"/>
        <v/>
      </c>
      <c r="BJ297" s="556" t="str">
        <f t="shared" si="31"/>
        <v>M4</v>
      </c>
      <c r="BK297" s="556" t="str">
        <f t="shared" si="32"/>
        <v>M4</v>
      </c>
      <c r="BL297" s="556" t="str">
        <f t="shared" si="33"/>
        <v/>
      </c>
      <c r="BM297" s="497">
        <f t="shared" si="34"/>
        <v>20024</v>
      </c>
    </row>
    <row r="298" spans="1:65">
      <c r="A298">
        <v>20025</v>
      </c>
      <c r="B298" t="s">
        <v>82</v>
      </c>
      <c r="C298" t="s">
        <v>83</v>
      </c>
      <c r="D298" t="s">
        <v>1763</v>
      </c>
      <c r="F298" s="503">
        <v>42748</v>
      </c>
      <c r="H298" t="s">
        <v>59</v>
      </c>
      <c r="I298" t="s">
        <v>1753</v>
      </c>
      <c r="J298">
        <v>2000</v>
      </c>
      <c r="K298" t="s">
        <v>1068</v>
      </c>
      <c r="O298" t="s">
        <v>1068</v>
      </c>
      <c r="W298">
        <v>1.56</v>
      </c>
      <c r="X298">
        <v>1.56</v>
      </c>
      <c r="Y298">
        <v>0</v>
      </c>
      <c r="Z298">
        <v>0</v>
      </c>
      <c r="AA298">
        <v>0</v>
      </c>
      <c r="AE298" t="s">
        <v>1761</v>
      </c>
      <c r="AI298">
        <v>57</v>
      </c>
      <c r="AJ298">
        <v>3020345</v>
      </c>
      <c r="AK298">
        <v>0</v>
      </c>
      <c r="AL298">
        <v>0</v>
      </c>
      <c r="AN298" t="s">
        <v>2629</v>
      </c>
      <c r="AO298">
        <v>3.45</v>
      </c>
      <c r="AV298" s="504">
        <v>46113</v>
      </c>
      <c r="AX298">
        <v>20170113</v>
      </c>
      <c r="AY298" t="s">
        <v>1780</v>
      </c>
      <c r="BG298" s="556" t="str">
        <f t="shared" si="28"/>
        <v>O</v>
      </c>
      <c r="BH298" s="556" t="str">
        <f t="shared" si="29"/>
        <v/>
      </c>
      <c r="BI298" s="556" t="str">
        <f t="shared" si="30"/>
        <v/>
      </c>
      <c r="BJ298" s="556" t="str">
        <f t="shared" si="31"/>
        <v>M4</v>
      </c>
      <c r="BK298" s="556" t="str">
        <f t="shared" si="32"/>
        <v>M4</v>
      </c>
      <c r="BL298" s="556" t="str">
        <f t="shared" si="33"/>
        <v/>
      </c>
      <c r="BM298" s="497">
        <f t="shared" si="34"/>
        <v>20025</v>
      </c>
    </row>
    <row r="299" spans="1:65">
      <c r="A299">
        <v>40054</v>
      </c>
      <c r="B299" t="s">
        <v>3292</v>
      </c>
      <c r="C299" t="s">
        <v>3293</v>
      </c>
      <c r="D299" t="s">
        <v>1803</v>
      </c>
      <c r="F299" s="503">
        <v>45987</v>
      </c>
      <c r="H299" t="s">
        <v>3100</v>
      </c>
      <c r="I299" t="s">
        <v>1753</v>
      </c>
      <c r="J299">
        <v>0</v>
      </c>
      <c r="K299" t="s">
        <v>1068</v>
      </c>
      <c r="O299" t="s">
        <v>1068</v>
      </c>
      <c r="W299">
        <v>1.56</v>
      </c>
      <c r="X299">
        <v>1.56</v>
      </c>
      <c r="Y299">
        <v>0</v>
      </c>
      <c r="Z299">
        <v>0</v>
      </c>
      <c r="AA299">
        <v>0</v>
      </c>
      <c r="AE299" t="s">
        <v>1761</v>
      </c>
      <c r="AI299">
        <v>87</v>
      </c>
      <c r="AJ299">
        <v>3020345</v>
      </c>
      <c r="AK299">
        <v>0</v>
      </c>
      <c r="AL299">
        <v>0</v>
      </c>
      <c r="AN299" t="s">
        <v>2629</v>
      </c>
      <c r="AO299">
        <v>3.45</v>
      </c>
      <c r="AX299">
        <v>20251126</v>
      </c>
      <c r="AY299" t="s">
        <v>2072</v>
      </c>
      <c r="BG299" s="556" t="str">
        <f t="shared" si="28"/>
        <v>O</v>
      </c>
      <c r="BH299" s="556" t="str">
        <f t="shared" si="29"/>
        <v/>
      </c>
      <c r="BI299" s="556" t="str">
        <f t="shared" si="30"/>
        <v>Y</v>
      </c>
      <c r="BJ299" s="556" t="str">
        <f t="shared" si="31"/>
        <v>M4</v>
      </c>
      <c r="BK299" s="556" t="str">
        <f t="shared" si="32"/>
        <v>M4</v>
      </c>
      <c r="BL299" s="556" t="str">
        <f t="shared" si="33"/>
        <v/>
      </c>
      <c r="BM299" s="497">
        <f t="shared" si="34"/>
        <v>40054</v>
      </c>
    </row>
    <row r="300" spans="1:65">
      <c r="A300">
        <v>53103</v>
      </c>
      <c r="B300" t="s">
        <v>1695</v>
      </c>
      <c r="C300" t="s">
        <v>984</v>
      </c>
      <c r="D300" t="s">
        <v>1819</v>
      </c>
      <c r="F300" s="503">
        <v>44414</v>
      </c>
      <c r="H300" t="s">
        <v>414</v>
      </c>
      <c r="I300" t="s">
        <v>1753</v>
      </c>
      <c r="J300">
        <v>2000</v>
      </c>
      <c r="K300" t="s">
        <v>1068</v>
      </c>
      <c r="O300" t="s">
        <v>1068</v>
      </c>
      <c r="W300">
        <v>1.32</v>
      </c>
      <c r="X300">
        <v>1.4</v>
      </c>
      <c r="Y300">
        <v>0</v>
      </c>
      <c r="Z300">
        <v>0</v>
      </c>
      <c r="AA300">
        <v>2</v>
      </c>
      <c r="AE300" t="s">
        <v>1039</v>
      </c>
      <c r="AI300">
        <v>60</v>
      </c>
      <c r="AJ300">
        <v>1850320</v>
      </c>
      <c r="AK300">
        <v>0</v>
      </c>
      <c r="AL300">
        <v>0</v>
      </c>
      <c r="AN300" t="s">
        <v>1703</v>
      </c>
      <c r="AO300">
        <v>3.2</v>
      </c>
      <c r="AX300">
        <v>20210806</v>
      </c>
      <c r="AY300" t="s">
        <v>1754</v>
      </c>
      <c r="BG300" s="556" t="str">
        <f t="shared" si="28"/>
        <v>O</v>
      </c>
      <c r="BH300" s="556" t="str">
        <f t="shared" si="29"/>
        <v/>
      </c>
      <c r="BI300" s="556" t="str">
        <f t="shared" si="30"/>
        <v/>
      </c>
      <c r="BJ300" s="556" t="str">
        <f t="shared" si="31"/>
        <v>M4</v>
      </c>
      <c r="BK300" s="556" t="str">
        <f t="shared" si="32"/>
        <v>M4</v>
      </c>
      <c r="BL300" s="556" t="str">
        <f t="shared" si="33"/>
        <v/>
      </c>
      <c r="BM300" s="497">
        <f t="shared" si="34"/>
        <v>53103</v>
      </c>
    </row>
    <row r="301" spans="1:65">
      <c r="A301">
        <v>50624</v>
      </c>
      <c r="B301" t="s">
        <v>892</v>
      </c>
      <c r="C301" t="s">
        <v>629</v>
      </c>
      <c r="D301" t="s">
        <v>1921</v>
      </c>
      <c r="F301" s="503">
        <v>43362</v>
      </c>
      <c r="H301" t="s">
        <v>414</v>
      </c>
      <c r="I301" t="s">
        <v>1753</v>
      </c>
      <c r="J301">
        <v>2000</v>
      </c>
      <c r="K301" t="s">
        <v>1068</v>
      </c>
      <c r="O301" t="s">
        <v>1068</v>
      </c>
      <c r="W301">
        <v>1.25</v>
      </c>
      <c r="X301">
        <v>1.23</v>
      </c>
      <c r="Y301">
        <v>0</v>
      </c>
      <c r="Z301">
        <v>0</v>
      </c>
      <c r="AA301">
        <v>0</v>
      </c>
      <c r="AE301" t="s">
        <v>1761</v>
      </c>
      <c r="AI301">
        <v>57</v>
      </c>
      <c r="AJ301">
        <v>3020320</v>
      </c>
      <c r="AK301">
        <v>0</v>
      </c>
      <c r="AN301" t="s">
        <v>135</v>
      </c>
      <c r="AO301">
        <v>3.2</v>
      </c>
      <c r="AX301">
        <v>20180919</v>
      </c>
      <c r="AY301" t="s">
        <v>1780</v>
      </c>
      <c r="BG301" s="556" t="str">
        <f t="shared" si="28"/>
        <v>O</v>
      </c>
      <c r="BH301" s="556" t="str">
        <f t="shared" si="29"/>
        <v/>
      </c>
      <c r="BI301" s="556" t="str">
        <f t="shared" si="30"/>
        <v/>
      </c>
      <c r="BJ301" s="556" t="str">
        <f t="shared" si="31"/>
        <v>M4</v>
      </c>
      <c r="BK301" s="556" t="str">
        <f t="shared" si="32"/>
        <v>M4</v>
      </c>
      <c r="BL301" s="556" t="str">
        <f t="shared" si="33"/>
        <v/>
      </c>
      <c r="BM301" s="497">
        <f t="shared" si="34"/>
        <v>50624</v>
      </c>
    </row>
    <row r="302" spans="1:65">
      <c r="A302">
        <v>99006</v>
      </c>
      <c r="B302" t="s">
        <v>2765</v>
      </c>
      <c r="C302" t="s">
        <v>632</v>
      </c>
      <c r="D302" t="s">
        <v>358</v>
      </c>
      <c r="F302" s="503">
        <v>43508</v>
      </c>
      <c r="H302" t="s">
        <v>59</v>
      </c>
      <c r="I302" t="s">
        <v>1753</v>
      </c>
      <c r="J302">
        <v>20000</v>
      </c>
      <c r="K302" t="s">
        <v>1068</v>
      </c>
      <c r="O302" t="s">
        <v>1068</v>
      </c>
      <c r="W302">
        <v>1.32</v>
      </c>
      <c r="X302">
        <v>1.37</v>
      </c>
      <c r="Y302">
        <v>0</v>
      </c>
      <c r="Z302">
        <v>0</v>
      </c>
      <c r="AA302">
        <v>0</v>
      </c>
      <c r="AE302">
        <v>0</v>
      </c>
      <c r="AI302">
        <v>13</v>
      </c>
      <c r="AJ302">
        <v>1810320</v>
      </c>
      <c r="AK302">
        <v>0</v>
      </c>
      <c r="AN302" t="s">
        <v>136</v>
      </c>
      <c r="AO302">
        <v>3.2</v>
      </c>
      <c r="AX302">
        <v>20190212</v>
      </c>
      <c r="AY302" t="s">
        <v>1964</v>
      </c>
      <c r="BG302" s="556" t="str">
        <f t="shared" si="28"/>
        <v>O</v>
      </c>
      <c r="BH302" s="556" t="str">
        <f t="shared" si="29"/>
        <v/>
      </c>
      <c r="BI302" s="556" t="str">
        <f t="shared" si="30"/>
        <v/>
      </c>
      <c r="BJ302" s="556" t="str">
        <f t="shared" si="31"/>
        <v>M4</v>
      </c>
      <c r="BK302" s="556" t="str">
        <f t="shared" si="32"/>
        <v>M4</v>
      </c>
      <c r="BL302" s="556" t="str">
        <f t="shared" si="33"/>
        <v/>
      </c>
      <c r="BM302" s="497">
        <f t="shared" si="34"/>
        <v>99006</v>
      </c>
    </row>
    <row r="303" spans="1:65">
      <c r="A303">
        <v>99013</v>
      </c>
      <c r="B303" t="s">
        <v>1965</v>
      </c>
      <c r="C303" t="s">
        <v>1966</v>
      </c>
      <c r="D303" t="s">
        <v>358</v>
      </c>
      <c r="F303" s="503">
        <v>44581</v>
      </c>
      <c r="H303" t="s">
        <v>414</v>
      </c>
      <c r="I303" t="s">
        <v>1753</v>
      </c>
      <c r="J303">
        <v>2000</v>
      </c>
      <c r="K303" t="s">
        <v>1068</v>
      </c>
      <c r="O303" t="s">
        <v>1068</v>
      </c>
      <c r="W303">
        <v>1.44</v>
      </c>
      <c r="X303">
        <v>1.46</v>
      </c>
      <c r="Y303">
        <v>0</v>
      </c>
      <c r="Z303">
        <v>0</v>
      </c>
      <c r="AA303">
        <v>2</v>
      </c>
      <c r="AE303" t="s">
        <v>1967</v>
      </c>
      <c r="AI303">
        <v>60</v>
      </c>
      <c r="AJ303">
        <v>1850345</v>
      </c>
      <c r="AK303">
        <v>0</v>
      </c>
      <c r="AN303" t="s">
        <v>1703</v>
      </c>
      <c r="AO303">
        <v>3.45</v>
      </c>
      <c r="AT303" t="s">
        <v>2787</v>
      </c>
      <c r="AX303">
        <v>20220120</v>
      </c>
      <c r="AY303" t="s">
        <v>1754</v>
      </c>
      <c r="BG303" s="556" t="str">
        <f t="shared" si="28"/>
        <v>O</v>
      </c>
      <c r="BH303" s="556" t="str">
        <f t="shared" si="29"/>
        <v/>
      </c>
      <c r="BI303" s="556" t="str">
        <f t="shared" si="30"/>
        <v/>
      </c>
      <c r="BJ303" s="556" t="str">
        <f t="shared" si="31"/>
        <v>M4</v>
      </c>
      <c r="BK303" s="556" t="str">
        <f t="shared" si="32"/>
        <v>M4</v>
      </c>
      <c r="BL303" s="556" t="str">
        <f t="shared" si="33"/>
        <v/>
      </c>
      <c r="BM303" s="497">
        <f t="shared" si="34"/>
        <v>99013</v>
      </c>
    </row>
    <row r="304" spans="1:65">
      <c r="A304">
        <v>20023</v>
      </c>
      <c r="B304" t="s">
        <v>128</v>
      </c>
      <c r="C304" t="s">
        <v>129</v>
      </c>
      <c r="D304" t="s">
        <v>1774</v>
      </c>
      <c r="F304" s="503">
        <v>42748</v>
      </c>
      <c r="H304" t="s">
        <v>59</v>
      </c>
      <c r="I304" t="s">
        <v>1753</v>
      </c>
      <c r="J304">
        <v>2000</v>
      </c>
      <c r="K304" t="s">
        <v>1068</v>
      </c>
      <c r="O304" t="s">
        <v>2302</v>
      </c>
      <c r="W304">
        <v>1.45</v>
      </c>
      <c r="X304">
        <v>1.56</v>
      </c>
      <c r="Y304">
        <v>0</v>
      </c>
      <c r="Z304">
        <v>0</v>
      </c>
      <c r="AA304">
        <v>2</v>
      </c>
      <c r="AE304" t="s">
        <v>1039</v>
      </c>
      <c r="AI304">
        <v>70</v>
      </c>
      <c r="AJ304">
        <v>1850345</v>
      </c>
      <c r="AK304">
        <v>0</v>
      </c>
      <c r="AL304">
        <v>0</v>
      </c>
      <c r="AN304" t="s">
        <v>1703</v>
      </c>
      <c r="AO304">
        <v>3.45</v>
      </c>
      <c r="AV304" t="s">
        <v>1968</v>
      </c>
      <c r="AX304">
        <v>20170113</v>
      </c>
      <c r="AY304" t="s">
        <v>1939</v>
      </c>
      <c r="AZ304" t="s">
        <v>1899</v>
      </c>
      <c r="BG304" s="556" t="str">
        <f t="shared" si="28"/>
        <v>O</v>
      </c>
      <c r="BH304" s="556" t="str">
        <f t="shared" si="29"/>
        <v>Y</v>
      </c>
      <c r="BI304" s="556" t="str">
        <f t="shared" si="30"/>
        <v/>
      </c>
      <c r="BJ304" s="556" t="str">
        <f t="shared" si="31"/>
        <v>M4</v>
      </c>
      <c r="BK304" s="556" t="str">
        <f t="shared" si="32"/>
        <v>S4</v>
      </c>
      <c r="BL304" s="556" t="str">
        <f t="shared" si="33"/>
        <v/>
      </c>
      <c r="BM304" s="497">
        <f t="shared" si="34"/>
        <v>20023</v>
      </c>
    </row>
    <row r="305" spans="1:65">
      <c r="A305">
        <v>99018</v>
      </c>
      <c r="B305" t="s">
        <v>3221</v>
      </c>
      <c r="C305" t="s">
        <v>3226</v>
      </c>
      <c r="D305" t="s">
        <v>358</v>
      </c>
      <c r="F305" s="503">
        <v>45926</v>
      </c>
      <c r="H305" t="s">
        <v>414</v>
      </c>
      <c r="I305" t="s">
        <v>1753</v>
      </c>
      <c r="J305">
        <v>10000</v>
      </c>
      <c r="K305" t="s">
        <v>1068</v>
      </c>
      <c r="O305" t="s">
        <v>1068</v>
      </c>
      <c r="W305">
        <v>1.47</v>
      </c>
      <c r="X305">
        <v>1.58</v>
      </c>
      <c r="Y305">
        <v>0</v>
      </c>
      <c r="Z305">
        <v>0</v>
      </c>
      <c r="AA305">
        <v>2</v>
      </c>
      <c r="AE305" t="s">
        <v>1039</v>
      </c>
      <c r="AI305">
        <v>70</v>
      </c>
      <c r="AJ305">
        <v>1850355</v>
      </c>
      <c r="AK305">
        <v>0</v>
      </c>
      <c r="AN305" t="s">
        <v>1703</v>
      </c>
      <c r="AO305">
        <v>3.55</v>
      </c>
      <c r="AX305">
        <v>20250926</v>
      </c>
      <c r="AY305" t="s">
        <v>1939</v>
      </c>
      <c r="AZ305" t="s">
        <v>3236</v>
      </c>
      <c r="BG305" s="556" t="str">
        <f t="shared" si="28"/>
        <v>O</v>
      </c>
      <c r="BH305" s="556" t="str">
        <f t="shared" si="29"/>
        <v>Y</v>
      </c>
      <c r="BI305" s="556" t="str">
        <f t="shared" si="30"/>
        <v/>
      </c>
      <c r="BJ305" s="556" t="str">
        <f t="shared" si="31"/>
        <v>M4</v>
      </c>
      <c r="BK305" s="556" t="str">
        <f t="shared" si="32"/>
        <v>M4</v>
      </c>
      <c r="BL305" s="556" t="str">
        <f t="shared" si="33"/>
        <v/>
      </c>
      <c r="BM305" s="497">
        <f t="shared" si="34"/>
        <v>99018</v>
      </c>
    </row>
    <row r="306" spans="1:65">
      <c r="A306">
        <v>45005</v>
      </c>
      <c r="B306" t="s">
        <v>3268</v>
      </c>
      <c r="C306" t="s">
        <v>3265</v>
      </c>
      <c r="D306" t="s">
        <v>3280</v>
      </c>
      <c r="F306" s="503">
        <v>45964</v>
      </c>
      <c r="H306" t="s">
        <v>414</v>
      </c>
      <c r="I306" t="s">
        <v>1753</v>
      </c>
      <c r="J306">
        <v>2000</v>
      </c>
      <c r="K306" t="s">
        <v>1068</v>
      </c>
      <c r="O306" t="s">
        <v>1068</v>
      </c>
      <c r="W306">
        <v>1.47</v>
      </c>
      <c r="X306">
        <v>1.47</v>
      </c>
      <c r="Y306">
        <v>0</v>
      </c>
      <c r="Z306">
        <v>0</v>
      </c>
      <c r="AA306">
        <v>2</v>
      </c>
      <c r="AE306" t="s">
        <v>1039</v>
      </c>
      <c r="AI306">
        <v>60</v>
      </c>
      <c r="AJ306">
        <v>1850355</v>
      </c>
      <c r="AK306">
        <v>0</v>
      </c>
      <c r="AL306">
        <v>0</v>
      </c>
      <c r="AN306" t="s">
        <v>1703</v>
      </c>
      <c r="AO306">
        <v>3.55</v>
      </c>
      <c r="AX306">
        <v>20251103</v>
      </c>
      <c r="AY306" t="s">
        <v>1754</v>
      </c>
      <c r="BG306" s="556" t="str">
        <f t="shared" si="28"/>
        <v>O</v>
      </c>
      <c r="BH306" s="556" t="str">
        <f t="shared" si="29"/>
        <v/>
      </c>
      <c r="BI306" s="556" t="str">
        <f t="shared" si="30"/>
        <v/>
      </c>
      <c r="BJ306" s="556" t="str">
        <f t="shared" si="31"/>
        <v>M4</v>
      </c>
      <c r="BK306" s="556" t="str">
        <f t="shared" si="32"/>
        <v>M4</v>
      </c>
      <c r="BL306" s="556" t="str">
        <f t="shared" si="33"/>
        <v/>
      </c>
      <c r="BM306" s="497">
        <f t="shared" si="34"/>
        <v>45005</v>
      </c>
    </row>
    <row r="307" spans="1:65">
      <c r="A307">
        <v>50646</v>
      </c>
      <c r="B307" t="s">
        <v>1969</v>
      </c>
      <c r="C307" t="s">
        <v>123</v>
      </c>
      <c r="D307" t="s">
        <v>1921</v>
      </c>
      <c r="F307" s="503">
        <v>44263</v>
      </c>
      <c r="H307" t="s">
        <v>414</v>
      </c>
      <c r="I307" t="s">
        <v>1753</v>
      </c>
      <c r="J307">
        <v>0</v>
      </c>
      <c r="K307" t="s">
        <v>1068</v>
      </c>
      <c r="O307" t="s">
        <v>1068</v>
      </c>
      <c r="W307">
        <v>1.3</v>
      </c>
      <c r="X307">
        <v>1.33</v>
      </c>
      <c r="Y307">
        <v>0</v>
      </c>
      <c r="Z307">
        <v>0</v>
      </c>
      <c r="AA307">
        <v>2</v>
      </c>
      <c r="AE307" t="s">
        <v>1039</v>
      </c>
      <c r="AI307">
        <v>60</v>
      </c>
      <c r="AJ307">
        <v>1850325</v>
      </c>
      <c r="AK307">
        <v>0</v>
      </c>
      <c r="AN307" t="s">
        <v>1703</v>
      </c>
      <c r="AO307">
        <v>3.25</v>
      </c>
      <c r="AX307">
        <v>20210308</v>
      </c>
      <c r="AY307" t="s">
        <v>1754</v>
      </c>
      <c r="BG307" s="556" t="str">
        <f t="shared" si="28"/>
        <v>O</v>
      </c>
      <c r="BH307" s="556" t="str">
        <f t="shared" si="29"/>
        <v/>
      </c>
      <c r="BI307" s="556" t="str">
        <f t="shared" si="30"/>
        <v/>
      </c>
      <c r="BJ307" s="556" t="str">
        <f t="shared" si="31"/>
        <v>M4</v>
      </c>
      <c r="BK307" s="556" t="str">
        <f t="shared" si="32"/>
        <v>M4</v>
      </c>
      <c r="BL307" s="556" t="str">
        <f t="shared" si="33"/>
        <v/>
      </c>
      <c r="BM307" s="497">
        <f t="shared" si="34"/>
        <v>50646</v>
      </c>
    </row>
    <row r="308" spans="1:65">
      <c r="A308">
        <v>53200</v>
      </c>
      <c r="B308" t="s">
        <v>1970</v>
      </c>
      <c r="C308" t="s">
        <v>1826</v>
      </c>
      <c r="D308" t="s">
        <v>1971</v>
      </c>
      <c r="F308" s="503">
        <v>44568</v>
      </c>
      <c r="H308" t="s">
        <v>414</v>
      </c>
      <c r="I308" t="s">
        <v>1753</v>
      </c>
      <c r="J308">
        <v>0</v>
      </c>
      <c r="K308" t="s">
        <v>1706</v>
      </c>
      <c r="W308">
        <v>1.2</v>
      </c>
      <c r="X308">
        <v>1.23</v>
      </c>
      <c r="Y308">
        <v>0</v>
      </c>
      <c r="Z308">
        <v>0</v>
      </c>
      <c r="AA308">
        <v>0</v>
      </c>
      <c r="AE308">
        <v>0</v>
      </c>
      <c r="AI308">
        <v>79</v>
      </c>
      <c r="AJ308">
        <v>1000392</v>
      </c>
      <c r="AK308">
        <v>0</v>
      </c>
      <c r="AN308" t="s">
        <v>133</v>
      </c>
      <c r="AO308">
        <v>3.92</v>
      </c>
      <c r="AX308">
        <v>20220107</v>
      </c>
      <c r="AY308" t="s">
        <v>1972</v>
      </c>
      <c r="BG308" s="556" t="str">
        <f t="shared" si="28"/>
        <v>O</v>
      </c>
      <c r="BH308" s="556" t="str">
        <f t="shared" si="29"/>
        <v/>
      </c>
      <c r="BI308" s="556" t="str">
        <f t="shared" si="30"/>
        <v/>
      </c>
      <c r="BJ308" s="556" t="str">
        <f t="shared" si="31"/>
        <v>6L</v>
      </c>
      <c r="BK308" s="556">
        <f t="shared" si="32"/>
        <v>0</v>
      </c>
      <c r="BL308" s="556" t="str">
        <f t="shared" si="33"/>
        <v/>
      </c>
      <c r="BM308" s="497">
        <f t="shared" si="34"/>
        <v>53200</v>
      </c>
    </row>
    <row r="309" spans="1:65">
      <c r="A309">
        <v>53554</v>
      </c>
      <c r="B309" t="s">
        <v>2652</v>
      </c>
      <c r="C309" t="s">
        <v>1826</v>
      </c>
      <c r="D309" t="s">
        <v>1827</v>
      </c>
      <c r="F309" s="503">
        <v>44841</v>
      </c>
      <c r="H309" t="s">
        <v>59</v>
      </c>
      <c r="I309" t="s">
        <v>1753</v>
      </c>
      <c r="J309">
        <v>2000</v>
      </c>
      <c r="K309" t="s">
        <v>1706</v>
      </c>
      <c r="W309">
        <v>1.54</v>
      </c>
      <c r="X309">
        <v>1.54</v>
      </c>
      <c r="Y309">
        <v>0</v>
      </c>
      <c r="Z309">
        <v>0</v>
      </c>
      <c r="AA309">
        <v>0</v>
      </c>
      <c r="AE309" t="s">
        <v>2653</v>
      </c>
      <c r="AI309">
        <v>79</v>
      </c>
      <c r="AJ309">
        <v>1000392</v>
      </c>
      <c r="AK309">
        <v>0</v>
      </c>
      <c r="AL309">
        <v>0</v>
      </c>
      <c r="AN309" t="s">
        <v>133</v>
      </c>
      <c r="AO309">
        <v>3.92</v>
      </c>
      <c r="AX309">
        <v>20221007</v>
      </c>
      <c r="AY309" t="s">
        <v>1972</v>
      </c>
      <c r="BG309" s="556" t="str">
        <f t="shared" si="28"/>
        <v>O</v>
      </c>
      <c r="BH309" s="556" t="str">
        <f t="shared" si="29"/>
        <v/>
      </c>
      <c r="BI309" s="556" t="str">
        <f t="shared" si="30"/>
        <v/>
      </c>
      <c r="BJ309" s="556" t="str">
        <f t="shared" si="31"/>
        <v>6L</v>
      </c>
      <c r="BK309" s="556">
        <f t="shared" si="32"/>
        <v>0</v>
      </c>
      <c r="BL309" s="556" t="str">
        <f t="shared" si="33"/>
        <v/>
      </c>
      <c r="BM309" s="497">
        <f t="shared" si="34"/>
        <v>53554</v>
      </c>
    </row>
    <row r="310" spans="1:65">
      <c r="B310" t="s">
        <v>1156</v>
      </c>
      <c r="C310" t="s">
        <v>1158</v>
      </c>
      <c r="D310" t="s">
        <v>1973</v>
      </c>
      <c r="F310" s="503">
        <v>42748</v>
      </c>
      <c r="H310" t="s">
        <v>59</v>
      </c>
      <c r="I310" t="s">
        <v>1753</v>
      </c>
      <c r="J310">
        <v>1500</v>
      </c>
      <c r="K310" t="s">
        <v>1756</v>
      </c>
      <c r="W310">
        <v>0</v>
      </c>
      <c r="X310">
        <v>1.8</v>
      </c>
      <c r="Y310">
        <v>0</v>
      </c>
      <c r="Z310">
        <v>0</v>
      </c>
      <c r="AA310">
        <v>0</v>
      </c>
      <c r="AE310" t="s">
        <v>1761</v>
      </c>
      <c r="AI310">
        <v>80</v>
      </c>
      <c r="AJ310" t="s">
        <v>1974</v>
      </c>
      <c r="AK310" s="505">
        <v>76800</v>
      </c>
      <c r="AN310" t="s">
        <v>1155</v>
      </c>
      <c r="AO310">
        <v>0</v>
      </c>
      <c r="AX310">
        <v>20170113</v>
      </c>
      <c r="AY310" t="s">
        <v>1762</v>
      </c>
      <c r="BG310" s="556" t="str">
        <f t="shared" si="28"/>
        <v>X</v>
      </c>
      <c r="BH310" s="556" t="str">
        <f t="shared" si="29"/>
        <v/>
      </c>
      <c r="BI310" s="556" t="str">
        <f t="shared" si="30"/>
        <v/>
      </c>
      <c r="BJ310" s="556" t="str">
        <f t="shared" si="31"/>
        <v>Z</v>
      </c>
      <c r="BK310" s="556">
        <f t="shared" si="32"/>
        <v>0</v>
      </c>
      <c r="BL310" s="556" t="str">
        <f t="shared" si="33"/>
        <v/>
      </c>
      <c r="BM310" s="497">
        <f t="shared" si="34"/>
        <v>0</v>
      </c>
    </row>
    <row r="311" spans="1:65">
      <c r="A311">
        <v>40053</v>
      </c>
      <c r="B311" t="s">
        <v>3294</v>
      </c>
      <c r="C311" t="s">
        <v>3295</v>
      </c>
      <c r="D311" t="s">
        <v>1803</v>
      </c>
      <c r="F311" s="503">
        <v>45987</v>
      </c>
      <c r="H311" t="s">
        <v>414</v>
      </c>
      <c r="I311" t="s">
        <v>1753</v>
      </c>
      <c r="J311">
        <v>2000</v>
      </c>
      <c r="K311" t="s">
        <v>1068</v>
      </c>
      <c r="O311" t="s">
        <v>1068</v>
      </c>
      <c r="W311">
        <v>1.45</v>
      </c>
      <c r="X311">
        <v>1.49</v>
      </c>
      <c r="Y311">
        <v>0</v>
      </c>
      <c r="Z311">
        <v>0</v>
      </c>
      <c r="AA311">
        <v>0</v>
      </c>
      <c r="AE311" t="s">
        <v>1761</v>
      </c>
      <c r="AI311">
        <v>57</v>
      </c>
      <c r="AJ311">
        <v>3020325</v>
      </c>
      <c r="AK311">
        <v>0</v>
      </c>
      <c r="AL311">
        <v>0</v>
      </c>
      <c r="AN311" t="s">
        <v>135</v>
      </c>
      <c r="AO311">
        <v>3.25</v>
      </c>
      <c r="AX311">
        <v>20251126</v>
      </c>
      <c r="AY311" t="s">
        <v>1780</v>
      </c>
      <c r="BG311" s="556" t="str">
        <f t="shared" si="28"/>
        <v>O</v>
      </c>
      <c r="BH311" s="556" t="str">
        <f t="shared" si="29"/>
        <v/>
      </c>
      <c r="BI311" s="556" t="str">
        <f t="shared" si="30"/>
        <v/>
      </c>
      <c r="BJ311" s="556" t="str">
        <f t="shared" si="31"/>
        <v>M4</v>
      </c>
      <c r="BK311" s="556" t="str">
        <f t="shared" si="32"/>
        <v>M4</v>
      </c>
      <c r="BL311" s="556" t="str">
        <f t="shared" si="33"/>
        <v/>
      </c>
      <c r="BM311" s="497">
        <f t="shared" si="34"/>
        <v>40053</v>
      </c>
    </row>
    <row r="312" spans="1:65">
      <c r="A312">
        <v>40027</v>
      </c>
      <c r="B312" t="s">
        <v>1975</v>
      </c>
      <c r="C312" t="s">
        <v>1976</v>
      </c>
      <c r="D312" t="s">
        <v>1803</v>
      </c>
      <c r="F312" s="503">
        <v>44734</v>
      </c>
      <c r="H312" t="s">
        <v>1977</v>
      </c>
      <c r="I312" t="s">
        <v>1753</v>
      </c>
      <c r="J312">
        <v>2000</v>
      </c>
      <c r="K312" t="s">
        <v>1068</v>
      </c>
      <c r="O312" t="s">
        <v>2299</v>
      </c>
      <c r="W312">
        <v>1.27</v>
      </c>
      <c r="X312">
        <v>1.25</v>
      </c>
      <c r="Y312">
        <v>0</v>
      </c>
      <c r="Z312">
        <v>0</v>
      </c>
      <c r="AA312">
        <v>2</v>
      </c>
      <c r="AE312" t="s">
        <v>326</v>
      </c>
      <c r="AI312">
        <v>4</v>
      </c>
      <c r="AJ312">
        <v>1850325</v>
      </c>
      <c r="AK312">
        <v>0</v>
      </c>
      <c r="AN312" t="s">
        <v>1703</v>
      </c>
      <c r="AO312">
        <v>3.25</v>
      </c>
      <c r="AT312" t="s">
        <v>3224</v>
      </c>
      <c r="AX312">
        <v>20220622</v>
      </c>
      <c r="AY312" t="s">
        <v>3241</v>
      </c>
      <c r="BG312" s="556" t="str">
        <f t="shared" si="28"/>
        <v>O</v>
      </c>
      <c r="BH312" s="556" t="str">
        <f t="shared" si="29"/>
        <v/>
      </c>
      <c r="BI312" s="556" t="str">
        <f t="shared" si="30"/>
        <v/>
      </c>
      <c r="BJ312" s="556" t="str">
        <f t="shared" si="31"/>
        <v>M4</v>
      </c>
      <c r="BK312" s="556" t="str">
        <f t="shared" si="32"/>
        <v>TS1</v>
      </c>
      <c r="BL312" s="556" t="str">
        <f t="shared" si="33"/>
        <v/>
      </c>
      <c r="BM312" s="497">
        <f t="shared" si="34"/>
        <v>40027</v>
      </c>
    </row>
    <row r="313" spans="1:65">
      <c r="A313">
        <v>50638</v>
      </c>
      <c r="B313" t="s">
        <v>633</v>
      </c>
      <c r="C313" t="s">
        <v>619</v>
      </c>
      <c r="D313" t="s">
        <v>1829</v>
      </c>
      <c r="F313" s="503">
        <v>43803</v>
      </c>
      <c r="H313" t="s">
        <v>56</v>
      </c>
      <c r="I313" t="s">
        <v>1753</v>
      </c>
      <c r="J313">
        <v>2000</v>
      </c>
      <c r="K313" t="s">
        <v>1068</v>
      </c>
      <c r="O313" t="s">
        <v>1068</v>
      </c>
      <c r="S313" t="s">
        <v>2301</v>
      </c>
      <c r="W313">
        <v>1.34</v>
      </c>
      <c r="X313">
        <v>1.36</v>
      </c>
      <c r="Y313">
        <v>0</v>
      </c>
      <c r="Z313">
        <v>0</v>
      </c>
      <c r="AA313">
        <v>2</v>
      </c>
      <c r="AE313" t="s">
        <v>1039</v>
      </c>
      <c r="AI313">
        <v>69</v>
      </c>
      <c r="AJ313">
        <v>1850320</v>
      </c>
      <c r="AK313">
        <v>0</v>
      </c>
      <c r="AL313">
        <v>0</v>
      </c>
      <c r="AN313" t="s">
        <v>1703</v>
      </c>
      <c r="AO313">
        <v>3.2</v>
      </c>
      <c r="AR313" t="s">
        <v>2948</v>
      </c>
      <c r="AX313">
        <v>20191204</v>
      </c>
      <c r="AY313" t="s">
        <v>1830</v>
      </c>
      <c r="BG313" s="556" t="str">
        <f t="shared" si="28"/>
        <v>O</v>
      </c>
      <c r="BH313" s="556" t="str">
        <f t="shared" si="29"/>
        <v/>
      </c>
      <c r="BI313" s="556" t="str">
        <f t="shared" si="30"/>
        <v/>
      </c>
      <c r="BJ313" s="556" t="str">
        <f t="shared" si="31"/>
        <v>M4</v>
      </c>
      <c r="BK313" s="556" t="str">
        <f t="shared" si="32"/>
        <v>M4</v>
      </c>
      <c r="BL313" s="556" t="str">
        <f t="shared" si="33"/>
        <v>CT</v>
      </c>
      <c r="BM313" s="497">
        <f t="shared" si="34"/>
        <v>50638</v>
      </c>
    </row>
    <row r="314" spans="1:65">
      <c r="A314">
        <v>45025</v>
      </c>
      <c r="B314" t="s">
        <v>3340</v>
      </c>
      <c r="C314" t="s">
        <v>619</v>
      </c>
      <c r="D314" t="s">
        <v>3280</v>
      </c>
      <c r="F314" s="503">
        <v>46009</v>
      </c>
      <c r="H314" t="s">
        <v>420</v>
      </c>
      <c r="J314">
        <v>2000</v>
      </c>
      <c r="K314" t="s">
        <v>1068</v>
      </c>
      <c r="O314" t="s">
        <v>1068</v>
      </c>
      <c r="S314" t="s">
        <v>2301</v>
      </c>
      <c r="W314">
        <v>1.36</v>
      </c>
      <c r="X314">
        <v>1.49</v>
      </c>
      <c r="Y314">
        <v>0</v>
      </c>
      <c r="Z314">
        <v>0</v>
      </c>
      <c r="AA314">
        <v>204</v>
      </c>
      <c r="AE314" t="s">
        <v>1039</v>
      </c>
      <c r="AI314">
        <v>69</v>
      </c>
      <c r="AJ314">
        <v>1850320</v>
      </c>
      <c r="AK314">
        <v>0</v>
      </c>
      <c r="AN314" t="s">
        <v>1703</v>
      </c>
      <c r="AO314">
        <v>3.2</v>
      </c>
      <c r="AR314" t="s">
        <v>2948</v>
      </c>
      <c r="AX314">
        <v>20251218</v>
      </c>
      <c r="AY314" t="s">
        <v>1830</v>
      </c>
      <c r="BG314" s="556" t="str">
        <f t="shared" si="28"/>
        <v>O</v>
      </c>
      <c r="BH314" s="556" t="str">
        <f t="shared" si="29"/>
        <v/>
      </c>
      <c r="BI314" s="556" t="str">
        <f t="shared" si="30"/>
        <v/>
      </c>
      <c r="BJ314" s="556" t="str">
        <f t="shared" si="31"/>
        <v>M4</v>
      </c>
      <c r="BK314" s="556" t="str">
        <f t="shared" si="32"/>
        <v>M4</v>
      </c>
      <c r="BL314" s="556" t="str">
        <f t="shared" si="33"/>
        <v>CT</v>
      </c>
      <c r="BM314" s="497">
        <f t="shared" si="34"/>
        <v>45025</v>
      </c>
    </row>
    <row r="315" spans="1:65">
      <c r="A315">
        <v>40204</v>
      </c>
      <c r="B315" t="s">
        <v>221</v>
      </c>
      <c r="C315" t="s">
        <v>1979</v>
      </c>
      <c r="D315" t="s">
        <v>1771</v>
      </c>
      <c r="F315" s="503">
        <v>43897</v>
      </c>
      <c r="H315" t="s">
        <v>420</v>
      </c>
      <c r="I315" t="s">
        <v>1753</v>
      </c>
      <c r="J315">
        <v>1000</v>
      </c>
      <c r="K315" t="s">
        <v>1068</v>
      </c>
      <c r="O315" t="s">
        <v>2302</v>
      </c>
      <c r="W315">
        <v>1.41</v>
      </c>
      <c r="X315">
        <v>2.3199999999999998</v>
      </c>
      <c r="Y315">
        <v>0</v>
      </c>
      <c r="Z315">
        <v>0</v>
      </c>
      <c r="AA315">
        <v>2</v>
      </c>
      <c r="AE315" t="s">
        <v>1039</v>
      </c>
      <c r="AI315">
        <v>70</v>
      </c>
      <c r="AJ315">
        <v>1850320</v>
      </c>
      <c r="AK315">
        <v>0</v>
      </c>
      <c r="AN315" t="s">
        <v>1703</v>
      </c>
      <c r="AO315">
        <v>3.2</v>
      </c>
      <c r="AX315">
        <v>20200307</v>
      </c>
      <c r="AY315" t="s">
        <v>1939</v>
      </c>
      <c r="AZ315" t="s">
        <v>1876</v>
      </c>
      <c r="BG315" s="556" t="str">
        <f t="shared" si="28"/>
        <v>O</v>
      </c>
      <c r="BH315" s="556" t="str">
        <f t="shared" si="29"/>
        <v>Y</v>
      </c>
      <c r="BI315" s="556" t="str">
        <f t="shared" si="30"/>
        <v/>
      </c>
      <c r="BJ315" s="556" t="str">
        <f t="shared" si="31"/>
        <v>M4</v>
      </c>
      <c r="BK315" s="556" t="str">
        <f t="shared" si="32"/>
        <v>S4</v>
      </c>
      <c r="BL315" s="556" t="str">
        <f t="shared" si="33"/>
        <v/>
      </c>
      <c r="BM315" s="497">
        <f t="shared" si="34"/>
        <v>40204</v>
      </c>
    </row>
    <row r="316" spans="1:65">
      <c r="A316">
        <v>53118</v>
      </c>
      <c r="B316" t="s">
        <v>2751</v>
      </c>
      <c r="C316" t="s">
        <v>2756</v>
      </c>
      <c r="D316" t="s">
        <v>1819</v>
      </c>
      <c r="F316" s="503">
        <v>45367</v>
      </c>
      <c r="I316" t="s">
        <v>1753</v>
      </c>
      <c r="J316">
        <v>2000</v>
      </c>
      <c r="K316" t="s">
        <v>1068</v>
      </c>
      <c r="O316" t="s">
        <v>1068</v>
      </c>
      <c r="W316">
        <v>1.41</v>
      </c>
      <c r="X316">
        <v>1.41</v>
      </c>
      <c r="Y316">
        <v>0</v>
      </c>
      <c r="Z316">
        <v>0</v>
      </c>
      <c r="AA316">
        <v>0</v>
      </c>
      <c r="AE316" t="s">
        <v>2754</v>
      </c>
      <c r="AI316">
        <v>57</v>
      </c>
      <c r="AJ316">
        <v>4300320</v>
      </c>
      <c r="AK316">
        <v>0</v>
      </c>
      <c r="AL316">
        <v>0</v>
      </c>
      <c r="AN316" t="s">
        <v>185</v>
      </c>
      <c r="AO316">
        <v>3.2</v>
      </c>
      <c r="AX316">
        <v>20240316</v>
      </c>
      <c r="AY316" t="s">
        <v>1780</v>
      </c>
      <c r="BG316" s="556" t="str">
        <f t="shared" si="28"/>
        <v>O</v>
      </c>
      <c r="BH316" s="556" t="str">
        <f t="shared" si="29"/>
        <v/>
      </c>
      <c r="BI316" s="556" t="str">
        <f t="shared" si="30"/>
        <v/>
      </c>
      <c r="BJ316" s="556" t="str">
        <f t="shared" si="31"/>
        <v>M4</v>
      </c>
      <c r="BK316" s="556" t="str">
        <f t="shared" si="32"/>
        <v>M4</v>
      </c>
      <c r="BL316" s="556" t="str">
        <f t="shared" si="33"/>
        <v/>
      </c>
      <c r="BM316" s="497">
        <f t="shared" si="34"/>
        <v>53118</v>
      </c>
    </row>
    <row r="317" spans="1:65">
      <c r="A317">
        <v>20608</v>
      </c>
      <c r="B317" t="s">
        <v>1980</v>
      </c>
      <c r="C317" t="s">
        <v>204</v>
      </c>
      <c r="D317" t="s">
        <v>1813</v>
      </c>
      <c r="F317" s="503">
        <v>44111</v>
      </c>
      <c r="H317" t="s">
        <v>420</v>
      </c>
      <c r="I317" t="s">
        <v>1753</v>
      </c>
      <c r="J317">
        <v>2000</v>
      </c>
      <c r="K317" t="s">
        <v>1068</v>
      </c>
      <c r="O317" t="s">
        <v>1068</v>
      </c>
      <c r="W317">
        <v>1.41</v>
      </c>
      <c r="X317">
        <v>1.44</v>
      </c>
      <c r="Y317">
        <v>0</v>
      </c>
      <c r="Z317">
        <v>0</v>
      </c>
      <c r="AA317">
        <v>0</v>
      </c>
      <c r="AE317" t="s">
        <v>1761</v>
      </c>
      <c r="AI317">
        <v>57</v>
      </c>
      <c r="AJ317">
        <v>3020320</v>
      </c>
      <c r="AK317">
        <v>0</v>
      </c>
      <c r="AL317">
        <v>0</v>
      </c>
      <c r="AN317" t="s">
        <v>135</v>
      </c>
      <c r="AO317">
        <v>3.2</v>
      </c>
      <c r="AX317">
        <v>20201007</v>
      </c>
      <c r="AY317" t="s">
        <v>1780</v>
      </c>
      <c r="BG317" s="556" t="str">
        <f t="shared" si="28"/>
        <v>O</v>
      </c>
      <c r="BH317" s="556" t="str">
        <f t="shared" si="29"/>
        <v/>
      </c>
      <c r="BI317" s="556" t="str">
        <f t="shared" si="30"/>
        <v/>
      </c>
      <c r="BJ317" s="556" t="str">
        <f t="shared" si="31"/>
        <v>M4</v>
      </c>
      <c r="BK317" s="556" t="str">
        <f t="shared" si="32"/>
        <v>M4</v>
      </c>
      <c r="BL317" s="556" t="str">
        <f t="shared" si="33"/>
        <v/>
      </c>
      <c r="BM317" s="497">
        <f t="shared" si="34"/>
        <v>20608</v>
      </c>
    </row>
    <row r="318" spans="1:65">
      <c r="A318">
        <v>40071</v>
      </c>
      <c r="B318" t="s">
        <v>3387</v>
      </c>
      <c r="C318" t="s">
        <v>3391</v>
      </c>
      <c r="D318" t="s">
        <v>1803</v>
      </c>
      <c r="F318" s="503">
        <v>46035</v>
      </c>
      <c r="H318" t="s">
        <v>420</v>
      </c>
      <c r="I318" t="s">
        <v>1753</v>
      </c>
      <c r="J318">
        <v>3000</v>
      </c>
      <c r="K318" t="s">
        <v>1068</v>
      </c>
      <c r="O318" t="s">
        <v>1068</v>
      </c>
      <c r="W318">
        <v>1</v>
      </c>
      <c r="X318">
        <v>1.06</v>
      </c>
      <c r="Y318">
        <v>0</v>
      </c>
      <c r="Z318">
        <v>0</v>
      </c>
      <c r="AA318">
        <v>0</v>
      </c>
      <c r="AE318" t="s">
        <v>1761</v>
      </c>
      <c r="AI318">
        <v>57</v>
      </c>
      <c r="AJ318">
        <v>3020320</v>
      </c>
      <c r="AK318">
        <v>0</v>
      </c>
      <c r="AN318" t="s">
        <v>135</v>
      </c>
      <c r="AO318">
        <v>3.2</v>
      </c>
      <c r="AX318">
        <v>20260113</v>
      </c>
      <c r="AY318" t="s">
        <v>1780</v>
      </c>
      <c r="BG318" s="556" t="str">
        <f t="shared" si="28"/>
        <v>O</v>
      </c>
      <c r="BH318" s="556" t="str">
        <f t="shared" si="29"/>
        <v/>
      </c>
      <c r="BI318" s="556" t="str">
        <f t="shared" si="30"/>
        <v/>
      </c>
      <c r="BJ318" s="556" t="str">
        <f t="shared" si="31"/>
        <v>M4</v>
      </c>
      <c r="BK318" s="556" t="str">
        <f t="shared" si="32"/>
        <v>M4</v>
      </c>
      <c r="BL318" s="556" t="str">
        <f t="shared" si="33"/>
        <v/>
      </c>
      <c r="BM318" s="497">
        <f t="shared" si="34"/>
        <v>40071</v>
      </c>
    </row>
    <row r="319" spans="1:65">
      <c r="A319">
        <v>52000</v>
      </c>
      <c r="B319" t="s">
        <v>741</v>
      </c>
      <c r="C319" t="s">
        <v>742</v>
      </c>
      <c r="D319" t="s">
        <v>1755</v>
      </c>
      <c r="F319" s="503">
        <v>43685</v>
      </c>
      <c r="H319" t="s">
        <v>420</v>
      </c>
      <c r="I319" t="s">
        <v>1753</v>
      </c>
      <c r="J319">
        <v>2000</v>
      </c>
      <c r="K319" t="s">
        <v>1068</v>
      </c>
      <c r="O319" t="s">
        <v>1068</v>
      </c>
      <c r="W319">
        <v>1.51</v>
      </c>
      <c r="X319">
        <v>1.53</v>
      </c>
      <c r="Y319">
        <v>0</v>
      </c>
      <c r="Z319">
        <v>0</v>
      </c>
      <c r="AA319">
        <v>2</v>
      </c>
      <c r="AE319" t="s">
        <v>1039</v>
      </c>
      <c r="AI319">
        <v>60</v>
      </c>
      <c r="AJ319">
        <v>1850345</v>
      </c>
      <c r="AK319">
        <v>0</v>
      </c>
      <c r="AN319" t="s">
        <v>1703</v>
      </c>
      <c r="AO319">
        <v>3.45</v>
      </c>
      <c r="AX319">
        <v>20190808</v>
      </c>
      <c r="AY319" t="s">
        <v>1754</v>
      </c>
      <c r="BG319" s="556" t="str">
        <f t="shared" si="28"/>
        <v>O</v>
      </c>
      <c r="BH319" s="556" t="str">
        <f t="shared" si="29"/>
        <v/>
      </c>
      <c r="BI319" s="556" t="str">
        <f t="shared" si="30"/>
        <v/>
      </c>
      <c r="BJ319" s="556" t="str">
        <f t="shared" si="31"/>
        <v>M4</v>
      </c>
      <c r="BK319" s="556" t="str">
        <f t="shared" si="32"/>
        <v>M4</v>
      </c>
      <c r="BL319" s="556" t="str">
        <f t="shared" si="33"/>
        <v/>
      </c>
      <c r="BM319" s="497">
        <f t="shared" si="34"/>
        <v>52000</v>
      </c>
    </row>
    <row r="320" spans="1:65">
      <c r="A320">
        <v>45019</v>
      </c>
      <c r="B320" t="s">
        <v>3341</v>
      </c>
      <c r="C320" t="s">
        <v>3342</v>
      </c>
      <c r="D320" t="s">
        <v>3280</v>
      </c>
      <c r="F320" s="503">
        <v>46007</v>
      </c>
      <c r="H320" t="s">
        <v>2608</v>
      </c>
      <c r="I320" t="s">
        <v>1753</v>
      </c>
      <c r="J320">
        <v>2000</v>
      </c>
      <c r="K320" t="s">
        <v>1068</v>
      </c>
      <c r="O320" t="s">
        <v>1068</v>
      </c>
      <c r="W320">
        <v>1.49</v>
      </c>
      <c r="X320">
        <v>1.54</v>
      </c>
      <c r="Y320">
        <v>0</v>
      </c>
      <c r="Z320">
        <v>0</v>
      </c>
      <c r="AA320">
        <v>2</v>
      </c>
      <c r="AE320" t="s">
        <v>3375</v>
      </c>
      <c r="AI320">
        <v>60</v>
      </c>
      <c r="AJ320">
        <v>1850355</v>
      </c>
      <c r="AK320">
        <v>0</v>
      </c>
      <c r="AL320">
        <v>0</v>
      </c>
      <c r="AN320" t="s">
        <v>1703</v>
      </c>
      <c r="AO320">
        <v>3.55</v>
      </c>
      <c r="AT320" t="s">
        <v>3246</v>
      </c>
      <c r="AX320">
        <v>20251216</v>
      </c>
      <c r="AY320" t="s">
        <v>1754</v>
      </c>
      <c r="BG320" s="556" t="str">
        <f t="shared" si="28"/>
        <v>O</v>
      </c>
      <c r="BH320" s="556" t="str">
        <f t="shared" si="29"/>
        <v/>
      </c>
      <c r="BI320" s="556" t="str">
        <f t="shared" si="30"/>
        <v/>
      </c>
      <c r="BJ320" s="556" t="str">
        <f t="shared" si="31"/>
        <v>M4</v>
      </c>
      <c r="BK320" s="556" t="str">
        <f t="shared" si="32"/>
        <v>M4</v>
      </c>
      <c r="BL320" s="556" t="str">
        <f t="shared" si="33"/>
        <v/>
      </c>
      <c r="BM320" s="497">
        <f t="shared" si="34"/>
        <v>45019</v>
      </c>
    </row>
    <row r="321" spans="1:65">
      <c r="A321">
        <v>20007</v>
      </c>
      <c r="B321" t="s">
        <v>1981</v>
      </c>
      <c r="C321" t="s">
        <v>1982</v>
      </c>
      <c r="D321" t="s">
        <v>1774</v>
      </c>
      <c r="F321" s="503">
        <v>44484</v>
      </c>
      <c r="H321" t="s">
        <v>420</v>
      </c>
      <c r="I321" t="s">
        <v>1753</v>
      </c>
      <c r="J321">
        <v>0</v>
      </c>
      <c r="K321">
        <v>9</v>
      </c>
      <c r="O321" t="s">
        <v>1068</v>
      </c>
      <c r="W321">
        <v>2.1800000000000002</v>
      </c>
      <c r="X321">
        <v>2.2000000000000002</v>
      </c>
      <c r="Y321">
        <v>0</v>
      </c>
      <c r="Z321">
        <v>0</v>
      </c>
      <c r="AA321">
        <v>2</v>
      </c>
      <c r="AE321" t="s">
        <v>1039</v>
      </c>
      <c r="AI321">
        <v>60</v>
      </c>
      <c r="AJ321">
        <v>1850406</v>
      </c>
      <c r="AK321">
        <v>0</v>
      </c>
      <c r="AL321">
        <v>0</v>
      </c>
      <c r="AN321" t="s">
        <v>1703</v>
      </c>
      <c r="AO321">
        <v>4.0599999999999996</v>
      </c>
      <c r="AX321">
        <v>20211015</v>
      </c>
      <c r="AY321" t="s">
        <v>1754</v>
      </c>
      <c r="BG321" s="556" t="str">
        <f t="shared" si="28"/>
        <v>O</v>
      </c>
      <c r="BH321" s="556" t="str">
        <f t="shared" si="29"/>
        <v/>
      </c>
      <c r="BI321" s="556" t="str">
        <f t="shared" si="30"/>
        <v/>
      </c>
      <c r="BJ321" s="556">
        <f t="shared" si="31"/>
        <v>9</v>
      </c>
      <c r="BK321" s="556" t="str">
        <f t="shared" si="32"/>
        <v>M4</v>
      </c>
      <c r="BL321" s="556" t="str">
        <f t="shared" si="33"/>
        <v/>
      </c>
      <c r="BM321" s="497">
        <f t="shared" si="34"/>
        <v>20007</v>
      </c>
    </row>
    <row r="322" spans="1:65">
      <c r="A322">
        <v>54006</v>
      </c>
      <c r="B322" t="s">
        <v>1983</v>
      </c>
      <c r="C322" t="s">
        <v>1984</v>
      </c>
      <c r="D322" t="s">
        <v>1807</v>
      </c>
      <c r="F322" s="503">
        <v>44792</v>
      </c>
      <c r="H322" t="s">
        <v>1985</v>
      </c>
      <c r="I322" t="s">
        <v>1753</v>
      </c>
      <c r="J322">
        <v>2000</v>
      </c>
      <c r="K322" t="s">
        <v>1068</v>
      </c>
      <c r="O322" t="s">
        <v>1068</v>
      </c>
      <c r="W322">
        <v>1.8</v>
      </c>
      <c r="X322">
        <v>1.8</v>
      </c>
      <c r="Y322">
        <v>0</v>
      </c>
      <c r="Z322">
        <v>0</v>
      </c>
      <c r="AA322">
        <v>3</v>
      </c>
      <c r="AE322" t="s">
        <v>1039</v>
      </c>
      <c r="AI322">
        <v>60</v>
      </c>
      <c r="AJ322">
        <v>4350345</v>
      </c>
      <c r="AK322">
        <v>0</v>
      </c>
      <c r="AN322" t="s">
        <v>184</v>
      </c>
      <c r="AO322">
        <v>3.45</v>
      </c>
      <c r="AX322">
        <v>20220819</v>
      </c>
      <c r="AY322" t="s">
        <v>1754</v>
      </c>
      <c r="BG322" s="556" t="str">
        <f t="shared" si="28"/>
        <v>O</v>
      </c>
      <c r="BH322" s="556" t="str">
        <f t="shared" si="29"/>
        <v/>
      </c>
      <c r="BI322" s="556" t="str">
        <f t="shared" si="30"/>
        <v/>
      </c>
      <c r="BJ322" s="556" t="str">
        <f t="shared" si="31"/>
        <v>M4</v>
      </c>
      <c r="BK322" s="556" t="str">
        <f t="shared" si="32"/>
        <v>M4</v>
      </c>
      <c r="BL322" s="556" t="str">
        <f t="shared" si="33"/>
        <v/>
      </c>
      <c r="BM322" s="497">
        <f t="shared" si="34"/>
        <v>54006</v>
      </c>
    </row>
    <row r="323" spans="1:65">
      <c r="A323">
        <v>20095</v>
      </c>
      <c r="B323" t="s">
        <v>3033</v>
      </c>
      <c r="C323" t="s">
        <v>3034</v>
      </c>
      <c r="D323" t="s">
        <v>1774</v>
      </c>
      <c r="F323" s="503">
        <v>45666</v>
      </c>
      <c r="H323" t="s">
        <v>56</v>
      </c>
      <c r="I323" t="s">
        <v>1753</v>
      </c>
      <c r="J323">
        <v>1000</v>
      </c>
      <c r="K323" t="s">
        <v>1068</v>
      </c>
      <c r="O323" t="s">
        <v>1068</v>
      </c>
      <c r="W323">
        <v>2</v>
      </c>
      <c r="X323">
        <v>2.11</v>
      </c>
      <c r="Y323">
        <v>0</v>
      </c>
      <c r="Z323">
        <v>0</v>
      </c>
      <c r="AA323">
        <v>2</v>
      </c>
      <c r="AE323" t="s">
        <v>1756</v>
      </c>
      <c r="AI323">
        <v>74</v>
      </c>
      <c r="AJ323">
        <v>1850320</v>
      </c>
      <c r="AK323">
        <v>0</v>
      </c>
      <c r="AL323">
        <v>0</v>
      </c>
      <c r="AN323" t="s">
        <v>1703</v>
      </c>
      <c r="AO323">
        <v>3.2</v>
      </c>
      <c r="AX323">
        <v>20250109</v>
      </c>
      <c r="AY323" t="s">
        <v>1768</v>
      </c>
      <c r="AZ323" t="s">
        <v>3031</v>
      </c>
      <c r="BG323" s="556" t="str">
        <f t="shared" ref="BG323:BG386" si="35">IF(LEFT(AY323,2)="98","X","O")</f>
        <v>O</v>
      </c>
      <c r="BH323" s="556" t="str">
        <f t="shared" ref="BH323:BH386" si="36">IF(IFERROR(SEARCH("45",$AY323,1),0)&gt;0,"Y","")</f>
        <v/>
      </c>
      <c r="BI323" s="556" t="str">
        <f t="shared" ref="BI323:BI386" si="37">IF(IFERROR(SEARCH("86",$AY323,1),0)&gt;0,"Y","")</f>
        <v/>
      </c>
      <c r="BJ323" s="556" t="str">
        <f t="shared" ref="BJ323:BJ386" si="38">IF(L323="",K323,IF(M323="",K323&amp;","&amp;L323,IF(N323="",K323&amp;","&amp;L323&amp;","&amp;M323,K323&amp;","&amp;L323&amp;","&amp;M323&amp;","&amp;N323)))</f>
        <v>M4</v>
      </c>
      <c r="BK323" s="556" t="str">
        <f t="shared" ref="BK323:BK386" si="39">IF(P323="",O323,IF(Q323="",O323&amp;","&amp;P323,IF(R323="",O323&amp;","&amp;P323&amp;","&amp;Q323,IO323&amp;","&amp;P323&amp;","&amp;Q323&amp;","&amp;R323)))</f>
        <v>M4</v>
      </c>
      <c r="BL323" s="556" t="str">
        <f t="shared" ref="BL323:BL386" si="40">IF(S323=0,"",S323)</f>
        <v/>
      </c>
      <c r="BM323" s="497">
        <f t="shared" ref="BM323:BM386" si="41">A323</f>
        <v>20095</v>
      </c>
    </row>
    <row r="324" spans="1:65">
      <c r="A324">
        <v>31026</v>
      </c>
      <c r="B324" t="s">
        <v>677</v>
      </c>
      <c r="C324" t="s">
        <v>679</v>
      </c>
      <c r="D324" t="s">
        <v>1954</v>
      </c>
      <c r="F324" s="503">
        <v>43382</v>
      </c>
      <c r="H324" t="s">
        <v>420</v>
      </c>
      <c r="I324" t="s">
        <v>1753</v>
      </c>
      <c r="J324">
        <v>0</v>
      </c>
      <c r="K324" t="s">
        <v>1068</v>
      </c>
      <c r="O324" t="s">
        <v>2299</v>
      </c>
      <c r="W324">
        <v>1.1000000000000001</v>
      </c>
      <c r="X324">
        <v>1.0900000000000001</v>
      </c>
      <c r="Y324">
        <v>16.5</v>
      </c>
      <c r="Z324">
        <v>0</v>
      </c>
      <c r="AA324">
        <v>2</v>
      </c>
      <c r="AE324" t="s">
        <v>1039</v>
      </c>
      <c r="AI324">
        <v>60</v>
      </c>
      <c r="AJ324">
        <v>1850325</v>
      </c>
      <c r="AK324">
        <v>0</v>
      </c>
      <c r="AL324">
        <v>0</v>
      </c>
      <c r="AN324" t="s">
        <v>1703</v>
      </c>
      <c r="AO324">
        <v>3.25</v>
      </c>
      <c r="AX324">
        <v>20181009</v>
      </c>
      <c r="AY324" t="s">
        <v>1754</v>
      </c>
      <c r="BG324" s="556" t="str">
        <f t="shared" si="35"/>
        <v>O</v>
      </c>
      <c r="BH324" s="556" t="str">
        <f t="shared" si="36"/>
        <v/>
      </c>
      <c r="BI324" s="556" t="str">
        <f t="shared" si="37"/>
        <v/>
      </c>
      <c r="BJ324" s="556" t="str">
        <f t="shared" si="38"/>
        <v>M4</v>
      </c>
      <c r="BK324" s="556" t="str">
        <f t="shared" si="39"/>
        <v>TS1</v>
      </c>
      <c r="BL324" s="556" t="str">
        <f t="shared" si="40"/>
        <v/>
      </c>
      <c r="BM324" s="497">
        <f t="shared" si="41"/>
        <v>31026</v>
      </c>
    </row>
    <row r="325" spans="1:65">
      <c r="A325">
        <v>20041</v>
      </c>
      <c r="B325" t="s">
        <v>903</v>
      </c>
      <c r="C325" t="s">
        <v>240</v>
      </c>
      <c r="D325" t="s">
        <v>1774</v>
      </c>
      <c r="F325" s="503">
        <v>42748</v>
      </c>
      <c r="H325" t="s">
        <v>56</v>
      </c>
      <c r="I325" t="s">
        <v>1753</v>
      </c>
      <c r="J325">
        <v>3000</v>
      </c>
      <c r="K325" t="s">
        <v>1068</v>
      </c>
      <c r="O325" t="s">
        <v>1068</v>
      </c>
      <c r="W325">
        <v>1.1100000000000001</v>
      </c>
      <c r="X325">
        <v>0.97</v>
      </c>
      <c r="Y325">
        <v>0</v>
      </c>
      <c r="Z325">
        <v>0</v>
      </c>
      <c r="AA325">
        <v>0</v>
      </c>
      <c r="AE325" t="s">
        <v>1761</v>
      </c>
      <c r="AI325">
        <v>57</v>
      </c>
      <c r="AJ325">
        <v>3020328</v>
      </c>
      <c r="AK325">
        <v>0</v>
      </c>
      <c r="AL325">
        <v>0</v>
      </c>
      <c r="AN325" t="s">
        <v>135</v>
      </c>
      <c r="AO325">
        <v>3.28</v>
      </c>
      <c r="AV325" s="504">
        <v>46116</v>
      </c>
      <c r="AX325">
        <v>20170113</v>
      </c>
      <c r="AY325" t="s">
        <v>1780</v>
      </c>
      <c r="BG325" s="556" t="str">
        <f t="shared" si="35"/>
        <v>O</v>
      </c>
      <c r="BH325" s="556" t="str">
        <f t="shared" si="36"/>
        <v/>
      </c>
      <c r="BI325" s="556" t="str">
        <f t="shared" si="37"/>
        <v/>
      </c>
      <c r="BJ325" s="556" t="str">
        <f t="shared" si="38"/>
        <v>M4</v>
      </c>
      <c r="BK325" s="556" t="str">
        <f t="shared" si="39"/>
        <v>M4</v>
      </c>
      <c r="BL325" s="556" t="str">
        <f t="shared" si="40"/>
        <v/>
      </c>
      <c r="BM325" s="497">
        <f t="shared" si="41"/>
        <v>20041</v>
      </c>
    </row>
    <row r="326" spans="1:65">
      <c r="A326">
        <v>51842</v>
      </c>
      <c r="B326" t="s">
        <v>3153</v>
      </c>
      <c r="C326" t="s">
        <v>3154</v>
      </c>
      <c r="D326" t="s">
        <v>1772</v>
      </c>
      <c r="F326" s="503">
        <v>45834</v>
      </c>
      <c r="H326" t="s">
        <v>420</v>
      </c>
      <c r="I326" t="s">
        <v>1753</v>
      </c>
      <c r="J326">
        <v>10000</v>
      </c>
      <c r="K326" t="s">
        <v>1068</v>
      </c>
      <c r="O326" t="s">
        <v>1068</v>
      </c>
      <c r="W326">
        <v>1.07</v>
      </c>
      <c r="X326">
        <v>0.95</v>
      </c>
      <c r="Y326">
        <v>0</v>
      </c>
      <c r="Z326">
        <v>0</v>
      </c>
      <c r="AA326">
        <v>2</v>
      </c>
      <c r="AE326" t="s">
        <v>1221</v>
      </c>
      <c r="AI326">
        <v>69</v>
      </c>
      <c r="AJ326">
        <v>1850320</v>
      </c>
      <c r="AK326">
        <v>0</v>
      </c>
      <c r="AN326" t="s">
        <v>1703</v>
      </c>
      <c r="AO326">
        <v>3.2</v>
      </c>
      <c r="AR326" t="s">
        <v>2948</v>
      </c>
      <c r="AX326">
        <v>20250626</v>
      </c>
      <c r="AY326" t="s">
        <v>1830</v>
      </c>
      <c r="BG326" s="556" t="str">
        <f t="shared" si="35"/>
        <v>O</v>
      </c>
      <c r="BH326" s="556" t="str">
        <f t="shared" si="36"/>
        <v/>
      </c>
      <c r="BI326" s="556" t="str">
        <f t="shared" si="37"/>
        <v/>
      </c>
      <c r="BJ326" s="556" t="str">
        <f t="shared" si="38"/>
        <v>M4</v>
      </c>
      <c r="BK326" s="556" t="str">
        <f t="shared" si="39"/>
        <v>M4</v>
      </c>
      <c r="BL326" s="556" t="str">
        <f t="shared" si="40"/>
        <v/>
      </c>
      <c r="BM326" s="497">
        <f t="shared" si="41"/>
        <v>51842</v>
      </c>
    </row>
    <row r="327" spans="1:65">
      <c r="A327">
        <v>31028</v>
      </c>
      <c r="B327" t="s">
        <v>883</v>
      </c>
      <c r="C327" t="s">
        <v>885</v>
      </c>
      <c r="D327" t="s">
        <v>1954</v>
      </c>
      <c r="F327" s="503">
        <v>43382</v>
      </c>
      <c r="H327" t="s">
        <v>420</v>
      </c>
      <c r="I327" t="s">
        <v>1753</v>
      </c>
      <c r="J327">
        <v>0</v>
      </c>
      <c r="K327" t="s">
        <v>1068</v>
      </c>
      <c r="O327" t="s">
        <v>1068</v>
      </c>
      <c r="S327" t="s">
        <v>2301</v>
      </c>
      <c r="W327">
        <v>1.08</v>
      </c>
      <c r="X327">
        <v>1.06</v>
      </c>
      <c r="Y327">
        <v>0</v>
      </c>
      <c r="Z327">
        <v>0</v>
      </c>
      <c r="AA327">
        <v>0</v>
      </c>
      <c r="AE327" t="s">
        <v>1761</v>
      </c>
      <c r="AI327">
        <v>59</v>
      </c>
      <c r="AJ327">
        <v>3020320</v>
      </c>
      <c r="AK327">
        <v>0</v>
      </c>
      <c r="AN327" t="s">
        <v>135</v>
      </c>
      <c r="AO327">
        <v>3.2</v>
      </c>
      <c r="AR327" t="s">
        <v>2948</v>
      </c>
      <c r="AX327">
        <v>20181009</v>
      </c>
      <c r="AY327" t="s">
        <v>1836</v>
      </c>
      <c r="BG327" s="556" t="str">
        <f t="shared" si="35"/>
        <v>O</v>
      </c>
      <c r="BH327" s="556" t="str">
        <f t="shared" si="36"/>
        <v/>
      </c>
      <c r="BI327" s="556" t="str">
        <f t="shared" si="37"/>
        <v/>
      </c>
      <c r="BJ327" s="556" t="str">
        <f t="shared" si="38"/>
        <v>M4</v>
      </c>
      <c r="BK327" s="556" t="str">
        <f t="shared" si="39"/>
        <v>M4</v>
      </c>
      <c r="BL327" s="556" t="str">
        <f t="shared" si="40"/>
        <v>CT</v>
      </c>
      <c r="BM327" s="497">
        <f t="shared" si="41"/>
        <v>31028</v>
      </c>
    </row>
    <row r="328" spans="1:65">
      <c r="A328">
        <v>50629</v>
      </c>
      <c r="B328" t="s">
        <v>612</v>
      </c>
      <c r="C328" t="s">
        <v>613</v>
      </c>
      <c r="D328" t="s">
        <v>1954</v>
      </c>
      <c r="F328" s="503">
        <v>43452</v>
      </c>
      <c r="H328" t="s">
        <v>56</v>
      </c>
      <c r="I328" t="s">
        <v>1753</v>
      </c>
      <c r="J328">
        <v>2000</v>
      </c>
      <c r="K328" t="s">
        <v>1068</v>
      </c>
      <c r="O328" t="s">
        <v>2299</v>
      </c>
      <c r="W328">
        <v>1.08</v>
      </c>
      <c r="X328">
        <v>0.91</v>
      </c>
      <c r="Y328">
        <v>0</v>
      </c>
      <c r="Z328">
        <v>0</v>
      </c>
      <c r="AA328">
        <v>2</v>
      </c>
      <c r="AE328" t="s">
        <v>1773</v>
      </c>
      <c r="AI328">
        <v>60</v>
      </c>
      <c r="AJ328">
        <v>1850320</v>
      </c>
      <c r="AK328">
        <v>0</v>
      </c>
      <c r="AN328" t="s">
        <v>1703</v>
      </c>
      <c r="AO328">
        <v>3.2</v>
      </c>
      <c r="AV328" s="504">
        <v>46117</v>
      </c>
      <c r="AX328">
        <v>20181218</v>
      </c>
      <c r="AY328" t="s">
        <v>1754</v>
      </c>
      <c r="BG328" s="556" t="str">
        <f t="shared" si="35"/>
        <v>O</v>
      </c>
      <c r="BH328" s="556" t="str">
        <f t="shared" si="36"/>
        <v/>
      </c>
      <c r="BI328" s="556" t="str">
        <f t="shared" si="37"/>
        <v/>
      </c>
      <c r="BJ328" s="556" t="str">
        <f t="shared" si="38"/>
        <v>M4</v>
      </c>
      <c r="BK328" s="556" t="str">
        <f t="shared" si="39"/>
        <v>TS1</v>
      </c>
      <c r="BL328" s="556" t="str">
        <f t="shared" si="40"/>
        <v/>
      </c>
      <c r="BM328" s="497">
        <f t="shared" si="41"/>
        <v>50629</v>
      </c>
    </row>
    <row r="329" spans="1:65">
      <c r="A329">
        <v>50604</v>
      </c>
      <c r="B329" t="s">
        <v>614</v>
      </c>
      <c r="C329" t="s">
        <v>615</v>
      </c>
      <c r="D329" t="s">
        <v>1954</v>
      </c>
      <c r="F329" s="503">
        <v>43286</v>
      </c>
      <c r="H329" t="s">
        <v>56</v>
      </c>
      <c r="I329" t="s">
        <v>1753</v>
      </c>
      <c r="J329">
        <v>2000</v>
      </c>
      <c r="K329" t="s">
        <v>1068</v>
      </c>
      <c r="O329" t="s">
        <v>2299</v>
      </c>
      <c r="W329">
        <v>1.08</v>
      </c>
      <c r="X329">
        <v>0.9</v>
      </c>
      <c r="Y329">
        <v>0</v>
      </c>
      <c r="Z329">
        <v>0</v>
      </c>
      <c r="AA329">
        <v>2</v>
      </c>
      <c r="AE329" t="s">
        <v>1039</v>
      </c>
      <c r="AI329">
        <v>60</v>
      </c>
      <c r="AJ329">
        <v>1850320</v>
      </c>
      <c r="AK329">
        <v>0</v>
      </c>
      <c r="AN329" t="s">
        <v>1703</v>
      </c>
      <c r="AO329">
        <v>3.2</v>
      </c>
      <c r="AV329" s="504">
        <v>46118</v>
      </c>
      <c r="AX329">
        <v>20180705</v>
      </c>
      <c r="AY329" t="s">
        <v>1754</v>
      </c>
      <c r="BG329" s="556" t="str">
        <f t="shared" si="35"/>
        <v>O</v>
      </c>
      <c r="BH329" s="556" t="str">
        <f t="shared" si="36"/>
        <v/>
      </c>
      <c r="BI329" s="556" t="str">
        <f t="shared" si="37"/>
        <v/>
      </c>
      <c r="BJ329" s="556" t="str">
        <f t="shared" si="38"/>
        <v>M4</v>
      </c>
      <c r="BK329" s="556" t="str">
        <f t="shared" si="39"/>
        <v>TS1</v>
      </c>
      <c r="BL329" s="556" t="str">
        <f t="shared" si="40"/>
        <v/>
      </c>
      <c r="BM329" s="497">
        <f t="shared" si="41"/>
        <v>50604</v>
      </c>
    </row>
    <row r="330" spans="1:65">
      <c r="A330">
        <v>20026</v>
      </c>
      <c r="B330" t="s">
        <v>917</v>
      </c>
      <c r="C330" t="s">
        <v>919</v>
      </c>
      <c r="D330" t="s">
        <v>1774</v>
      </c>
      <c r="F330" s="503">
        <v>42748</v>
      </c>
      <c r="H330" t="s">
        <v>56</v>
      </c>
      <c r="I330" t="s">
        <v>1753</v>
      </c>
      <c r="J330">
        <v>2000</v>
      </c>
      <c r="K330" t="s">
        <v>1068</v>
      </c>
      <c r="O330" t="s">
        <v>1068</v>
      </c>
      <c r="W330">
        <v>1.1499999999999999</v>
      </c>
      <c r="X330">
        <v>1.22</v>
      </c>
      <c r="Y330">
        <v>0</v>
      </c>
      <c r="Z330">
        <v>0</v>
      </c>
      <c r="AA330">
        <v>0</v>
      </c>
      <c r="AE330" t="s">
        <v>1761</v>
      </c>
      <c r="AI330">
        <v>57</v>
      </c>
      <c r="AJ330">
        <v>3020345</v>
      </c>
      <c r="AK330">
        <v>0</v>
      </c>
      <c r="AL330">
        <v>0</v>
      </c>
      <c r="AN330" t="s">
        <v>2629</v>
      </c>
      <c r="AO330">
        <v>3.45</v>
      </c>
      <c r="AX330">
        <v>20170113</v>
      </c>
      <c r="AY330" t="s">
        <v>1780</v>
      </c>
      <c r="BG330" s="556" t="str">
        <f t="shared" si="35"/>
        <v>O</v>
      </c>
      <c r="BH330" s="556" t="str">
        <f t="shared" si="36"/>
        <v/>
      </c>
      <c r="BI330" s="556" t="str">
        <f t="shared" si="37"/>
        <v/>
      </c>
      <c r="BJ330" s="556" t="str">
        <f t="shared" si="38"/>
        <v>M4</v>
      </c>
      <c r="BK330" s="556" t="str">
        <f t="shared" si="39"/>
        <v>M4</v>
      </c>
      <c r="BL330" s="556" t="str">
        <f t="shared" si="40"/>
        <v/>
      </c>
      <c r="BM330" s="497">
        <f t="shared" si="41"/>
        <v>20026</v>
      </c>
    </row>
    <row r="331" spans="1:65">
      <c r="A331">
        <v>20019</v>
      </c>
      <c r="B331" t="s">
        <v>118</v>
      </c>
      <c r="C331" t="s">
        <v>213</v>
      </c>
      <c r="D331" t="s">
        <v>1774</v>
      </c>
      <c r="F331" s="503">
        <v>42748</v>
      </c>
      <c r="H331" t="s">
        <v>56</v>
      </c>
      <c r="I331" t="s">
        <v>1753</v>
      </c>
      <c r="J331">
        <v>2000</v>
      </c>
      <c r="K331" t="s">
        <v>1068</v>
      </c>
      <c r="O331" t="s">
        <v>2299</v>
      </c>
      <c r="W331">
        <v>1.67</v>
      </c>
      <c r="X331">
        <v>1.56</v>
      </c>
      <c r="Y331">
        <v>0</v>
      </c>
      <c r="Z331">
        <v>0</v>
      </c>
      <c r="AA331">
        <v>0</v>
      </c>
      <c r="AE331" t="s">
        <v>1761</v>
      </c>
      <c r="AI331">
        <v>57</v>
      </c>
      <c r="AJ331">
        <v>4300325</v>
      </c>
      <c r="AK331">
        <v>0</v>
      </c>
      <c r="AL331">
        <v>0</v>
      </c>
      <c r="AN331" t="s">
        <v>185</v>
      </c>
      <c r="AO331">
        <v>3.25</v>
      </c>
      <c r="AX331">
        <v>20170113</v>
      </c>
      <c r="AY331" t="s">
        <v>1780</v>
      </c>
      <c r="BG331" s="556" t="str">
        <f t="shared" si="35"/>
        <v>O</v>
      </c>
      <c r="BH331" s="556" t="str">
        <f t="shared" si="36"/>
        <v/>
      </c>
      <c r="BI331" s="556" t="str">
        <f t="shared" si="37"/>
        <v/>
      </c>
      <c r="BJ331" s="556" t="str">
        <f t="shared" si="38"/>
        <v>M4</v>
      </c>
      <c r="BK331" s="556" t="str">
        <f t="shared" si="39"/>
        <v>TS1</v>
      </c>
      <c r="BL331" s="556" t="str">
        <f t="shared" si="40"/>
        <v/>
      </c>
      <c r="BM331" s="497">
        <f t="shared" si="41"/>
        <v>20019</v>
      </c>
    </row>
    <row r="332" spans="1:65">
      <c r="A332">
        <v>20077</v>
      </c>
      <c r="B332" t="s">
        <v>1986</v>
      </c>
      <c r="C332" t="s">
        <v>1987</v>
      </c>
      <c r="D332" t="s">
        <v>1839</v>
      </c>
      <c r="F332" s="503">
        <v>44315</v>
      </c>
      <c r="H332" t="s">
        <v>420</v>
      </c>
      <c r="I332" t="s">
        <v>1753</v>
      </c>
      <c r="J332">
        <v>2000</v>
      </c>
      <c r="K332" t="s">
        <v>1068</v>
      </c>
      <c r="O332" t="s">
        <v>2302</v>
      </c>
      <c r="W332">
        <v>1.65</v>
      </c>
      <c r="X332">
        <v>1.65</v>
      </c>
      <c r="Y332">
        <v>0</v>
      </c>
      <c r="Z332">
        <v>0</v>
      </c>
      <c r="AA332">
        <v>0</v>
      </c>
      <c r="AE332" t="s">
        <v>1761</v>
      </c>
      <c r="AI332">
        <v>82</v>
      </c>
      <c r="AJ332">
        <v>4300325</v>
      </c>
      <c r="AK332">
        <v>0</v>
      </c>
      <c r="AL332">
        <v>0</v>
      </c>
      <c r="AN332" t="s">
        <v>185</v>
      </c>
      <c r="AO332">
        <v>3.25</v>
      </c>
      <c r="AX332">
        <v>20210429</v>
      </c>
      <c r="AY332" t="s">
        <v>1800</v>
      </c>
      <c r="AZ332" t="s">
        <v>1880</v>
      </c>
      <c r="BG332" s="556" t="str">
        <f t="shared" si="35"/>
        <v>O</v>
      </c>
      <c r="BH332" s="556" t="str">
        <f t="shared" si="36"/>
        <v>Y</v>
      </c>
      <c r="BI332" s="556" t="str">
        <f t="shared" si="37"/>
        <v/>
      </c>
      <c r="BJ332" s="556" t="str">
        <f t="shared" si="38"/>
        <v>M4</v>
      </c>
      <c r="BK332" s="556" t="str">
        <f t="shared" si="39"/>
        <v>S4</v>
      </c>
      <c r="BL332" s="556" t="str">
        <f t="shared" si="40"/>
        <v/>
      </c>
      <c r="BM332" s="497">
        <f t="shared" si="41"/>
        <v>20077</v>
      </c>
    </row>
    <row r="333" spans="1:65">
      <c r="A333">
        <v>54004</v>
      </c>
      <c r="B333" t="s">
        <v>1988</v>
      </c>
      <c r="C333" t="s">
        <v>1989</v>
      </c>
      <c r="D333" t="s">
        <v>1807</v>
      </c>
      <c r="F333" s="503">
        <v>44792</v>
      </c>
      <c r="H333" t="s">
        <v>1985</v>
      </c>
      <c r="I333" t="s">
        <v>1753</v>
      </c>
      <c r="J333">
        <v>1000</v>
      </c>
      <c r="K333" t="s">
        <v>1068</v>
      </c>
      <c r="O333" t="s">
        <v>1068</v>
      </c>
      <c r="W333">
        <v>1.98</v>
      </c>
      <c r="X333">
        <v>1.98</v>
      </c>
      <c r="Y333">
        <v>0</v>
      </c>
      <c r="Z333">
        <v>0</v>
      </c>
      <c r="AA333">
        <v>3</v>
      </c>
      <c r="AE333" t="s">
        <v>1773</v>
      </c>
      <c r="AI333">
        <v>60</v>
      </c>
      <c r="AJ333">
        <v>4350390</v>
      </c>
      <c r="AK333">
        <v>0</v>
      </c>
      <c r="AN333" t="s">
        <v>184</v>
      </c>
      <c r="AO333">
        <v>3.9</v>
      </c>
      <c r="AX333">
        <v>20220819</v>
      </c>
      <c r="AY333" t="s">
        <v>1754</v>
      </c>
      <c r="BG333" s="556" t="str">
        <f t="shared" si="35"/>
        <v>O</v>
      </c>
      <c r="BH333" s="556" t="str">
        <f t="shared" si="36"/>
        <v/>
      </c>
      <c r="BI333" s="556" t="str">
        <f t="shared" si="37"/>
        <v/>
      </c>
      <c r="BJ333" s="556" t="str">
        <f t="shared" si="38"/>
        <v>M4</v>
      </c>
      <c r="BK333" s="556" t="str">
        <f t="shared" si="39"/>
        <v>M4</v>
      </c>
      <c r="BL333" s="556" t="str">
        <f t="shared" si="40"/>
        <v/>
      </c>
      <c r="BM333" s="497">
        <f t="shared" si="41"/>
        <v>54004</v>
      </c>
    </row>
    <row r="334" spans="1:65">
      <c r="A334">
        <v>31011</v>
      </c>
      <c r="B334" t="s">
        <v>689</v>
      </c>
      <c r="C334" t="s">
        <v>691</v>
      </c>
      <c r="D334" t="s">
        <v>1954</v>
      </c>
      <c r="F334" s="503">
        <v>43336</v>
      </c>
      <c r="H334" t="s">
        <v>56</v>
      </c>
      <c r="I334" t="s">
        <v>1753</v>
      </c>
      <c r="J334">
        <v>2000</v>
      </c>
      <c r="K334" t="s">
        <v>1068</v>
      </c>
      <c r="O334" t="s">
        <v>2299</v>
      </c>
      <c r="W334">
        <v>1.54</v>
      </c>
      <c r="X334">
        <v>1.5</v>
      </c>
      <c r="Y334">
        <v>0</v>
      </c>
      <c r="Z334">
        <v>0</v>
      </c>
      <c r="AA334">
        <v>2</v>
      </c>
      <c r="AE334" t="s">
        <v>1039</v>
      </c>
      <c r="AI334">
        <v>60</v>
      </c>
      <c r="AJ334">
        <v>1850325</v>
      </c>
      <c r="AK334">
        <v>0</v>
      </c>
      <c r="AN334" t="s">
        <v>1703</v>
      </c>
      <c r="AO334">
        <v>3.25</v>
      </c>
      <c r="AV334" s="504">
        <v>46143</v>
      </c>
      <c r="AX334">
        <v>20180824</v>
      </c>
      <c r="AY334" t="s">
        <v>1754</v>
      </c>
      <c r="BG334" s="556" t="str">
        <f t="shared" si="35"/>
        <v>O</v>
      </c>
      <c r="BH334" s="556" t="str">
        <f t="shared" si="36"/>
        <v/>
      </c>
      <c r="BI334" s="556" t="str">
        <f t="shared" si="37"/>
        <v/>
      </c>
      <c r="BJ334" s="556" t="str">
        <f t="shared" si="38"/>
        <v>M4</v>
      </c>
      <c r="BK334" s="556" t="str">
        <f t="shared" si="39"/>
        <v>TS1</v>
      </c>
      <c r="BL334" s="556" t="str">
        <f t="shared" si="40"/>
        <v/>
      </c>
      <c r="BM334" s="497">
        <f t="shared" si="41"/>
        <v>31011</v>
      </c>
    </row>
    <row r="335" spans="1:65">
      <c r="A335">
        <v>52012</v>
      </c>
      <c r="B335" t="s">
        <v>76</v>
      </c>
      <c r="C335" t="s">
        <v>692</v>
      </c>
      <c r="D335" t="s">
        <v>1755</v>
      </c>
      <c r="F335" s="503">
        <v>43671</v>
      </c>
      <c r="H335" t="s">
        <v>420</v>
      </c>
      <c r="I335" t="s">
        <v>1753</v>
      </c>
      <c r="J335">
        <v>2000</v>
      </c>
      <c r="K335" t="s">
        <v>1068</v>
      </c>
      <c r="O335" t="s">
        <v>2299</v>
      </c>
      <c r="W335">
        <v>1.54</v>
      </c>
      <c r="X335">
        <v>1.37</v>
      </c>
      <c r="Y335">
        <v>0</v>
      </c>
      <c r="Z335">
        <v>0</v>
      </c>
      <c r="AA335">
        <v>2</v>
      </c>
      <c r="AE335" t="s">
        <v>1756</v>
      </c>
      <c r="AI335">
        <v>60</v>
      </c>
      <c r="AJ335">
        <v>1850325</v>
      </c>
      <c r="AK335">
        <v>0</v>
      </c>
      <c r="AN335" t="s">
        <v>1703</v>
      </c>
      <c r="AO335">
        <v>3.25</v>
      </c>
      <c r="AX335">
        <v>20190725</v>
      </c>
      <c r="AY335" t="s">
        <v>1754</v>
      </c>
      <c r="BG335" s="556" t="str">
        <f t="shared" si="35"/>
        <v>O</v>
      </c>
      <c r="BH335" s="556" t="str">
        <f t="shared" si="36"/>
        <v/>
      </c>
      <c r="BI335" s="556" t="str">
        <f t="shared" si="37"/>
        <v/>
      </c>
      <c r="BJ335" s="556" t="str">
        <f t="shared" si="38"/>
        <v>M4</v>
      </c>
      <c r="BK335" s="556" t="str">
        <f t="shared" si="39"/>
        <v>TS1</v>
      </c>
      <c r="BL335" s="556" t="str">
        <f t="shared" si="40"/>
        <v/>
      </c>
      <c r="BM335" s="497">
        <f t="shared" si="41"/>
        <v>52012</v>
      </c>
    </row>
    <row r="336" spans="1:65">
      <c r="A336">
        <v>52130</v>
      </c>
      <c r="B336" t="s">
        <v>418</v>
      </c>
      <c r="C336" t="s">
        <v>324</v>
      </c>
      <c r="D336" t="s">
        <v>1796</v>
      </c>
      <c r="F336" s="503">
        <v>43776</v>
      </c>
      <c r="H336" t="s">
        <v>420</v>
      </c>
      <c r="I336" t="s">
        <v>1753</v>
      </c>
      <c r="J336">
        <v>2000</v>
      </c>
      <c r="K336" t="s">
        <v>1068</v>
      </c>
      <c r="O336" t="s">
        <v>2302</v>
      </c>
      <c r="W336">
        <v>1.3</v>
      </c>
      <c r="X336">
        <v>1.8</v>
      </c>
      <c r="Y336">
        <v>0</v>
      </c>
      <c r="Z336">
        <v>0</v>
      </c>
      <c r="AA336">
        <v>0</v>
      </c>
      <c r="AE336" t="s">
        <v>1221</v>
      </c>
      <c r="AI336">
        <v>18</v>
      </c>
      <c r="AJ336">
        <v>1000345</v>
      </c>
      <c r="AK336">
        <v>0</v>
      </c>
      <c r="AL336">
        <v>0</v>
      </c>
      <c r="AN336" t="s">
        <v>133</v>
      </c>
      <c r="AO336">
        <v>3.45</v>
      </c>
      <c r="AX336">
        <v>20191107</v>
      </c>
      <c r="AY336" t="s">
        <v>1800</v>
      </c>
      <c r="AZ336" t="s">
        <v>1897</v>
      </c>
      <c r="BA336" t="s">
        <v>1895</v>
      </c>
      <c r="BG336" s="556" t="str">
        <f t="shared" si="35"/>
        <v>O</v>
      </c>
      <c r="BH336" s="556" t="str">
        <f t="shared" si="36"/>
        <v>Y</v>
      </c>
      <c r="BI336" s="556" t="str">
        <f t="shared" si="37"/>
        <v/>
      </c>
      <c r="BJ336" s="556" t="str">
        <f t="shared" si="38"/>
        <v>M4</v>
      </c>
      <c r="BK336" s="556" t="str">
        <f t="shared" si="39"/>
        <v>S4</v>
      </c>
      <c r="BL336" s="556" t="str">
        <f t="shared" si="40"/>
        <v/>
      </c>
      <c r="BM336" s="497">
        <f t="shared" si="41"/>
        <v>52130</v>
      </c>
    </row>
    <row r="337" spans="1:65">
      <c r="A337">
        <v>52025</v>
      </c>
      <c r="B337" t="s">
        <v>2331</v>
      </c>
      <c r="C337" t="s">
        <v>324</v>
      </c>
      <c r="D337" t="s">
        <v>1755</v>
      </c>
      <c r="F337" s="503">
        <v>44930</v>
      </c>
      <c r="H337" t="s">
        <v>1985</v>
      </c>
      <c r="I337" t="s">
        <v>1753</v>
      </c>
      <c r="J337">
        <v>2000</v>
      </c>
      <c r="K337" t="s">
        <v>1068</v>
      </c>
      <c r="O337" t="s">
        <v>1068</v>
      </c>
      <c r="W337">
        <v>1.36</v>
      </c>
      <c r="X337">
        <v>1.79</v>
      </c>
      <c r="Y337">
        <v>0</v>
      </c>
      <c r="Z337">
        <v>0</v>
      </c>
      <c r="AA337">
        <v>0</v>
      </c>
      <c r="AE337" t="s">
        <v>1761</v>
      </c>
      <c r="AI337">
        <v>18</v>
      </c>
      <c r="AJ337">
        <v>3020345</v>
      </c>
      <c r="AK337">
        <v>0</v>
      </c>
      <c r="AN337" t="s">
        <v>2629</v>
      </c>
      <c r="AO337">
        <v>3.45</v>
      </c>
      <c r="AX337">
        <v>20230104</v>
      </c>
      <c r="AY337" t="s">
        <v>1800</v>
      </c>
      <c r="AZ337" t="s">
        <v>2326</v>
      </c>
      <c r="BA337" t="s">
        <v>2329</v>
      </c>
      <c r="BG337" s="556" t="str">
        <f t="shared" si="35"/>
        <v>O</v>
      </c>
      <c r="BH337" s="556" t="str">
        <f t="shared" si="36"/>
        <v>Y</v>
      </c>
      <c r="BI337" s="556" t="str">
        <f t="shared" si="37"/>
        <v/>
      </c>
      <c r="BJ337" s="556" t="str">
        <f t="shared" si="38"/>
        <v>M4</v>
      </c>
      <c r="BK337" s="556" t="str">
        <f t="shared" si="39"/>
        <v>M4</v>
      </c>
      <c r="BL337" s="556" t="str">
        <f t="shared" si="40"/>
        <v/>
      </c>
      <c r="BM337" s="497">
        <f t="shared" si="41"/>
        <v>52025</v>
      </c>
    </row>
    <row r="338" spans="1:65">
      <c r="A338">
        <v>40070</v>
      </c>
      <c r="B338" t="s">
        <v>3517</v>
      </c>
      <c r="C338" t="s">
        <v>2034</v>
      </c>
      <c r="D338" t="s">
        <v>1803</v>
      </c>
      <c r="F338" s="503">
        <v>46035</v>
      </c>
      <c r="H338" t="s">
        <v>420</v>
      </c>
      <c r="I338" t="s">
        <v>1753</v>
      </c>
      <c r="J338">
        <v>3000</v>
      </c>
      <c r="K338" t="s">
        <v>1068</v>
      </c>
      <c r="O338" t="s">
        <v>1068</v>
      </c>
      <c r="W338">
        <v>1.17</v>
      </c>
      <c r="X338">
        <v>1.17</v>
      </c>
      <c r="Y338">
        <v>0</v>
      </c>
      <c r="Z338">
        <v>0</v>
      </c>
      <c r="AA338">
        <v>202</v>
      </c>
      <c r="AE338" t="s">
        <v>3518</v>
      </c>
      <c r="AI338">
        <v>60</v>
      </c>
      <c r="AJ338">
        <v>1650320</v>
      </c>
      <c r="AK338">
        <v>0</v>
      </c>
      <c r="AL338">
        <v>0</v>
      </c>
      <c r="AN338" t="s">
        <v>3403</v>
      </c>
      <c r="AO338">
        <v>3.2</v>
      </c>
      <c r="AX338">
        <v>20260113</v>
      </c>
      <c r="AY338" t="s">
        <v>1754</v>
      </c>
      <c r="BG338" s="556" t="str">
        <f t="shared" si="35"/>
        <v>O</v>
      </c>
      <c r="BH338" s="556" t="str">
        <f t="shared" si="36"/>
        <v/>
      </c>
      <c r="BI338" s="556" t="str">
        <f t="shared" si="37"/>
        <v/>
      </c>
      <c r="BJ338" s="556" t="str">
        <f t="shared" si="38"/>
        <v>M4</v>
      </c>
      <c r="BK338" s="556" t="str">
        <f t="shared" si="39"/>
        <v>M4</v>
      </c>
      <c r="BL338" s="556" t="str">
        <f t="shared" si="40"/>
        <v/>
      </c>
      <c r="BM338" s="497">
        <f t="shared" si="41"/>
        <v>40070</v>
      </c>
    </row>
    <row r="339" spans="1:65">
      <c r="A339">
        <v>40206</v>
      </c>
      <c r="B339" t="s">
        <v>1990</v>
      </c>
      <c r="C339" t="s">
        <v>201</v>
      </c>
      <c r="D339" t="s">
        <v>1771</v>
      </c>
      <c r="F339" s="503">
        <v>43990</v>
      </c>
      <c r="H339" t="s">
        <v>420</v>
      </c>
      <c r="I339" t="s">
        <v>1753</v>
      </c>
      <c r="J339">
        <v>0</v>
      </c>
      <c r="K339" t="s">
        <v>1068</v>
      </c>
      <c r="O339" t="s">
        <v>1068</v>
      </c>
      <c r="W339">
        <v>1.1499999999999999</v>
      </c>
      <c r="X339">
        <v>1.1599999999999999</v>
      </c>
      <c r="Y339">
        <v>0</v>
      </c>
      <c r="Z339">
        <v>0</v>
      </c>
      <c r="AA339">
        <v>2</v>
      </c>
      <c r="AE339" t="s">
        <v>1039</v>
      </c>
      <c r="AI339">
        <v>60</v>
      </c>
      <c r="AJ339">
        <v>1850320</v>
      </c>
      <c r="AK339">
        <v>0</v>
      </c>
      <c r="AN339" t="s">
        <v>1703</v>
      </c>
      <c r="AO339">
        <v>3.2</v>
      </c>
      <c r="AX339">
        <v>20200608</v>
      </c>
      <c r="AY339" t="s">
        <v>1754</v>
      </c>
      <c r="BG339" s="556" t="str">
        <f t="shared" si="35"/>
        <v>O</v>
      </c>
      <c r="BH339" s="556" t="str">
        <f t="shared" si="36"/>
        <v/>
      </c>
      <c r="BI339" s="556" t="str">
        <f t="shared" si="37"/>
        <v/>
      </c>
      <c r="BJ339" s="556" t="str">
        <f t="shared" si="38"/>
        <v>M4</v>
      </c>
      <c r="BK339" s="556" t="str">
        <f t="shared" si="39"/>
        <v>M4</v>
      </c>
      <c r="BL339" s="556" t="str">
        <f t="shared" si="40"/>
        <v/>
      </c>
      <c r="BM339" s="497">
        <f t="shared" si="41"/>
        <v>40206</v>
      </c>
    </row>
    <row r="340" spans="1:65">
      <c r="A340">
        <v>20088</v>
      </c>
      <c r="B340" t="s">
        <v>2717</v>
      </c>
      <c r="C340" t="s">
        <v>2718</v>
      </c>
      <c r="D340" t="s">
        <v>1774</v>
      </c>
      <c r="F340" s="503">
        <v>45324</v>
      </c>
      <c r="H340" t="s">
        <v>420</v>
      </c>
      <c r="I340" t="s">
        <v>1753</v>
      </c>
      <c r="J340">
        <v>3000</v>
      </c>
      <c r="K340" t="s">
        <v>1068</v>
      </c>
      <c r="O340" t="s">
        <v>1068</v>
      </c>
      <c r="W340">
        <v>1.2</v>
      </c>
      <c r="X340">
        <v>1.2</v>
      </c>
      <c r="Y340">
        <v>0</v>
      </c>
      <c r="Z340">
        <v>0</v>
      </c>
      <c r="AA340">
        <v>0</v>
      </c>
      <c r="AE340" t="s">
        <v>1761</v>
      </c>
      <c r="AI340">
        <v>57</v>
      </c>
      <c r="AJ340">
        <v>3020325</v>
      </c>
      <c r="AK340">
        <v>0</v>
      </c>
      <c r="AL340">
        <v>0</v>
      </c>
      <c r="AN340" t="s">
        <v>135</v>
      </c>
      <c r="AO340">
        <v>3.25</v>
      </c>
      <c r="AP340" t="s">
        <v>3076</v>
      </c>
      <c r="AX340">
        <v>20240202</v>
      </c>
      <c r="AY340" t="s">
        <v>1780</v>
      </c>
      <c r="BG340" s="556" t="str">
        <f t="shared" si="35"/>
        <v>O</v>
      </c>
      <c r="BH340" s="556" t="str">
        <f t="shared" si="36"/>
        <v/>
      </c>
      <c r="BI340" s="556" t="str">
        <f t="shared" si="37"/>
        <v/>
      </c>
      <c r="BJ340" s="556" t="str">
        <f t="shared" si="38"/>
        <v>M4</v>
      </c>
      <c r="BK340" s="556" t="str">
        <f t="shared" si="39"/>
        <v>M4</v>
      </c>
      <c r="BL340" s="556" t="str">
        <f t="shared" si="40"/>
        <v/>
      </c>
      <c r="BM340" s="497">
        <f t="shared" si="41"/>
        <v>20088</v>
      </c>
    </row>
    <row r="341" spans="1:65">
      <c r="A341">
        <v>50111</v>
      </c>
      <c r="B341" t="s">
        <v>1991</v>
      </c>
      <c r="C341" t="s">
        <v>1941</v>
      </c>
      <c r="D341" t="s">
        <v>1918</v>
      </c>
      <c r="F341" s="503">
        <v>44148</v>
      </c>
      <c r="H341" t="s">
        <v>420</v>
      </c>
      <c r="I341" t="s">
        <v>1753</v>
      </c>
      <c r="J341">
        <v>0</v>
      </c>
      <c r="K341" t="s">
        <v>1068</v>
      </c>
      <c r="O341" t="s">
        <v>1068</v>
      </c>
      <c r="W341">
        <v>1.19</v>
      </c>
      <c r="X341">
        <v>1.21</v>
      </c>
      <c r="Y341">
        <v>0</v>
      </c>
      <c r="Z341">
        <v>0</v>
      </c>
      <c r="AA341">
        <v>2</v>
      </c>
      <c r="AE341" t="s">
        <v>1039</v>
      </c>
      <c r="AI341">
        <v>60</v>
      </c>
      <c r="AJ341">
        <v>1850345</v>
      </c>
      <c r="AK341">
        <v>0</v>
      </c>
      <c r="AL341">
        <v>0</v>
      </c>
      <c r="AN341" t="s">
        <v>1703</v>
      </c>
      <c r="AO341">
        <v>3.45</v>
      </c>
      <c r="AX341">
        <v>20201113</v>
      </c>
      <c r="AY341" t="s">
        <v>1754</v>
      </c>
      <c r="BG341" s="556" t="str">
        <f t="shared" si="35"/>
        <v>O</v>
      </c>
      <c r="BH341" s="556" t="str">
        <f t="shared" si="36"/>
        <v/>
      </c>
      <c r="BI341" s="556" t="str">
        <f t="shared" si="37"/>
        <v/>
      </c>
      <c r="BJ341" s="556" t="str">
        <f t="shared" si="38"/>
        <v>M4</v>
      </c>
      <c r="BK341" s="556" t="str">
        <f t="shared" si="39"/>
        <v>M4</v>
      </c>
      <c r="BL341" s="556" t="str">
        <f t="shared" si="40"/>
        <v/>
      </c>
      <c r="BM341" s="497">
        <f t="shared" si="41"/>
        <v>50111</v>
      </c>
    </row>
    <row r="342" spans="1:65">
      <c r="A342">
        <v>20501</v>
      </c>
      <c r="B342" t="s">
        <v>214</v>
      </c>
      <c r="C342" t="s">
        <v>46</v>
      </c>
      <c r="D342" t="s">
        <v>1840</v>
      </c>
      <c r="E342" t="s">
        <v>1992</v>
      </c>
      <c r="F342" s="503">
        <v>42748</v>
      </c>
      <c r="H342" t="s">
        <v>56</v>
      </c>
      <c r="I342" t="s">
        <v>1753</v>
      </c>
      <c r="J342">
        <v>2000</v>
      </c>
      <c r="K342" t="s">
        <v>1068</v>
      </c>
      <c r="O342" t="s">
        <v>1068</v>
      </c>
      <c r="W342">
        <v>1.19</v>
      </c>
      <c r="X342">
        <v>1.2</v>
      </c>
      <c r="Y342">
        <v>0</v>
      </c>
      <c r="Z342">
        <v>0</v>
      </c>
      <c r="AA342">
        <v>2</v>
      </c>
      <c r="AE342" t="s">
        <v>1039</v>
      </c>
      <c r="AI342">
        <v>60</v>
      </c>
      <c r="AJ342">
        <v>1850320</v>
      </c>
      <c r="AK342">
        <v>0</v>
      </c>
      <c r="AL342">
        <v>0</v>
      </c>
      <c r="AN342" t="s">
        <v>1703</v>
      </c>
      <c r="AO342">
        <v>3.2</v>
      </c>
      <c r="AX342">
        <v>20170113</v>
      </c>
      <c r="AY342" t="s">
        <v>1754</v>
      </c>
      <c r="BG342" s="556" t="str">
        <f t="shared" si="35"/>
        <v>O</v>
      </c>
      <c r="BH342" s="556" t="str">
        <f t="shared" si="36"/>
        <v/>
      </c>
      <c r="BI342" s="556" t="str">
        <f t="shared" si="37"/>
        <v/>
      </c>
      <c r="BJ342" s="556" t="str">
        <f t="shared" si="38"/>
        <v>M4</v>
      </c>
      <c r="BK342" s="556" t="str">
        <f t="shared" si="39"/>
        <v>M4</v>
      </c>
      <c r="BL342" s="556" t="str">
        <f t="shared" si="40"/>
        <v/>
      </c>
      <c r="BM342" s="497">
        <f t="shared" si="41"/>
        <v>20501</v>
      </c>
    </row>
    <row r="343" spans="1:65">
      <c r="A343">
        <v>52023</v>
      </c>
      <c r="B343" t="s">
        <v>1993</v>
      </c>
      <c r="C343" t="s">
        <v>45</v>
      </c>
      <c r="D343" t="s">
        <v>1755</v>
      </c>
      <c r="F343" s="503">
        <v>44721</v>
      </c>
      <c r="H343" t="s">
        <v>56</v>
      </c>
      <c r="I343" t="s">
        <v>1753</v>
      </c>
      <c r="J343">
        <v>2000</v>
      </c>
      <c r="K343" t="s">
        <v>1068</v>
      </c>
      <c r="O343" t="s">
        <v>2299</v>
      </c>
      <c r="W343">
        <v>1.52</v>
      </c>
      <c r="X343">
        <v>1.5</v>
      </c>
      <c r="Y343">
        <v>0</v>
      </c>
      <c r="Z343">
        <v>0</v>
      </c>
      <c r="AA343">
        <v>2</v>
      </c>
      <c r="AE343" t="s">
        <v>1773</v>
      </c>
      <c r="AI343">
        <v>60</v>
      </c>
      <c r="AJ343">
        <v>1850325</v>
      </c>
      <c r="AK343">
        <v>0</v>
      </c>
      <c r="AL343">
        <v>0</v>
      </c>
      <c r="AN343" t="s">
        <v>1703</v>
      </c>
      <c r="AO343">
        <v>3.25</v>
      </c>
      <c r="AX343">
        <v>20220609</v>
      </c>
      <c r="AY343" t="s">
        <v>1754</v>
      </c>
      <c r="BG343" s="556" t="str">
        <f t="shared" si="35"/>
        <v>O</v>
      </c>
      <c r="BH343" s="556" t="str">
        <f t="shared" si="36"/>
        <v/>
      </c>
      <c r="BI343" s="556" t="str">
        <f t="shared" si="37"/>
        <v/>
      </c>
      <c r="BJ343" s="556" t="str">
        <f t="shared" si="38"/>
        <v>M4</v>
      </c>
      <c r="BK343" s="556" t="str">
        <f t="shared" si="39"/>
        <v>TS1</v>
      </c>
      <c r="BL343" s="556" t="str">
        <f t="shared" si="40"/>
        <v/>
      </c>
      <c r="BM343" s="497">
        <f t="shared" si="41"/>
        <v>52023</v>
      </c>
    </row>
    <row r="344" spans="1:65">
      <c r="A344">
        <v>20018</v>
      </c>
      <c r="B344" t="s">
        <v>162</v>
      </c>
      <c r="C344" t="s">
        <v>163</v>
      </c>
      <c r="D344" t="s">
        <v>1774</v>
      </c>
      <c r="F344" s="503">
        <v>42748</v>
      </c>
      <c r="H344" t="s">
        <v>56</v>
      </c>
      <c r="I344" t="s">
        <v>1753</v>
      </c>
      <c r="J344">
        <v>2000</v>
      </c>
      <c r="K344" t="s">
        <v>1068</v>
      </c>
      <c r="O344" t="s">
        <v>2299</v>
      </c>
      <c r="W344">
        <v>1.58</v>
      </c>
      <c r="X344">
        <v>1.49</v>
      </c>
      <c r="Y344">
        <v>0</v>
      </c>
      <c r="Z344">
        <v>0</v>
      </c>
      <c r="AA344">
        <v>2</v>
      </c>
      <c r="AB344" t="s">
        <v>1994</v>
      </c>
      <c r="AC344" t="s">
        <v>1995</v>
      </c>
      <c r="AD344" t="s">
        <v>1996</v>
      </c>
      <c r="AE344" t="s">
        <v>1039</v>
      </c>
      <c r="AF344">
        <v>5</v>
      </c>
      <c r="AI344">
        <v>60</v>
      </c>
      <c r="AJ344">
        <v>1850325</v>
      </c>
      <c r="AK344">
        <v>0</v>
      </c>
      <c r="AL344">
        <v>0</v>
      </c>
      <c r="AN344" t="s">
        <v>1703</v>
      </c>
      <c r="AO344">
        <v>3.25</v>
      </c>
      <c r="AX344">
        <v>20170113</v>
      </c>
      <c r="AY344" t="s">
        <v>1754</v>
      </c>
      <c r="BG344" s="556" t="str">
        <f t="shared" si="35"/>
        <v>O</v>
      </c>
      <c r="BH344" s="556" t="str">
        <f t="shared" si="36"/>
        <v/>
      </c>
      <c r="BI344" s="556" t="str">
        <f t="shared" si="37"/>
        <v/>
      </c>
      <c r="BJ344" s="556" t="str">
        <f t="shared" si="38"/>
        <v>M4</v>
      </c>
      <c r="BK344" s="556" t="str">
        <f t="shared" si="39"/>
        <v>TS1</v>
      </c>
      <c r="BL344" s="556" t="str">
        <f t="shared" si="40"/>
        <v/>
      </c>
      <c r="BM344" s="497">
        <f t="shared" si="41"/>
        <v>20018</v>
      </c>
    </row>
    <row r="345" spans="1:65">
      <c r="A345">
        <v>99003</v>
      </c>
      <c r="B345" t="s">
        <v>693</v>
      </c>
      <c r="C345" t="s">
        <v>694</v>
      </c>
      <c r="D345" t="s">
        <v>358</v>
      </c>
      <c r="F345" s="503">
        <v>43382</v>
      </c>
      <c r="H345" t="s">
        <v>420</v>
      </c>
      <c r="I345" t="s">
        <v>1753</v>
      </c>
      <c r="J345">
        <v>2000</v>
      </c>
      <c r="K345" t="s">
        <v>1068</v>
      </c>
      <c r="O345" t="s">
        <v>2299</v>
      </c>
      <c r="W345">
        <v>1.55</v>
      </c>
      <c r="X345">
        <v>1.53</v>
      </c>
      <c r="Y345">
        <v>0</v>
      </c>
      <c r="Z345">
        <v>0</v>
      </c>
      <c r="AA345">
        <v>2</v>
      </c>
      <c r="AE345" t="s">
        <v>1039</v>
      </c>
      <c r="AI345">
        <v>74</v>
      </c>
      <c r="AJ345">
        <v>1850325</v>
      </c>
      <c r="AK345">
        <v>0</v>
      </c>
      <c r="AN345" t="s">
        <v>1703</v>
      </c>
      <c r="AO345">
        <v>3.25</v>
      </c>
      <c r="AX345">
        <v>20181009</v>
      </c>
      <c r="AY345" t="s">
        <v>1768</v>
      </c>
      <c r="AZ345" t="s">
        <v>1950</v>
      </c>
      <c r="BG345" s="556" t="str">
        <f t="shared" si="35"/>
        <v>O</v>
      </c>
      <c r="BH345" s="556" t="str">
        <f t="shared" si="36"/>
        <v/>
      </c>
      <c r="BI345" s="556" t="str">
        <f t="shared" si="37"/>
        <v/>
      </c>
      <c r="BJ345" s="556" t="str">
        <f t="shared" si="38"/>
        <v>M4</v>
      </c>
      <c r="BK345" s="556" t="str">
        <f t="shared" si="39"/>
        <v>TS1</v>
      </c>
      <c r="BL345" s="556" t="str">
        <f t="shared" si="40"/>
        <v/>
      </c>
      <c r="BM345" s="497">
        <f t="shared" si="41"/>
        <v>99003</v>
      </c>
    </row>
    <row r="346" spans="1:65">
      <c r="A346">
        <v>50633</v>
      </c>
      <c r="B346" t="s">
        <v>122</v>
      </c>
      <c r="C346" t="s">
        <v>123</v>
      </c>
      <c r="D346" t="s">
        <v>1921</v>
      </c>
      <c r="F346" s="503">
        <v>43630</v>
      </c>
      <c r="H346" t="s">
        <v>56</v>
      </c>
      <c r="I346" t="s">
        <v>1753</v>
      </c>
      <c r="J346">
        <v>2000</v>
      </c>
      <c r="K346" t="s">
        <v>1068</v>
      </c>
      <c r="O346" t="s">
        <v>2299</v>
      </c>
      <c r="W346">
        <v>1.54</v>
      </c>
      <c r="X346">
        <v>1.44</v>
      </c>
      <c r="Y346">
        <v>0</v>
      </c>
      <c r="Z346">
        <v>0</v>
      </c>
      <c r="AA346">
        <v>0</v>
      </c>
      <c r="AE346" t="s">
        <v>1761</v>
      </c>
      <c r="AI346">
        <v>57</v>
      </c>
      <c r="AJ346">
        <v>4300325</v>
      </c>
      <c r="AK346">
        <v>0</v>
      </c>
      <c r="AN346" t="s">
        <v>185</v>
      </c>
      <c r="AO346">
        <v>3.25</v>
      </c>
      <c r="AX346">
        <v>20190614</v>
      </c>
      <c r="AY346" t="s">
        <v>1780</v>
      </c>
      <c r="BG346" s="556" t="str">
        <f t="shared" si="35"/>
        <v>O</v>
      </c>
      <c r="BH346" s="556" t="str">
        <f t="shared" si="36"/>
        <v/>
      </c>
      <c r="BI346" s="556" t="str">
        <f t="shared" si="37"/>
        <v/>
      </c>
      <c r="BJ346" s="556" t="str">
        <f t="shared" si="38"/>
        <v>M4</v>
      </c>
      <c r="BK346" s="556" t="str">
        <f t="shared" si="39"/>
        <v>TS1</v>
      </c>
      <c r="BL346" s="556" t="str">
        <f t="shared" si="40"/>
        <v/>
      </c>
      <c r="BM346" s="497">
        <f t="shared" si="41"/>
        <v>50633</v>
      </c>
    </row>
    <row r="347" spans="1:65">
      <c r="A347">
        <v>20032</v>
      </c>
      <c r="B347" t="s">
        <v>71</v>
      </c>
      <c r="C347" t="s">
        <v>72</v>
      </c>
      <c r="D347" t="s">
        <v>1774</v>
      </c>
      <c r="F347" s="503">
        <v>42748</v>
      </c>
      <c r="H347" t="s">
        <v>56</v>
      </c>
      <c r="I347" t="s">
        <v>1753</v>
      </c>
      <c r="J347">
        <v>2000</v>
      </c>
      <c r="K347" t="s">
        <v>1068</v>
      </c>
      <c r="O347" t="s">
        <v>2299</v>
      </c>
      <c r="W347">
        <v>1.58</v>
      </c>
      <c r="X347">
        <v>1.44</v>
      </c>
      <c r="Y347">
        <v>0</v>
      </c>
      <c r="Z347">
        <v>0</v>
      </c>
      <c r="AA347">
        <v>0</v>
      </c>
      <c r="AE347" t="s">
        <v>1761</v>
      </c>
      <c r="AI347">
        <v>57</v>
      </c>
      <c r="AJ347">
        <v>3020325</v>
      </c>
      <c r="AK347">
        <v>0</v>
      </c>
      <c r="AL347">
        <v>0</v>
      </c>
      <c r="AN347" t="s">
        <v>135</v>
      </c>
      <c r="AO347">
        <v>3.25</v>
      </c>
      <c r="AX347">
        <v>20170113</v>
      </c>
      <c r="AY347" t="s">
        <v>1780</v>
      </c>
      <c r="BG347" s="556" t="str">
        <f t="shared" si="35"/>
        <v>O</v>
      </c>
      <c r="BH347" s="556" t="str">
        <f t="shared" si="36"/>
        <v/>
      </c>
      <c r="BI347" s="556" t="str">
        <f t="shared" si="37"/>
        <v/>
      </c>
      <c r="BJ347" s="556" t="str">
        <f t="shared" si="38"/>
        <v>M4</v>
      </c>
      <c r="BK347" s="556" t="str">
        <f t="shared" si="39"/>
        <v>TS1</v>
      </c>
      <c r="BL347" s="556" t="str">
        <f t="shared" si="40"/>
        <v/>
      </c>
      <c r="BM347" s="497">
        <f t="shared" si="41"/>
        <v>20032</v>
      </c>
    </row>
    <row r="348" spans="1:65">
      <c r="A348">
        <v>52007</v>
      </c>
      <c r="B348" t="s">
        <v>909</v>
      </c>
      <c r="C348" t="s">
        <v>1550</v>
      </c>
      <c r="D348" t="s">
        <v>1755</v>
      </c>
      <c r="F348" s="503">
        <v>43685</v>
      </c>
      <c r="H348" t="s">
        <v>420</v>
      </c>
      <c r="I348" t="s">
        <v>1753</v>
      </c>
      <c r="J348">
        <v>2000</v>
      </c>
      <c r="K348" t="s">
        <v>1068</v>
      </c>
      <c r="O348" t="s">
        <v>2302</v>
      </c>
      <c r="W348">
        <v>1.55</v>
      </c>
      <c r="X348">
        <v>1.58</v>
      </c>
      <c r="Y348">
        <v>0</v>
      </c>
      <c r="Z348">
        <v>0</v>
      </c>
      <c r="AA348">
        <v>0</v>
      </c>
      <c r="AE348" t="s">
        <v>1761</v>
      </c>
      <c r="AI348">
        <v>82</v>
      </c>
      <c r="AJ348">
        <v>3020325</v>
      </c>
      <c r="AK348">
        <v>0</v>
      </c>
      <c r="AN348" t="s">
        <v>135</v>
      </c>
      <c r="AO348">
        <v>3.25</v>
      </c>
      <c r="AX348">
        <v>20190808</v>
      </c>
      <c r="AY348" t="s">
        <v>1800</v>
      </c>
      <c r="AZ348" t="s">
        <v>1997</v>
      </c>
      <c r="BG348" s="556" t="str">
        <f t="shared" si="35"/>
        <v>O</v>
      </c>
      <c r="BH348" s="556" t="str">
        <f t="shared" si="36"/>
        <v>Y</v>
      </c>
      <c r="BI348" s="556" t="str">
        <f t="shared" si="37"/>
        <v/>
      </c>
      <c r="BJ348" s="556" t="str">
        <f t="shared" si="38"/>
        <v>M4</v>
      </c>
      <c r="BK348" s="556" t="str">
        <f t="shared" si="39"/>
        <v>S4</v>
      </c>
      <c r="BL348" s="556" t="str">
        <f t="shared" si="40"/>
        <v/>
      </c>
      <c r="BM348" s="497">
        <f t="shared" si="41"/>
        <v>52007</v>
      </c>
    </row>
    <row r="349" spans="1:65">
      <c r="A349" t="s">
        <v>1998</v>
      </c>
      <c r="B349" t="s">
        <v>637</v>
      </c>
      <c r="C349" t="s">
        <v>81</v>
      </c>
      <c r="D349" t="s">
        <v>1803</v>
      </c>
      <c r="F349" s="503">
        <v>44604</v>
      </c>
      <c r="H349" t="s">
        <v>420</v>
      </c>
      <c r="I349" t="s">
        <v>1753</v>
      </c>
      <c r="J349">
        <v>2000</v>
      </c>
      <c r="K349" t="s">
        <v>1068</v>
      </c>
      <c r="O349" t="s">
        <v>1068</v>
      </c>
      <c r="S349" t="s">
        <v>2301</v>
      </c>
      <c r="W349">
        <v>1.55</v>
      </c>
      <c r="X349">
        <v>1.51</v>
      </c>
      <c r="Y349">
        <v>0</v>
      </c>
      <c r="Z349">
        <v>0</v>
      </c>
      <c r="AA349">
        <v>2</v>
      </c>
      <c r="AE349" t="s">
        <v>1039</v>
      </c>
      <c r="AI349">
        <v>69</v>
      </c>
      <c r="AJ349">
        <v>1850320</v>
      </c>
      <c r="AK349">
        <v>0</v>
      </c>
      <c r="AN349" t="s">
        <v>1703</v>
      </c>
      <c r="AO349">
        <v>3.2</v>
      </c>
      <c r="AR349" t="s">
        <v>2948</v>
      </c>
      <c r="AX349">
        <v>20220212</v>
      </c>
      <c r="AY349" t="s">
        <v>1830</v>
      </c>
      <c r="BG349" s="556" t="str">
        <f t="shared" si="35"/>
        <v>O</v>
      </c>
      <c r="BH349" s="556" t="str">
        <f t="shared" si="36"/>
        <v/>
      </c>
      <c r="BI349" s="556" t="str">
        <f t="shared" si="37"/>
        <v/>
      </c>
      <c r="BJ349" s="556" t="str">
        <f t="shared" si="38"/>
        <v>M4</v>
      </c>
      <c r="BK349" s="556" t="str">
        <f t="shared" si="39"/>
        <v>M4</v>
      </c>
      <c r="BL349" s="556" t="str">
        <f t="shared" si="40"/>
        <v>CT</v>
      </c>
      <c r="BM349" s="497" t="str">
        <f t="shared" si="41"/>
        <v>LGSO3</v>
      </c>
    </row>
    <row r="350" spans="1:65">
      <c r="A350">
        <v>20037</v>
      </c>
      <c r="B350" t="s">
        <v>164</v>
      </c>
      <c r="C350" t="s">
        <v>165</v>
      </c>
      <c r="D350" t="s">
        <v>1774</v>
      </c>
      <c r="F350" s="503">
        <v>42748</v>
      </c>
      <c r="H350" t="s">
        <v>56</v>
      </c>
      <c r="I350" t="s">
        <v>1753</v>
      </c>
      <c r="J350">
        <v>2000</v>
      </c>
      <c r="K350" t="s">
        <v>1068</v>
      </c>
      <c r="O350" t="s">
        <v>2302</v>
      </c>
      <c r="S350" t="s">
        <v>2301</v>
      </c>
      <c r="W350">
        <v>1.54</v>
      </c>
      <c r="X350">
        <v>1.66</v>
      </c>
      <c r="Y350">
        <v>0</v>
      </c>
      <c r="Z350">
        <v>0</v>
      </c>
      <c r="AA350">
        <v>2</v>
      </c>
      <c r="AE350" t="s">
        <v>1039</v>
      </c>
      <c r="AI350">
        <v>72</v>
      </c>
      <c r="AJ350">
        <v>1850320</v>
      </c>
      <c r="AK350">
        <v>0</v>
      </c>
      <c r="AL350">
        <v>0</v>
      </c>
      <c r="AN350" t="s">
        <v>1703</v>
      </c>
      <c r="AO350">
        <v>3.2</v>
      </c>
      <c r="AR350" t="s">
        <v>2948</v>
      </c>
      <c r="AX350">
        <v>20170113</v>
      </c>
      <c r="AY350" t="s">
        <v>1999</v>
      </c>
      <c r="AZ350" t="s">
        <v>2000</v>
      </c>
      <c r="BA350" t="s">
        <v>1871</v>
      </c>
      <c r="BG350" s="556" t="str">
        <f t="shared" si="35"/>
        <v>O</v>
      </c>
      <c r="BH350" s="556" t="str">
        <f t="shared" si="36"/>
        <v>Y</v>
      </c>
      <c r="BI350" s="556" t="str">
        <f t="shared" si="37"/>
        <v/>
      </c>
      <c r="BJ350" s="556" t="str">
        <f t="shared" si="38"/>
        <v>M4</v>
      </c>
      <c r="BK350" s="556" t="str">
        <f t="shared" si="39"/>
        <v>S4</v>
      </c>
      <c r="BL350" s="556" t="str">
        <f t="shared" si="40"/>
        <v>CT</v>
      </c>
      <c r="BM350" s="497">
        <f t="shared" si="41"/>
        <v>20037</v>
      </c>
    </row>
    <row r="351" spans="1:65">
      <c r="A351">
        <v>20036</v>
      </c>
      <c r="B351" t="s">
        <v>639</v>
      </c>
      <c r="C351" t="s">
        <v>642</v>
      </c>
      <c r="D351" t="s">
        <v>1774</v>
      </c>
      <c r="F351" s="503">
        <v>42748</v>
      </c>
      <c r="H351" t="s">
        <v>56</v>
      </c>
      <c r="I351" t="s">
        <v>1753</v>
      </c>
      <c r="J351">
        <v>2000</v>
      </c>
      <c r="K351" t="s">
        <v>1068</v>
      </c>
      <c r="O351" t="s">
        <v>1068</v>
      </c>
      <c r="S351" t="s">
        <v>2301</v>
      </c>
      <c r="W351">
        <v>1.55</v>
      </c>
      <c r="X351">
        <v>1.48</v>
      </c>
      <c r="Y351">
        <v>0</v>
      </c>
      <c r="Z351">
        <v>0</v>
      </c>
      <c r="AA351">
        <v>2</v>
      </c>
      <c r="AE351" t="s">
        <v>1756</v>
      </c>
      <c r="AI351">
        <v>69</v>
      </c>
      <c r="AJ351">
        <v>1850320</v>
      </c>
      <c r="AK351">
        <v>0</v>
      </c>
      <c r="AL351">
        <v>0</v>
      </c>
      <c r="AN351" t="s">
        <v>1703</v>
      </c>
      <c r="AO351">
        <v>3.2</v>
      </c>
      <c r="AR351" t="s">
        <v>2948</v>
      </c>
      <c r="AX351">
        <v>20170113</v>
      </c>
      <c r="AY351" t="s">
        <v>1830</v>
      </c>
      <c r="BG351" s="556" t="str">
        <f t="shared" si="35"/>
        <v>O</v>
      </c>
      <c r="BH351" s="556" t="str">
        <f t="shared" si="36"/>
        <v/>
      </c>
      <c r="BI351" s="556" t="str">
        <f t="shared" si="37"/>
        <v/>
      </c>
      <c r="BJ351" s="556" t="str">
        <f t="shared" si="38"/>
        <v>M4</v>
      </c>
      <c r="BK351" s="556" t="str">
        <f t="shared" si="39"/>
        <v>M4</v>
      </c>
      <c r="BL351" s="556" t="str">
        <f t="shared" si="40"/>
        <v>CT</v>
      </c>
      <c r="BM351" s="497">
        <f t="shared" si="41"/>
        <v>20036</v>
      </c>
    </row>
    <row r="352" spans="1:65">
      <c r="A352">
        <v>20029</v>
      </c>
      <c r="B352" t="s">
        <v>899</v>
      </c>
      <c r="C352" t="s">
        <v>888</v>
      </c>
      <c r="D352" t="s">
        <v>1774</v>
      </c>
      <c r="F352" s="503">
        <v>42811</v>
      </c>
      <c r="H352" t="s">
        <v>56</v>
      </c>
      <c r="I352" t="s">
        <v>1753</v>
      </c>
      <c r="J352">
        <v>2000</v>
      </c>
      <c r="K352" t="s">
        <v>1068</v>
      </c>
      <c r="O352" t="s">
        <v>1068</v>
      </c>
      <c r="S352" t="s">
        <v>2301</v>
      </c>
      <c r="W352">
        <v>1.47</v>
      </c>
      <c r="X352">
        <v>1.51</v>
      </c>
      <c r="Y352">
        <v>0</v>
      </c>
      <c r="Z352">
        <v>0</v>
      </c>
      <c r="AE352" t="s">
        <v>1761</v>
      </c>
      <c r="AI352">
        <v>59</v>
      </c>
      <c r="AJ352">
        <v>3020320</v>
      </c>
      <c r="AK352">
        <v>0</v>
      </c>
      <c r="AL352">
        <v>0</v>
      </c>
      <c r="AN352" t="s">
        <v>135</v>
      </c>
      <c r="AO352">
        <v>3.2</v>
      </c>
      <c r="AR352" t="s">
        <v>2948</v>
      </c>
      <c r="AX352">
        <v>20170317</v>
      </c>
      <c r="AY352" t="s">
        <v>1836</v>
      </c>
      <c r="BG352" s="556" t="str">
        <f t="shared" si="35"/>
        <v>O</v>
      </c>
      <c r="BH352" s="556" t="str">
        <f t="shared" si="36"/>
        <v/>
      </c>
      <c r="BI352" s="556" t="str">
        <f t="shared" si="37"/>
        <v/>
      </c>
      <c r="BJ352" s="556" t="str">
        <f t="shared" si="38"/>
        <v>M4</v>
      </c>
      <c r="BK352" s="556" t="str">
        <f t="shared" si="39"/>
        <v>M4</v>
      </c>
      <c r="BL352" s="556" t="str">
        <f t="shared" si="40"/>
        <v>CT</v>
      </c>
      <c r="BM352" s="497">
        <f t="shared" si="41"/>
        <v>20029</v>
      </c>
    </row>
    <row r="353" spans="1:65">
      <c r="A353">
        <v>50632</v>
      </c>
      <c r="B353" t="s">
        <v>897</v>
      </c>
      <c r="C353" t="s">
        <v>898</v>
      </c>
      <c r="D353" t="s">
        <v>1829</v>
      </c>
      <c r="F353" s="503">
        <v>43550</v>
      </c>
      <c r="H353" t="s">
        <v>56</v>
      </c>
      <c r="I353" t="s">
        <v>1753</v>
      </c>
      <c r="J353">
        <v>2000</v>
      </c>
      <c r="K353" t="s">
        <v>1068</v>
      </c>
      <c r="O353" t="s">
        <v>2299</v>
      </c>
      <c r="W353">
        <v>1.47</v>
      </c>
      <c r="X353">
        <v>1.5</v>
      </c>
      <c r="Y353">
        <v>0</v>
      </c>
      <c r="Z353">
        <v>0</v>
      </c>
      <c r="AA353">
        <v>0</v>
      </c>
      <c r="AE353" t="s">
        <v>1761</v>
      </c>
      <c r="AI353">
        <v>63</v>
      </c>
      <c r="AJ353">
        <v>3020320</v>
      </c>
      <c r="AK353">
        <v>0</v>
      </c>
      <c r="AN353" t="s">
        <v>135</v>
      </c>
      <c r="AO353">
        <v>3.2</v>
      </c>
      <c r="AX353">
        <v>20190326</v>
      </c>
      <c r="AY353" t="s">
        <v>1945</v>
      </c>
      <c r="AZ353" t="s">
        <v>1901</v>
      </c>
      <c r="BG353" s="556" t="str">
        <f t="shared" si="35"/>
        <v>O</v>
      </c>
      <c r="BH353" s="556" t="str">
        <f t="shared" si="36"/>
        <v/>
      </c>
      <c r="BI353" s="556" t="str">
        <f t="shared" si="37"/>
        <v/>
      </c>
      <c r="BJ353" s="556" t="str">
        <f t="shared" si="38"/>
        <v>M4</v>
      </c>
      <c r="BK353" s="556" t="str">
        <f t="shared" si="39"/>
        <v>TS1</v>
      </c>
      <c r="BL353" s="556" t="str">
        <f t="shared" si="40"/>
        <v/>
      </c>
      <c r="BM353" s="497">
        <f t="shared" si="41"/>
        <v>50632</v>
      </c>
    </row>
    <row r="354" spans="1:65">
      <c r="A354">
        <v>45015</v>
      </c>
      <c r="B354" t="s">
        <v>3344</v>
      </c>
      <c r="C354" t="s">
        <v>3345</v>
      </c>
      <c r="D354" t="s">
        <v>3280</v>
      </c>
      <c r="F354" s="503">
        <v>46007</v>
      </c>
      <c r="H354" t="s">
        <v>420</v>
      </c>
      <c r="I354" t="s">
        <v>1753</v>
      </c>
      <c r="J354">
        <v>2000</v>
      </c>
      <c r="K354" t="s">
        <v>1068</v>
      </c>
      <c r="O354" t="s">
        <v>1068</v>
      </c>
      <c r="W354">
        <v>1.55</v>
      </c>
      <c r="X354">
        <v>1.55</v>
      </c>
      <c r="Y354">
        <v>0</v>
      </c>
      <c r="Z354">
        <v>0</v>
      </c>
      <c r="AA354">
        <v>2</v>
      </c>
      <c r="AE354" t="s">
        <v>1773</v>
      </c>
      <c r="AI354">
        <v>60</v>
      </c>
      <c r="AJ354">
        <v>1850320</v>
      </c>
      <c r="AK354">
        <v>0</v>
      </c>
      <c r="AL354">
        <v>0</v>
      </c>
      <c r="AN354" t="s">
        <v>1703</v>
      </c>
      <c r="AO354">
        <v>3.2</v>
      </c>
      <c r="AX354">
        <v>20251216</v>
      </c>
      <c r="AY354" t="s">
        <v>1754</v>
      </c>
      <c r="BG354" s="556" t="str">
        <f t="shared" si="35"/>
        <v>O</v>
      </c>
      <c r="BH354" s="556" t="str">
        <f t="shared" si="36"/>
        <v/>
      </c>
      <c r="BI354" s="556" t="str">
        <f t="shared" si="37"/>
        <v/>
      </c>
      <c r="BJ354" s="556" t="str">
        <f t="shared" si="38"/>
        <v>M4</v>
      </c>
      <c r="BK354" s="556" t="str">
        <f t="shared" si="39"/>
        <v>M4</v>
      </c>
      <c r="BL354" s="556" t="str">
        <f t="shared" si="40"/>
        <v/>
      </c>
      <c r="BM354" s="497">
        <f t="shared" si="41"/>
        <v>45015</v>
      </c>
    </row>
    <row r="355" spans="1:65">
      <c r="A355">
        <v>53104</v>
      </c>
      <c r="B355" t="s">
        <v>1696</v>
      </c>
      <c r="C355" t="s">
        <v>984</v>
      </c>
      <c r="D355" t="s">
        <v>1819</v>
      </c>
      <c r="F355" s="503">
        <v>44414</v>
      </c>
      <c r="H355" t="s">
        <v>420</v>
      </c>
      <c r="I355" t="s">
        <v>1753</v>
      </c>
      <c r="J355">
        <v>2000</v>
      </c>
      <c r="K355" t="s">
        <v>1068</v>
      </c>
      <c r="O355" t="s">
        <v>1068</v>
      </c>
      <c r="W355">
        <v>1.55</v>
      </c>
      <c r="X355">
        <v>1.57</v>
      </c>
      <c r="Y355">
        <v>0</v>
      </c>
      <c r="Z355">
        <v>0</v>
      </c>
      <c r="AA355">
        <v>2</v>
      </c>
      <c r="AE355" t="s">
        <v>1039</v>
      </c>
      <c r="AI355">
        <v>60</v>
      </c>
      <c r="AJ355">
        <v>1850320</v>
      </c>
      <c r="AK355">
        <v>0</v>
      </c>
      <c r="AL355">
        <v>0</v>
      </c>
      <c r="AN355" t="s">
        <v>1703</v>
      </c>
      <c r="AO355">
        <v>3.2</v>
      </c>
      <c r="AX355">
        <v>20210806</v>
      </c>
      <c r="AY355" t="s">
        <v>1754</v>
      </c>
      <c r="BG355" s="556" t="str">
        <f t="shared" si="35"/>
        <v>O</v>
      </c>
      <c r="BH355" s="556" t="str">
        <f t="shared" si="36"/>
        <v/>
      </c>
      <c r="BI355" s="556" t="str">
        <f t="shared" si="37"/>
        <v/>
      </c>
      <c r="BJ355" s="556" t="str">
        <f t="shared" si="38"/>
        <v>M4</v>
      </c>
      <c r="BK355" s="556" t="str">
        <f t="shared" si="39"/>
        <v>M4</v>
      </c>
      <c r="BL355" s="556" t="str">
        <f t="shared" si="40"/>
        <v/>
      </c>
      <c r="BM355" s="497">
        <f t="shared" si="41"/>
        <v>53104</v>
      </c>
    </row>
    <row r="356" spans="1:65">
      <c r="A356">
        <v>45003</v>
      </c>
      <c r="B356" t="s">
        <v>3242</v>
      </c>
      <c r="C356" t="s">
        <v>3230</v>
      </c>
      <c r="D356" t="s">
        <v>2850</v>
      </c>
      <c r="F356" s="503">
        <v>45932</v>
      </c>
      <c r="H356" t="s">
        <v>420</v>
      </c>
      <c r="I356" t="s">
        <v>1753</v>
      </c>
      <c r="J356">
        <v>1000</v>
      </c>
      <c r="K356" t="s">
        <v>1068</v>
      </c>
      <c r="O356" t="s">
        <v>1068</v>
      </c>
      <c r="W356">
        <v>1.5</v>
      </c>
      <c r="X356">
        <v>3.02</v>
      </c>
      <c r="Y356">
        <v>0</v>
      </c>
      <c r="Z356">
        <v>0</v>
      </c>
      <c r="AA356">
        <v>2</v>
      </c>
      <c r="AE356" t="s">
        <v>1039</v>
      </c>
      <c r="AI356">
        <v>70</v>
      </c>
      <c r="AJ356">
        <v>1850320</v>
      </c>
      <c r="AK356">
        <v>0</v>
      </c>
      <c r="AL356">
        <v>0</v>
      </c>
      <c r="AN356" t="s">
        <v>1703</v>
      </c>
      <c r="AO356">
        <v>3.2</v>
      </c>
      <c r="AX356">
        <v>20251002</v>
      </c>
      <c r="AY356" t="s">
        <v>1939</v>
      </c>
      <c r="AZ356" t="s">
        <v>3229</v>
      </c>
      <c r="BA356" t="s">
        <v>3239</v>
      </c>
      <c r="BG356" s="556" t="str">
        <f t="shared" si="35"/>
        <v>O</v>
      </c>
      <c r="BH356" s="556" t="str">
        <f t="shared" si="36"/>
        <v>Y</v>
      </c>
      <c r="BI356" s="556" t="str">
        <f t="shared" si="37"/>
        <v/>
      </c>
      <c r="BJ356" s="556" t="str">
        <f t="shared" si="38"/>
        <v>M4</v>
      </c>
      <c r="BK356" s="556" t="str">
        <f t="shared" si="39"/>
        <v>M4</v>
      </c>
      <c r="BL356" s="556" t="str">
        <f t="shared" si="40"/>
        <v/>
      </c>
      <c r="BM356" s="497">
        <f t="shared" si="41"/>
        <v>45003</v>
      </c>
    </row>
    <row r="357" spans="1:65">
      <c r="A357">
        <v>20035</v>
      </c>
      <c r="B357" t="s">
        <v>31</v>
      </c>
      <c r="C357" t="s">
        <v>44</v>
      </c>
      <c r="D357" t="s">
        <v>1774</v>
      </c>
      <c r="F357" s="503">
        <v>42748</v>
      </c>
      <c r="H357" t="s">
        <v>56</v>
      </c>
      <c r="I357" t="s">
        <v>1753</v>
      </c>
      <c r="J357">
        <v>2000</v>
      </c>
      <c r="K357" t="s">
        <v>1068</v>
      </c>
      <c r="O357" t="s">
        <v>1068</v>
      </c>
      <c r="W357">
        <v>1.5</v>
      </c>
      <c r="X357">
        <v>1.46</v>
      </c>
      <c r="Y357">
        <v>0</v>
      </c>
      <c r="Z357">
        <v>0</v>
      </c>
      <c r="AA357">
        <v>0</v>
      </c>
      <c r="AE357" t="s">
        <v>1761</v>
      </c>
      <c r="AI357">
        <v>57</v>
      </c>
      <c r="AJ357">
        <v>4300320</v>
      </c>
      <c r="AK357">
        <v>0</v>
      </c>
      <c r="AL357">
        <v>0</v>
      </c>
      <c r="AN357" t="s">
        <v>185</v>
      </c>
      <c r="AO357">
        <v>3.2</v>
      </c>
      <c r="AX357">
        <v>20170113</v>
      </c>
      <c r="AY357" t="s">
        <v>1780</v>
      </c>
      <c r="BG357" s="556" t="str">
        <f t="shared" si="35"/>
        <v>O</v>
      </c>
      <c r="BH357" s="556" t="str">
        <f t="shared" si="36"/>
        <v/>
      </c>
      <c r="BI357" s="556" t="str">
        <f t="shared" si="37"/>
        <v/>
      </c>
      <c r="BJ357" s="556" t="str">
        <f t="shared" si="38"/>
        <v>M4</v>
      </c>
      <c r="BK357" s="556" t="str">
        <f t="shared" si="39"/>
        <v>M4</v>
      </c>
      <c r="BL357" s="556" t="str">
        <f t="shared" si="40"/>
        <v/>
      </c>
      <c r="BM357" s="497">
        <f t="shared" si="41"/>
        <v>20035</v>
      </c>
    </row>
    <row r="358" spans="1:65">
      <c r="A358">
        <v>40205</v>
      </c>
      <c r="B358" t="s">
        <v>982</v>
      </c>
      <c r="C358" t="s">
        <v>984</v>
      </c>
      <c r="D358" t="s">
        <v>1771</v>
      </c>
      <c r="F358" s="503">
        <v>43897</v>
      </c>
      <c r="H358" t="s">
        <v>420</v>
      </c>
      <c r="I358" t="s">
        <v>1753</v>
      </c>
      <c r="J358">
        <v>1000</v>
      </c>
      <c r="K358" t="s">
        <v>1068</v>
      </c>
      <c r="O358" t="s">
        <v>2302</v>
      </c>
      <c r="W358">
        <v>1.5</v>
      </c>
      <c r="X358">
        <v>2.73</v>
      </c>
      <c r="Y358">
        <v>0</v>
      </c>
      <c r="Z358">
        <v>0</v>
      </c>
      <c r="AA358">
        <v>0</v>
      </c>
      <c r="AE358" t="s">
        <v>1761</v>
      </c>
      <c r="AI358">
        <v>18</v>
      </c>
      <c r="AJ358">
        <v>4300320</v>
      </c>
      <c r="AK358">
        <v>0</v>
      </c>
      <c r="AN358" t="s">
        <v>185</v>
      </c>
      <c r="AO358">
        <v>3.2</v>
      </c>
      <c r="AX358">
        <v>20200307</v>
      </c>
      <c r="AY358" t="s">
        <v>1800</v>
      </c>
      <c r="AZ358" t="s">
        <v>1888</v>
      </c>
      <c r="BG358" s="556" t="str">
        <f t="shared" si="35"/>
        <v>O</v>
      </c>
      <c r="BH358" s="556" t="str">
        <f t="shared" si="36"/>
        <v>Y</v>
      </c>
      <c r="BI358" s="556" t="str">
        <f t="shared" si="37"/>
        <v/>
      </c>
      <c r="BJ358" s="556" t="str">
        <f t="shared" si="38"/>
        <v>M4</v>
      </c>
      <c r="BK358" s="556" t="str">
        <f t="shared" si="39"/>
        <v>S4</v>
      </c>
      <c r="BL358" s="556" t="str">
        <f t="shared" si="40"/>
        <v/>
      </c>
      <c r="BM358" s="497">
        <f t="shared" si="41"/>
        <v>40205</v>
      </c>
    </row>
    <row r="359" spans="1:65">
      <c r="A359">
        <v>50620</v>
      </c>
      <c r="B359" t="s">
        <v>894</v>
      </c>
      <c r="C359" t="s">
        <v>896</v>
      </c>
      <c r="D359" t="s">
        <v>1921</v>
      </c>
      <c r="F359" s="503">
        <v>44551</v>
      </c>
      <c r="H359" t="s">
        <v>420</v>
      </c>
      <c r="I359" t="s">
        <v>1753</v>
      </c>
      <c r="J359">
        <v>0</v>
      </c>
      <c r="K359" t="s">
        <v>1068</v>
      </c>
      <c r="O359" t="s">
        <v>1068</v>
      </c>
      <c r="W359">
        <v>1.46</v>
      </c>
      <c r="X359">
        <v>1.48</v>
      </c>
      <c r="Y359">
        <v>0</v>
      </c>
      <c r="Z359">
        <v>0</v>
      </c>
      <c r="AA359">
        <v>0</v>
      </c>
      <c r="AE359" t="s">
        <v>1761</v>
      </c>
      <c r="AI359">
        <v>57</v>
      </c>
      <c r="AJ359">
        <v>3020320</v>
      </c>
      <c r="AK359">
        <v>0</v>
      </c>
      <c r="AN359" t="s">
        <v>135</v>
      </c>
      <c r="AO359">
        <v>3.2</v>
      </c>
      <c r="AX359">
        <v>20211221</v>
      </c>
      <c r="AY359" t="s">
        <v>1780</v>
      </c>
      <c r="BG359" s="556" t="str">
        <f t="shared" si="35"/>
        <v>O</v>
      </c>
      <c r="BH359" s="556" t="str">
        <f t="shared" si="36"/>
        <v/>
      </c>
      <c r="BI359" s="556" t="str">
        <f t="shared" si="37"/>
        <v/>
      </c>
      <c r="BJ359" s="556" t="str">
        <f t="shared" si="38"/>
        <v>M4</v>
      </c>
      <c r="BK359" s="556" t="str">
        <f t="shared" si="39"/>
        <v>M4</v>
      </c>
      <c r="BL359" s="556" t="str">
        <f t="shared" si="40"/>
        <v/>
      </c>
      <c r="BM359" s="497">
        <f t="shared" si="41"/>
        <v>50620</v>
      </c>
    </row>
    <row r="360" spans="1:65">
      <c r="A360">
        <v>20301</v>
      </c>
      <c r="B360" t="s">
        <v>149</v>
      </c>
      <c r="C360" t="s">
        <v>150</v>
      </c>
      <c r="D360" t="s">
        <v>2001</v>
      </c>
      <c r="F360" s="503">
        <v>42748</v>
      </c>
      <c r="H360" t="s">
        <v>56</v>
      </c>
      <c r="I360" t="s">
        <v>1753</v>
      </c>
      <c r="J360">
        <v>2000</v>
      </c>
      <c r="K360" t="s">
        <v>1068</v>
      </c>
      <c r="O360" t="s">
        <v>1068</v>
      </c>
      <c r="W360">
        <v>1.51</v>
      </c>
      <c r="X360">
        <v>1.51</v>
      </c>
      <c r="Y360">
        <v>0</v>
      </c>
      <c r="Z360">
        <v>0</v>
      </c>
      <c r="AA360">
        <v>2</v>
      </c>
      <c r="AE360" t="s">
        <v>1039</v>
      </c>
      <c r="AI360">
        <v>60</v>
      </c>
      <c r="AJ360">
        <v>1850320</v>
      </c>
      <c r="AK360">
        <v>0</v>
      </c>
      <c r="AL360">
        <v>0</v>
      </c>
      <c r="AN360" t="s">
        <v>1703</v>
      </c>
      <c r="AO360">
        <v>3.2</v>
      </c>
      <c r="AX360">
        <v>20170113</v>
      </c>
      <c r="AY360" t="s">
        <v>1754</v>
      </c>
      <c r="BG360" s="556" t="str">
        <f t="shared" si="35"/>
        <v>O</v>
      </c>
      <c r="BH360" s="556" t="str">
        <f t="shared" si="36"/>
        <v/>
      </c>
      <c r="BI360" s="556" t="str">
        <f t="shared" si="37"/>
        <v/>
      </c>
      <c r="BJ360" s="556" t="str">
        <f t="shared" si="38"/>
        <v>M4</v>
      </c>
      <c r="BK360" s="556" t="str">
        <f t="shared" si="39"/>
        <v>M4</v>
      </c>
      <c r="BL360" s="556" t="str">
        <f t="shared" si="40"/>
        <v/>
      </c>
      <c r="BM360" s="497">
        <f t="shared" si="41"/>
        <v>20301</v>
      </c>
    </row>
    <row r="361" spans="1:65">
      <c r="A361">
        <v>40058</v>
      </c>
      <c r="B361" t="s">
        <v>3323</v>
      </c>
      <c r="C361" t="s">
        <v>3324</v>
      </c>
      <c r="D361" t="s">
        <v>1803</v>
      </c>
      <c r="F361" s="503">
        <v>45997</v>
      </c>
      <c r="H361" t="s">
        <v>2608</v>
      </c>
      <c r="I361" t="s">
        <v>1753</v>
      </c>
      <c r="J361">
        <v>2000</v>
      </c>
      <c r="K361" t="s">
        <v>1068</v>
      </c>
      <c r="O361" t="s">
        <v>1068</v>
      </c>
      <c r="W361">
        <v>1.61</v>
      </c>
      <c r="X361">
        <v>1.61</v>
      </c>
      <c r="Y361">
        <v>0</v>
      </c>
      <c r="Z361">
        <v>0</v>
      </c>
      <c r="AA361">
        <v>2</v>
      </c>
      <c r="AE361" t="s">
        <v>1039</v>
      </c>
      <c r="AI361">
        <v>60</v>
      </c>
      <c r="AJ361">
        <v>1850355</v>
      </c>
      <c r="AK361">
        <v>0</v>
      </c>
      <c r="AL361">
        <v>0</v>
      </c>
      <c r="AN361" t="s">
        <v>1703</v>
      </c>
      <c r="AO361">
        <v>3.55</v>
      </c>
      <c r="AX361">
        <v>20251206</v>
      </c>
      <c r="AY361" t="s">
        <v>1754</v>
      </c>
      <c r="BG361" s="556" t="str">
        <f t="shared" si="35"/>
        <v>O</v>
      </c>
      <c r="BH361" s="556" t="str">
        <f t="shared" si="36"/>
        <v/>
      </c>
      <c r="BI361" s="556" t="str">
        <f t="shared" si="37"/>
        <v/>
      </c>
      <c r="BJ361" s="556" t="str">
        <f t="shared" si="38"/>
        <v>M4</v>
      </c>
      <c r="BK361" s="556" t="str">
        <f t="shared" si="39"/>
        <v>M4</v>
      </c>
      <c r="BL361" s="556" t="str">
        <f t="shared" si="40"/>
        <v/>
      </c>
      <c r="BM361" s="497">
        <f t="shared" si="41"/>
        <v>40058</v>
      </c>
    </row>
    <row r="362" spans="1:65">
      <c r="A362">
        <v>53601</v>
      </c>
      <c r="B362" t="s">
        <v>2399</v>
      </c>
      <c r="C362" t="s">
        <v>2400</v>
      </c>
      <c r="D362" t="s">
        <v>2191</v>
      </c>
      <c r="F362" s="503">
        <v>45010</v>
      </c>
      <c r="H362" t="s">
        <v>56</v>
      </c>
      <c r="I362" t="s">
        <v>1753</v>
      </c>
      <c r="J362">
        <v>2000</v>
      </c>
      <c r="K362">
        <v>9</v>
      </c>
      <c r="O362" t="s">
        <v>1068</v>
      </c>
      <c r="W362">
        <v>1.55</v>
      </c>
      <c r="X362">
        <v>1.55</v>
      </c>
      <c r="Y362">
        <v>0</v>
      </c>
      <c r="Z362">
        <v>0</v>
      </c>
      <c r="AA362">
        <v>0</v>
      </c>
      <c r="AE362" t="s">
        <v>1761</v>
      </c>
      <c r="AI362">
        <v>57</v>
      </c>
      <c r="AJ362">
        <v>3020345</v>
      </c>
      <c r="AK362">
        <v>0</v>
      </c>
      <c r="AN362" t="s">
        <v>2629</v>
      </c>
      <c r="AO362">
        <v>3.45</v>
      </c>
      <c r="AX362">
        <v>20230325</v>
      </c>
      <c r="AY362" t="s">
        <v>1780</v>
      </c>
      <c r="BG362" s="556" t="str">
        <f t="shared" si="35"/>
        <v>O</v>
      </c>
      <c r="BH362" s="556" t="str">
        <f t="shared" si="36"/>
        <v/>
      </c>
      <c r="BI362" s="556" t="str">
        <f t="shared" si="37"/>
        <v/>
      </c>
      <c r="BJ362" s="556">
        <f t="shared" si="38"/>
        <v>9</v>
      </c>
      <c r="BK362" s="556" t="str">
        <f t="shared" si="39"/>
        <v>M4</v>
      </c>
      <c r="BL362" s="556" t="str">
        <f t="shared" si="40"/>
        <v/>
      </c>
      <c r="BM362" s="497">
        <f t="shared" si="41"/>
        <v>53601</v>
      </c>
    </row>
    <row r="363" spans="1:65">
      <c r="A363">
        <v>45006</v>
      </c>
      <c r="B363" t="s">
        <v>3261</v>
      </c>
      <c r="C363" t="s">
        <v>3262</v>
      </c>
      <c r="D363" t="s">
        <v>3280</v>
      </c>
      <c r="F363" s="503">
        <v>45966</v>
      </c>
      <c r="H363" t="s">
        <v>420</v>
      </c>
      <c r="I363" t="s">
        <v>1753</v>
      </c>
      <c r="J363">
        <v>2000</v>
      </c>
      <c r="K363" t="s">
        <v>1068</v>
      </c>
      <c r="O363" t="s">
        <v>1068</v>
      </c>
      <c r="W363">
        <v>1.52</v>
      </c>
      <c r="X363">
        <v>1.52</v>
      </c>
      <c r="Y363">
        <v>0</v>
      </c>
      <c r="Z363">
        <v>0</v>
      </c>
      <c r="AA363">
        <v>203</v>
      </c>
      <c r="AE363" t="s">
        <v>1039</v>
      </c>
      <c r="AI363">
        <v>60</v>
      </c>
      <c r="AJ363">
        <v>1850330</v>
      </c>
      <c r="AK363">
        <v>0</v>
      </c>
      <c r="AL363">
        <v>0</v>
      </c>
      <c r="AN363" t="s">
        <v>1703</v>
      </c>
      <c r="AO363">
        <v>3.3</v>
      </c>
      <c r="AX363">
        <v>20251105</v>
      </c>
      <c r="AY363" t="s">
        <v>1754</v>
      </c>
      <c r="BG363" s="556" t="str">
        <f t="shared" si="35"/>
        <v>O</v>
      </c>
      <c r="BH363" s="556" t="str">
        <f t="shared" si="36"/>
        <v/>
      </c>
      <c r="BI363" s="556" t="str">
        <f t="shared" si="37"/>
        <v/>
      </c>
      <c r="BJ363" s="556" t="str">
        <f t="shared" si="38"/>
        <v>M4</v>
      </c>
      <c r="BK363" s="556" t="str">
        <f t="shared" si="39"/>
        <v>M4</v>
      </c>
      <c r="BL363" s="556" t="str">
        <f t="shared" si="40"/>
        <v/>
      </c>
      <c r="BM363" s="497">
        <f t="shared" si="41"/>
        <v>45006</v>
      </c>
    </row>
    <row r="364" spans="1:65">
      <c r="A364">
        <v>40047</v>
      </c>
      <c r="B364" t="s">
        <v>2992</v>
      </c>
      <c r="C364" t="s">
        <v>2002</v>
      </c>
      <c r="D364" t="s">
        <v>1803</v>
      </c>
      <c r="F364" s="503">
        <v>45572</v>
      </c>
      <c r="H364" t="s">
        <v>420</v>
      </c>
      <c r="I364" t="s">
        <v>1753</v>
      </c>
      <c r="J364">
        <v>0</v>
      </c>
      <c r="K364" t="s">
        <v>1068</v>
      </c>
      <c r="O364" t="s">
        <v>1068</v>
      </c>
      <c r="W364">
        <v>1.28</v>
      </c>
      <c r="X364">
        <v>1.28</v>
      </c>
      <c r="Y364">
        <v>0</v>
      </c>
      <c r="Z364">
        <v>0</v>
      </c>
      <c r="AA364">
        <v>2</v>
      </c>
      <c r="AE364" t="s">
        <v>1039</v>
      </c>
      <c r="AI364">
        <v>60</v>
      </c>
      <c r="AJ364">
        <v>1850325</v>
      </c>
      <c r="AK364">
        <v>0</v>
      </c>
      <c r="AL364">
        <v>0</v>
      </c>
      <c r="AN364" t="s">
        <v>1703</v>
      </c>
      <c r="AO364">
        <v>3.25</v>
      </c>
      <c r="AX364">
        <v>20241007</v>
      </c>
      <c r="AY364" t="s">
        <v>1754</v>
      </c>
      <c r="BG364" s="556" t="str">
        <f t="shared" si="35"/>
        <v>O</v>
      </c>
      <c r="BH364" s="556" t="str">
        <f t="shared" si="36"/>
        <v/>
      </c>
      <c r="BI364" s="556" t="str">
        <f t="shared" si="37"/>
        <v/>
      </c>
      <c r="BJ364" s="556" t="str">
        <f t="shared" si="38"/>
        <v>M4</v>
      </c>
      <c r="BK364" s="556" t="str">
        <f t="shared" si="39"/>
        <v>M4</v>
      </c>
      <c r="BL364" s="556" t="str">
        <f t="shared" si="40"/>
        <v/>
      </c>
      <c r="BM364" s="497">
        <f t="shared" si="41"/>
        <v>40047</v>
      </c>
    </row>
    <row r="365" spans="1:65">
      <c r="A365">
        <v>20082</v>
      </c>
      <c r="B365" t="s">
        <v>1735</v>
      </c>
      <c r="C365" t="s">
        <v>2002</v>
      </c>
      <c r="D365" t="s">
        <v>1774</v>
      </c>
      <c r="F365" s="503">
        <v>43363</v>
      </c>
      <c r="H365" t="s">
        <v>56</v>
      </c>
      <c r="I365" t="s">
        <v>1753</v>
      </c>
      <c r="J365">
        <v>2000</v>
      </c>
      <c r="K365" t="s">
        <v>1068</v>
      </c>
      <c r="O365" t="s">
        <v>2299</v>
      </c>
      <c r="W365">
        <v>1.28</v>
      </c>
      <c r="X365">
        <v>1.28</v>
      </c>
      <c r="Y365">
        <v>0</v>
      </c>
      <c r="Z365">
        <v>0</v>
      </c>
      <c r="AA365">
        <v>2</v>
      </c>
      <c r="AE365" t="s">
        <v>1039</v>
      </c>
      <c r="AI365">
        <v>60</v>
      </c>
      <c r="AJ365">
        <v>1850325</v>
      </c>
      <c r="AK365">
        <v>0</v>
      </c>
      <c r="AN365" t="s">
        <v>1703</v>
      </c>
      <c r="AO365">
        <v>3.25</v>
      </c>
      <c r="AV365" s="504">
        <v>46026</v>
      </c>
      <c r="AX365">
        <v>20180920</v>
      </c>
      <c r="AY365" t="s">
        <v>1754</v>
      </c>
      <c r="BG365" s="556" t="str">
        <f t="shared" si="35"/>
        <v>O</v>
      </c>
      <c r="BH365" s="556" t="str">
        <f t="shared" si="36"/>
        <v/>
      </c>
      <c r="BI365" s="556" t="str">
        <f t="shared" si="37"/>
        <v/>
      </c>
      <c r="BJ365" s="556" t="str">
        <f t="shared" si="38"/>
        <v>M4</v>
      </c>
      <c r="BK365" s="556" t="str">
        <f t="shared" si="39"/>
        <v>TS1</v>
      </c>
      <c r="BL365" s="556" t="str">
        <f t="shared" si="40"/>
        <v/>
      </c>
      <c r="BM365" s="497">
        <f t="shared" si="41"/>
        <v>20082</v>
      </c>
    </row>
    <row r="366" spans="1:65">
      <c r="A366">
        <v>52014</v>
      </c>
      <c r="B366" t="s">
        <v>942</v>
      </c>
      <c r="C366" t="s">
        <v>944</v>
      </c>
      <c r="D366" t="s">
        <v>1755</v>
      </c>
      <c r="F366" s="503">
        <v>43747</v>
      </c>
      <c r="H366" t="s">
        <v>420</v>
      </c>
      <c r="I366" t="s">
        <v>1753</v>
      </c>
      <c r="J366">
        <v>1000</v>
      </c>
      <c r="K366">
        <v>9</v>
      </c>
      <c r="O366" t="s">
        <v>1068</v>
      </c>
      <c r="W366">
        <v>2.83</v>
      </c>
      <c r="X366">
        <v>2.68</v>
      </c>
      <c r="Y366">
        <v>0</v>
      </c>
      <c r="Z366">
        <v>0</v>
      </c>
      <c r="AA366">
        <v>0</v>
      </c>
      <c r="AE366" t="s">
        <v>1761</v>
      </c>
      <c r="AI366">
        <v>17</v>
      </c>
      <c r="AJ366">
        <v>3020467</v>
      </c>
      <c r="AK366">
        <v>0</v>
      </c>
      <c r="AN366" t="s">
        <v>135</v>
      </c>
      <c r="AO366">
        <v>4.67</v>
      </c>
      <c r="AX366">
        <v>20191009</v>
      </c>
      <c r="AY366" t="s">
        <v>2003</v>
      </c>
      <c r="BG366" s="556" t="str">
        <f t="shared" si="35"/>
        <v>O</v>
      </c>
      <c r="BH366" s="556" t="str">
        <f t="shared" si="36"/>
        <v/>
      </c>
      <c r="BI366" s="556" t="str">
        <f t="shared" si="37"/>
        <v/>
      </c>
      <c r="BJ366" s="556">
        <f t="shared" si="38"/>
        <v>9</v>
      </c>
      <c r="BK366" s="556" t="str">
        <f t="shared" si="39"/>
        <v>M4</v>
      </c>
      <c r="BL366" s="556" t="str">
        <f t="shared" si="40"/>
        <v/>
      </c>
      <c r="BM366" s="497">
        <f t="shared" si="41"/>
        <v>52014</v>
      </c>
    </row>
    <row r="367" spans="1:65">
      <c r="A367">
        <v>40049</v>
      </c>
      <c r="B367" t="s">
        <v>3141</v>
      </c>
      <c r="C367" t="s">
        <v>2686</v>
      </c>
      <c r="D367" t="s">
        <v>1803</v>
      </c>
      <c r="F367" s="503">
        <v>45811</v>
      </c>
      <c r="H367" t="s">
        <v>420</v>
      </c>
      <c r="I367" t="s">
        <v>1753</v>
      </c>
      <c r="J367">
        <v>600</v>
      </c>
      <c r="K367" t="s">
        <v>1068</v>
      </c>
      <c r="O367" t="s">
        <v>1068</v>
      </c>
      <c r="W367">
        <v>1.7</v>
      </c>
      <c r="X367">
        <v>1.7</v>
      </c>
      <c r="Y367">
        <v>0</v>
      </c>
      <c r="Z367">
        <v>0</v>
      </c>
      <c r="AA367">
        <v>2</v>
      </c>
      <c r="AE367" t="s">
        <v>326</v>
      </c>
      <c r="AI367">
        <v>4</v>
      </c>
      <c r="AJ367">
        <v>1850325</v>
      </c>
      <c r="AK367">
        <v>0</v>
      </c>
      <c r="AL367">
        <v>0</v>
      </c>
      <c r="AN367" t="s">
        <v>1703</v>
      </c>
      <c r="AO367">
        <v>3.25</v>
      </c>
      <c r="AT367" t="s">
        <v>3224</v>
      </c>
      <c r="AX367">
        <v>20250603</v>
      </c>
      <c r="AY367" t="s">
        <v>3241</v>
      </c>
      <c r="BG367" s="556" t="str">
        <f t="shared" si="35"/>
        <v>O</v>
      </c>
      <c r="BH367" s="556" t="str">
        <f t="shared" si="36"/>
        <v/>
      </c>
      <c r="BI367" s="556" t="str">
        <f t="shared" si="37"/>
        <v/>
      </c>
      <c r="BJ367" s="556" t="str">
        <f t="shared" si="38"/>
        <v>M4</v>
      </c>
      <c r="BK367" s="556" t="str">
        <f t="shared" si="39"/>
        <v>M4</v>
      </c>
      <c r="BL367" s="556" t="str">
        <f t="shared" si="40"/>
        <v/>
      </c>
      <c r="BM367" s="497">
        <f t="shared" si="41"/>
        <v>40049</v>
      </c>
    </row>
    <row r="368" spans="1:65">
      <c r="A368">
        <v>20048</v>
      </c>
      <c r="B368" t="s">
        <v>1708</v>
      </c>
      <c r="C368" t="s">
        <v>783</v>
      </c>
      <c r="D368" t="s">
        <v>1839</v>
      </c>
      <c r="F368" s="503">
        <v>43010</v>
      </c>
      <c r="H368" t="s">
        <v>56</v>
      </c>
      <c r="I368" t="s">
        <v>1753</v>
      </c>
      <c r="J368">
        <v>1000</v>
      </c>
      <c r="K368">
        <v>9</v>
      </c>
      <c r="O368" t="s">
        <v>2299</v>
      </c>
      <c r="W368">
        <v>2.5</v>
      </c>
      <c r="X368">
        <v>2.34</v>
      </c>
      <c r="Y368">
        <v>0</v>
      </c>
      <c r="Z368">
        <v>0</v>
      </c>
      <c r="AA368">
        <v>2</v>
      </c>
      <c r="AE368" t="s">
        <v>1039</v>
      </c>
      <c r="AI368">
        <v>60</v>
      </c>
      <c r="AJ368">
        <v>1850467</v>
      </c>
      <c r="AK368">
        <v>0</v>
      </c>
      <c r="AL368">
        <v>0</v>
      </c>
      <c r="AN368" t="s">
        <v>1703</v>
      </c>
      <c r="AO368">
        <v>4.67</v>
      </c>
      <c r="AX368">
        <v>20171002</v>
      </c>
      <c r="AY368" t="s">
        <v>1754</v>
      </c>
      <c r="BG368" s="556" t="str">
        <f t="shared" si="35"/>
        <v>O</v>
      </c>
      <c r="BH368" s="556" t="str">
        <f t="shared" si="36"/>
        <v/>
      </c>
      <c r="BI368" s="556" t="str">
        <f t="shared" si="37"/>
        <v/>
      </c>
      <c r="BJ368" s="556">
        <f t="shared" si="38"/>
        <v>9</v>
      </c>
      <c r="BK368" s="556" t="str">
        <f t="shared" si="39"/>
        <v>TS1</v>
      </c>
      <c r="BL368" s="556" t="str">
        <f t="shared" si="40"/>
        <v/>
      </c>
      <c r="BM368" s="497">
        <f t="shared" si="41"/>
        <v>20048</v>
      </c>
    </row>
    <row r="369" spans="1:65">
      <c r="A369">
        <v>55013</v>
      </c>
      <c r="B369" t="s">
        <v>2606</v>
      </c>
      <c r="C369" t="s">
        <v>2607</v>
      </c>
      <c r="D369" t="s">
        <v>2375</v>
      </c>
      <c r="F369" s="503">
        <v>45070</v>
      </c>
      <c r="H369" t="s">
        <v>2608</v>
      </c>
      <c r="I369" t="s">
        <v>1753</v>
      </c>
      <c r="J369">
        <v>0</v>
      </c>
      <c r="K369" t="s">
        <v>1481</v>
      </c>
      <c r="O369" t="s">
        <v>1068</v>
      </c>
      <c r="W369">
        <v>1.91</v>
      </c>
      <c r="X369">
        <v>1.91</v>
      </c>
      <c r="Y369">
        <v>0</v>
      </c>
      <c r="Z369">
        <v>0</v>
      </c>
      <c r="AA369">
        <v>3</v>
      </c>
      <c r="AE369" t="s">
        <v>2591</v>
      </c>
      <c r="AI369">
        <v>60</v>
      </c>
      <c r="AJ369">
        <v>1850525</v>
      </c>
      <c r="AK369">
        <v>0</v>
      </c>
      <c r="AL369">
        <v>0</v>
      </c>
      <c r="AN369" t="s">
        <v>1703</v>
      </c>
      <c r="AO369">
        <v>5.25</v>
      </c>
      <c r="AX369">
        <v>20230524</v>
      </c>
      <c r="AY369" t="s">
        <v>1754</v>
      </c>
      <c r="BG369" s="556" t="str">
        <f t="shared" si="35"/>
        <v>O</v>
      </c>
      <c r="BH369" s="556" t="str">
        <f t="shared" si="36"/>
        <v/>
      </c>
      <c r="BI369" s="556" t="str">
        <f t="shared" si="37"/>
        <v/>
      </c>
      <c r="BJ369" s="556" t="str">
        <f t="shared" si="38"/>
        <v>9A</v>
      </c>
      <c r="BK369" s="556" t="str">
        <f t="shared" si="39"/>
        <v>M4</v>
      </c>
      <c r="BL369" s="556" t="str">
        <f t="shared" si="40"/>
        <v/>
      </c>
      <c r="BM369" s="497">
        <f t="shared" si="41"/>
        <v>55013</v>
      </c>
    </row>
    <row r="370" spans="1:65">
      <c r="A370">
        <v>40060</v>
      </c>
      <c r="B370" t="s">
        <v>3332</v>
      </c>
      <c r="C370" t="s">
        <v>3095</v>
      </c>
      <c r="D370" t="s">
        <v>1803</v>
      </c>
      <c r="F370" s="503">
        <v>46007</v>
      </c>
      <c r="J370">
        <v>2000</v>
      </c>
      <c r="K370" t="s">
        <v>1068</v>
      </c>
      <c r="O370" t="s">
        <v>1068</v>
      </c>
      <c r="S370" t="s">
        <v>2301</v>
      </c>
      <c r="W370">
        <v>1.4</v>
      </c>
      <c r="X370">
        <v>1.63</v>
      </c>
      <c r="Y370">
        <v>0</v>
      </c>
      <c r="Z370">
        <v>0</v>
      </c>
      <c r="AA370">
        <v>0</v>
      </c>
      <c r="AE370" t="s">
        <v>1761</v>
      </c>
      <c r="AI370">
        <v>59</v>
      </c>
      <c r="AJ370">
        <v>3020320</v>
      </c>
      <c r="AK370">
        <v>0</v>
      </c>
      <c r="AL370">
        <v>0</v>
      </c>
      <c r="AN370" t="s">
        <v>135</v>
      </c>
      <c r="AO370">
        <v>3.2</v>
      </c>
      <c r="AR370" t="s">
        <v>2948</v>
      </c>
      <c r="AX370">
        <v>20251216</v>
      </c>
      <c r="AY370" t="s">
        <v>1836</v>
      </c>
      <c r="BG370" s="556" t="str">
        <f t="shared" si="35"/>
        <v>O</v>
      </c>
      <c r="BH370" s="556" t="str">
        <f t="shared" si="36"/>
        <v/>
      </c>
      <c r="BI370" s="556" t="str">
        <f t="shared" si="37"/>
        <v/>
      </c>
      <c r="BJ370" s="556" t="str">
        <f t="shared" si="38"/>
        <v>M4</v>
      </c>
      <c r="BK370" s="556" t="str">
        <f t="shared" si="39"/>
        <v>M4</v>
      </c>
      <c r="BL370" s="556" t="str">
        <f t="shared" si="40"/>
        <v>CT</v>
      </c>
      <c r="BM370" s="497">
        <f t="shared" si="41"/>
        <v>40060</v>
      </c>
    </row>
    <row r="371" spans="1:65">
      <c r="A371">
        <v>40201</v>
      </c>
      <c r="B371" t="s">
        <v>203</v>
      </c>
      <c r="C371" t="s">
        <v>204</v>
      </c>
      <c r="D371" t="s">
        <v>1771</v>
      </c>
      <c r="F371" s="503">
        <v>43827</v>
      </c>
      <c r="H371" t="s">
        <v>603</v>
      </c>
      <c r="I371" t="s">
        <v>1753</v>
      </c>
      <c r="J371">
        <v>2000</v>
      </c>
      <c r="K371" t="s">
        <v>1068</v>
      </c>
      <c r="O371" t="s">
        <v>1068</v>
      </c>
      <c r="W371">
        <v>1.57</v>
      </c>
      <c r="X371">
        <v>1.57</v>
      </c>
      <c r="Y371">
        <v>0</v>
      </c>
      <c r="Z371">
        <v>0</v>
      </c>
      <c r="AA371">
        <v>2</v>
      </c>
      <c r="AE371" t="s">
        <v>1039</v>
      </c>
      <c r="AI371">
        <v>60</v>
      </c>
      <c r="AJ371">
        <v>1850320</v>
      </c>
      <c r="AK371">
        <v>0</v>
      </c>
      <c r="AL371">
        <v>0</v>
      </c>
      <c r="AN371" t="s">
        <v>1703</v>
      </c>
      <c r="AO371">
        <v>3.2</v>
      </c>
      <c r="AX371">
        <v>20191228</v>
      </c>
      <c r="AY371" t="s">
        <v>1754</v>
      </c>
      <c r="BG371" s="556" t="str">
        <f t="shared" si="35"/>
        <v>O</v>
      </c>
      <c r="BH371" s="556" t="str">
        <f t="shared" si="36"/>
        <v/>
      </c>
      <c r="BI371" s="556" t="str">
        <f t="shared" si="37"/>
        <v/>
      </c>
      <c r="BJ371" s="556" t="str">
        <f t="shared" si="38"/>
        <v>M4</v>
      </c>
      <c r="BK371" s="556" t="str">
        <f t="shared" si="39"/>
        <v>M4</v>
      </c>
      <c r="BL371" s="556" t="str">
        <f t="shared" si="40"/>
        <v/>
      </c>
      <c r="BM371" s="497">
        <f t="shared" si="41"/>
        <v>40201</v>
      </c>
    </row>
    <row r="372" spans="1:65">
      <c r="A372">
        <v>50109</v>
      </c>
      <c r="B372" t="s">
        <v>2004</v>
      </c>
      <c r="C372" t="s">
        <v>742</v>
      </c>
      <c r="D372" t="s">
        <v>1918</v>
      </c>
      <c r="F372" s="503">
        <v>44148</v>
      </c>
      <c r="H372" t="s">
        <v>603</v>
      </c>
      <c r="I372" t="s">
        <v>1753</v>
      </c>
      <c r="J372">
        <v>2000</v>
      </c>
      <c r="K372" t="s">
        <v>1068</v>
      </c>
      <c r="O372" t="s">
        <v>1068</v>
      </c>
      <c r="W372">
        <v>1.6</v>
      </c>
      <c r="X372">
        <v>1.34</v>
      </c>
      <c r="Y372">
        <v>0</v>
      </c>
      <c r="Z372">
        <v>0</v>
      </c>
      <c r="AA372">
        <v>2</v>
      </c>
      <c r="AE372" t="s">
        <v>1039</v>
      </c>
      <c r="AI372">
        <v>60</v>
      </c>
      <c r="AJ372">
        <v>1850345</v>
      </c>
      <c r="AK372">
        <v>0</v>
      </c>
      <c r="AL372">
        <v>0</v>
      </c>
      <c r="AN372" t="s">
        <v>1703</v>
      </c>
      <c r="AO372">
        <v>3.45</v>
      </c>
      <c r="AX372">
        <v>20201113</v>
      </c>
      <c r="AY372" t="s">
        <v>1754</v>
      </c>
      <c r="BG372" s="556" t="str">
        <f t="shared" si="35"/>
        <v>O</v>
      </c>
      <c r="BH372" s="556" t="str">
        <f t="shared" si="36"/>
        <v/>
      </c>
      <c r="BI372" s="556" t="str">
        <f t="shared" si="37"/>
        <v/>
      </c>
      <c r="BJ372" s="556" t="str">
        <f t="shared" si="38"/>
        <v>M4</v>
      </c>
      <c r="BK372" s="556" t="str">
        <f t="shared" si="39"/>
        <v>M4</v>
      </c>
      <c r="BL372" s="556" t="str">
        <f t="shared" si="40"/>
        <v/>
      </c>
      <c r="BM372" s="497">
        <f t="shared" si="41"/>
        <v>50109</v>
      </c>
    </row>
    <row r="373" spans="1:65">
      <c r="A373">
        <v>45004</v>
      </c>
      <c r="B373" t="s">
        <v>3263</v>
      </c>
      <c r="C373" t="s">
        <v>3264</v>
      </c>
      <c r="D373" t="s">
        <v>3280</v>
      </c>
      <c r="F373" s="503">
        <v>45964</v>
      </c>
      <c r="H373" t="s">
        <v>603</v>
      </c>
      <c r="I373" t="s">
        <v>1753</v>
      </c>
      <c r="J373">
        <v>0</v>
      </c>
      <c r="K373" t="s">
        <v>1068</v>
      </c>
      <c r="O373" t="s">
        <v>1068</v>
      </c>
      <c r="W373">
        <v>1.48</v>
      </c>
      <c r="X373">
        <v>1.48</v>
      </c>
      <c r="Y373">
        <v>0</v>
      </c>
      <c r="Z373">
        <v>0</v>
      </c>
      <c r="AA373">
        <v>2</v>
      </c>
      <c r="AE373" t="s">
        <v>1039</v>
      </c>
      <c r="AI373">
        <v>60</v>
      </c>
      <c r="AJ373">
        <v>1850320</v>
      </c>
      <c r="AK373">
        <v>0</v>
      </c>
      <c r="AN373" t="s">
        <v>1703</v>
      </c>
      <c r="AO373">
        <v>3.2</v>
      </c>
      <c r="AX373">
        <v>20251103</v>
      </c>
      <c r="AY373" t="s">
        <v>1754</v>
      </c>
      <c r="BG373" s="556" t="str">
        <f t="shared" si="35"/>
        <v>O</v>
      </c>
      <c r="BH373" s="556" t="str">
        <f t="shared" si="36"/>
        <v/>
      </c>
      <c r="BI373" s="556" t="str">
        <f t="shared" si="37"/>
        <v/>
      </c>
      <c r="BJ373" s="556" t="str">
        <f t="shared" si="38"/>
        <v>M4</v>
      </c>
      <c r="BK373" s="556" t="str">
        <f t="shared" si="39"/>
        <v>M4</v>
      </c>
      <c r="BL373" s="556" t="str">
        <f t="shared" si="40"/>
        <v/>
      </c>
      <c r="BM373" s="497">
        <f t="shared" si="41"/>
        <v>45004</v>
      </c>
    </row>
    <row r="374" spans="1:65">
      <c r="A374">
        <v>50305</v>
      </c>
      <c r="B374" t="s">
        <v>711</v>
      </c>
      <c r="C374" t="s">
        <v>2005</v>
      </c>
      <c r="D374" t="s">
        <v>1799</v>
      </c>
      <c r="F374" s="503">
        <v>43879</v>
      </c>
      <c r="H374" t="s">
        <v>603</v>
      </c>
      <c r="I374" t="s">
        <v>1753</v>
      </c>
      <c r="J374">
        <v>2000</v>
      </c>
      <c r="K374" t="s">
        <v>1068</v>
      </c>
      <c r="O374" t="s">
        <v>1068</v>
      </c>
      <c r="W374">
        <v>1.66</v>
      </c>
      <c r="X374">
        <v>1.62</v>
      </c>
      <c r="Y374">
        <v>0</v>
      </c>
      <c r="Z374">
        <v>0</v>
      </c>
      <c r="AA374">
        <v>2</v>
      </c>
      <c r="AE374" t="s">
        <v>1039</v>
      </c>
      <c r="AI374">
        <v>60</v>
      </c>
      <c r="AJ374">
        <v>1850320</v>
      </c>
      <c r="AK374">
        <v>0</v>
      </c>
      <c r="AN374" t="s">
        <v>1703</v>
      </c>
      <c r="AO374">
        <v>3.2</v>
      </c>
      <c r="AS374" t="s">
        <v>2006</v>
      </c>
      <c r="AX374">
        <v>20200218</v>
      </c>
      <c r="AY374" t="s">
        <v>1754</v>
      </c>
      <c r="BG374" s="556" t="str">
        <f t="shared" si="35"/>
        <v>O</v>
      </c>
      <c r="BH374" s="556" t="str">
        <f t="shared" si="36"/>
        <v/>
      </c>
      <c r="BI374" s="556" t="str">
        <f t="shared" si="37"/>
        <v/>
      </c>
      <c r="BJ374" s="556" t="str">
        <f t="shared" si="38"/>
        <v>M4</v>
      </c>
      <c r="BK374" s="556" t="str">
        <f t="shared" si="39"/>
        <v>M4</v>
      </c>
      <c r="BL374" s="556" t="str">
        <f t="shared" si="40"/>
        <v/>
      </c>
      <c r="BM374" s="497">
        <f t="shared" si="41"/>
        <v>50305</v>
      </c>
    </row>
    <row r="375" spans="1:65">
      <c r="A375">
        <v>20022</v>
      </c>
      <c r="B375" t="s">
        <v>682</v>
      </c>
      <c r="C375" t="s">
        <v>684</v>
      </c>
      <c r="D375" t="s">
        <v>1774</v>
      </c>
      <c r="F375" s="503">
        <v>42748</v>
      </c>
      <c r="H375" t="s">
        <v>57</v>
      </c>
      <c r="I375" t="s">
        <v>1753</v>
      </c>
      <c r="J375">
        <v>2000</v>
      </c>
      <c r="K375" t="s">
        <v>1068</v>
      </c>
      <c r="O375" t="s">
        <v>2299</v>
      </c>
      <c r="W375">
        <v>1.25</v>
      </c>
      <c r="X375">
        <v>1.17</v>
      </c>
      <c r="Y375">
        <v>0</v>
      </c>
      <c r="Z375">
        <v>0</v>
      </c>
      <c r="AA375">
        <v>2</v>
      </c>
      <c r="AE375" t="s">
        <v>1039</v>
      </c>
      <c r="AI375">
        <v>60</v>
      </c>
      <c r="AJ375">
        <v>1850325</v>
      </c>
      <c r="AK375">
        <v>0</v>
      </c>
      <c r="AL375">
        <v>0</v>
      </c>
      <c r="AN375" t="s">
        <v>1703</v>
      </c>
      <c r="AO375">
        <v>3.25</v>
      </c>
      <c r="AX375">
        <v>20170113</v>
      </c>
      <c r="AY375" t="s">
        <v>1754</v>
      </c>
      <c r="BG375" s="556" t="str">
        <f t="shared" si="35"/>
        <v>O</v>
      </c>
      <c r="BH375" s="556" t="str">
        <f t="shared" si="36"/>
        <v/>
      </c>
      <c r="BI375" s="556" t="str">
        <f t="shared" si="37"/>
        <v/>
      </c>
      <c r="BJ375" s="556" t="str">
        <f t="shared" si="38"/>
        <v>M4</v>
      </c>
      <c r="BK375" s="556" t="str">
        <f t="shared" si="39"/>
        <v>TS1</v>
      </c>
      <c r="BL375" s="556" t="str">
        <f t="shared" si="40"/>
        <v/>
      </c>
      <c r="BM375" s="497">
        <f t="shared" si="41"/>
        <v>20022</v>
      </c>
    </row>
    <row r="376" spans="1:65">
      <c r="A376">
        <v>20069</v>
      </c>
      <c r="B376" t="s">
        <v>88</v>
      </c>
      <c r="C376" t="s">
        <v>89</v>
      </c>
      <c r="D376" t="s">
        <v>1763</v>
      </c>
      <c r="F376" s="503">
        <v>43647</v>
      </c>
      <c r="H376" t="s">
        <v>603</v>
      </c>
      <c r="I376" t="s">
        <v>1753</v>
      </c>
      <c r="J376">
        <v>2000</v>
      </c>
      <c r="K376" t="s">
        <v>1068</v>
      </c>
      <c r="O376" t="s">
        <v>2299</v>
      </c>
      <c r="W376">
        <v>1.1200000000000001</v>
      </c>
      <c r="X376">
        <v>0.92</v>
      </c>
      <c r="Y376">
        <v>0</v>
      </c>
      <c r="Z376">
        <v>0</v>
      </c>
      <c r="AA376">
        <v>2</v>
      </c>
      <c r="AE376" t="s">
        <v>1039</v>
      </c>
      <c r="AI376">
        <v>60</v>
      </c>
      <c r="AJ376">
        <v>1850325</v>
      </c>
      <c r="AK376">
        <v>0</v>
      </c>
      <c r="AN376" t="s">
        <v>1703</v>
      </c>
      <c r="AO376">
        <v>3.25</v>
      </c>
      <c r="AX376">
        <v>20190701</v>
      </c>
      <c r="AY376" t="s">
        <v>1754</v>
      </c>
      <c r="BG376" s="556" t="str">
        <f t="shared" si="35"/>
        <v>O</v>
      </c>
      <c r="BH376" s="556" t="str">
        <f t="shared" si="36"/>
        <v/>
      </c>
      <c r="BI376" s="556" t="str">
        <f t="shared" si="37"/>
        <v/>
      </c>
      <c r="BJ376" s="556" t="str">
        <f t="shared" si="38"/>
        <v>M4</v>
      </c>
      <c r="BK376" s="556" t="str">
        <f t="shared" si="39"/>
        <v>TS1</v>
      </c>
      <c r="BL376" s="556" t="str">
        <f t="shared" si="40"/>
        <v/>
      </c>
      <c r="BM376" s="497">
        <f t="shared" si="41"/>
        <v>20069</v>
      </c>
    </row>
    <row r="377" spans="1:65">
      <c r="A377">
        <v>53111</v>
      </c>
      <c r="B377" t="s">
        <v>1697</v>
      </c>
      <c r="C377" t="s">
        <v>167</v>
      </c>
      <c r="D377" t="s">
        <v>1819</v>
      </c>
      <c r="F377" s="503">
        <v>44414</v>
      </c>
      <c r="H377" t="s">
        <v>603</v>
      </c>
      <c r="I377" t="s">
        <v>1753</v>
      </c>
      <c r="J377">
        <v>2000</v>
      </c>
      <c r="K377" t="s">
        <v>1068</v>
      </c>
      <c r="O377" t="s">
        <v>1068</v>
      </c>
      <c r="W377">
        <v>1.32</v>
      </c>
      <c r="X377">
        <v>1.32</v>
      </c>
      <c r="Y377">
        <v>0</v>
      </c>
      <c r="Z377">
        <v>0</v>
      </c>
      <c r="AA377">
        <v>2</v>
      </c>
      <c r="AE377" t="s">
        <v>1039</v>
      </c>
      <c r="AI377">
        <v>60</v>
      </c>
      <c r="AJ377">
        <v>1850330</v>
      </c>
      <c r="AK377">
        <v>0</v>
      </c>
      <c r="AL377">
        <v>0</v>
      </c>
      <c r="AN377" t="s">
        <v>1703</v>
      </c>
      <c r="AO377">
        <v>3.3</v>
      </c>
      <c r="AX377">
        <v>20210806</v>
      </c>
      <c r="AY377" t="s">
        <v>1754</v>
      </c>
      <c r="BG377" s="556" t="str">
        <f t="shared" si="35"/>
        <v>O</v>
      </c>
      <c r="BH377" s="556" t="str">
        <f t="shared" si="36"/>
        <v/>
      </c>
      <c r="BI377" s="556" t="str">
        <f t="shared" si="37"/>
        <v/>
      </c>
      <c r="BJ377" s="556" t="str">
        <f t="shared" si="38"/>
        <v>M4</v>
      </c>
      <c r="BK377" s="556" t="str">
        <f t="shared" si="39"/>
        <v>M4</v>
      </c>
      <c r="BL377" s="556" t="str">
        <f t="shared" si="40"/>
        <v/>
      </c>
      <c r="BM377" s="497">
        <f t="shared" si="41"/>
        <v>53111</v>
      </c>
    </row>
    <row r="378" spans="1:65">
      <c r="A378">
        <v>53112</v>
      </c>
      <c r="B378" t="s">
        <v>1698</v>
      </c>
      <c r="C378" t="s">
        <v>167</v>
      </c>
      <c r="D378" t="s">
        <v>1819</v>
      </c>
      <c r="F378" s="503">
        <v>44414</v>
      </c>
      <c r="H378" t="s">
        <v>603</v>
      </c>
      <c r="I378" t="s">
        <v>1753</v>
      </c>
      <c r="J378">
        <v>2000</v>
      </c>
      <c r="K378" t="s">
        <v>1068</v>
      </c>
      <c r="O378" t="s">
        <v>1068</v>
      </c>
      <c r="W378">
        <v>1.35</v>
      </c>
      <c r="X378">
        <v>1.37</v>
      </c>
      <c r="Y378">
        <v>0</v>
      </c>
      <c r="Z378">
        <v>0</v>
      </c>
      <c r="AA378">
        <v>0</v>
      </c>
      <c r="AE378" t="s">
        <v>1761</v>
      </c>
      <c r="AI378">
        <v>57</v>
      </c>
      <c r="AJ378">
        <v>3020325</v>
      </c>
      <c r="AK378">
        <v>0</v>
      </c>
      <c r="AL378">
        <v>0</v>
      </c>
      <c r="AN378" t="s">
        <v>135</v>
      </c>
      <c r="AO378">
        <v>3.25</v>
      </c>
      <c r="AP378" t="s">
        <v>3076</v>
      </c>
      <c r="AX378">
        <v>20210806</v>
      </c>
      <c r="AY378" t="s">
        <v>1780</v>
      </c>
      <c r="BG378" s="556" t="str">
        <f t="shared" si="35"/>
        <v>O</v>
      </c>
      <c r="BH378" s="556" t="str">
        <f t="shared" si="36"/>
        <v/>
      </c>
      <c r="BI378" s="556" t="str">
        <f t="shared" si="37"/>
        <v/>
      </c>
      <c r="BJ378" s="556" t="str">
        <f t="shared" si="38"/>
        <v>M4</v>
      </c>
      <c r="BK378" s="556" t="str">
        <f t="shared" si="39"/>
        <v>M4</v>
      </c>
      <c r="BL378" s="556" t="str">
        <f t="shared" si="40"/>
        <v/>
      </c>
      <c r="BM378" s="497">
        <f t="shared" si="41"/>
        <v>53112</v>
      </c>
    </row>
    <row r="379" spans="1:65">
      <c r="A379">
        <v>53559</v>
      </c>
      <c r="B379" t="s">
        <v>3081</v>
      </c>
      <c r="C379" t="s">
        <v>3083</v>
      </c>
      <c r="D379" t="s">
        <v>1827</v>
      </c>
      <c r="F379" s="503">
        <v>45743</v>
      </c>
      <c r="H379" t="s">
        <v>57</v>
      </c>
      <c r="I379" t="s">
        <v>1753</v>
      </c>
      <c r="J379">
        <v>2000</v>
      </c>
      <c r="K379" t="s">
        <v>1068</v>
      </c>
      <c r="O379" t="s">
        <v>1068</v>
      </c>
      <c r="W379">
        <v>1.67</v>
      </c>
      <c r="X379">
        <v>1.69</v>
      </c>
      <c r="Y379">
        <v>0</v>
      </c>
      <c r="Z379">
        <v>0</v>
      </c>
      <c r="AA379">
        <v>2</v>
      </c>
      <c r="AE379" t="s">
        <v>1773</v>
      </c>
      <c r="AI379">
        <v>60</v>
      </c>
      <c r="AJ379">
        <v>1850325</v>
      </c>
      <c r="AK379">
        <v>0</v>
      </c>
      <c r="AL379">
        <v>0</v>
      </c>
      <c r="AN379" t="s">
        <v>1703</v>
      </c>
      <c r="AO379">
        <v>3.25</v>
      </c>
      <c r="AX379">
        <v>20250327</v>
      </c>
      <c r="AY379" t="s">
        <v>1754</v>
      </c>
      <c r="BG379" s="556" t="str">
        <f t="shared" si="35"/>
        <v>O</v>
      </c>
      <c r="BH379" s="556" t="str">
        <f t="shared" si="36"/>
        <v/>
      </c>
      <c r="BI379" s="556" t="str">
        <f t="shared" si="37"/>
        <v/>
      </c>
      <c r="BJ379" s="556" t="str">
        <f t="shared" si="38"/>
        <v>M4</v>
      </c>
      <c r="BK379" s="556" t="str">
        <f t="shared" si="39"/>
        <v>M4</v>
      </c>
      <c r="BL379" s="556" t="str">
        <f t="shared" si="40"/>
        <v/>
      </c>
      <c r="BM379" s="497">
        <f t="shared" si="41"/>
        <v>53559</v>
      </c>
    </row>
    <row r="380" spans="1:65">
      <c r="A380">
        <v>20039</v>
      </c>
      <c r="B380" t="s">
        <v>695</v>
      </c>
      <c r="C380" t="s">
        <v>45</v>
      </c>
      <c r="D380" t="s">
        <v>1774</v>
      </c>
      <c r="F380" s="503">
        <v>42748</v>
      </c>
      <c r="H380" t="s">
        <v>57</v>
      </c>
      <c r="I380" t="s">
        <v>1753</v>
      </c>
      <c r="J380">
        <v>2000</v>
      </c>
      <c r="K380" t="s">
        <v>1068</v>
      </c>
      <c r="O380" t="s">
        <v>2299</v>
      </c>
      <c r="W380">
        <v>1.69</v>
      </c>
      <c r="X380">
        <v>1.52</v>
      </c>
      <c r="Y380">
        <v>0</v>
      </c>
      <c r="Z380">
        <v>0</v>
      </c>
      <c r="AA380">
        <v>2</v>
      </c>
      <c r="AE380" t="s">
        <v>1039</v>
      </c>
      <c r="AI380">
        <v>60</v>
      </c>
      <c r="AJ380">
        <v>1850325</v>
      </c>
      <c r="AK380">
        <v>0</v>
      </c>
      <c r="AL380">
        <v>0</v>
      </c>
      <c r="AN380" t="s">
        <v>1703</v>
      </c>
      <c r="AO380">
        <v>3.25</v>
      </c>
      <c r="AX380">
        <v>20170113</v>
      </c>
      <c r="AY380" t="s">
        <v>1754</v>
      </c>
      <c r="BG380" s="556" t="str">
        <f t="shared" si="35"/>
        <v>O</v>
      </c>
      <c r="BH380" s="556" t="str">
        <f t="shared" si="36"/>
        <v/>
      </c>
      <c r="BI380" s="556" t="str">
        <f t="shared" si="37"/>
        <v/>
      </c>
      <c r="BJ380" s="556" t="str">
        <f t="shared" si="38"/>
        <v>M4</v>
      </c>
      <c r="BK380" s="556" t="str">
        <f t="shared" si="39"/>
        <v>TS1</v>
      </c>
      <c r="BL380" s="556" t="str">
        <f t="shared" si="40"/>
        <v/>
      </c>
      <c r="BM380" s="497">
        <f t="shared" si="41"/>
        <v>20039</v>
      </c>
    </row>
    <row r="381" spans="1:65">
      <c r="A381">
        <v>40055</v>
      </c>
      <c r="B381" t="s">
        <v>3296</v>
      </c>
      <c r="C381" t="s">
        <v>3297</v>
      </c>
      <c r="D381" t="s">
        <v>1803</v>
      </c>
      <c r="F381" s="503">
        <v>45987</v>
      </c>
      <c r="H381" t="s">
        <v>603</v>
      </c>
      <c r="I381" t="s">
        <v>1753</v>
      </c>
      <c r="J381">
        <v>2000</v>
      </c>
      <c r="K381" t="s">
        <v>1068</v>
      </c>
      <c r="O381" t="s">
        <v>1068</v>
      </c>
      <c r="W381">
        <v>1.67</v>
      </c>
      <c r="X381">
        <v>1.67</v>
      </c>
      <c r="Y381">
        <v>0</v>
      </c>
      <c r="Z381">
        <v>0</v>
      </c>
      <c r="AA381">
        <v>2</v>
      </c>
      <c r="AE381" t="s">
        <v>1039</v>
      </c>
      <c r="AI381">
        <v>60</v>
      </c>
      <c r="AJ381">
        <v>1850325</v>
      </c>
      <c r="AK381">
        <v>0</v>
      </c>
      <c r="AL381">
        <v>0</v>
      </c>
      <c r="AN381" t="s">
        <v>1703</v>
      </c>
      <c r="AO381">
        <v>3.25</v>
      </c>
      <c r="AX381">
        <v>20251126</v>
      </c>
      <c r="AY381" t="s">
        <v>1754</v>
      </c>
      <c r="BG381" s="556" t="str">
        <f t="shared" si="35"/>
        <v>O</v>
      </c>
      <c r="BH381" s="556" t="str">
        <f t="shared" si="36"/>
        <v/>
      </c>
      <c r="BI381" s="556" t="str">
        <f t="shared" si="37"/>
        <v/>
      </c>
      <c r="BJ381" s="556" t="str">
        <f t="shared" si="38"/>
        <v>M4</v>
      </c>
      <c r="BK381" s="556" t="str">
        <f t="shared" si="39"/>
        <v>M4</v>
      </c>
      <c r="BL381" s="556" t="str">
        <f t="shared" si="40"/>
        <v/>
      </c>
      <c r="BM381" s="497">
        <f t="shared" si="41"/>
        <v>40055</v>
      </c>
    </row>
    <row r="382" spans="1:65">
      <c r="A382">
        <v>20051</v>
      </c>
      <c r="B382" t="s">
        <v>911</v>
      </c>
      <c r="C382" t="s">
        <v>45</v>
      </c>
      <c r="D382" t="s">
        <v>1774</v>
      </c>
      <c r="F382" s="503">
        <v>45490</v>
      </c>
      <c r="H382" t="s">
        <v>603</v>
      </c>
      <c r="J382">
        <v>2000</v>
      </c>
      <c r="K382" t="s">
        <v>1068</v>
      </c>
      <c r="O382" t="s">
        <v>1068</v>
      </c>
      <c r="W382">
        <v>1.72</v>
      </c>
      <c r="X382">
        <v>1.72</v>
      </c>
      <c r="Y382">
        <v>0</v>
      </c>
      <c r="Z382">
        <v>0</v>
      </c>
      <c r="AA382">
        <v>0</v>
      </c>
      <c r="AE382" t="s">
        <v>1761</v>
      </c>
      <c r="AI382">
        <v>57</v>
      </c>
      <c r="AJ382">
        <v>3020325</v>
      </c>
      <c r="AK382">
        <v>0</v>
      </c>
      <c r="AL382">
        <v>0</v>
      </c>
      <c r="AN382" t="s">
        <v>135</v>
      </c>
      <c r="AO382">
        <v>3.25</v>
      </c>
      <c r="AX382">
        <v>20240717</v>
      </c>
      <c r="AY382" t="s">
        <v>1780</v>
      </c>
      <c r="BG382" s="556" t="str">
        <f t="shared" si="35"/>
        <v>O</v>
      </c>
      <c r="BH382" s="556" t="str">
        <f t="shared" si="36"/>
        <v/>
      </c>
      <c r="BI382" s="556" t="str">
        <f t="shared" si="37"/>
        <v/>
      </c>
      <c r="BJ382" s="556" t="str">
        <f t="shared" si="38"/>
        <v>M4</v>
      </c>
      <c r="BK382" s="556" t="str">
        <f t="shared" si="39"/>
        <v>M4</v>
      </c>
      <c r="BL382" s="556" t="str">
        <f t="shared" si="40"/>
        <v/>
      </c>
      <c r="BM382" s="497">
        <f t="shared" si="41"/>
        <v>20051</v>
      </c>
    </row>
    <row r="383" spans="1:65">
      <c r="A383">
        <v>31017</v>
      </c>
      <c r="B383" t="s">
        <v>648</v>
      </c>
      <c r="C383" t="s">
        <v>650</v>
      </c>
      <c r="D383" t="s">
        <v>1921</v>
      </c>
      <c r="F383" s="503">
        <v>43362</v>
      </c>
      <c r="H383" t="s">
        <v>603</v>
      </c>
      <c r="I383" t="s">
        <v>1753</v>
      </c>
      <c r="J383">
        <v>0</v>
      </c>
      <c r="K383" t="s">
        <v>1068</v>
      </c>
      <c r="O383" t="s">
        <v>1068</v>
      </c>
      <c r="S383" t="s">
        <v>2301</v>
      </c>
      <c r="W383">
        <v>1.82</v>
      </c>
      <c r="X383">
        <v>1.82</v>
      </c>
      <c r="Y383">
        <v>0</v>
      </c>
      <c r="Z383">
        <v>0</v>
      </c>
      <c r="AA383">
        <v>2</v>
      </c>
      <c r="AE383" t="s">
        <v>1039</v>
      </c>
      <c r="AI383">
        <v>69</v>
      </c>
      <c r="AJ383">
        <v>1850320</v>
      </c>
      <c r="AK383">
        <v>0</v>
      </c>
      <c r="AN383" t="s">
        <v>1703</v>
      </c>
      <c r="AO383">
        <v>3.2</v>
      </c>
      <c r="AR383" t="s">
        <v>2948</v>
      </c>
      <c r="AX383">
        <v>20180919</v>
      </c>
      <c r="AY383" t="s">
        <v>1830</v>
      </c>
      <c r="BG383" s="556" t="str">
        <f t="shared" si="35"/>
        <v>O</v>
      </c>
      <c r="BH383" s="556" t="str">
        <f t="shared" si="36"/>
        <v/>
      </c>
      <c r="BI383" s="556" t="str">
        <f t="shared" si="37"/>
        <v/>
      </c>
      <c r="BJ383" s="556" t="str">
        <f t="shared" si="38"/>
        <v>M4</v>
      </c>
      <c r="BK383" s="556" t="str">
        <f t="shared" si="39"/>
        <v>M4</v>
      </c>
      <c r="BL383" s="556" t="str">
        <f t="shared" si="40"/>
        <v>CT</v>
      </c>
      <c r="BM383" s="497">
        <f t="shared" si="41"/>
        <v>31017</v>
      </c>
    </row>
    <row r="384" spans="1:65">
      <c r="A384">
        <v>40202</v>
      </c>
      <c r="B384" t="s">
        <v>975</v>
      </c>
      <c r="C384" t="s">
        <v>977</v>
      </c>
      <c r="D384" t="s">
        <v>1771</v>
      </c>
      <c r="F384" s="503">
        <v>43827</v>
      </c>
      <c r="H384" t="s">
        <v>603</v>
      </c>
      <c r="I384" t="s">
        <v>1753</v>
      </c>
      <c r="J384">
        <v>2000</v>
      </c>
      <c r="K384" t="s">
        <v>1068</v>
      </c>
      <c r="O384" t="s">
        <v>1068</v>
      </c>
      <c r="S384" t="s">
        <v>2301</v>
      </c>
      <c r="W384">
        <v>1.65</v>
      </c>
      <c r="X384">
        <v>1.57</v>
      </c>
      <c r="Y384">
        <v>0</v>
      </c>
      <c r="Z384">
        <v>0</v>
      </c>
      <c r="AA384">
        <v>0</v>
      </c>
      <c r="AE384" t="s">
        <v>1761</v>
      </c>
      <c r="AI384">
        <v>59</v>
      </c>
      <c r="AJ384">
        <v>4300320</v>
      </c>
      <c r="AK384">
        <v>0</v>
      </c>
      <c r="AN384" t="s">
        <v>185</v>
      </c>
      <c r="AO384">
        <v>3.2</v>
      </c>
      <c r="AR384" t="s">
        <v>2948</v>
      </c>
      <c r="AX384">
        <v>20191228</v>
      </c>
      <c r="AY384" t="s">
        <v>1836</v>
      </c>
      <c r="BG384" s="556" t="str">
        <f t="shared" si="35"/>
        <v>O</v>
      </c>
      <c r="BH384" s="556" t="str">
        <f t="shared" si="36"/>
        <v/>
      </c>
      <c r="BI384" s="556" t="str">
        <f t="shared" si="37"/>
        <v/>
      </c>
      <c r="BJ384" s="556" t="str">
        <f t="shared" si="38"/>
        <v>M4</v>
      </c>
      <c r="BK384" s="556" t="str">
        <f t="shared" si="39"/>
        <v>M4</v>
      </c>
      <c r="BL384" s="556" t="str">
        <f t="shared" si="40"/>
        <v>CT</v>
      </c>
      <c r="BM384" s="497">
        <f t="shared" si="41"/>
        <v>40202</v>
      </c>
    </row>
    <row r="385" spans="1:65">
      <c r="A385">
        <v>52805</v>
      </c>
      <c r="B385" t="s">
        <v>2355</v>
      </c>
      <c r="C385" t="s">
        <v>2356</v>
      </c>
      <c r="D385" t="s">
        <v>1835</v>
      </c>
      <c r="F385" s="503">
        <v>44985</v>
      </c>
      <c r="H385" t="s">
        <v>57</v>
      </c>
      <c r="I385" t="s">
        <v>1753</v>
      </c>
      <c r="J385">
        <v>0</v>
      </c>
      <c r="K385" t="s">
        <v>1068</v>
      </c>
      <c r="O385" t="s">
        <v>2299</v>
      </c>
      <c r="W385">
        <v>1.65</v>
      </c>
      <c r="X385">
        <v>1.65</v>
      </c>
      <c r="Y385">
        <v>0</v>
      </c>
      <c r="Z385">
        <v>0</v>
      </c>
      <c r="AA385">
        <v>0</v>
      </c>
      <c r="AE385" t="s">
        <v>1761</v>
      </c>
      <c r="AI385">
        <v>59</v>
      </c>
      <c r="AJ385">
        <v>3020320</v>
      </c>
      <c r="AK385">
        <v>0</v>
      </c>
      <c r="AN385" t="s">
        <v>135</v>
      </c>
      <c r="AO385">
        <v>3.2</v>
      </c>
      <c r="AR385" t="s">
        <v>2948</v>
      </c>
      <c r="AX385">
        <v>20230228</v>
      </c>
      <c r="AY385" t="s">
        <v>1836</v>
      </c>
      <c r="BG385" s="556" t="str">
        <f t="shared" si="35"/>
        <v>O</v>
      </c>
      <c r="BH385" s="556" t="str">
        <f t="shared" si="36"/>
        <v/>
      </c>
      <c r="BI385" s="556" t="str">
        <f t="shared" si="37"/>
        <v/>
      </c>
      <c r="BJ385" s="556" t="str">
        <f t="shared" si="38"/>
        <v>M4</v>
      </c>
      <c r="BK385" s="556" t="str">
        <f t="shared" si="39"/>
        <v>TS1</v>
      </c>
      <c r="BL385" s="556" t="str">
        <f t="shared" si="40"/>
        <v/>
      </c>
      <c r="BM385" s="497">
        <f t="shared" si="41"/>
        <v>52805</v>
      </c>
    </row>
    <row r="386" spans="1:65">
      <c r="A386">
        <v>52018</v>
      </c>
      <c r="B386" t="s">
        <v>2007</v>
      </c>
      <c r="C386" t="s">
        <v>2008</v>
      </c>
      <c r="D386" t="s">
        <v>1755</v>
      </c>
      <c r="F386" s="503">
        <v>44083</v>
      </c>
      <c r="H386" t="s">
        <v>603</v>
      </c>
      <c r="I386" t="s">
        <v>1753</v>
      </c>
      <c r="J386">
        <v>1000</v>
      </c>
      <c r="K386">
        <v>9</v>
      </c>
      <c r="O386" t="s">
        <v>2299</v>
      </c>
      <c r="W386">
        <v>3.68</v>
      </c>
      <c r="X386">
        <v>3.7</v>
      </c>
      <c r="Y386">
        <v>0</v>
      </c>
      <c r="Z386">
        <v>0</v>
      </c>
      <c r="AA386">
        <v>2</v>
      </c>
      <c r="AE386" t="s">
        <v>1039</v>
      </c>
      <c r="AI386">
        <v>60</v>
      </c>
      <c r="AJ386">
        <v>1850436</v>
      </c>
      <c r="AK386">
        <v>0</v>
      </c>
      <c r="AN386" t="s">
        <v>1703</v>
      </c>
      <c r="AO386">
        <v>4.3600000000000003</v>
      </c>
      <c r="AX386">
        <v>20200909</v>
      </c>
      <c r="AY386" t="s">
        <v>1754</v>
      </c>
      <c r="BG386" s="556" t="str">
        <f t="shared" si="35"/>
        <v>O</v>
      </c>
      <c r="BH386" s="556" t="str">
        <f t="shared" si="36"/>
        <v/>
      </c>
      <c r="BI386" s="556" t="str">
        <f t="shared" si="37"/>
        <v/>
      </c>
      <c r="BJ386" s="556">
        <f t="shared" si="38"/>
        <v>9</v>
      </c>
      <c r="BK386" s="556" t="str">
        <f t="shared" si="39"/>
        <v>TS1</v>
      </c>
      <c r="BL386" s="556" t="str">
        <f t="shared" si="40"/>
        <v/>
      </c>
      <c r="BM386" s="497">
        <f t="shared" si="41"/>
        <v>52018</v>
      </c>
    </row>
    <row r="387" spans="1:65">
      <c r="A387">
        <v>20030</v>
      </c>
      <c r="B387" t="s">
        <v>125</v>
      </c>
      <c r="C387" t="s">
        <v>2310</v>
      </c>
      <c r="D387" t="s">
        <v>1774</v>
      </c>
      <c r="F387" s="503">
        <v>42748</v>
      </c>
      <c r="H387" t="s">
        <v>57</v>
      </c>
      <c r="I387" t="s">
        <v>1753</v>
      </c>
      <c r="J387">
        <v>2000</v>
      </c>
      <c r="K387" t="s">
        <v>1068</v>
      </c>
      <c r="O387" t="s">
        <v>1068</v>
      </c>
      <c r="W387">
        <v>1.65</v>
      </c>
      <c r="X387">
        <v>1.59</v>
      </c>
      <c r="Y387">
        <v>0</v>
      </c>
      <c r="Z387">
        <v>0</v>
      </c>
      <c r="AA387">
        <v>0</v>
      </c>
      <c r="AE387" t="s">
        <v>1761</v>
      </c>
      <c r="AI387">
        <v>57</v>
      </c>
      <c r="AJ387">
        <v>4300320</v>
      </c>
      <c r="AK387" s="505">
        <v>172800</v>
      </c>
      <c r="AL387">
        <v>0</v>
      </c>
      <c r="AN387" t="s">
        <v>185</v>
      </c>
      <c r="AO387">
        <v>3.2</v>
      </c>
      <c r="AX387">
        <v>20170113</v>
      </c>
      <c r="AY387" t="s">
        <v>1780</v>
      </c>
      <c r="BG387" s="556" t="str">
        <f t="shared" ref="BG387:BG450" si="42">IF(LEFT(AY387,2)="98","X","O")</f>
        <v>O</v>
      </c>
      <c r="BH387" s="556" t="str">
        <f t="shared" ref="BH387:BH450" si="43">IF(IFERROR(SEARCH("45",$AY387,1),0)&gt;0,"Y","")</f>
        <v/>
      </c>
      <c r="BI387" s="556" t="str">
        <f t="shared" ref="BI387:BI450" si="44">IF(IFERROR(SEARCH("86",$AY387,1),0)&gt;0,"Y","")</f>
        <v/>
      </c>
      <c r="BJ387" s="556" t="str">
        <f t="shared" ref="BJ387:BJ450" si="45">IF(L387="",K387,IF(M387="",K387&amp;","&amp;L387,IF(N387="",K387&amp;","&amp;L387&amp;","&amp;M387,K387&amp;","&amp;L387&amp;","&amp;M387&amp;","&amp;N387)))</f>
        <v>M4</v>
      </c>
      <c r="BK387" s="556" t="str">
        <f t="shared" ref="BK387:BK450" si="46">IF(P387="",O387,IF(Q387="",O387&amp;","&amp;P387,IF(R387="",O387&amp;","&amp;P387&amp;","&amp;Q387,IO387&amp;","&amp;P387&amp;","&amp;Q387&amp;","&amp;R387)))</f>
        <v>M4</v>
      </c>
      <c r="BL387" s="556" t="str">
        <f t="shared" ref="BL387:BL450" si="47">IF(S387=0,"",S387)</f>
        <v/>
      </c>
      <c r="BM387" s="497">
        <f t="shared" ref="BM387:BM450" si="48">A387</f>
        <v>20030</v>
      </c>
    </row>
    <row r="388" spans="1:65">
      <c r="A388">
        <v>40028</v>
      </c>
      <c r="B388" t="s">
        <v>1717</v>
      </c>
      <c r="C388" t="s">
        <v>2009</v>
      </c>
      <c r="D388" t="s">
        <v>1803</v>
      </c>
      <c r="F388" s="503">
        <v>44604</v>
      </c>
      <c r="H388" t="s">
        <v>603</v>
      </c>
      <c r="I388" t="s">
        <v>1753</v>
      </c>
      <c r="J388">
        <v>2000</v>
      </c>
      <c r="K388" t="s">
        <v>1068</v>
      </c>
      <c r="O388" t="s">
        <v>2302</v>
      </c>
      <c r="W388">
        <v>1.72</v>
      </c>
      <c r="X388">
        <v>1.83</v>
      </c>
      <c r="Y388">
        <v>0</v>
      </c>
      <c r="Z388">
        <v>0</v>
      </c>
      <c r="AA388">
        <v>2</v>
      </c>
      <c r="AE388" t="s">
        <v>1039</v>
      </c>
      <c r="AI388">
        <v>70</v>
      </c>
      <c r="AJ388">
        <v>1850345</v>
      </c>
      <c r="AK388">
        <v>0</v>
      </c>
      <c r="AL388">
        <v>0</v>
      </c>
      <c r="AN388" t="s">
        <v>1703</v>
      </c>
      <c r="AO388">
        <v>3.45</v>
      </c>
      <c r="AX388">
        <v>20220212</v>
      </c>
      <c r="AY388" t="s">
        <v>1939</v>
      </c>
      <c r="AZ388" t="s">
        <v>1899</v>
      </c>
      <c r="BG388" s="556" t="str">
        <f t="shared" si="42"/>
        <v>O</v>
      </c>
      <c r="BH388" s="556" t="str">
        <f t="shared" si="43"/>
        <v>Y</v>
      </c>
      <c r="BI388" s="556" t="str">
        <f t="shared" si="44"/>
        <v/>
      </c>
      <c r="BJ388" s="556" t="str">
        <f t="shared" si="45"/>
        <v>M4</v>
      </c>
      <c r="BK388" s="556" t="str">
        <f t="shared" si="46"/>
        <v>S4</v>
      </c>
      <c r="BL388" s="556" t="str">
        <f t="shared" si="47"/>
        <v/>
      </c>
      <c r="BM388" s="497">
        <f t="shared" si="48"/>
        <v>40028</v>
      </c>
    </row>
    <row r="389" spans="1:65">
      <c r="A389">
        <v>45021</v>
      </c>
      <c r="B389" t="s">
        <v>3346</v>
      </c>
      <c r="C389" t="s">
        <v>3342</v>
      </c>
      <c r="D389" t="s">
        <v>3280</v>
      </c>
      <c r="F389" s="503">
        <v>46007</v>
      </c>
      <c r="H389" t="s">
        <v>3347</v>
      </c>
      <c r="I389" t="s">
        <v>1753</v>
      </c>
      <c r="J389">
        <v>2000</v>
      </c>
      <c r="K389" t="s">
        <v>1068</v>
      </c>
      <c r="O389" t="s">
        <v>1068</v>
      </c>
      <c r="W389">
        <v>1.78</v>
      </c>
      <c r="X389">
        <v>1.78</v>
      </c>
      <c r="Y389">
        <v>0</v>
      </c>
      <c r="Z389">
        <v>0</v>
      </c>
      <c r="AA389">
        <v>204</v>
      </c>
      <c r="AE389" t="s">
        <v>3192</v>
      </c>
      <c r="AI389">
        <v>60</v>
      </c>
      <c r="AJ389">
        <v>1850355</v>
      </c>
      <c r="AK389">
        <v>0</v>
      </c>
      <c r="AL389">
        <v>0</v>
      </c>
      <c r="AN389" t="s">
        <v>1703</v>
      </c>
      <c r="AO389">
        <v>3.55</v>
      </c>
      <c r="AS389" t="s">
        <v>3246</v>
      </c>
      <c r="AX389">
        <v>20251216</v>
      </c>
      <c r="AY389" t="s">
        <v>1754</v>
      </c>
      <c r="BG389" s="556" t="str">
        <f t="shared" si="42"/>
        <v>O</v>
      </c>
      <c r="BH389" s="556" t="str">
        <f t="shared" si="43"/>
        <v/>
      </c>
      <c r="BI389" s="556" t="str">
        <f t="shared" si="44"/>
        <v/>
      </c>
      <c r="BJ389" s="556" t="str">
        <f t="shared" si="45"/>
        <v>M4</v>
      </c>
      <c r="BK389" s="556" t="str">
        <f t="shared" si="46"/>
        <v>M4</v>
      </c>
      <c r="BL389" s="556" t="str">
        <f t="shared" si="47"/>
        <v/>
      </c>
      <c r="BM389" s="497">
        <f t="shared" si="48"/>
        <v>45021</v>
      </c>
    </row>
    <row r="390" spans="1:65">
      <c r="A390">
        <v>40059</v>
      </c>
      <c r="B390" t="s">
        <v>3446</v>
      </c>
      <c r="C390" t="s">
        <v>3300</v>
      </c>
      <c r="D390" t="s">
        <v>1803</v>
      </c>
      <c r="F390" s="503">
        <v>45997</v>
      </c>
      <c r="H390" t="s">
        <v>603</v>
      </c>
      <c r="I390" t="s">
        <v>1753</v>
      </c>
      <c r="J390">
        <v>2000</v>
      </c>
      <c r="K390" t="s">
        <v>1068</v>
      </c>
      <c r="O390" t="s">
        <v>1068</v>
      </c>
      <c r="W390">
        <v>1.24</v>
      </c>
      <c r="X390">
        <v>1.24</v>
      </c>
      <c r="Y390">
        <v>0</v>
      </c>
      <c r="Z390">
        <v>0</v>
      </c>
      <c r="AA390">
        <v>0</v>
      </c>
      <c r="AE390" t="s">
        <v>1761</v>
      </c>
      <c r="AI390">
        <v>57</v>
      </c>
      <c r="AJ390">
        <v>3020328</v>
      </c>
      <c r="AK390">
        <v>0</v>
      </c>
      <c r="AL390">
        <v>0</v>
      </c>
      <c r="AN390" t="s">
        <v>135</v>
      </c>
      <c r="AO390">
        <v>3.28</v>
      </c>
      <c r="AX390">
        <v>20251206</v>
      </c>
      <c r="AY390" t="s">
        <v>1780</v>
      </c>
      <c r="BG390" s="556" t="str">
        <f t="shared" si="42"/>
        <v>O</v>
      </c>
      <c r="BH390" s="556" t="str">
        <f t="shared" si="43"/>
        <v/>
      </c>
      <c r="BI390" s="556" t="str">
        <f t="shared" si="44"/>
        <v/>
      </c>
      <c r="BJ390" s="556" t="str">
        <f t="shared" si="45"/>
        <v>M4</v>
      </c>
      <c r="BK390" s="556" t="str">
        <f t="shared" si="46"/>
        <v>M4</v>
      </c>
      <c r="BL390" s="556" t="str">
        <f t="shared" si="47"/>
        <v/>
      </c>
      <c r="BM390" s="497">
        <f t="shared" si="48"/>
        <v>40059</v>
      </c>
    </row>
    <row r="391" spans="1:65">
      <c r="A391">
        <v>40041</v>
      </c>
      <c r="B391" t="s">
        <v>2680</v>
      </c>
      <c r="C391" t="s">
        <v>2686</v>
      </c>
      <c r="D391" t="s">
        <v>1803</v>
      </c>
      <c r="F391" s="503">
        <v>45238</v>
      </c>
      <c r="H391" t="s">
        <v>603</v>
      </c>
      <c r="I391" t="s">
        <v>1753</v>
      </c>
      <c r="J391">
        <v>500</v>
      </c>
      <c r="K391" t="s">
        <v>1068</v>
      </c>
      <c r="O391" t="s">
        <v>1068</v>
      </c>
      <c r="W391">
        <v>1.83</v>
      </c>
      <c r="X391">
        <v>1.83</v>
      </c>
      <c r="Y391">
        <v>0</v>
      </c>
      <c r="Z391">
        <v>0</v>
      </c>
      <c r="AA391">
        <v>2</v>
      </c>
      <c r="AE391" t="s">
        <v>326</v>
      </c>
      <c r="AI391">
        <v>4</v>
      </c>
      <c r="AJ391">
        <v>1850325</v>
      </c>
      <c r="AK391">
        <v>0</v>
      </c>
      <c r="AL391">
        <v>0</v>
      </c>
      <c r="AN391" t="s">
        <v>1703</v>
      </c>
      <c r="AO391">
        <v>3.25</v>
      </c>
      <c r="AT391" t="s">
        <v>3224</v>
      </c>
      <c r="AX391">
        <v>20231108</v>
      </c>
      <c r="AY391" t="s">
        <v>3241</v>
      </c>
      <c r="BG391" s="556" t="str">
        <f t="shared" si="42"/>
        <v>O</v>
      </c>
      <c r="BH391" s="556" t="str">
        <f t="shared" si="43"/>
        <v/>
      </c>
      <c r="BI391" s="556" t="str">
        <f t="shared" si="44"/>
        <v/>
      </c>
      <c r="BJ391" s="556" t="str">
        <f t="shared" si="45"/>
        <v>M4</v>
      </c>
      <c r="BK391" s="556" t="str">
        <f t="shared" si="46"/>
        <v>M4</v>
      </c>
      <c r="BL391" s="556" t="str">
        <f t="shared" si="47"/>
        <v/>
      </c>
      <c r="BM391" s="497">
        <f t="shared" si="48"/>
        <v>40041</v>
      </c>
    </row>
    <row r="392" spans="1:65">
      <c r="A392">
        <v>53801</v>
      </c>
      <c r="B392" t="s">
        <v>3195</v>
      </c>
      <c r="C392" t="s">
        <v>3019</v>
      </c>
      <c r="D392" t="s">
        <v>3020</v>
      </c>
      <c r="F392" s="503">
        <v>45652</v>
      </c>
      <c r="H392" t="s">
        <v>3205</v>
      </c>
      <c r="I392" t="s">
        <v>1753</v>
      </c>
      <c r="J392">
        <v>2000</v>
      </c>
      <c r="K392" t="s">
        <v>2972</v>
      </c>
      <c r="L392" t="s">
        <v>1481</v>
      </c>
      <c r="O392" t="s">
        <v>1068</v>
      </c>
      <c r="W392">
        <v>2.21</v>
      </c>
      <c r="X392">
        <v>1.78</v>
      </c>
      <c r="Y392">
        <v>0</v>
      </c>
      <c r="Z392">
        <v>0</v>
      </c>
      <c r="AA392">
        <v>0</v>
      </c>
      <c r="AE392" t="s">
        <v>1761</v>
      </c>
      <c r="AI392">
        <v>57</v>
      </c>
      <c r="AJ392">
        <v>3020345</v>
      </c>
      <c r="AK392">
        <v>0</v>
      </c>
      <c r="AL392">
        <v>0</v>
      </c>
      <c r="AN392" t="s">
        <v>2629</v>
      </c>
      <c r="AO392">
        <v>3.45</v>
      </c>
      <c r="AX392">
        <v>20241226</v>
      </c>
      <c r="AY392" t="s">
        <v>1780</v>
      </c>
      <c r="BG392" s="556" t="str">
        <f t="shared" si="42"/>
        <v>O</v>
      </c>
      <c r="BH392" s="556" t="str">
        <f t="shared" si="43"/>
        <v/>
      </c>
      <c r="BI392" s="556" t="str">
        <f t="shared" si="44"/>
        <v/>
      </c>
      <c r="BJ392" s="556" t="str">
        <f t="shared" si="45"/>
        <v>9B,9A</v>
      </c>
      <c r="BK392" s="556" t="str">
        <f t="shared" si="46"/>
        <v>M4</v>
      </c>
      <c r="BL392" s="556" t="str">
        <f t="shared" si="47"/>
        <v/>
      </c>
      <c r="BM392" s="497">
        <f t="shared" si="48"/>
        <v>53801</v>
      </c>
    </row>
    <row r="393" spans="1:65">
      <c r="A393">
        <v>53800</v>
      </c>
      <c r="B393" t="s">
        <v>3196</v>
      </c>
      <c r="C393" t="s">
        <v>3021</v>
      </c>
      <c r="D393" t="s">
        <v>3020</v>
      </c>
      <c r="F393" s="503">
        <v>45652</v>
      </c>
      <c r="H393" t="s">
        <v>3206</v>
      </c>
      <c r="I393" t="s">
        <v>1753</v>
      </c>
      <c r="J393">
        <v>2000</v>
      </c>
      <c r="K393" t="s">
        <v>2972</v>
      </c>
      <c r="L393" t="s">
        <v>1481</v>
      </c>
      <c r="O393" t="s">
        <v>1068</v>
      </c>
      <c r="W393">
        <v>1.57</v>
      </c>
      <c r="X393">
        <v>1.54</v>
      </c>
      <c r="Y393">
        <v>0</v>
      </c>
      <c r="Z393">
        <v>0</v>
      </c>
      <c r="AA393">
        <v>0</v>
      </c>
      <c r="AE393" t="s">
        <v>1761</v>
      </c>
      <c r="AI393">
        <v>57</v>
      </c>
      <c r="AJ393">
        <v>3020345</v>
      </c>
      <c r="AK393">
        <v>0</v>
      </c>
      <c r="AN393" t="s">
        <v>2629</v>
      </c>
      <c r="AO393">
        <v>3.45</v>
      </c>
      <c r="AX393">
        <v>20241226</v>
      </c>
      <c r="AY393" t="s">
        <v>1780</v>
      </c>
      <c r="BG393" s="556" t="str">
        <f t="shared" si="42"/>
        <v>O</v>
      </c>
      <c r="BH393" s="556" t="str">
        <f t="shared" si="43"/>
        <v/>
      </c>
      <c r="BI393" s="556" t="str">
        <f t="shared" si="44"/>
        <v/>
      </c>
      <c r="BJ393" s="556" t="str">
        <f t="shared" si="45"/>
        <v>9B,9A</v>
      </c>
      <c r="BK393" s="556" t="str">
        <f t="shared" si="46"/>
        <v>M4</v>
      </c>
      <c r="BL393" s="556" t="str">
        <f t="shared" si="47"/>
        <v/>
      </c>
      <c r="BM393" s="497">
        <f t="shared" si="48"/>
        <v>53800</v>
      </c>
    </row>
    <row r="394" spans="1:65">
      <c r="A394">
        <v>50104</v>
      </c>
      <c r="B394" t="s">
        <v>743</v>
      </c>
      <c r="C394" t="s">
        <v>742</v>
      </c>
      <c r="D394" t="s">
        <v>1918</v>
      </c>
      <c r="F394" s="503">
        <v>43526</v>
      </c>
      <c r="H394" t="s">
        <v>745</v>
      </c>
      <c r="I394" t="s">
        <v>1753</v>
      </c>
      <c r="J394">
        <v>1000</v>
      </c>
      <c r="K394" t="s">
        <v>1068</v>
      </c>
      <c r="O394" t="s">
        <v>1068</v>
      </c>
      <c r="W394">
        <v>1.76</v>
      </c>
      <c r="X394">
        <v>1.77</v>
      </c>
      <c r="Y394">
        <v>0</v>
      </c>
      <c r="Z394">
        <v>0</v>
      </c>
      <c r="AA394">
        <v>2</v>
      </c>
      <c r="AE394" t="s">
        <v>1039</v>
      </c>
      <c r="AI394">
        <v>60</v>
      </c>
      <c r="AJ394">
        <v>1850345</v>
      </c>
      <c r="AK394">
        <v>0</v>
      </c>
      <c r="AN394" t="s">
        <v>1703</v>
      </c>
      <c r="AO394">
        <v>3.45</v>
      </c>
      <c r="AX394">
        <v>20190302</v>
      </c>
      <c r="AY394" t="s">
        <v>1754</v>
      </c>
      <c r="BG394" s="556" t="str">
        <f t="shared" si="42"/>
        <v>O</v>
      </c>
      <c r="BH394" s="556" t="str">
        <f t="shared" si="43"/>
        <v/>
      </c>
      <c r="BI394" s="556" t="str">
        <f t="shared" si="44"/>
        <v/>
      </c>
      <c r="BJ394" s="556" t="str">
        <f t="shared" si="45"/>
        <v>M4</v>
      </c>
      <c r="BK394" s="556" t="str">
        <f t="shared" si="46"/>
        <v>M4</v>
      </c>
      <c r="BL394" s="556" t="str">
        <f t="shared" si="47"/>
        <v/>
      </c>
      <c r="BM394" s="497">
        <f t="shared" si="48"/>
        <v>50104</v>
      </c>
    </row>
    <row r="395" spans="1:65">
      <c r="A395">
        <v>40402</v>
      </c>
      <c r="B395" t="s">
        <v>3171</v>
      </c>
      <c r="C395" t="s">
        <v>2913</v>
      </c>
      <c r="D395" t="s">
        <v>2180</v>
      </c>
      <c r="F395" s="503">
        <v>45821</v>
      </c>
      <c r="H395" t="s">
        <v>745</v>
      </c>
      <c r="I395" t="s">
        <v>1753</v>
      </c>
      <c r="J395">
        <v>0</v>
      </c>
      <c r="K395" t="s">
        <v>1068</v>
      </c>
      <c r="O395" t="s">
        <v>1068</v>
      </c>
      <c r="W395">
        <v>1.76</v>
      </c>
      <c r="X395">
        <v>1.76</v>
      </c>
      <c r="Y395">
        <v>0</v>
      </c>
      <c r="Z395">
        <v>0</v>
      </c>
      <c r="AA395">
        <v>2</v>
      </c>
      <c r="AE395" t="s">
        <v>3030</v>
      </c>
      <c r="AI395">
        <v>60</v>
      </c>
      <c r="AJ395">
        <v>1850325</v>
      </c>
      <c r="AK395">
        <v>0</v>
      </c>
      <c r="AL395">
        <v>0</v>
      </c>
      <c r="AN395" t="s">
        <v>1703</v>
      </c>
      <c r="AO395">
        <v>3.25</v>
      </c>
      <c r="AT395" t="s">
        <v>3172</v>
      </c>
      <c r="AX395">
        <v>20250613</v>
      </c>
      <c r="AY395" t="s">
        <v>1754</v>
      </c>
      <c r="BG395" s="556" t="str">
        <f t="shared" si="42"/>
        <v>O</v>
      </c>
      <c r="BH395" s="556" t="str">
        <f t="shared" si="43"/>
        <v/>
      </c>
      <c r="BI395" s="556" t="str">
        <f t="shared" si="44"/>
        <v/>
      </c>
      <c r="BJ395" s="556" t="str">
        <f t="shared" si="45"/>
        <v>M4</v>
      </c>
      <c r="BK395" s="556" t="str">
        <f t="shared" si="46"/>
        <v>M4</v>
      </c>
      <c r="BL395" s="556" t="str">
        <f t="shared" si="47"/>
        <v/>
      </c>
      <c r="BM395" s="497">
        <f t="shared" si="48"/>
        <v>40402</v>
      </c>
    </row>
    <row r="396" spans="1:65">
      <c r="A396">
        <v>40403</v>
      </c>
      <c r="B396" t="s">
        <v>3176</v>
      </c>
      <c r="C396" t="s">
        <v>2913</v>
      </c>
      <c r="D396" t="s">
        <v>2180</v>
      </c>
      <c r="F396" s="503">
        <v>45860</v>
      </c>
      <c r="H396" t="s">
        <v>3173</v>
      </c>
      <c r="I396" t="s">
        <v>1753</v>
      </c>
      <c r="J396">
        <v>10000</v>
      </c>
      <c r="K396" t="s">
        <v>1068</v>
      </c>
      <c r="O396" t="s">
        <v>1068</v>
      </c>
      <c r="W396">
        <v>1.75</v>
      </c>
      <c r="X396">
        <v>1.75</v>
      </c>
      <c r="Y396">
        <v>0</v>
      </c>
      <c r="Z396">
        <v>0</v>
      </c>
      <c r="AA396">
        <v>2</v>
      </c>
      <c r="AE396" t="s">
        <v>3190</v>
      </c>
      <c r="AI396">
        <v>60</v>
      </c>
      <c r="AJ396">
        <v>1850325</v>
      </c>
      <c r="AK396">
        <v>0</v>
      </c>
      <c r="AN396" t="s">
        <v>1703</v>
      </c>
      <c r="AO396">
        <v>3.25</v>
      </c>
      <c r="AT396" t="s">
        <v>3174</v>
      </c>
      <c r="AX396">
        <v>20250722</v>
      </c>
      <c r="AY396" t="s">
        <v>1754</v>
      </c>
      <c r="BG396" s="556" t="str">
        <f t="shared" si="42"/>
        <v>O</v>
      </c>
      <c r="BH396" s="556" t="str">
        <f t="shared" si="43"/>
        <v/>
      </c>
      <c r="BI396" s="556" t="str">
        <f t="shared" si="44"/>
        <v/>
      </c>
      <c r="BJ396" s="556" t="str">
        <f t="shared" si="45"/>
        <v>M4</v>
      </c>
      <c r="BK396" s="556" t="str">
        <f t="shared" si="46"/>
        <v>M4</v>
      </c>
      <c r="BL396" s="556" t="str">
        <f t="shared" si="47"/>
        <v/>
      </c>
      <c r="BM396" s="497">
        <f t="shared" si="48"/>
        <v>40403</v>
      </c>
    </row>
    <row r="397" spans="1:65">
      <c r="A397">
        <v>50639</v>
      </c>
      <c r="B397" t="s">
        <v>644</v>
      </c>
      <c r="C397" t="s">
        <v>619</v>
      </c>
      <c r="D397" t="s">
        <v>1829</v>
      </c>
      <c r="F397" s="503">
        <v>43803</v>
      </c>
      <c r="H397" t="s">
        <v>645</v>
      </c>
      <c r="I397" t="s">
        <v>1753</v>
      </c>
      <c r="J397">
        <v>2000</v>
      </c>
      <c r="K397" t="s">
        <v>1068</v>
      </c>
      <c r="O397" t="s">
        <v>1068</v>
      </c>
      <c r="S397" t="s">
        <v>2301</v>
      </c>
      <c r="W397">
        <v>1.62</v>
      </c>
      <c r="X397">
        <v>1.65</v>
      </c>
      <c r="Y397">
        <v>0</v>
      </c>
      <c r="Z397">
        <v>0</v>
      </c>
      <c r="AA397">
        <v>2</v>
      </c>
      <c r="AE397" t="s">
        <v>1039</v>
      </c>
      <c r="AI397">
        <v>69</v>
      </c>
      <c r="AJ397">
        <v>1850320</v>
      </c>
      <c r="AK397">
        <v>0</v>
      </c>
      <c r="AL397">
        <v>0</v>
      </c>
      <c r="AN397" t="s">
        <v>1703</v>
      </c>
      <c r="AO397">
        <v>3.2</v>
      </c>
      <c r="AR397" t="s">
        <v>2948</v>
      </c>
      <c r="AX397">
        <v>20191204</v>
      </c>
      <c r="AY397" t="s">
        <v>1830</v>
      </c>
      <c r="BG397" s="556" t="str">
        <f t="shared" si="42"/>
        <v>O</v>
      </c>
      <c r="BH397" s="556" t="str">
        <f t="shared" si="43"/>
        <v/>
      </c>
      <c r="BI397" s="556" t="str">
        <f t="shared" si="44"/>
        <v/>
      </c>
      <c r="BJ397" s="556" t="str">
        <f t="shared" si="45"/>
        <v>M4</v>
      </c>
      <c r="BK397" s="556" t="str">
        <f t="shared" si="46"/>
        <v>M4</v>
      </c>
      <c r="BL397" s="556" t="str">
        <f t="shared" si="47"/>
        <v>CT</v>
      </c>
      <c r="BM397" s="497">
        <f t="shared" si="48"/>
        <v>50639</v>
      </c>
    </row>
    <row r="398" spans="1:65">
      <c r="A398">
        <v>45016</v>
      </c>
      <c r="B398" t="s">
        <v>3348</v>
      </c>
      <c r="C398" t="s">
        <v>3349</v>
      </c>
      <c r="D398" t="s">
        <v>3280</v>
      </c>
      <c r="F398" s="503">
        <v>46007</v>
      </c>
      <c r="H398" t="s">
        <v>645</v>
      </c>
      <c r="I398" t="s">
        <v>1753</v>
      </c>
      <c r="J398">
        <v>2000</v>
      </c>
      <c r="K398" t="s">
        <v>1068</v>
      </c>
      <c r="O398" t="s">
        <v>1068</v>
      </c>
      <c r="W398">
        <v>1.62</v>
      </c>
      <c r="X398">
        <v>1.62</v>
      </c>
      <c r="Y398">
        <v>0</v>
      </c>
      <c r="Z398">
        <v>0</v>
      </c>
      <c r="AA398">
        <v>2</v>
      </c>
      <c r="AE398" t="s">
        <v>3375</v>
      </c>
      <c r="AI398">
        <v>60</v>
      </c>
      <c r="AJ398">
        <v>1850320</v>
      </c>
      <c r="AK398">
        <v>0</v>
      </c>
      <c r="AL398">
        <v>0</v>
      </c>
      <c r="AN398" t="s">
        <v>1703</v>
      </c>
      <c r="AO398">
        <v>3.2</v>
      </c>
      <c r="AT398" t="s">
        <v>3246</v>
      </c>
      <c r="AX398">
        <v>20251216</v>
      </c>
      <c r="AY398" t="s">
        <v>1754</v>
      </c>
      <c r="BG398" s="556" t="str">
        <f t="shared" si="42"/>
        <v>O</v>
      </c>
      <c r="BH398" s="556" t="str">
        <f t="shared" si="43"/>
        <v/>
      </c>
      <c r="BI398" s="556" t="str">
        <f t="shared" si="44"/>
        <v/>
      </c>
      <c r="BJ398" s="556" t="str">
        <f t="shared" si="45"/>
        <v>M4</v>
      </c>
      <c r="BK398" s="556" t="str">
        <f t="shared" si="46"/>
        <v>M4</v>
      </c>
      <c r="BL398" s="556" t="str">
        <f t="shared" si="47"/>
        <v/>
      </c>
      <c r="BM398" s="497">
        <f t="shared" si="48"/>
        <v>45016</v>
      </c>
    </row>
    <row r="399" spans="1:65">
      <c r="A399">
        <v>45017</v>
      </c>
      <c r="B399" t="s">
        <v>3350</v>
      </c>
      <c r="C399" t="s">
        <v>3264</v>
      </c>
      <c r="D399" t="s">
        <v>3280</v>
      </c>
      <c r="F399" s="503">
        <v>46007</v>
      </c>
      <c r="H399" t="s">
        <v>645</v>
      </c>
      <c r="I399" t="s">
        <v>1753</v>
      </c>
      <c r="J399">
        <v>2000</v>
      </c>
      <c r="K399" t="s">
        <v>1068</v>
      </c>
      <c r="O399" t="s">
        <v>1068</v>
      </c>
      <c r="W399">
        <v>1.61</v>
      </c>
      <c r="X399">
        <v>1.59</v>
      </c>
      <c r="Y399">
        <v>0</v>
      </c>
      <c r="Z399">
        <v>0</v>
      </c>
      <c r="AA399">
        <v>2</v>
      </c>
      <c r="AE399" t="s">
        <v>1039</v>
      </c>
      <c r="AI399">
        <v>60</v>
      </c>
      <c r="AJ399">
        <v>1850320</v>
      </c>
      <c r="AK399">
        <v>0</v>
      </c>
      <c r="AL399">
        <v>0</v>
      </c>
      <c r="AN399" t="s">
        <v>1703</v>
      </c>
      <c r="AO399">
        <v>3.2</v>
      </c>
      <c r="AX399">
        <v>20251216</v>
      </c>
      <c r="AY399" t="s">
        <v>1754</v>
      </c>
      <c r="BG399" s="556" t="str">
        <f t="shared" si="42"/>
        <v>O</v>
      </c>
      <c r="BH399" s="556" t="str">
        <f t="shared" si="43"/>
        <v/>
      </c>
      <c r="BI399" s="556" t="str">
        <f t="shared" si="44"/>
        <v/>
      </c>
      <c r="BJ399" s="556" t="str">
        <f t="shared" si="45"/>
        <v>M4</v>
      </c>
      <c r="BK399" s="556" t="str">
        <f t="shared" si="46"/>
        <v>M4</v>
      </c>
      <c r="BL399" s="556" t="str">
        <f t="shared" si="47"/>
        <v/>
      </c>
      <c r="BM399" s="497">
        <f t="shared" si="48"/>
        <v>45017</v>
      </c>
    </row>
    <row r="400" spans="1:65">
      <c r="A400">
        <v>31005</v>
      </c>
      <c r="B400" t="s">
        <v>699</v>
      </c>
      <c r="C400" t="s">
        <v>701</v>
      </c>
      <c r="D400" t="s">
        <v>1954</v>
      </c>
      <c r="F400" s="503">
        <v>43286</v>
      </c>
      <c r="H400" t="s">
        <v>58</v>
      </c>
      <c r="I400" t="s">
        <v>2010</v>
      </c>
      <c r="J400">
        <v>2000</v>
      </c>
      <c r="K400" t="s">
        <v>1068</v>
      </c>
      <c r="O400" t="s">
        <v>2299</v>
      </c>
      <c r="W400">
        <v>1.72</v>
      </c>
      <c r="X400">
        <v>1.72</v>
      </c>
      <c r="Y400">
        <v>0</v>
      </c>
      <c r="Z400">
        <v>0</v>
      </c>
      <c r="AA400">
        <v>2</v>
      </c>
      <c r="AE400" t="s">
        <v>1039</v>
      </c>
      <c r="AI400">
        <v>60</v>
      </c>
      <c r="AJ400">
        <v>1850325</v>
      </c>
      <c r="AK400">
        <v>0</v>
      </c>
      <c r="AN400" t="s">
        <v>1703</v>
      </c>
      <c r="AO400">
        <v>3.25</v>
      </c>
      <c r="AX400">
        <v>20180705</v>
      </c>
      <c r="AY400" t="s">
        <v>1754</v>
      </c>
      <c r="BG400" s="556" t="str">
        <f t="shared" si="42"/>
        <v>O</v>
      </c>
      <c r="BH400" s="556" t="str">
        <f t="shared" si="43"/>
        <v/>
      </c>
      <c r="BI400" s="556" t="str">
        <f t="shared" si="44"/>
        <v/>
      </c>
      <c r="BJ400" s="556" t="str">
        <f t="shared" si="45"/>
        <v>M4</v>
      </c>
      <c r="BK400" s="556" t="str">
        <f t="shared" si="46"/>
        <v>TS1</v>
      </c>
      <c r="BL400" s="556" t="str">
        <f t="shared" si="47"/>
        <v/>
      </c>
      <c r="BM400" s="497">
        <f t="shared" si="48"/>
        <v>31005</v>
      </c>
    </row>
    <row r="401" spans="1:65">
      <c r="A401">
        <v>20096</v>
      </c>
      <c r="B401" t="s">
        <v>3077</v>
      </c>
      <c r="C401" t="s">
        <v>3078</v>
      </c>
      <c r="D401" t="s">
        <v>1774</v>
      </c>
      <c r="F401" s="503">
        <v>45734</v>
      </c>
      <c r="H401" t="s">
        <v>58</v>
      </c>
      <c r="I401" t="s">
        <v>1753</v>
      </c>
      <c r="J401">
        <v>2000</v>
      </c>
      <c r="K401">
        <v>15</v>
      </c>
      <c r="O401" t="s">
        <v>1068</v>
      </c>
      <c r="W401">
        <v>1.42</v>
      </c>
      <c r="X401">
        <v>1.1599999999999999</v>
      </c>
      <c r="Y401">
        <v>0</v>
      </c>
      <c r="Z401">
        <v>0</v>
      </c>
      <c r="AA401">
        <v>0</v>
      </c>
      <c r="AE401" t="s">
        <v>1761</v>
      </c>
      <c r="AI401">
        <v>57</v>
      </c>
      <c r="AJ401">
        <v>4300325</v>
      </c>
      <c r="AK401">
        <v>0</v>
      </c>
      <c r="AL401">
        <v>0</v>
      </c>
      <c r="AN401" t="s">
        <v>185</v>
      </c>
      <c r="AO401">
        <v>3.25</v>
      </c>
      <c r="AX401">
        <v>20250318</v>
      </c>
      <c r="AY401" t="s">
        <v>1780</v>
      </c>
      <c r="BG401" s="556" t="str">
        <f t="shared" si="42"/>
        <v>O</v>
      </c>
      <c r="BH401" s="556" t="str">
        <f t="shared" si="43"/>
        <v/>
      </c>
      <c r="BI401" s="556" t="str">
        <f t="shared" si="44"/>
        <v/>
      </c>
      <c r="BJ401" s="556">
        <f t="shared" si="45"/>
        <v>15</v>
      </c>
      <c r="BK401" s="556" t="str">
        <f t="shared" si="46"/>
        <v>M4</v>
      </c>
      <c r="BL401" s="556" t="str">
        <f t="shared" si="47"/>
        <v/>
      </c>
      <c r="BM401" s="497">
        <f t="shared" si="48"/>
        <v>20096</v>
      </c>
    </row>
    <row r="402" spans="1:65">
      <c r="A402">
        <v>20042</v>
      </c>
      <c r="B402" t="s">
        <v>239</v>
      </c>
      <c r="C402" t="s">
        <v>240</v>
      </c>
      <c r="D402" t="s">
        <v>1774</v>
      </c>
      <c r="F402" s="503">
        <v>42748</v>
      </c>
      <c r="H402" t="s">
        <v>58</v>
      </c>
      <c r="I402" t="s">
        <v>1753</v>
      </c>
      <c r="J402">
        <v>2000</v>
      </c>
      <c r="K402" t="s">
        <v>1068</v>
      </c>
      <c r="O402" t="s">
        <v>2299</v>
      </c>
      <c r="W402">
        <v>1.42</v>
      </c>
      <c r="X402">
        <v>1.21</v>
      </c>
      <c r="Y402">
        <v>0</v>
      </c>
      <c r="Z402">
        <v>0</v>
      </c>
      <c r="AA402">
        <v>0</v>
      </c>
      <c r="AE402" t="s">
        <v>1761</v>
      </c>
      <c r="AI402">
        <v>57</v>
      </c>
      <c r="AJ402">
        <v>3020328</v>
      </c>
      <c r="AK402">
        <v>0</v>
      </c>
      <c r="AL402">
        <v>0</v>
      </c>
      <c r="AN402" t="s">
        <v>135</v>
      </c>
      <c r="AO402">
        <v>3.28</v>
      </c>
      <c r="AX402">
        <v>20170113</v>
      </c>
      <c r="AY402" t="s">
        <v>1780</v>
      </c>
      <c r="BG402" s="556" t="str">
        <f t="shared" si="42"/>
        <v>O</v>
      </c>
      <c r="BH402" s="556" t="str">
        <f t="shared" si="43"/>
        <v/>
      </c>
      <c r="BI402" s="556" t="str">
        <f t="shared" si="44"/>
        <v/>
      </c>
      <c r="BJ402" s="556" t="str">
        <f t="shared" si="45"/>
        <v>M4</v>
      </c>
      <c r="BK402" s="556" t="str">
        <f t="shared" si="46"/>
        <v>TS1</v>
      </c>
      <c r="BL402" s="556" t="str">
        <f t="shared" si="47"/>
        <v/>
      </c>
      <c r="BM402" s="497">
        <f t="shared" si="48"/>
        <v>20042</v>
      </c>
    </row>
    <row r="403" spans="1:65">
      <c r="A403">
        <v>40061</v>
      </c>
      <c r="B403" t="s">
        <v>3357</v>
      </c>
      <c r="C403" t="s">
        <v>3343</v>
      </c>
      <c r="D403" t="s">
        <v>1803</v>
      </c>
      <c r="F403" s="503">
        <v>46007</v>
      </c>
      <c r="H403" t="s">
        <v>645</v>
      </c>
      <c r="I403" t="s">
        <v>1753</v>
      </c>
      <c r="J403">
        <v>2000</v>
      </c>
      <c r="K403" t="s">
        <v>1068</v>
      </c>
      <c r="O403" t="s">
        <v>1068</v>
      </c>
      <c r="W403">
        <v>1.49</v>
      </c>
      <c r="X403">
        <v>1.32</v>
      </c>
      <c r="Y403">
        <v>0</v>
      </c>
      <c r="Z403">
        <v>0</v>
      </c>
      <c r="AA403">
        <v>0</v>
      </c>
      <c r="AE403" t="s">
        <v>1761</v>
      </c>
      <c r="AI403">
        <v>57</v>
      </c>
      <c r="AJ403">
        <v>3020320</v>
      </c>
      <c r="AK403">
        <v>0</v>
      </c>
      <c r="AL403">
        <v>0</v>
      </c>
      <c r="AN403" t="s">
        <v>135</v>
      </c>
      <c r="AO403">
        <v>3.2</v>
      </c>
      <c r="AX403">
        <v>20251216</v>
      </c>
      <c r="AY403" t="s">
        <v>1780</v>
      </c>
      <c r="BG403" s="556" t="str">
        <f t="shared" si="42"/>
        <v>O</v>
      </c>
      <c r="BH403" s="556" t="str">
        <f t="shared" si="43"/>
        <v/>
      </c>
      <c r="BI403" s="556" t="str">
        <f t="shared" si="44"/>
        <v/>
      </c>
      <c r="BJ403" s="556" t="str">
        <f t="shared" si="45"/>
        <v>M4</v>
      </c>
      <c r="BK403" s="556" t="str">
        <f t="shared" si="46"/>
        <v>M4</v>
      </c>
      <c r="BL403" s="556" t="str">
        <f t="shared" si="47"/>
        <v/>
      </c>
      <c r="BM403" s="497">
        <f t="shared" si="48"/>
        <v>40061</v>
      </c>
    </row>
    <row r="404" spans="1:65">
      <c r="A404">
        <v>20094</v>
      </c>
      <c r="B404" t="s">
        <v>2892</v>
      </c>
      <c r="C404" t="s">
        <v>2896</v>
      </c>
      <c r="D404" t="s">
        <v>1774</v>
      </c>
      <c r="F404" s="503">
        <v>45483</v>
      </c>
      <c r="H404" t="s">
        <v>58</v>
      </c>
      <c r="I404" t="s">
        <v>1753</v>
      </c>
      <c r="J404">
        <v>0</v>
      </c>
      <c r="K404" t="s">
        <v>1068</v>
      </c>
      <c r="O404" t="s">
        <v>1068</v>
      </c>
      <c r="W404">
        <v>1.98</v>
      </c>
      <c r="X404">
        <v>1.98</v>
      </c>
      <c r="Y404">
        <v>0</v>
      </c>
      <c r="Z404">
        <v>0</v>
      </c>
      <c r="AA404">
        <v>0</v>
      </c>
      <c r="AE404" t="s">
        <v>1761</v>
      </c>
      <c r="AI404">
        <v>57</v>
      </c>
      <c r="AJ404">
        <v>3020325</v>
      </c>
      <c r="AK404">
        <v>0</v>
      </c>
      <c r="AL404">
        <v>0</v>
      </c>
      <c r="AN404" t="s">
        <v>135</v>
      </c>
      <c r="AO404">
        <v>3.25</v>
      </c>
      <c r="AX404">
        <v>20240710</v>
      </c>
      <c r="AY404" t="s">
        <v>1780</v>
      </c>
      <c r="BG404" s="556" t="str">
        <f t="shared" si="42"/>
        <v>O</v>
      </c>
      <c r="BH404" s="556" t="str">
        <f t="shared" si="43"/>
        <v/>
      </c>
      <c r="BI404" s="556" t="str">
        <f t="shared" si="44"/>
        <v/>
      </c>
      <c r="BJ404" s="556" t="str">
        <f t="shared" si="45"/>
        <v>M4</v>
      </c>
      <c r="BK404" s="556" t="str">
        <f t="shared" si="46"/>
        <v>M4</v>
      </c>
      <c r="BL404" s="556" t="str">
        <f t="shared" si="47"/>
        <v/>
      </c>
      <c r="BM404" s="497">
        <f t="shared" si="48"/>
        <v>20094</v>
      </c>
    </row>
    <row r="405" spans="1:65">
      <c r="A405">
        <v>20502</v>
      </c>
      <c r="B405" t="s">
        <v>34</v>
      </c>
      <c r="C405" t="s">
        <v>46</v>
      </c>
      <c r="D405" t="s">
        <v>1840</v>
      </c>
      <c r="E405" t="s">
        <v>1992</v>
      </c>
      <c r="F405" s="503">
        <v>42748</v>
      </c>
      <c r="H405" t="s">
        <v>58</v>
      </c>
      <c r="I405" t="s">
        <v>1753</v>
      </c>
      <c r="J405">
        <v>2000</v>
      </c>
      <c r="K405" t="s">
        <v>1068</v>
      </c>
      <c r="O405" t="s">
        <v>1068</v>
      </c>
      <c r="W405">
        <v>1.37</v>
      </c>
      <c r="X405">
        <v>1.48</v>
      </c>
      <c r="Y405">
        <v>0</v>
      </c>
      <c r="Z405">
        <v>0</v>
      </c>
      <c r="AA405">
        <v>2</v>
      </c>
      <c r="AE405" t="s">
        <v>1039</v>
      </c>
      <c r="AI405">
        <v>60</v>
      </c>
      <c r="AJ405">
        <v>1850320</v>
      </c>
      <c r="AK405">
        <v>0</v>
      </c>
      <c r="AL405">
        <v>0</v>
      </c>
      <c r="AN405" t="s">
        <v>1703</v>
      </c>
      <c r="AO405">
        <v>3.2</v>
      </c>
      <c r="AX405">
        <v>20170113</v>
      </c>
      <c r="AY405" t="s">
        <v>1754</v>
      </c>
      <c r="BG405" s="556" t="str">
        <f t="shared" si="42"/>
        <v>O</v>
      </c>
      <c r="BH405" s="556" t="str">
        <f t="shared" si="43"/>
        <v/>
      </c>
      <c r="BI405" s="556" t="str">
        <f t="shared" si="44"/>
        <v/>
      </c>
      <c r="BJ405" s="556" t="str">
        <f t="shared" si="45"/>
        <v>M4</v>
      </c>
      <c r="BK405" s="556" t="str">
        <f t="shared" si="46"/>
        <v>M4</v>
      </c>
      <c r="BL405" s="556" t="str">
        <f t="shared" si="47"/>
        <v/>
      </c>
      <c r="BM405" s="497">
        <f t="shared" si="48"/>
        <v>20502</v>
      </c>
    </row>
    <row r="406" spans="1:65">
      <c r="A406">
        <v>52900</v>
      </c>
      <c r="B406" t="s">
        <v>2011</v>
      </c>
      <c r="C406" t="s">
        <v>45</v>
      </c>
      <c r="D406" t="s">
        <v>1858</v>
      </c>
      <c r="F406" s="503">
        <v>44261</v>
      </c>
      <c r="H406" t="s">
        <v>645</v>
      </c>
      <c r="I406" t="s">
        <v>1753</v>
      </c>
      <c r="J406">
        <v>2000</v>
      </c>
      <c r="K406" t="s">
        <v>1068</v>
      </c>
      <c r="O406" t="s">
        <v>2299</v>
      </c>
      <c r="W406">
        <v>1.84</v>
      </c>
      <c r="X406">
        <v>1.86</v>
      </c>
      <c r="Y406">
        <v>0</v>
      </c>
      <c r="Z406">
        <v>0</v>
      </c>
      <c r="AA406">
        <v>2</v>
      </c>
      <c r="AE406">
        <v>101</v>
      </c>
      <c r="AI406">
        <v>60</v>
      </c>
      <c r="AJ406">
        <v>1850325</v>
      </c>
      <c r="AK406">
        <v>0</v>
      </c>
      <c r="AN406" t="s">
        <v>1703</v>
      </c>
      <c r="AO406">
        <v>3.25</v>
      </c>
      <c r="AT406" t="s">
        <v>1960</v>
      </c>
      <c r="AX406">
        <v>20210306</v>
      </c>
      <c r="AY406" t="s">
        <v>1754</v>
      </c>
      <c r="BG406" s="556" t="str">
        <f t="shared" si="42"/>
        <v>O</v>
      </c>
      <c r="BH406" s="556" t="str">
        <f t="shared" si="43"/>
        <v/>
      </c>
      <c r="BI406" s="556" t="str">
        <f t="shared" si="44"/>
        <v/>
      </c>
      <c r="BJ406" s="556" t="str">
        <f t="shared" si="45"/>
        <v>M4</v>
      </c>
      <c r="BK406" s="556" t="str">
        <f t="shared" si="46"/>
        <v>TS1</v>
      </c>
      <c r="BL406" s="556" t="str">
        <f t="shared" si="47"/>
        <v/>
      </c>
      <c r="BM406" s="497">
        <f t="shared" si="48"/>
        <v>52900</v>
      </c>
    </row>
    <row r="407" spans="1:65">
      <c r="A407">
        <v>20609</v>
      </c>
      <c r="B407" t="s">
        <v>2012</v>
      </c>
      <c r="C407" t="s">
        <v>45</v>
      </c>
      <c r="D407" t="s">
        <v>1813</v>
      </c>
      <c r="F407" s="503">
        <v>44114</v>
      </c>
      <c r="H407" t="s">
        <v>645</v>
      </c>
      <c r="I407" t="s">
        <v>1753</v>
      </c>
      <c r="J407">
        <v>2000</v>
      </c>
      <c r="K407" t="s">
        <v>1068</v>
      </c>
      <c r="O407" t="s">
        <v>2299</v>
      </c>
      <c r="W407">
        <v>1.84</v>
      </c>
      <c r="X407">
        <v>1.86</v>
      </c>
      <c r="Y407">
        <v>0</v>
      </c>
      <c r="Z407">
        <v>0</v>
      </c>
      <c r="AA407">
        <v>2</v>
      </c>
      <c r="AE407" t="s">
        <v>3189</v>
      </c>
      <c r="AI407">
        <v>60</v>
      </c>
      <c r="AJ407">
        <v>1850325</v>
      </c>
      <c r="AK407">
        <v>0</v>
      </c>
      <c r="AL407">
        <v>0</v>
      </c>
      <c r="AN407" t="s">
        <v>1703</v>
      </c>
      <c r="AO407">
        <v>3.25</v>
      </c>
      <c r="AT407" t="s">
        <v>2949</v>
      </c>
      <c r="AX407">
        <v>20201010</v>
      </c>
      <c r="AY407" t="s">
        <v>1754</v>
      </c>
      <c r="BG407" s="556" t="str">
        <f t="shared" si="42"/>
        <v>O</v>
      </c>
      <c r="BH407" s="556" t="str">
        <f t="shared" si="43"/>
        <v/>
      </c>
      <c r="BI407" s="556" t="str">
        <f t="shared" si="44"/>
        <v/>
      </c>
      <c r="BJ407" s="556" t="str">
        <f t="shared" si="45"/>
        <v>M4</v>
      </c>
      <c r="BK407" s="556" t="str">
        <f t="shared" si="46"/>
        <v>TS1</v>
      </c>
      <c r="BL407" s="556" t="str">
        <f t="shared" si="47"/>
        <v/>
      </c>
      <c r="BM407" s="497">
        <f t="shared" si="48"/>
        <v>20609</v>
      </c>
    </row>
    <row r="408" spans="1:65">
      <c r="A408">
        <v>20053</v>
      </c>
      <c r="B408" t="s">
        <v>702</v>
      </c>
      <c r="C408" t="s">
        <v>704</v>
      </c>
      <c r="D408" t="s">
        <v>1763</v>
      </c>
      <c r="F408" s="503">
        <v>43025</v>
      </c>
      <c r="H408" t="s">
        <v>58</v>
      </c>
      <c r="I408" t="s">
        <v>1753</v>
      </c>
      <c r="J408">
        <v>2000</v>
      </c>
      <c r="K408" t="s">
        <v>1068</v>
      </c>
      <c r="O408" t="s">
        <v>2299</v>
      </c>
      <c r="W408">
        <v>1.84</v>
      </c>
      <c r="X408">
        <v>1.85</v>
      </c>
      <c r="Y408">
        <v>0</v>
      </c>
      <c r="Z408">
        <v>0</v>
      </c>
      <c r="AA408">
        <v>2</v>
      </c>
      <c r="AE408" t="s">
        <v>326</v>
      </c>
      <c r="AH408" t="s">
        <v>2013</v>
      </c>
      <c r="AI408">
        <v>4</v>
      </c>
      <c r="AJ408">
        <v>1850325</v>
      </c>
      <c r="AK408">
        <v>0</v>
      </c>
      <c r="AL408">
        <v>0</v>
      </c>
      <c r="AN408" t="s">
        <v>1703</v>
      </c>
      <c r="AO408">
        <v>3.25</v>
      </c>
      <c r="AT408" t="s">
        <v>3224</v>
      </c>
      <c r="AX408">
        <v>20171017</v>
      </c>
      <c r="AY408" t="s">
        <v>3241</v>
      </c>
      <c r="BG408" s="556" t="str">
        <f t="shared" si="42"/>
        <v>O</v>
      </c>
      <c r="BH408" s="556" t="str">
        <f t="shared" si="43"/>
        <v/>
      </c>
      <c r="BI408" s="556" t="str">
        <f t="shared" si="44"/>
        <v/>
      </c>
      <c r="BJ408" s="556" t="str">
        <f t="shared" si="45"/>
        <v>M4</v>
      </c>
      <c r="BK408" s="556" t="str">
        <f t="shared" si="46"/>
        <v>TS1</v>
      </c>
      <c r="BL408" s="556" t="str">
        <f t="shared" si="47"/>
        <v/>
      </c>
      <c r="BM408" s="497">
        <f t="shared" si="48"/>
        <v>20053</v>
      </c>
    </row>
    <row r="409" spans="1:65">
      <c r="A409">
        <v>20020</v>
      </c>
      <c r="B409" t="s">
        <v>33</v>
      </c>
      <c r="C409" t="s">
        <v>45</v>
      </c>
      <c r="D409" t="s">
        <v>1774</v>
      </c>
      <c r="F409" s="503">
        <v>42748</v>
      </c>
      <c r="H409" t="s">
        <v>58</v>
      </c>
      <c r="I409" t="s">
        <v>1753</v>
      </c>
      <c r="J409">
        <v>2000</v>
      </c>
      <c r="K409" t="s">
        <v>1068</v>
      </c>
      <c r="O409" t="s">
        <v>2299</v>
      </c>
      <c r="W409">
        <v>1.84</v>
      </c>
      <c r="X409">
        <v>1.73</v>
      </c>
      <c r="Y409">
        <v>0</v>
      </c>
      <c r="Z409">
        <v>0</v>
      </c>
      <c r="AA409">
        <v>2</v>
      </c>
      <c r="AE409" t="s">
        <v>1039</v>
      </c>
      <c r="AI409">
        <v>60</v>
      </c>
      <c r="AJ409">
        <v>1850325</v>
      </c>
      <c r="AK409">
        <v>0</v>
      </c>
      <c r="AL409">
        <v>0</v>
      </c>
      <c r="AN409" t="s">
        <v>1703</v>
      </c>
      <c r="AO409">
        <v>3.25</v>
      </c>
      <c r="AX409">
        <v>20170113</v>
      </c>
      <c r="AY409" t="s">
        <v>1754</v>
      </c>
      <c r="BG409" s="556" t="str">
        <f t="shared" si="42"/>
        <v>O</v>
      </c>
      <c r="BH409" s="556" t="str">
        <f t="shared" si="43"/>
        <v/>
      </c>
      <c r="BI409" s="556" t="str">
        <f t="shared" si="44"/>
        <v/>
      </c>
      <c r="BJ409" s="556" t="str">
        <f t="shared" si="45"/>
        <v>M4</v>
      </c>
      <c r="BK409" s="556" t="str">
        <f t="shared" si="46"/>
        <v>TS1</v>
      </c>
      <c r="BL409" s="556" t="str">
        <f t="shared" si="47"/>
        <v/>
      </c>
      <c r="BM409" s="497">
        <f t="shared" si="48"/>
        <v>20020</v>
      </c>
    </row>
    <row r="410" spans="1:65">
      <c r="A410">
        <v>52021</v>
      </c>
      <c r="B410" t="s">
        <v>2014</v>
      </c>
      <c r="C410" t="s">
        <v>2015</v>
      </c>
      <c r="D410" t="s">
        <v>1755</v>
      </c>
      <c r="F410" s="503">
        <v>44443</v>
      </c>
      <c r="H410" t="s">
        <v>645</v>
      </c>
      <c r="I410" t="s">
        <v>1753</v>
      </c>
      <c r="J410">
        <v>1000</v>
      </c>
      <c r="K410" t="s">
        <v>1068</v>
      </c>
      <c r="O410" t="s">
        <v>2302</v>
      </c>
      <c r="W410">
        <v>1.84</v>
      </c>
      <c r="X410">
        <v>2.6</v>
      </c>
      <c r="Y410">
        <v>0</v>
      </c>
      <c r="Z410">
        <v>0</v>
      </c>
      <c r="AA410">
        <v>2</v>
      </c>
      <c r="AE410" t="s">
        <v>1039</v>
      </c>
      <c r="AI410">
        <v>70</v>
      </c>
      <c r="AJ410">
        <v>1850325</v>
      </c>
      <c r="AK410">
        <v>0</v>
      </c>
      <c r="AN410" t="s">
        <v>1703</v>
      </c>
      <c r="AO410">
        <v>3.25</v>
      </c>
      <c r="AX410">
        <v>20210904</v>
      </c>
      <c r="AY410" t="s">
        <v>1939</v>
      </c>
      <c r="AZ410" t="s">
        <v>1876</v>
      </c>
      <c r="BG410" s="556" t="str">
        <f t="shared" si="42"/>
        <v>O</v>
      </c>
      <c r="BH410" s="556" t="str">
        <f t="shared" si="43"/>
        <v>Y</v>
      </c>
      <c r="BI410" s="556" t="str">
        <f t="shared" si="44"/>
        <v/>
      </c>
      <c r="BJ410" s="556" t="str">
        <f t="shared" si="45"/>
        <v>M4</v>
      </c>
      <c r="BK410" s="556" t="str">
        <f t="shared" si="46"/>
        <v>S4</v>
      </c>
      <c r="BL410" s="556" t="str">
        <f t="shared" si="47"/>
        <v/>
      </c>
      <c r="BM410" s="497">
        <f t="shared" si="48"/>
        <v>52021</v>
      </c>
    </row>
    <row r="411" spans="1:65">
      <c r="A411">
        <v>20081</v>
      </c>
      <c r="B411" t="s">
        <v>2016</v>
      </c>
      <c r="C411" t="s">
        <v>2910</v>
      </c>
      <c r="D411" t="s">
        <v>1774</v>
      </c>
      <c r="F411" s="503">
        <v>44695</v>
      </c>
      <c r="I411" t="s">
        <v>1753</v>
      </c>
      <c r="J411">
        <v>2000</v>
      </c>
      <c r="K411" t="s">
        <v>1068</v>
      </c>
      <c r="O411" t="s">
        <v>2302</v>
      </c>
      <c r="W411">
        <v>1.84</v>
      </c>
      <c r="X411">
        <v>1.86</v>
      </c>
      <c r="Y411">
        <v>0</v>
      </c>
      <c r="Z411">
        <v>0</v>
      </c>
      <c r="AA411">
        <v>2</v>
      </c>
      <c r="AE411" t="s">
        <v>1039</v>
      </c>
      <c r="AI411">
        <v>70</v>
      </c>
      <c r="AJ411">
        <v>1850325</v>
      </c>
      <c r="AK411">
        <v>0</v>
      </c>
      <c r="AN411" t="s">
        <v>1703</v>
      </c>
      <c r="AO411">
        <v>3.25</v>
      </c>
      <c r="AX411">
        <v>20220514</v>
      </c>
      <c r="AY411" t="s">
        <v>1939</v>
      </c>
      <c r="AZ411" t="s">
        <v>1885</v>
      </c>
      <c r="BG411" s="556" t="str">
        <f t="shared" si="42"/>
        <v>O</v>
      </c>
      <c r="BH411" s="556" t="str">
        <f t="shared" si="43"/>
        <v>Y</v>
      </c>
      <c r="BI411" s="556" t="str">
        <f t="shared" si="44"/>
        <v/>
      </c>
      <c r="BJ411" s="556" t="str">
        <f t="shared" si="45"/>
        <v>M4</v>
      </c>
      <c r="BK411" s="556" t="str">
        <f t="shared" si="46"/>
        <v>S4</v>
      </c>
      <c r="BL411" s="556" t="str">
        <f t="shared" si="47"/>
        <v/>
      </c>
      <c r="BM411" s="497">
        <f t="shared" si="48"/>
        <v>20081</v>
      </c>
    </row>
    <row r="412" spans="1:65">
      <c r="A412">
        <v>99004</v>
      </c>
      <c r="B412" t="s">
        <v>706</v>
      </c>
      <c r="C412" t="s">
        <v>694</v>
      </c>
      <c r="D412" t="s">
        <v>358</v>
      </c>
      <c r="F412" s="503">
        <v>43382</v>
      </c>
      <c r="H412" t="s">
        <v>645</v>
      </c>
      <c r="I412" t="s">
        <v>1753</v>
      </c>
      <c r="J412">
        <v>2000</v>
      </c>
      <c r="K412" t="s">
        <v>1068</v>
      </c>
      <c r="O412" t="s">
        <v>2299</v>
      </c>
      <c r="W412">
        <v>2.41</v>
      </c>
      <c r="X412">
        <v>2.39</v>
      </c>
      <c r="Y412">
        <v>0</v>
      </c>
      <c r="Z412">
        <v>0</v>
      </c>
      <c r="AA412">
        <v>2</v>
      </c>
      <c r="AE412" t="s">
        <v>1039</v>
      </c>
      <c r="AI412">
        <v>74</v>
      </c>
      <c r="AJ412">
        <v>1850325</v>
      </c>
      <c r="AK412">
        <v>0</v>
      </c>
      <c r="AN412" t="s">
        <v>1703</v>
      </c>
      <c r="AO412">
        <v>3.25</v>
      </c>
      <c r="AX412">
        <v>20181009</v>
      </c>
      <c r="AY412" t="s">
        <v>1768</v>
      </c>
      <c r="AZ412" t="s">
        <v>1950</v>
      </c>
      <c r="BG412" s="556" t="str">
        <f t="shared" si="42"/>
        <v>O</v>
      </c>
      <c r="BH412" s="556" t="str">
        <f t="shared" si="43"/>
        <v/>
      </c>
      <c r="BI412" s="556" t="str">
        <f t="shared" si="44"/>
        <v/>
      </c>
      <c r="BJ412" s="556" t="str">
        <f t="shared" si="45"/>
        <v>M4</v>
      </c>
      <c r="BK412" s="556" t="str">
        <f t="shared" si="46"/>
        <v>TS1</v>
      </c>
      <c r="BL412" s="556" t="str">
        <f t="shared" si="47"/>
        <v/>
      </c>
      <c r="BM412" s="497">
        <f t="shared" si="48"/>
        <v>99004</v>
      </c>
    </row>
    <row r="413" spans="1:65">
      <c r="A413">
        <v>40051</v>
      </c>
      <c r="B413" t="s">
        <v>3113</v>
      </c>
      <c r="C413" t="s">
        <v>45</v>
      </c>
      <c r="D413" t="s">
        <v>1803</v>
      </c>
      <c r="F413" s="503">
        <v>45790</v>
      </c>
      <c r="H413" t="s">
        <v>645</v>
      </c>
      <c r="I413" t="s">
        <v>1753</v>
      </c>
      <c r="J413">
        <v>2000</v>
      </c>
      <c r="K413" t="s">
        <v>1068</v>
      </c>
      <c r="O413" t="s">
        <v>1068</v>
      </c>
      <c r="W413">
        <v>1.84</v>
      </c>
      <c r="X413">
        <v>1.79</v>
      </c>
      <c r="Y413">
        <v>0</v>
      </c>
      <c r="Z413">
        <v>0</v>
      </c>
      <c r="AA413">
        <v>2</v>
      </c>
      <c r="AE413" t="s">
        <v>1039</v>
      </c>
      <c r="AI413">
        <v>60</v>
      </c>
      <c r="AJ413">
        <v>1850325</v>
      </c>
      <c r="AK413">
        <v>0</v>
      </c>
      <c r="AL413">
        <v>0</v>
      </c>
      <c r="AN413" t="s">
        <v>1703</v>
      </c>
      <c r="AO413">
        <v>3.25</v>
      </c>
      <c r="AX413">
        <v>20250513</v>
      </c>
      <c r="AY413" t="s">
        <v>1754</v>
      </c>
      <c r="BG413" s="556" t="str">
        <f t="shared" si="42"/>
        <v>O</v>
      </c>
      <c r="BH413" s="556" t="str">
        <f t="shared" si="43"/>
        <v/>
      </c>
      <c r="BI413" s="556" t="str">
        <f t="shared" si="44"/>
        <v/>
      </c>
      <c r="BJ413" s="556" t="str">
        <f t="shared" si="45"/>
        <v>M4</v>
      </c>
      <c r="BK413" s="556" t="str">
        <f t="shared" si="46"/>
        <v>M4</v>
      </c>
      <c r="BL413" s="556" t="str">
        <f t="shared" si="47"/>
        <v/>
      </c>
      <c r="BM413" s="497">
        <f t="shared" si="48"/>
        <v>40051</v>
      </c>
    </row>
    <row r="414" spans="1:65">
      <c r="A414">
        <v>31010</v>
      </c>
      <c r="B414" t="s">
        <v>32</v>
      </c>
      <c r="C414" t="s">
        <v>45</v>
      </c>
      <c r="D414" t="s">
        <v>1921</v>
      </c>
      <c r="F414" s="503">
        <v>43319</v>
      </c>
      <c r="H414" t="s">
        <v>58</v>
      </c>
      <c r="I414" t="s">
        <v>1753</v>
      </c>
      <c r="J414">
        <v>2000</v>
      </c>
      <c r="K414" t="s">
        <v>1068</v>
      </c>
      <c r="O414" t="s">
        <v>2299</v>
      </c>
      <c r="W414">
        <v>1.86</v>
      </c>
      <c r="X414">
        <v>1.72</v>
      </c>
      <c r="Y414">
        <v>0</v>
      </c>
      <c r="Z414">
        <v>0</v>
      </c>
      <c r="AA414">
        <v>0</v>
      </c>
      <c r="AE414" t="s">
        <v>1761</v>
      </c>
      <c r="AI414">
        <v>57</v>
      </c>
      <c r="AJ414">
        <v>4300325</v>
      </c>
      <c r="AK414">
        <v>0</v>
      </c>
      <c r="AN414" t="s">
        <v>185</v>
      </c>
      <c r="AO414">
        <v>3.25</v>
      </c>
      <c r="AX414">
        <v>20180807</v>
      </c>
      <c r="AY414" t="s">
        <v>1780</v>
      </c>
      <c r="BG414" s="556" t="str">
        <f t="shared" si="42"/>
        <v>O</v>
      </c>
      <c r="BH414" s="556" t="str">
        <f t="shared" si="43"/>
        <v/>
      </c>
      <c r="BI414" s="556" t="str">
        <f t="shared" si="44"/>
        <v/>
      </c>
      <c r="BJ414" s="556" t="str">
        <f t="shared" si="45"/>
        <v>M4</v>
      </c>
      <c r="BK414" s="556" t="str">
        <f t="shared" si="46"/>
        <v>TS1</v>
      </c>
      <c r="BL414" s="556" t="str">
        <f t="shared" si="47"/>
        <v/>
      </c>
      <c r="BM414" s="497">
        <f t="shared" si="48"/>
        <v>31010</v>
      </c>
    </row>
    <row r="415" spans="1:65">
      <c r="A415">
        <v>50619</v>
      </c>
      <c r="B415" t="s">
        <v>914</v>
      </c>
      <c r="C415" t="s">
        <v>916</v>
      </c>
      <c r="D415" t="s">
        <v>1921</v>
      </c>
      <c r="F415" s="503">
        <v>45840</v>
      </c>
      <c r="H415" t="s">
        <v>645</v>
      </c>
      <c r="I415" t="s">
        <v>1753</v>
      </c>
      <c r="J415">
        <v>0</v>
      </c>
      <c r="K415" t="s">
        <v>1068</v>
      </c>
      <c r="O415" t="s">
        <v>1068</v>
      </c>
      <c r="W415">
        <v>1.86</v>
      </c>
      <c r="X415">
        <v>1.72</v>
      </c>
      <c r="Y415">
        <v>0</v>
      </c>
      <c r="Z415">
        <v>0</v>
      </c>
      <c r="AA415">
        <v>0</v>
      </c>
      <c r="AE415" t="s">
        <v>1761</v>
      </c>
      <c r="AI415">
        <v>57</v>
      </c>
      <c r="AJ415">
        <v>4300325</v>
      </c>
      <c r="AK415">
        <v>0</v>
      </c>
      <c r="AN415" t="s">
        <v>185</v>
      </c>
      <c r="AO415">
        <v>3.25</v>
      </c>
      <c r="AX415">
        <v>20250702</v>
      </c>
      <c r="AY415" t="s">
        <v>1780</v>
      </c>
      <c r="BG415" s="556" t="str">
        <f t="shared" si="42"/>
        <v>O</v>
      </c>
      <c r="BH415" s="556" t="str">
        <f t="shared" si="43"/>
        <v/>
      </c>
      <c r="BI415" s="556" t="str">
        <f t="shared" si="44"/>
        <v/>
      </c>
      <c r="BJ415" s="556" t="str">
        <f t="shared" si="45"/>
        <v>M4</v>
      </c>
      <c r="BK415" s="556" t="str">
        <f t="shared" si="46"/>
        <v>M4</v>
      </c>
      <c r="BL415" s="556" t="str">
        <f t="shared" si="47"/>
        <v/>
      </c>
      <c r="BM415" s="497">
        <f t="shared" si="48"/>
        <v>50619</v>
      </c>
    </row>
    <row r="416" spans="1:65">
      <c r="A416">
        <v>45002</v>
      </c>
      <c r="B416" t="s">
        <v>3160</v>
      </c>
      <c r="C416" t="s">
        <v>3162</v>
      </c>
      <c r="D416" t="s">
        <v>2850</v>
      </c>
      <c r="F416" s="503">
        <v>43363</v>
      </c>
      <c r="H416" t="s">
        <v>645</v>
      </c>
      <c r="I416" t="s">
        <v>1753</v>
      </c>
      <c r="J416">
        <v>2000</v>
      </c>
      <c r="K416" t="s">
        <v>1068</v>
      </c>
      <c r="O416" t="s">
        <v>2299</v>
      </c>
      <c r="W416">
        <v>1.98</v>
      </c>
      <c r="X416">
        <v>1.79</v>
      </c>
      <c r="Y416">
        <v>0</v>
      </c>
      <c r="Z416">
        <v>0</v>
      </c>
      <c r="AA416">
        <v>0</v>
      </c>
      <c r="AE416" t="s">
        <v>1761</v>
      </c>
      <c r="AI416">
        <v>57</v>
      </c>
      <c r="AJ416">
        <v>3020325</v>
      </c>
      <c r="AK416">
        <v>0</v>
      </c>
      <c r="AN416" t="s">
        <v>135</v>
      </c>
      <c r="AO416">
        <v>3.25</v>
      </c>
      <c r="AX416">
        <v>20180920</v>
      </c>
      <c r="AY416" t="s">
        <v>1780</v>
      </c>
      <c r="BG416" s="556" t="str">
        <f t="shared" si="42"/>
        <v>O</v>
      </c>
      <c r="BH416" s="556" t="str">
        <f t="shared" si="43"/>
        <v/>
      </c>
      <c r="BI416" s="556" t="str">
        <f t="shared" si="44"/>
        <v/>
      </c>
      <c r="BJ416" s="556" t="str">
        <f t="shared" si="45"/>
        <v>M4</v>
      </c>
      <c r="BK416" s="556" t="str">
        <f t="shared" si="46"/>
        <v>TS1</v>
      </c>
      <c r="BL416" s="556" t="str">
        <f t="shared" si="47"/>
        <v/>
      </c>
      <c r="BM416" s="497">
        <f t="shared" si="48"/>
        <v>45002</v>
      </c>
    </row>
    <row r="417" spans="1:65">
      <c r="A417">
        <v>20076</v>
      </c>
      <c r="B417" t="s">
        <v>2017</v>
      </c>
      <c r="C417" t="s">
        <v>81</v>
      </c>
      <c r="D417" t="s">
        <v>1839</v>
      </c>
      <c r="F417" s="503">
        <v>44291</v>
      </c>
      <c r="H417" t="s">
        <v>645</v>
      </c>
      <c r="I417" t="s">
        <v>1753</v>
      </c>
      <c r="J417">
        <v>2000</v>
      </c>
      <c r="K417" t="s">
        <v>1068</v>
      </c>
      <c r="O417" t="s">
        <v>1068</v>
      </c>
      <c r="S417" t="s">
        <v>2301</v>
      </c>
      <c r="W417">
        <v>1.8</v>
      </c>
      <c r="X417">
        <v>1.82</v>
      </c>
      <c r="Y417">
        <v>0</v>
      </c>
      <c r="Z417">
        <v>0</v>
      </c>
      <c r="AA417">
        <v>2</v>
      </c>
      <c r="AE417" t="s">
        <v>1039</v>
      </c>
      <c r="AI417">
        <v>69</v>
      </c>
      <c r="AJ417">
        <v>1850320</v>
      </c>
      <c r="AK417">
        <v>0</v>
      </c>
      <c r="AL417">
        <v>0</v>
      </c>
      <c r="AN417" t="s">
        <v>1703</v>
      </c>
      <c r="AO417">
        <v>3.2</v>
      </c>
      <c r="AR417" t="s">
        <v>2948</v>
      </c>
      <c r="AX417">
        <v>20210405</v>
      </c>
      <c r="AY417" t="s">
        <v>1830</v>
      </c>
      <c r="BG417" s="556" t="str">
        <f t="shared" si="42"/>
        <v>O</v>
      </c>
      <c r="BH417" s="556" t="str">
        <f t="shared" si="43"/>
        <v/>
      </c>
      <c r="BI417" s="556" t="str">
        <f t="shared" si="44"/>
        <v/>
      </c>
      <c r="BJ417" s="556" t="str">
        <f t="shared" si="45"/>
        <v>M4</v>
      </c>
      <c r="BK417" s="556" t="str">
        <f t="shared" si="46"/>
        <v>M4</v>
      </c>
      <c r="BL417" s="556" t="str">
        <f t="shared" si="47"/>
        <v>CT</v>
      </c>
      <c r="BM417" s="497">
        <f t="shared" si="48"/>
        <v>20076</v>
      </c>
    </row>
    <row r="418" spans="1:65">
      <c r="A418">
        <v>40029</v>
      </c>
      <c r="B418" t="s">
        <v>1718</v>
      </c>
      <c r="C418" t="s">
        <v>2018</v>
      </c>
      <c r="D418" t="s">
        <v>1803</v>
      </c>
      <c r="F418" s="503">
        <v>44604</v>
      </c>
      <c r="H418" t="s">
        <v>645</v>
      </c>
      <c r="I418" t="s">
        <v>1753</v>
      </c>
      <c r="J418">
        <v>2000</v>
      </c>
      <c r="K418" t="s">
        <v>1068</v>
      </c>
      <c r="O418" t="s">
        <v>2302</v>
      </c>
      <c r="S418" t="s">
        <v>2301</v>
      </c>
      <c r="W418">
        <v>1.91</v>
      </c>
      <c r="X418">
        <v>2.14</v>
      </c>
      <c r="Y418">
        <v>0</v>
      </c>
      <c r="Z418">
        <v>0</v>
      </c>
      <c r="AA418">
        <v>0</v>
      </c>
      <c r="AE418" t="s">
        <v>1039</v>
      </c>
      <c r="AI418">
        <v>93</v>
      </c>
      <c r="AJ418">
        <v>1000345</v>
      </c>
      <c r="AK418">
        <v>0</v>
      </c>
      <c r="AN418" t="s">
        <v>133</v>
      </c>
      <c r="AO418">
        <v>3.45</v>
      </c>
      <c r="AR418" t="s">
        <v>2948</v>
      </c>
      <c r="AX418">
        <v>20220212</v>
      </c>
      <c r="AY418" t="s">
        <v>2019</v>
      </c>
      <c r="AZ418" t="s">
        <v>1895</v>
      </c>
      <c r="BG418" s="556" t="str">
        <f t="shared" si="42"/>
        <v>O</v>
      </c>
      <c r="BH418" s="556" t="str">
        <f t="shared" si="43"/>
        <v>Y</v>
      </c>
      <c r="BI418" s="556" t="str">
        <f t="shared" si="44"/>
        <v/>
      </c>
      <c r="BJ418" s="556" t="str">
        <f t="shared" si="45"/>
        <v>M4</v>
      </c>
      <c r="BK418" s="556" t="str">
        <f t="shared" si="46"/>
        <v>S4</v>
      </c>
      <c r="BL418" s="556" t="str">
        <f t="shared" si="47"/>
        <v>CT</v>
      </c>
      <c r="BM418" s="497">
        <f t="shared" si="48"/>
        <v>40029</v>
      </c>
    </row>
    <row r="419" spans="1:65">
      <c r="A419">
        <v>53616</v>
      </c>
      <c r="B419" t="s">
        <v>2746</v>
      </c>
      <c r="C419" t="s">
        <v>2747</v>
      </c>
      <c r="D419" t="s">
        <v>2191</v>
      </c>
      <c r="F419" s="503">
        <v>45024</v>
      </c>
      <c r="H419" t="s">
        <v>58</v>
      </c>
      <c r="I419" t="s">
        <v>1753</v>
      </c>
      <c r="J419">
        <v>2000</v>
      </c>
      <c r="K419">
        <v>9</v>
      </c>
      <c r="O419" t="s">
        <v>2303</v>
      </c>
      <c r="W419">
        <v>1.74</v>
      </c>
      <c r="X419">
        <v>1.74</v>
      </c>
      <c r="Y419">
        <v>0</v>
      </c>
      <c r="Z419">
        <v>0</v>
      </c>
      <c r="AA419">
        <v>0</v>
      </c>
      <c r="AE419" t="s">
        <v>1761</v>
      </c>
      <c r="AI419">
        <v>57</v>
      </c>
      <c r="AJ419">
        <v>3020345</v>
      </c>
      <c r="AK419">
        <v>0</v>
      </c>
      <c r="AL419">
        <v>0</v>
      </c>
      <c r="AN419" t="s">
        <v>2629</v>
      </c>
      <c r="AO419">
        <v>3.45</v>
      </c>
      <c r="AX419">
        <v>20230408</v>
      </c>
      <c r="AY419" t="s">
        <v>1780</v>
      </c>
      <c r="BG419" s="556" t="str">
        <f t="shared" si="42"/>
        <v>O</v>
      </c>
      <c r="BH419" s="556" t="str">
        <f t="shared" si="43"/>
        <v/>
      </c>
      <c r="BI419" s="556" t="str">
        <f t="shared" si="44"/>
        <v/>
      </c>
      <c r="BJ419" s="556">
        <f t="shared" si="45"/>
        <v>9</v>
      </c>
      <c r="BK419" s="556" t="str">
        <f t="shared" si="46"/>
        <v>M6</v>
      </c>
      <c r="BL419" s="556" t="str">
        <f t="shared" si="47"/>
        <v/>
      </c>
      <c r="BM419" s="497">
        <f t="shared" si="48"/>
        <v>53616</v>
      </c>
    </row>
    <row r="420" spans="1:65">
      <c r="A420">
        <v>50605</v>
      </c>
      <c r="B420" t="s">
        <v>2020</v>
      </c>
      <c r="C420" t="s">
        <v>701</v>
      </c>
      <c r="D420" t="s">
        <v>1954</v>
      </c>
      <c r="F420" s="503">
        <v>43286</v>
      </c>
      <c r="H420" t="s">
        <v>58</v>
      </c>
      <c r="I420" t="s">
        <v>2010</v>
      </c>
      <c r="J420">
        <v>2000</v>
      </c>
      <c r="K420" t="s">
        <v>1068</v>
      </c>
      <c r="O420" t="s">
        <v>2299</v>
      </c>
      <c r="W420">
        <v>1.72</v>
      </c>
      <c r="X420">
        <v>1.72</v>
      </c>
      <c r="Y420">
        <v>0</v>
      </c>
      <c r="Z420">
        <v>0</v>
      </c>
      <c r="AA420">
        <v>2</v>
      </c>
      <c r="AE420" t="s">
        <v>1039</v>
      </c>
      <c r="AI420">
        <v>60</v>
      </c>
      <c r="AJ420">
        <v>1850325</v>
      </c>
      <c r="AK420">
        <v>0</v>
      </c>
      <c r="AN420" t="s">
        <v>1703</v>
      </c>
      <c r="AO420">
        <v>3.25</v>
      </c>
      <c r="AX420">
        <v>20180705</v>
      </c>
      <c r="AY420" t="s">
        <v>1754</v>
      </c>
      <c r="BG420" s="556" t="str">
        <f t="shared" si="42"/>
        <v>O</v>
      </c>
      <c r="BH420" s="556" t="str">
        <f t="shared" si="43"/>
        <v/>
      </c>
      <c r="BI420" s="556" t="str">
        <f t="shared" si="44"/>
        <v/>
      </c>
      <c r="BJ420" s="556" t="str">
        <f t="shared" si="45"/>
        <v>M4</v>
      </c>
      <c r="BK420" s="556" t="str">
        <f t="shared" si="46"/>
        <v>TS1</v>
      </c>
      <c r="BL420" s="556" t="str">
        <f t="shared" si="47"/>
        <v/>
      </c>
      <c r="BM420" s="497">
        <f t="shared" si="48"/>
        <v>50605</v>
      </c>
    </row>
    <row r="421" spans="1:65">
      <c r="A421">
        <v>20040</v>
      </c>
      <c r="B421" t="s">
        <v>190</v>
      </c>
      <c r="C421" t="s">
        <v>191</v>
      </c>
      <c r="D421" t="s">
        <v>1774</v>
      </c>
      <c r="F421" s="503">
        <v>42748</v>
      </c>
      <c r="H421" t="s">
        <v>86</v>
      </c>
      <c r="I421" t="s">
        <v>1753</v>
      </c>
      <c r="J421">
        <v>2000</v>
      </c>
      <c r="K421" t="s">
        <v>1068</v>
      </c>
      <c r="O421" t="s">
        <v>1068</v>
      </c>
      <c r="W421">
        <v>1.6</v>
      </c>
      <c r="X421">
        <v>1.64</v>
      </c>
      <c r="Y421">
        <v>0</v>
      </c>
      <c r="Z421">
        <v>0</v>
      </c>
      <c r="AA421">
        <v>2</v>
      </c>
      <c r="AE421" t="s">
        <v>1039</v>
      </c>
      <c r="AI421">
        <v>60</v>
      </c>
      <c r="AJ421">
        <v>1850320</v>
      </c>
      <c r="AK421">
        <v>0</v>
      </c>
      <c r="AL421">
        <v>0</v>
      </c>
      <c r="AN421" t="s">
        <v>1703</v>
      </c>
      <c r="AO421">
        <v>3.2</v>
      </c>
      <c r="AX421">
        <v>20170113</v>
      </c>
      <c r="AY421" t="s">
        <v>1754</v>
      </c>
      <c r="BG421" s="556" t="str">
        <f t="shared" si="42"/>
        <v>O</v>
      </c>
      <c r="BH421" s="556" t="str">
        <f t="shared" si="43"/>
        <v/>
      </c>
      <c r="BI421" s="556" t="str">
        <f t="shared" si="44"/>
        <v/>
      </c>
      <c r="BJ421" s="556" t="str">
        <f t="shared" si="45"/>
        <v>M4</v>
      </c>
      <c r="BK421" s="556" t="str">
        <f t="shared" si="46"/>
        <v>M4</v>
      </c>
      <c r="BL421" s="556" t="str">
        <f t="shared" si="47"/>
        <v/>
      </c>
      <c r="BM421" s="497">
        <f t="shared" si="48"/>
        <v>20040</v>
      </c>
    </row>
    <row r="422" spans="1:65">
      <c r="A422">
        <v>55022</v>
      </c>
      <c r="B422" t="s">
        <v>2911</v>
      </c>
      <c r="C422" t="s">
        <v>2912</v>
      </c>
      <c r="D422" t="s">
        <v>2375</v>
      </c>
      <c r="F422" s="503">
        <v>45493</v>
      </c>
      <c r="H422" t="s">
        <v>2021</v>
      </c>
      <c r="I422" t="s">
        <v>1753</v>
      </c>
      <c r="J422">
        <v>0</v>
      </c>
      <c r="K422" t="s">
        <v>1068</v>
      </c>
      <c r="O422" t="s">
        <v>1068</v>
      </c>
      <c r="W422">
        <v>1.35</v>
      </c>
      <c r="X422">
        <v>1.35</v>
      </c>
      <c r="Y422">
        <v>0</v>
      </c>
      <c r="Z422">
        <v>0</v>
      </c>
      <c r="AA422" t="s">
        <v>2966</v>
      </c>
      <c r="AE422" t="s">
        <v>1039</v>
      </c>
      <c r="AI422">
        <v>60</v>
      </c>
      <c r="AJ422">
        <v>2200288</v>
      </c>
      <c r="AK422">
        <v>0</v>
      </c>
      <c r="AL422">
        <v>0</v>
      </c>
      <c r="AN422" t="s">
        <v>2345</v>
      </c>
      <c r="AO422">
        <v>2.88</v>
      </c>
      <c r="AX422">
        <v>20240720</v>
      </c>
      <c r="AY422" t="s">
        <v>1754</v>
      </c>
      <c r="BG422" s="556" t="str">
        <f t="shared" si="42"/>
        <v>O</v>
      </c>
      <c r="BH422" s="556" t="str">
        <f t="shared" si="43"/>
        <v/>
      </c>
      <c r="BI422" s="556" t="str">
        <f t="shared" si="44"/>
        <v/>
      </c>
      <c r="BJ422" s="556" t="str">
        <f t="shared" si="45"/>
        <v>M4</v>
      </c>
      <c r="BK422" s="556" t="str">
        <f t="shared" si="46"/>
        <v>M4</v>
      </c>
      <c r="BL422" s="556" t="str">
        <f t="shared" si="47"/>
        <v/>
      </c>
      <c r="BM422" s="497">
        <f t="shared" si="48"/>
        <v>55022</v>
      </c>
    </row>
    <row r="423" spans="1:65">
      <c r="A423">
        <v>53562</v>
      </c>
      <c r="B423" t="s">
        <v>3096</v>
      </c>
      <c r="C423" t="s">
        <v>3083</v>
      </c>
      <c r="D423" t="s">
        <v>1827</v>
      </c>
      <c r="F423" s="503">
        <v>45771</v>
      </c>
      <c r="H423" t="s">
        <v>2021</v>
      </c>
      <c r="I423" t="s">
        <v>1753</v>
      </c>
      <c r="J423">
        <v>2000</v>
      </c>
      <c r="K423" t="s">
        <v>1068</v>
      </c>
      <c r="O423" t="s">
        <v>1068</v>
      </c>
      <c r="W423">
        <v>1.93</v>
      </c>
      <c r="X423">
        <v>1.93</v>
      </c>
      <c r="Y423">
        <v>0</v>
      </c>
      <c r="Z423">
        <v>0</v>
      </c>
      <c r="AA423">
        <v>2</v>
      </c>
      <c r="AE423" t="s">
        <v>1773</v>
      </c>
      <c r="AI423">
        <v>60</v>
      </c>
      <c r="AJ423">
        <v>1850325</v>
      </c>
      <c r="AK423">
        <v>0</v>
      </c>
      <c r="AN423" t="s">
        <v>1703</v>
      </c>
      <c r="AO423">
        <v>3.25</v>
      </c>
      <c r="AX423">
        <v>20250424</v>
      </c>
      <c r="AY423" t="s">
        <v>1754</v>
      </c>
      <c r="BG423" s="556" t="str">
        <f t="shared" si="42"/>
        <v>O</v>
      </c>
      <c r="BH423" s="556" t="str">
        <f t="shared" si="43"/>
        <v/>
      </c>
      <c r="BI423" s="556" t="str">
        <f t="shared" si="44"/>
        <v/>
      </c>
      <c r="BJ423" s="556" t="str">
        <f t="shared" si="45"/>
        <v>M4</v>
      </c>
      <c r="BK423" s="556" t="str">
        <f t="shared" si="46"/>
        <v>M4</v>
      </c>
      <c r="BL423" s="556" t="str">
        <f t="shared" si="47"/>
        <v/>
      </c>
      <c r="BM423" s="497">
        <f t="shared" si="48"/>
        <v>53562</v>
      </c>
    </row>
    <row r="424" spans="1:65">
      <c r="A424">
        <v>40035</v>
      </c>
      <c r="B424" t="s">
        <v>2401</v>
      </c>
      <c r="C424" t="s">
        <v>2402</v>
      </c>
      <c r="D424" t="s">
        <v>1803</v>
      </c>
      <c r="F424" s="503">
        <v>45010</v>
      </c>
      <c r="H424" t="s">
        <v>86</v>
      </c>
      <c r="I424" t="s">
        <v>1753</v>
      </c>
      <c r="J424">
        <v>500</v>
      </c>
      <c r="K424" t="s">
        <v>1068</v>
      </c>
      <c r="O424" t="s">
        <v>2299</v>
      </c>
      <c r="W424">
        <v>1.97</v>
      </c>
      <c r="X424">
        <v>1.97</v>
      </c>
      <c r="Y424">
        <v>0</v>
      </c>
      <c r="Z424">
        <v>0</v>
      </c>
      <c r="AA424">
        <v>2</v>
      </c>
      <c r="AE424" t="s">
        <v>326</v>
      </c>
      <c r="AI424">
        <v>73</v>
      </c>
      <c r="AJ424">
        <v>1850325</v>
      </c>
      <c r="AK424">
        <v>0</v>
      </c>
      <c r="AN424" t="s">
        <v>1703</v>
      </c>
      <c r="AO424">
        <v>3.25</v>
      </c>
      <c r="AT424" t="s">
        <v>3224</v>
      </c>
      <c r="AX424">
        <v>20230325</v>
      </c>
      <c r="AY424" t="s">
        <v>1978</v>
      </c>
      <c r="BG424" s="556" t="str">
        <f t="shared" si="42"/>
        <v>O</v>
      </c>
      <c r="BH424" s="556" t="str">
        <f t="shared" si="43"/>
        <v/>
      </c>
      <c r="BI424" s="556" t="str">
        <f t="shared" si="44"/>
        <v/>
      </c>
      <c r="BJ424" s="556" t="str">
        <f t="shared" si="45"/>
        <v>M4</v>
      </c>
      <c r="BK424" s="556" t="str">
        <f t="shared" si="46"/>
        <v>TS1</v>
      </c>
      <c r="BL424" s="556" t="str">
        <f t="shared" si="47"/>
        <v/>
      </c>
      <c r="BM424" s="497">
        <f t="shared" si="48"/>
        <v>40035</v>
      </c>
    </row>
    <row r="425" spans="1:65">
      <c r="A425">
        <v>40026</v>
      </c>
      <c r="B425" t="s">
        <v>1739</v>
      </c>
      <c r="C425" t="s">
        <v>45</v>
      </c>
      <c r="D425" t="s">
        <v>1803</v>
      </c>
      <c r="F425" s="503">
        <v>44604</v>
      </c>
      <c r="H425" t="s">
        <v>2021</v>
      </c>
      <c r="I425" t="s">
        <v>1753</v>
      </c>
      <c r="J425">
        <v>2000</v>
      </c>
      <c r="K425" t="s">
        <v>1068</v>
      </c>
      <c r="O425" t="s">
        <v>2299</v>
      </c>
      <c r="W425">
        <v>1.97</v>
      </c>
      <c r="X425">
        <v>1.85</v>
      </c>
      <c r="Y425">
        <v>0</v>
      </c>
      <c r="Z425">
        <v>0</v>
      </c>
      <c r="AA425">
        <v>2</v>
      </c>
      <c r="AE425" t="s">
        <v>1039</v>
      </c>
      <c r="AI425">
        <v>60</v>
      </c>
      <c r="AJ425">
        <v>1850325</v>
      </c>
      <c r="AK425">
        <v>0</v>
      </c>
      <c r="AL425">
        <v>0</v>
      </c>
      <c r="AN425" t="s">
        <v>1703</v>
      </c>
      <c r="AO425">
        <v>3.25</v>
      </c>
      <c r="AX425">
        <v>20220212</v>
      </c>
      <c r="AY425" t="s">
        <v>1754</v>
      </c>
      <c r="BG425" s="556" t="str">
        <f t="shared" si="42"/>
        <v>O</v>
      </c>
      <c r="BH425" s="556" t="str">
        <f t="shared" si="43"/>
        <v/>
      </c>
      <c r="BI425" s="556" t="str">
        <f t="shared" si="44"/>
        <v/>
      </c>
      <c r="BJ425" s="556" t="str">
        <f t="shared" si="45"/>
        <v>M4</v>
      </c>
      <c r="BK425" s="556" t="str">
        <f t="shared" si="46"/>
        <v>TS1</v>
      </c>
      <c r="BL425" s="556" t="str">
        <f t="shared" si="47"/>
        <v/>
      </c>
      <c r="BM425" s="497">
        <f t="shared" si="48"/>
        <v>40026</v>
      </c>
    </row>
    <row r="426" spans="1:65">
      <c r="A426">
        <v>20031</v>
      </c>
      <c r="B426" t="s">
        <v>85</v>
      </c>
      <c r="C426" t="s">
        <v>41</v>
      </c>
      <c r="D426" t="s">
        <v>1774</v>
      </c>
      <c r="F426" s="503">
        <v>42748</v>
      </c>
      <c r="H426" t="s">
        <v>86</v>
      </c>
      <c r="I426" t="s">
        <v>1753</v>
      </c>
      <c r="J426">
        <v>2000</v>
      </c>
      <c r="K426" t="s">
        <v>1068</v>
      </c>
      <c r="O426" t="s">
        <v>1068</v>
      </c>
      <c r="W426">
        <v>1.8</v>
      </c>
      <c r="X426">
        <v>1.8</v>
      </c>
      <c r="Y426">
        <v>0</v>
      </c>
      <c r="Z426">
        <v>0</v>
      </c>
      <c r="AA426">
        <v>0</v>
      </c>
      <c r="AE426" t="s">
        <v>1761</v>
      </c>
      <c r="AI426">
        <v>57</v>
      </c>
      <c r="AJ426">
        <v>4300320</v>
      </c>
      <c r="AK426">
        <v>0</v>
      </c>
      <c r="AL426">
        <v>0</v>
      </c>
      <c r="AN426" t="s">
        <v>185</v>
      </c>
      <c r="AO426">
        <v>3.2</v>
      </c>
      <c r="AX426">
        <v>20170113</v>
      </c>
      <c r="AY426" t="s">
        <v>1780</v>
      </c>
      <c r="BG426" s="556" t="str">
        <f t="shared" si="42"/>
        <v>O</v>
      </c>
      <c r="BH426" s="556" t="str">
        <f t="shared" si="43"/>
        <v/>
      </c>
      <c r="BI426" s="556" t="str">
        <f t="shared" si="44"/>
        <v/>
      </c>
      <c r="BJ426" s="556" t="str">
        <f t="shared" si="45"/>
        <v>M4</v>
      </c>
      <c r="BK426" s="556" t="str">
        <f t="shared" si="46"/>
        <v>M4</v>
      </c>
      <c r="BL426" s="556" t="str">
        <f t="shared" si="47"/>
        <v/>
      </c>
      <c r="BM426" s="497">
        <f t="shared" si="48"/>
        <v>20031</v>
      </c>
    </row>
    <row r="427" spans="1:65">
      <c r="A427">
        <v>53850</v>
      </c>
      <c r="B427" t="s">
        <v>3127</v>
      </c>
      <c r="C427" t="s">
        <v>3128</v>
      </c>
      <c r="D427" t="s">
        <v>3129</v>
      </c>
      <c r="F427" s="503">
        <v>45797</v>
      </c>
      <c r="H427" t="s">
        <v>2021</v>
      </c>
      <c r="I427" t="s">
        <v>1753</v>
      </c>
      <c r="J427">
        <v>2000</v>
      </c>
      <c r="K427" t="s">
        <v>1068</v>
      </c>
      <c r="O427" t="s">
        <v>1068</v>
      </c>
      <c r="W427">
        <v>1.57</v>
      </c>
      <c r="X427">
        <v>1.61</v>
      </c>
      <c r="Y427">
        <v>0</v>
      </c>
      <c r="Z427">
        <v>0</v>
      </c>
      <c r="AA427" t="s">
        <v>2966</v>
      </c>
      <c r="AE427" t="s">
        <v>1773</v>
      </c>
      <c r="AI427">
        <v>60</v>
      </c>
      <c r="AJ427">
        <v>2200320</v>
      </c>
      <c r="AK427">
        <v>0</v>
      </c>
      <c r="AN427" t="s">
        <v>2345</v>
      </c>
      <c r="AO427">
        <v>3.2</v>
      </c>
      <c r="AX427">
        <v>20250520</v>
      </c>
      <c r="AY427" t="s">
        <v>1754</v>
      </c>
      <c r="BG427" s="556" t="str">
        <f t="shared" si="42"/>
        <v>O</v>
      </c>
      <c r="BH427" s="556" t="str">
        <f t="shared" si="43"/>
        <v/>
      </c>
      <c r="BI427" s="556" t="str">
        <f t="shared" si="44"/>
        <v/>
      </c>
      <c r="BJ427" s="556" t="str">
        <f t="shared" si="45"/>
        <v>M4</v>
      </c>
      <c r="BK427" s="556" t="str">
        <f t="shared" si="46"/>
        <v>M4</v>
      </c>
      <c r="BL427" s="556" t="str">
        <f t="shared" si="47"/>
        <v/>
      </c>
      <c r="BM427" s="497">
        <f t="shared" si="48"/>
        <v>53850</v>
      </c>
    </row>
    <row r="428" spans="1:65">
      <c r="A428">
        <v>20078</v>
      </c>
      <c r="B428" t="s">
        <v>1699</v>
      </c>
      <c r="C428" t="s">
        <v>2022</v>
      </c>
      <c r="D428" t="s">
        <v>1816</v>
      </c>
      <c r="F428" s="503">
        <v>44418</v>
      </c>
      <c r="H428" t="s">
        <v>647</v>
      </c>
      <c r="I428" t="s">
        <v>1753</v>
      </c>
      <c r="J428">
        <v>1000</v>
      </c>
      <c r="K428" t="s">
        <v>1068</v>
      </c>
      <c r="O428" t="s">
        <v>1068</v>
      </c>
      <c r="W428">
        <v>2.2799999999999998</v>
      </c>
      <c r="X428">
        <v>2.2400000000000002</v>
      </c>
      <c r="Y428">
        <v>0</v>
      </c>
      <c r="Z428">
        <v>0</v>
      </c>
      <c r="AA428">
        <v>2</v>
      </c>
      <c r="AE428" t="s">
        <v>1039</v>
      </c>
      <c r="AI428">
        <v>60</v>
      </c>
      <c r="AJ428">
        <v>1850320</v>
      </c>
      <c r="AK428">
        <v>0</v>
      </c>
      <c r="AN428" t="s">
        <v>1703</v>
      </c>
      <c r="AO428">
        <v>3.2</v>
      </c>
      <c r="AX428">
        <v>20210810</v>
      </c>
      <c r="AY428" t="s">
        <v>1754</v>
      </c>
      <c r="BG428" s="556" t="str">
        <f t="shared" si="42"/>
        <v>O</v>
      </c>
      <c r="BH428" s="556" t="str">
        <f t="shared" si="43"/>
        <v/>
      </c>
      <c r="BI428" s="556" t="str">
        <f t="shared" si="44"/>
        <v/>
      </c>
      <c r="BJ428" s="556" t="str">
        <f t="shared" si="45"/>
        <v>M4</v>
      </c>
      <c r="BK428" s="556" t="str">
        <f t="shared" si="46"/>
        <v>M4</v>
      </c>
      <c r="BL428" s="556" t="str">
        <f t="shared" si="47"/>
        <v/>
      </c>
      <c r="BM428" s="497">
        <f t="shared" si="48"/>
        <v>20078</v>
      </c>
    </row>
    <row r="429" spans="1:65">
      <c r="A429">
        <v>50004</v>
      </c>
      <c r="B429" t="s">
        <v>1441</v>
      </c>
      <c r="C429" t="s">
        <v>1442</v>
      </c>
      <c r="D429" t="s">
        <v>1770</v>
      </c>
      <c r="F429" s="503">
        <v>44081</v>
      </c>
      <c r="H429" t="s">
        <v>647</v>
      </c>
      <c r="I429" t="s">
        <v>1753</v>
      </c>
      <c r="J429">
        <v>2000</v>
      </c>
      <c r="K429" t="s">
        <v>1068</v>
      </c>
      <c r="O429" t="s">
        <v>2299</v>
      </c>
      <c r="W429">
        <v>1.51</v>
      </c>
      <c r="X429">
        <v>1.56</v>
      </c>
      <c r="Y429">
        <v>0</v>
      </c>
      <c r="Z429">
        <v>0</v>
      </c>
      <c r="AA429">
        <v>0</v>
      </c>
      <c r="AE429" t="s">
        <v>1221</v>
      </c>
      <c r="AI429">
        <v>57</v>
      </c>
      <c r="AJ429">
        <v>1000325</v>
      </c>
      <c r="AK429">
        <v>0</v>
      </c>
      <c r="AN429" t="s">
        <v>133</v>
      </c>
      <c r="AO429">
        <v>3.25</v>
      </c>
      <c r="AX429">
        <v>20200907</v>
      </c>
      <c r="AY429" t="s">
        <v>1780</v>
      </c>
      <c r="BG429" s="556" t="str">
        <f t="shared" si="42"/>
        <v>O</v>
      </c>
      <c r="BH429" s="556" t="str">
        <f t="shared" si="43"/>
        <v/>
      </c>
      <c r="BI429" s="556" t="str">
        <f t="shared" si="44"/>
        <v/>
      </c>
      <c r="BJ429" s="556" t="str">
        <f t="shared" si="45"/>
        <v>M4</v>
      </c>
      <c r="BK429" s="556" t="str">
        <f t="shared" si="46"/>
        <v>TS1</v>
      </c>
      <c r="BL429" s="556" t="str">
        <f t="shared" si="47"/>
        <v/>
      </c>
      <c r="BM429" s="497">
        <f t="shared" si="48"/>
        <v>50004</v>
      </c>
    </row>
    <row r="430" spans="1:65">
      <c r="A430">
        <v>50635</v>
      </c>
      <c r="B430" t="s">
        <v>646</v>
      </c>
      <c r="C430" t="s">
        <v>47</v>
      </c>
      <c r="D430" t="s">
        <v>1829</v>
      </c>
      <c r="F430" s="503">
        <v>43803</v>
      </c>
      <c r="H430" t="s">
        <v>647</v>
      </c>
      <c r="I430" t="s">
        <v>1753</v>
      </c>
      <c r="J430">
        <v>2000</v>
      </c>
      <c r="K430" t="s">
        <v>1068</v>
      </c>
      <c r="O430" t="s">
        <v>1068</v>
      </c>
      <c r="S430" t="s">
        <v>2301</v>
      </c>
      <c r="W430">
        <v>1.67</v>
      </c>
      <c r="X430">
        <v>1.7</v>
      </c>
      <c r="Y430">
        <v>0</v>
      </c>
      <c r="Z430">
        <v>0</v>
      </c>
      <c r="AA430">
        <v>2</v>
      </c>
      <c r="AE430" t="s">
        <v>1039</v>
      </c>
      <c r="AI430">
        <v>69</v>
      </c>
      <c r="AJ430">
        <v>1850320</v>
      </c>
      <c r="AK430">
        <v>0</v>
      </c>
      <c r="AL430">
        <v>0</v>
      </c>
      <c r="AN430" t="s">
        <v>1703</v>
      </c>
      <c r="AO430">
        <v>3.2</v>
      </c>
      <c r="AR430" t="s">
        <v>2948</v>
      </c>
      <c r="AX430">
        <v>20191204</v>
      </c>
      <c r="AY430" t="s">
        <v>1830</v>
      </c>
      <c r="BG430" s="556" t="str">
        <f t="shared" si="42"/>
        <v>O</v>
      </c>
      <c r="BH430" s="556" t="str">
        <f t="shared" si="43"/>
        <v/>
      </c>
      <c r="BI430" s="556" t="str">
        <f t="shared" si="44"/>
        <v/>
      </c>
      <c r="BJ430" s="556" t="str">
        <f t="shared" si="45"/>
        <v>M4</v>
      </c>
      <c r="BK430" s="556" t="str">
        <f t="shared" si="46"/>
        <v>M4</v>
      </c>
      <c r="BL430" s="556" t="str">
        <f t="shared" si="47"/>
        <v>CT</v>
      </c>
      <c r="BM430" s="497">
        <f t="shared" si="48"/>
        <v>50635</v>
      </c>
    </row>
    <row r="431" spans="1:65">
      <c r="A431">
        <v>20060</v>
      </c>
      <c r="B431" t="s">
        <v>746</v>
      </c>
      <c r="C431" t="s">
        <v>220</v>
      </c>
      <c r="D431" t="s">
        <v>1763</v>
      </c>
      <c r="F431" s="503">
        <v>43286</v>
      </c>
      <c r="H431" t="s">
        <v>653</v>
      </c>
      <c r="I431" t="s">
        <v>1753</v>
      </c>
      <c r="J431">
        <v>2000</v>
      </c>
      <c r="K431" t="s">
        <v>1068</v>
      </c>
      <c r="O431" t="s">
        <v>1068</v>
      </c>
      <c r="W431">
        <v>1.97</v>
      </c>
      <c r="X431">
        <v>1.97</v>
      </c>
      <c r="Y431">
        <v>0</v>
      </c>
      <c r="Z431">
        <v>0</v>
      </c>
      <c r="AA431">
        <v>2</v>
      </c>
      <c r="AE431" t="s">
        <v>1039</v>
      </c>
      <c r="AI431">
        <v>60</v>
      </c>
      <c r="AJ431">
        <v>1850345</v>
      </c>
      <c r="AK431">
        <v>0</v>
      </c>
      <c r="AN431" t="s">
        <v>1703</v>
      </c>
      <c r="AO431">
        <v>3.45</v>
      </c>
      <c r="AX431">
        <v>20180705</v>
      </c>
      <c r="AY431" t="s">
        <v>1754</v>
      </c>
      <c r="BG431" s="556" t="str">
        <f t="shared" si="42"/>
        <v>O</v>
      </c>
      <c r="BH431" s="556" t="str">
        <f t="shared" si="43"/>
        <v/>
      </c>
      <c r="BI431" s="556" t="str">
        <f t="shared" si="44"/>
        <v/>
      </c>
      <c r="BJ431" s="556" t="str">
        <f t="shared" si="45"/>
        <v>M4</v>
      </c>
      <c r="BK431" s="556" t="str">
        <f t="shared" si="46"/>
        <v>M4</v>
      </c>
      <c r="BL431" s="556" t="str">
        <f t="shared" si="47"/>
        <v/>
      </c>
      <c r="BM431" s="497">
        <f t="shared" si="48"/>
        <v>20060</v>
      </c>
    </row>
    <row r="432" spans="1:65">
      <c r="A432">
        <v>40056</v>
      </c>
      <c r="B432" t="s">
        <v>3298</v>
      </c>
      <c r="C432" t="s">
        <v>45</v>
      </c>
      <c r="D432" t="s">
        <v>1803</v>
      </c>
      <c r="F432" s="503">
        <v>45987</v>
      </c>
      <c r="H432" t="s">
        <v>647</v>
      </c>
      <c r="I432" t="s">
        <v>1753</v>
      </c>
      <c r="J432">
        <v>0</v>
      </c>
      <c r="K432" t="s">
        <v>1068</v>
      </c>
      <c r="O432" t="s">
        <v>1068</v>
      </c>
      <c r="W432">
        <v>2.08</v>
      </c>
      <c r="X432">
        <v>2.08</v>
      </c>
      <c r="Y432">
        <v>0</v>
      </c>
      <c r="Z432">
        <v>0</v>
      </c>
      <c r="AA432">
        <v>2</v>
      </c>
      <c r="AE432" t="s">
        <v>1039</v>
      </c>
      <c r="AI432">
        <v>60</v>
      </c>
      <c r="AJ432">
        <v>1850325</v>
      </c>
      <c r="AK432">
        <v>0</v>
      </c>
      <c r="AL432">
        <v>0</v>
      </c>
      <c r="AN432" t="s">
        <v>1703</v>
      </c>
      <c r="AO432">
        <v>3.25</v>
      </c>
      <c r="AX432">
        <v>20251126</v>
      </c>
      <c r="AY432" t="s">
        <v>1754</v>
      </c>
      <c r="BG432" s="556" t="str">
        <f t="shared" si="42"/>
        <v>O</v>
      </c>
      <c r="BH432" s="556" t="str">
        <f t="shared" si="43"/>
        <v/>
      </c>
      <c r="BI432" s="556" t="str">
        <f t="shared" si="44"/>
        <v/>
      </c>
      <c r="BJ432" s="556" t="str">
        <f t="shared" si="45"/>
        <v>M4</v>
      </c>
      <c r="BK432" s="556" t="str">
        <f t="shared" si="46"/>
        <v>M4</v>
      </c>
      <c r="BL432" s="556" t="str">
        <f t="shared" si="47"/>
        <v/>
      </c>
      <c r="BM432" s="497">
        <f t="shared" si="48"/>
        <v>40056</v>
      </c>
    </row>
    <row r="433" spans="1:65">
      <c r="A433">
        <v>40401</v>
      </c>
      <c r="B433" t="s">
        <v>2357</v>
      </c>
      <c r="C433" t="s">
        <v>2913</v>
      </c>
      <c r="D433" t="s">
        <v>2180</v>
      </c>
      <c r="F433" s="503">
        <v>44986</v>
      </c>
      <c r="H433" t="s">
        <v>653</v>
      </c>
      <c r="I433" t="s">
        <v>1753</v>
      </c>
      <c r="J433">
        <v>10000</v>
      </c>
      <c r="K433" t="s">
        <v>1068</v>
      </c>
      <c r="O433" t="s">
        <v>2299</v>
      </c>
      <c r="W433">
        <v>2.08</v>
      </c>
      <c r="X433">
        <v>2.08</v>
      </c>
      <c r="Y433">
        <v>0</v>
      </c>
      <c r="Z433">
        <v>0</v>
      </c>
      <c r="AA433">
        <v>2</v>
      </c>
      <c r="AE433" t="s">
        <v>1039</v>
      </c>
      <c r="AI433">
        <v>60</v>
      </c>
      <c r="AJ433">
        <v>1850325</v>
      </c>
      <c r="AK433">
        <v>0</v>
      </c>
      <c r="AN433" t="s">
        <v>1703</v>
      </c>
      <c r="AO433">
        <v>3.25</v>
      </c>
      <c r="AX433">
        <v>20230301</v>
      </c>
      <c r="AY433" t="s">
        <v>1754</v>
      </c>
      <c r="BG433" s="556" t="str">
        <f t="shared" si="42"/>
        <v>O</v>
      </c>
      <c r="BH433" s="556" t="str">
        <f t="shared" si="43"/>
        <v/>
      </c>
      <c r="BI433" s="556" t="str">
        <f t="shared" si="44"/>
        <v/>
      </c>
      <c r="BJ433" s="556" t="str">
        <f t="shared" si="45"/>
        <v>M4</v>
      </c>
      <c r="BK433" s="556" t="str">
        <f t="shared" si="46"/>
        <v>TS1</v>
      </c>
      <c r="BL433" s="556" t="str">
        <f t="shared" si="47"/>
        <v/>
      </c>
      <c r="BM433" s="497">
        <f t="shared" si="48"/>
        <v>40401</v>
      </c>
    </row>
    <row r="434" spans="1:65">
      <c r="A434">
        <v>20038</v>
      </c>
      <c r="B434" t="s">
        <v>651</v>
      </c>
      <c r="C434" t="s">
        <v>81</v>
      </c>
      <c r="D434" t="s">
        <v>1774</v>
      </c>
      <c r="F434" s="503">
        <v>42748</v>
      </c>
      <c r="G434" t="s">
        <v>1068</v>
      </c>
      <c r="H434" t="s">
        <v>653</v>
      </c>
      <c r="I434" t="s">
        <v>1753</v>
      </c>
      <c r="J434">
        <v>2000</v>
      </c>
      <c r="K434" t="s">
        <v>1068</v>
      </c>
      <c r="O434" t="s">
        <v>1068</v>
      </c>
      <c r="S434" t="s">
        <v>2301</v>
      </c>
      <c r="W434">
        <v>1.98</v>
      </c>
      <c r="X434">
        <v>1.98</v>
      </c>
      <c r="Y434">
        <v>0</v>
      </c>
      <c r="Z434">
        <v>0</v>
      </c>
      <c r="AA434">
        <v>2</v>
      </c>
      <c r="AE434" t="s">
        <v>1039</v>
      </c>
      <c r="AI434">
        <v>69</v>
      </c>
      <c r="AJ434">
        <v>1850320</v>
      </c>
      <c r="AK434">
        <v>0</v>
      </c>
      <c r="AL434">
        <v>0</v>
      </c>
      <c r="AN434" t="s">
        <v>1703</v>
      </c>
      <c r="AO434">
        <v>3.2</v>
      </c>
      <c r="AR434" t="s">
        <v>2948</v>
      </c>
      <c r="AX434">
        <v>20170113</v>
      </c>
      <c r="AY434" t="s">
        <v>1830</v>
      </c>
      <c r="BG434" s="556" t="str">
        <f t="shared" si="42"/>
        <v>O</v>
      </c>
      <c r="BH434" s="556" t="str">
        <f t="shared" si="43"/>
        <v/>
      </c>
      <c r="BI434" s="556" t="str">
        <f t="shared" si="44"/>
        <v/>
      </c>
      <c r="BJ434" s="556" t="str">
        <f t="shared" si="45"/>
        <v>M4</v>
      </c>
      <c r="BK434" s="556" t="str">
        <f t="shared" si="46"/>
        <v>M4</v>
      </c>
      <c r="BL434" s="556" t="str">
        <f t="shared" si="47"/>
        <v>CT</v>
      </c>
      <c r="BM434" s="497">
        <f t="shared" si="48"/>
        <v>20038</v>
      </c>
    </row>
    <row r="435" spans="1:65">
      <c r="A435">
        <v>20072</v>
      </c>
      <c r="B435" t="s">
        <v>1684</v>
      </c>
      <c r="C435" t="s">
        <v>81</v>
      </c>
      <c r="D435" t="s">
        <v>1774</v>
      </c>
      <c r="F435" s="503">
        <v>44134</v>
      </c>
      <c r="H435" t="s">
        <v>647</v>
      </c>
      <c r="I435" t="s">
        <v>1753</v>
      </c>
      <c r="J435">
        <v>1500</v>
      </c>
      <c r="K435" t="s">
        <v>1068</v>
      </c>
      <c r="O435" t="s">
        <v>1068</v>
      </c>
      <c r="S435" t="s">
        <v>2301</v>
      </c>
      <c r="W435">
        <v>2.0299999999999998</v>
      </c>
      <c r="X435">
        <v>2.0099999999999998</v>
      </c>
      <c r="Y435">
        <v>0</v>
      </c>
      <c r="Z435">
        <v>0</v>
      </c>
      <c r="AA435">
        <v>0</v>
      </c>
      <c r="AE435" t="s">
        <v>1761</v>
      </c>
      <c r="AI435">
        <v>59</v>
      </c>
      <c r="AJ435">
        <v>3020320</v>
      </c>
      <c r="AK435">
        <v>0</v>
      </c>
      <c r="AN435" t="s">
        <v>135</v>
      </c>
      <c r="AO435">
        <v>3.2</v>
      </c>
      <c r="AR435" t="s">
        <v>2948</v>
      </c>
      <c r="AX435">
        <v>20201030</v>
      </c>
      <c r="AY435" t="s">
        <v>1836</v>
      </c>
      <c r="BG435" s="556" t="str">
        <f t="shared" si="42"/>
        <v>O</v>
      </c>
      <c r="BH435" s="556" t="str">
        <f t="shared" si="43"/>
        <v/>
      </c>
      <c r="BI435" s="556" t="str">
        <f t="shared" si="44"/>
        <v/>
      </c>
      <c r="BJ435" s="556" t="str">
        <f t="shared" si="45"/>
        <v>M4</v>
      </c>
      <c r="BK435" s="556" t="str">
        <f t="shared" si="46"/>
        <v>M4</v>
      </c>
      <c r="BL435" s="556" t="str">
        <f t="shared" si="47"/>
        <v>CT</v>
      </c>
      <c r="BM435" s="497">
        <f t="shared" si="48"/>
        <v>20072</v>
      </c>
    </row>
    <row r="436" spans="1:65">
      <c r="A436">
        <v>40069</v>
      </c>
      <c r="B436" t="s">
        <v>3389</v>
      </c>
      <c r="C436" t="s">
        <v>3392</v>
      </c>
      <c r="D436" t="s">
        <v>1803</v>
      </c>
      <c r="F436" s="503">
        <v>46035</v>
      </c>
      <c r="H436" t="s">
        <v>647</v>
      </c>
      <c r="I436" t="s">
        <v>1753</v>
      </c>
      <c r="J436">
        <v>1500</v>
      </c>
      <c r="K436" t="s">
        <v>1068</v>
      </c>
      <c r="O436" t="s">
        <v>1068</v>
      </c>
      <c r="W436">
        <v>2.0099999999999998</v>
      </c>
      <c r="X436">
        <v>2.0099999999999998</v>
      </c>
      <c r="Y436">
        <v>0</v>
      </c>
      <c r="Z436">
        <v>0</v>
      </c>
      <c r="AA436">
        <v>0</v>
      </c>
      <c r="AE436" t="s">
        <v>1761</v>
      </c>
      <c r="AI436">
        <v>57</v>
      </c>
      <c r="AJ436">
        <v>3020320</v>
      </c>
      <c r="AK436">
        <v>0</v>
      </c>
      <c r="AL436">
        <v>0</v>
      </c>
      <c r="AN436" t="s">
        <v>135</v>
      </c>
      <c r="AO436">
        <v>3.2</v>
      </c>
      <c r="AX436">
        <v>20260113</v>
      </c>
      <c r="AY436" t="s">
        <v>1780</v>
      </c>
      <c r="BG436" s="556" t="str">
        <f t="shared" si="42"/>
        <v>O</v>
      </c>
      <c r="BH436" s="556" t="str">
        <f t="shared" si="43"/>
        <v/>
      </c>
      <c r="BI436" s="556" t="str">
        <f t="shared" si="44"/>
        <v/>
      </c>
      <c r="BJ436" s="556" t="str">
        <f t="shared" si="45"/>
        <v>M4</v>
      </c>
      <c r="BK436" s="556" t="str">
        <f t="shared" si="46"/>
        <v>M4</v>
      </c>
      <c r="BL436" s="556" t="str">
        <f t="shared" si="47"/>
        <v/>
      </c>
      <c r="BM436" s="497">
        <f t="shared" si="48"/>
        <v>40069</v>
      </c>
    </row>
    <row r="437" spans="1:65">
      <c r="A437">
        <v>20054</v>
      </c>
      <c r="B437" t="s">
        <v>997</v>
      </c>
      <c r="C437" t="s">
        <v>999</v>
      </c>
      <c r="D437" t="s">
        <v>1763</v>
      </c>
      <c r="F437" s="503">
        <v>43025</v>
      </c>
      <c r="H437" t="s">
        <v>653</v>
      </c>
      <c r="I437" t="s">
        <v>1753</v>
      </c>
      <c r="J437">
        <v>400</v>
      </c>
      <c r="K437">
        <v>9</v>
      </c>
      <c r="O437" t="s">
        <v>2299</v>
      </c>
      <c r="W437">
        <v>4.59</v>
      </c>
      <c r="X437">
        <v>4.4400000000000004</v>
      </c>
      <c r="Y437">
        <v>0</v>
      </c>
      <c r="Z437">
        <v>0</v>
      </c>
      <c r="AA437">
        <v>2</v>
      </c>
      <c r="AE437" t="s">
        <v>1039</v>
      </c>
      <c r="AI437">
        <v>60</v>
      </c>
      <c r="AJ437">
        <v>1850525</v>
      </c>
      <c r="AK437">
        <v>0</v>
      </c>
      <c r="AL437">
        <v>0</v>
      </c>
      <c r="AN437" t="s">
        <v>1703</v>
      </c>
      <c r="AO437">
        <v>5.25</v>
      </c>
      <c r="AX437">
        <v>20171017</v>
      </c>
      <c r="AY437" t="s">
        <v>1754</v>
      </c>
      <c r="BG437" s="556" t="str">
        <f t="shared" si="42"/>
        <v>O</v>
      </c>
      <c r="BH437" s="556" t="str">
        <f t="shared" si="43"/>
        <v/>
      </c>
      <c r="BI437" s="556" t="str">
        <f t="shared" si="44"/>
        <v/>
      </c>
      <c r="BJ437" s="556">
        <f t="shared" si="45"/>
        <v>9</v>
      </c>
      <c r="BK437" s="556" t="str">
        <f t="shared" si="46"/>
        <v>TS1</v>
      </c>
      <c r="BL437" s="556" t="str">
        <f t="shared" si="47"/>
        <v/>
      </c>
      <c r="BM437" s="497">
        <f t="shared" si="48"/>
        <v>20054</v>
      </c>
    </row>
    <row r="438" spans="1:65">
      <c r="A438">
        <v>40036</v>
      </c>
      <c r="B438" t="s">
        <v>2687</v>
      </c>
      <c r="C438" t="s">
        <v>2699</v>
      </c>
      <c r="D438" t="s">
        <v>1803</v>
      </c>
      <c r="F438" s="503">
        <v>45010</v>
      </c>
      <c r="H438" t="s">
        <v>2403</v>
      </c>
      <c r="I438" t="s">
        <v>1753</v>
      </c>
      <c r="J438">
        <v>2000</v>
      </c>
      <c r="K438" t="s">
        <v>1068</v>
      </c>
      <c r="O438" t="s">
        <v>1068</v>
      </c>
      <c r="W438">
        <v>1.76</v>
      </c>
      <c r="X438">
        <v>1.58</v>
      </c>
      <c r="Y438">
        <v>0</v>
      </c>
      <c r="Z438">
        <v>0</v>
      </c>
      <c r="AA438">
        <v>2</v>
      </c>
      <c r="AE438" t="s">
        <v>1039</v>
      </c>
      <c r="AI438">
        <v>60</v>
      </c>
      <c r="AJ438">
        <v>1850355</v>
      </c>
      <c r="AK438">
        <v>0</v>
      </c>
      <c r="AN438" t="s">
        <v>1703</v>
      </c>
      <c r="AO438">
        <v>3.55</v>
      </c>
      <c r="AX438">
        <v>20230325</v>
      </c>
      <c r="AY438" t="s">
        <v>1754</v>
      </c>
      <c r="BG438" s="556" t="str">
        <f t="shared" si="42"/>
        <v>O</v>
      </c>
      <c r="BH438" s="556" t="str">
        <f t="shared" si="43"/>
        <v/>
      </c>
      <c r="BI438" s="556" t="str">
        <f t="shared" si="44"/>
        <v/>
      </c>
      <c r="BJ438" s="556" t="str">
        <f t="shared" si="45"/>
        <v>M4</v>
      </c>
      <c r="BK438" s="556" t="str">
        <f t="shared" si="46"/>
        <v>M4</v>
      </c>
      <c r="BL438" s="556" t="str">
        <f t="shared" si="47"/>
        <v/>
      </c>
      <c r="BM438" s="497">
        <f t="shared" si="48"/>
        <v>40036</v>
      </c>
    </row>
    <row r="439" spans="1:65">
      <c r="A439">
        <v>40018</v>
      </c>
      <c r="B439" t="s">
        <v>900</v>
      </c>
      <c r="C439" t="s">
        <v>902</v>
      </c>
      <c r="D439" t="s">
        <v>1803</v>
      </c>
      <c r="F439" s="503">
        <v>43902</v>
      </c>
      <c r="H439" t="s">
        <v>657</v>
      </c>
      <c r="I439" t="s">
        <v>1753</v>
      </c>
      <c r="J439">
        <v>0</v>
      </c>
      <c r="K439" t="s">
        <v>1068</v>
      </c>
      <c r="O439" t="s">
        <v>1068</v>
      </c>
      <c r="S439" t="s">
        <v>2301</v>
      </c>
      <c r="W439">
        <v>1.62</v>
      </c>
      <c r="X439">
        <v>1.66</v>
      </c>
      <c r="Y439">
        <v>0</v>
      </c>
      <c r="Z439">
        <v>0</v>
      </c>
      <c r="AA439">
        <v>0</v>
      </c>
      <c r="AE439" t="s">
        <v>1761</v>
      </c>
      <c r="AI439">
        <v>59</v>
      </c>
      <c r="AJ439">
        <v>3020320</v>
      </c>
      <c r="AK439">
        <v>0</v>
      </c>
      <c r="AN439" t="s">
        <v>135</v>
      </c>
      <c r="AO439">
        <v>3.2</v>
      </c>
      <c r="AR439" t="s">
        <v>2948</v>
      </c>
      <c r="AX439">
        <v>20200312</v>
      </c>
      <c r="AY439" t="s">
        <v>1836</v>
      </c>
      <c r="BG439" s="556" t="str">
        <f t="shared" si="42"/>
        <v>O</v>
      </c>
      <c r="BH439" s="556" t="str">
        <f t="shared" si="43"/>
        <v/>
      </c>
      <c r="BI439" s="556" t="str">
        <f t="shared" si="44"/>
        <v/>
      </c>
      <c r="BJ439" s="556" t="str">
        <f t="shared" si="45"/>
        <v>M4</v>
      </c>
      <c r="BK439" s="556" t="str">
        <f t="shared" si="46"/>
        <v>M4</v>
      </c>
      <c r="BL439" s="556" t="str">
        <f t="shared" si="47"/>
        <v>CT</v>
      </c>
      <c r="BM439" s="497">
        <f t="shared" si="48"/>
        <v>40018</v>
      </c>
    </row>
    <row r="440" spans="1:65">
      <c r="A440">
        <v>53000</v>
      </c>
      <c r="B440" t="s">
        <v>2023</v>
      </c>
      <c r="C440" t="s">
        <v>113</v>
      </c>
      <c r="D440" t="s">
        <v>2024</v>
      </c>
      <c r="F440" s="503">
        <v>44330</v>
      </c>
      <c r="H440" t="s">
        <v>2025</v>
      </c>
      <c r="I440" t="s">
        <v>1753</v>
      </c>
      <c r="J440">
        <v>1500</v>
      </c>
      <c r="K440" t="s">
        <v>1068</v>
      </c>
      <c r="O440" t="s">
        <v>2302</v>
      </c>
      <c r="W440">
        <v>2.0699999999999998</v>
      </c>
      <c r="X440">
        <v>2.09</v>
      </c>
      <c r="Y440">
        <v>0</v>
      </c>
      <c r="Z440">
        <v>0</v>
      </c>
      <c r="AA440">
        <v>0</v>
      </c>
      <c r="AE440" t="s">
        <v>1039</v>
      </c>
      <c r="AI440">
        <v>82</v>
      </c>
      <c r="AJ440">
        <v>1000345</v>
      </c>
      <c r="AK440">
        <v>0</v>
      </c>
      <c r="AN440" t="s">
        <v>133</v>
      </c>
      <c r="AO440">
        <v>3.45</v>
      </c>
      <c r="AX440">
        <v>20210514</v>
      </c>
      <c r="AY440" t="s">
        <v>1800</v>
      </c>
      <c r="AZ440" t="s">
        <v>1895</v>
      </c>
      <c r="BG440" s="556" t="str">
        <f t="shared" si="42"/>
        <v>O</v>
      </c>
      <c r="BH440" s="556" t="str">
        <f t="shared" si="43"/>
        <v>Y</v>
      </c>
      <c r="BI440" s="556" t="str">
        <f t="shared" si="44"/>
        <v/>
      </c>
      <c r="BJ440" s="556" t="str">
        <f t="shared" si="45"/>
        <v>M4</v>
      </c>
      <c r="BK440" s="556" t="str">
        <f t="shared" si="46"/>
        <v>S4</v>
      </c>
      <c r="BL440" s="556" t="str">
        <f t="shared" si="47"/>
        <v/>
      </c>
      <c r="BM440" s="497">
        <f t="shared" si="48"/>
        <v>53000</v>
      </c>
    </row>
    <row r="441" spans="1:65">
      <c r="A441">
        <v>31023</v>
      </c>
      <c r="B441" t="s">
        <v>654</v>
      </c>
      <c r="C441" t="s">
        <v>656</v>
      </c>
      <c r="D441" t="s">
        <v>1921</v>
      </c>
      <c r="F441" s="503">
        <v>43362</v>
      </c>
      <c r="H441" t="s">
        <v>657</v>
      </c>
      <c r="I441" t="s">
        <v>1753</v>
      </c>
      <c r="J441">
        <v>0</v>
      </c>
      <c r="K441" t="s">
        <v>1068</v>
      </c>
      <c r="O441" t="s">
        <v>1068</v>
      </c>
      <c r="S441" t="s">
        <v>2301</v>
      </c>
      <c r="W441">
        <v>2.1800000000000002</v>
      </c>
      <c r="X441">
        <v>2.16</v>
      </c>
      <c r="Y441">
        <v>0</v>
      </c>
      <c r="Z441">
        <v>0</v>
      </c>
      <c r="AA441">
        <v>2</v>
      </c>
      <c r="AE441" t="s">
        <v>1039</v>
      </c>
      <c r="AI441">
        <v>69</v>
      </c>
      <c r="AJ441">
        <v>1850320</v>
      </c>
      <c r="AK441">
        <v>0</v>
      </c>
      <c r="AN441" t="s">
        <v>1703</v>
      </c>
      <c r="AO441">
        <v>3.2</v>
      </c>
      <c r="AR441" t="s">
        <v>2948</v>
      </c>
      <c r="AX441">
        <v>20180919</v>
      </c>
      <c r="AY441" t="s">
        <v>1830</v>
      </c>
      <c r="BG441" s="556" t="str">
        <f t="shared" si="42"/>
        <v>O</v>
      </c>
      <c r="BH441" s="556" t="str">
        <f t="shared" si="43"/>
        <v/>
      </c>
      <c r="BI441" s="556" t="str">
        <f t="shared" si="44"/>
        <v/>
      </c>
      <c r="BJ441" s="556" t="str">
        <f t="shared" si="45"/>
        <v>M4</v>
      </c>
      <c r="BK441" s="556" t="str">
        <f t="shared" si="46"/>
        <v>M4</v>
      </c>
      <c r="BL441" s="556" t="str">
        <f t="shared" si="47"/>
        <v>CT</v>
      </c>
      <c r="BM441" s="497">
        <f t="shared" si="48"/>
        <v>31023</v>
      </c>
    </row>
    <row r="442" spans="1:65">
      <c r="A442">
        <v>53250</v>
      </c>
      <c r="B442" t="s">
        <v>2026</v>
      </c>
      <c r="C442" t="s">
        <v>182</v>
      </c>
      <c r="D442" t="s">
        <v>1821</v>
      </c>
      <c r="F442" s="503">
        <v>44576</v>
      </c>
      <c r="H442" t="s">
        <v>2027</v>
      </c>
      <c r="I442" t="s">
        <v>1753</v>
      </c>
      <c r="J442">
        <v>1000</v>
      </c>
      <c r="K442" t="s">
        <v>1068</v>
      </c>
      <c r="O442" t="s">
        <v>1068</v>
      </c>
      <c r="W442">
        <v>2.38</v>
      </c>
      <c r="X442">
        <v>2.42</v>
      </c>
      <c r="Y442">
        <v>0</v>
      </c>
      <c r="Z442">
        <v>0</v>
      </c>
      <c r="AA442">
        <v>2</v>
      </c>
      <c r="AE442" t="s">
        <v>1773</v>
      </c>
      <c r="AI442">
        <v>60</v>
      </c>
      <c r="AJ442">
        <v>1850345</v>
      </c>
      <c r="AK442">
        <v>0</v>
      </c>
      <c r="AN442" t="s">
        <v>1703</v>
      </c>
      <c r="AO442">
        <v>3.45</v>
      </c>
      <c r="AX442">
        <v>20220115</v>
      </c>
      <c r="AY442" t="s">
        <v>1754</v>
      </c>
      <c r="BG442" s="556" t="str">
        <f t="shared" si="42"/>
        <v>O</v>
      </c>
      <c r="BH442" s="556" t="str">
        <f t="shared" si="43"/>
        <v/>
      </c>
      <c r="BI442" s="556" t="str">
        <f t="shared" si="44"/>
        <v/>
      </c>
      <c r="BJ442" s="556" t="str">
        <f t="shared" si="45"/>
        <v>M4</v>
      </c>
      <c r="BK442" s="556" t="str">
        <f t="shared" si="46"/>
        <v>M4</v>
      </c>
      <c r="BL442" s="556" t="str">
        <f t="shared" si="47"/>
        <v/>
      </c>
      <c r="BM442" s="497">
        <f t="shared" si="48"/>
        <v>53250</v>
      </c>
    </row>
    <row r="443" spans="1:65">
      <c r="A443">
        <v>20611</v>
      </c>
      <c r="B443" t="s">
        <v>2028</v>
      </c>
      <c r="C443" t="s">
        <v>45</v>
      </c>
      <c r="D443" t="s">
        <v>2029</v>
      </c>
      <c r="F443" s="503">
        <v>44747</v>
      </c>
      <c r="H443" t="s">
        <v>2030</v>
      </c>
      <c r="I443" t="s">
        <v>1753</v>
      </c>
      <c r="J443">
        <v>1500</v>
      </c>
      <c r="K443" t="s">
        <v>1068</v>
      </c>
      <c r="O443" t="s">
        <v>2299</v>
      </c>
      <c r="W443">
        <v>2.21</v>
      </c>
      <c r="X443">
        <v>2.19</v>
      </c>
      <c r="Y443">
        <v>0</v>
      </c>
      <c r="Z443">
        <v>0</v>
      </c>
      <c r="AA443">
        <v>2</v>
      </c>
      <c r="AE443" t="s">
        <v>3189</v>
      </c>
      <c r="AI443">
        <v>60</v>
      </c>
      <c r="AJ443">
        <v>1850325</v>
      </c>
      <c r="AK443">
        <v>0</v>
      </c>
      <c r="AN443" t="s">
        <v>1703</v>
      </c>
      <c r="AO443">
        <v>3.25</v>
      </c>
      <c r="AX443">
        <v>20220705</v>
      </c>
      <c r="AY443" t="s">
        <v>1754</v>
      </c>
      <c r="BG443" s="556" t="str">
        <f t="shared" si="42"/>
        <v>O</v>
      </c>
      <c r="BH443" s="556" t="str">
        <f t="shared" si="43"/>
        <v/>
      </c>
      <c r="BI443" s="556" t="str">
        <f t="shared" si="44"/>
        <v/>
      </c>
      <c r="BJ443" s="556" t="str">
        <f t="shared" si="45"/>
        <v>M4</v>
      </c>
      <c r="BK443" s="556" t="str">
        <f t="shared" si="46"/>
        <v>TS1</v>
      </c>
      <c r="BL443" s="556" t="str">
        <f t="shared" si="47"/>
        <v/>
      </c>
      <c r="BM443" s="497">
        <f t="shared" si="48"/>
        <v>20611</v>
      </c>
    </row>
    <row r="444" spans="1:65">
      <c r="A444">
        <v>53851</v>
      </c>
      <c r="B444" t="s">
        <v>3130</v>
      </c>
      <c r="C444" t="s">
        <v>546</v>
      </c>
      <c r="D444" t="s">
        <v>3129</v>
      </c>
      <c r="F444" s="503">
        <v>45797</v>
      </c>
      <c r="H444" t="s">
        <v>1212</v>
      </c>
      <c r="I444" t="s">
        <v>1753</v>
      </c>
      <c r="J444">
        <v>1000</v>
      </c>
      <c r="K444" t="s">
        <v>1068</v>
      </c>
      <c r="O444" t="s">
        <v>1068</v>
      </c>
      <c r="W444">
        <v>2.41</v>
      </c>
      <c r="X444">
        <v>2.52</v>
      </c>
      <c r="Y444">
        <v>0</v>
      </c>
      <c r="Z444">
        <v>0</v>
      </c>
      <c r="AA444" t="s">
        <v>2966</v>
      </c>
      <c r="AE444" t="s">
        <v>1039</v>
      </c>
      <c r="AI444">
        <v>60</v>
      </c>
      <c r="AJ444">
        <v>2200330</v>
      </c>
      <c r="AK444">
        <v>0</v>
      </c>
      <c r="AL444">
        <v>0</v>
      </c>
      <c r="AN444" t="s">
        <v>2345</v>
      </c>
      <c r="AO444">
        <v>3.3</v>
      </c>
      <c r="AX444">
        <v>20250520</v>
      </c>
      <c r="AY444" t="s">
        <v>1754</v>
      </c>
      <c r="BG444" s="556" t="str">
        <f t="shared" si="42"/>
        <v>O</v>
      </c>
      <c r="BH444" s="556" t="str">
        <f t="shared" si="43"/>
        <v/>
      </c>
      <c r="BI444" s="556" t="str">
        <f t="shared" si="44"/>
        <v/>
      </c>
      <c r="BJ444" s="556" t="str">
        <f t="shared" si="45"/>
        <v>M4</v>
      </c>
      <c r="BK444" s="556" t="str">
        <f t="shared" si="46"/>
        <v>M4</v>
      </c>
      <c r="BL444" s="556" t="str">
        <f t="shared" si="47"/>
        <v/>
      </c>
      <c r="BM444" s="497">
        <f t="shared" si="48"/>
        <v>53851</v>
      </c>
    </row>
    <row r="445" spans="1:65">
      <c r="A445">
        <v>53105</v>
      </c>
      <c r="B445" t="s">
        <v>1700</v>
      </c>
      <c r="C445" t="s">
        <v>47</v>
      </c>
      <c r="D445" t="s">
        <v>1819</v>
      </c>
      <c r="F445" s="503">
        <v>44414</v>
      </c>
      <c r="H445" t="s">
        <v>1212</v>
      </c>
      <c r="I445" t="s">
        <v>1753</v>
      </c>
      <c r="J445">
        <v>1000</v>
      </c>
      <c r="K445" t="s">
        <v>1068</v>
      </c>
      <c r="O445" t="s">
        <v>1068</v>
      </c>
      <c r="S445" t="s">
        <v>2301</v>
      </c>
      <c r="W445">
        <v>2.02</v>
      </c>
      <c r="X445">
        <v>1.96</v>
      </c>
      <c r="Y445">
        <v>0</v>
      </c>
      <c r="Z445">
        <v>0</v>
      </c>
      <c r="AA445">
        <v>2</v>
      </c>
      <c r="AE445" t="s">
        <v>1039</v>
      </c>
      <c r="AI445">
        <v>69</v>
      </c>
      <c r="AJ445">
        <v>1850320</v>
      </c>
      <c r="AK445">
        <v>0</v>
      </c>
      <c r="AN445" t="s">
        <v>1703</v>
      </c>
      <c r="AO445">
        <v>3.2</v>
      </c>
      <c r="AR445" t="s">
        <v>2948</v>
      </c>
      <c r="AX445">
        <v>20210806</v>
      </c>
      <c r="AY445" t="s">
        <v>1830</v>
      </c>
      <c r="BG445" s="556" t="str">
        <f t="shared" si="42"/>
        <v>O</v>
      </c>
      <c r="BH445" s="556" t="str">
        <f t="shared" si="43"/>
        <v/>
      </c>
      <c r="BI445" s="556" t="str">
        <f t="shared" si="44"/>
        <v/>
      </c>
      <c r="BJ445" s="556" t="str">
        <f t="shared" si="45"/>
        <v>M4</v>
      </c>
      <c r="BK445" s="556" t="str">
        <f t="shared" si="46"/>
        <v>M4</v>
      </c>
      <c r="BL445" s="556" t="str">
        <f t="shared" si="47"/>
        <v>CT</v>
      </c>
      <c r="BM445" s="497">
        <f t="shared" si="48"/>
        <v>53105</v>
      </c>
    </row>
    <row r="446" spans="1:65">
      <c r="A446">
        <v>20098</v>
      </c>
      <c r="B446" t="s">
        <v>3191</v>
      </c>
      <c r="C446" t="s">
        <v>47</v>
      </c>
      <c r="D446" t="s">
        <v>1774</v>
      </c>
      <c r="F446" s="503">
        <v>45882</v>
      </c>
      <c r="H446" t="s">
        <v>1212</v>
      </c>
      <c r="I446" t="s">
        <v>1753</v>
      </c>
      <c r="J446">
        <v>2000</v>
      </c>
      <c r="K446" t="s">
        <v>1068</v>
      </c>
      <c r="O446" t="s">
        <v>1068</v>
      </c>
      <c r="W446">
        <v>2.02</v>
      </c>
      <c r="X446">
        <v>2.0299999999999998</v>
      </c>
      <c r="Y446">
        <v>0</v>
      </c>
      <c r="Z446">
        <v>0</v>
      </c>
      <c r="AA446">
        <v>2</v>
      </c>
      <c r="AE446" t="s">
        <v>1039</v>
      </c>
      <c r="AI446">
        <v>69</v>
      </c>
      <c r="AJ446">
        <v>1850320</v>
      </c>
      <c r="AK446">
        <v>0</v>
      </c>
      <c r="AL446">
        <v>0</v>
      </c>
      <c r="AN446" t="s">
        <v>1703</v>
      </c>
      <c r="AO446">
        <v>3.2</v>
      </c>
      <c r="AR446" t="s">
        <v>2948</v>
      </c>
      <c r="AX446">
        <v>20250813</v>
      </c>
      <c r="AY446" t="s">
        <v>1830</v>
      </c>
      <c r="BG446" s="556" t="str">
        <f t="shared" si="42"/>
        <v>O</v>
      </c>
      <c r="BH446" s="556" t="str">
        <f t="shared" si="43"/>
        <v/>
      </c>
      <c r="BI446" s="556" t="str">
        <f t="shared" si="44"/>
        <v/>
      </c>
      <c r="BJ446" s="556" t="str">
        <f t="shared" si="45"/>
        <v>M4</v>
      </c>
      <c r="BK446" s="556" t="str">
        <f t="shared" si="46"/>
        <v>M4</v>
      </c>
      <c r="BL446" s="556" t="str">
        <f t="shared" si="47"/>
        <v/>
      </c>
      <c r="BM446" s="497">
        <f t="shared" si="48"/>
        <v>20098</v>
      </c>
    </row>
    <row r="447" spans="1:65">
      <c r="A447">
        <v>52017</v>
      </c>
      <c r="B447" t="s">
        <v>1211</v>
      </c>
      <c r="C447" t="s">
        <v>45</v>
      </c>
      <c r="D447" t="s">
        <v>1755</v>
      </c>
      <c r="F447" s="503">
        <v>43958</v>
      </c>
      <c r="H447" t="s">
        <v>1212</v>
      </c>
      <c r="I447" t="s">
        <v>1753</v>
      </c>
      <c r="J447">
        <v>1000</v>
      </c>
      <c r="K447" t="s">
        <v>1068</v>
      </c>
      <c r="O447" t="s">
        <v>2299</v>
      </c>
      <c r="W447">
        <v>2.2799999999999998</v>
      </c>
      <c r="X447">
        <v>2.2599999999999998</v>
      </c>
      <c r="Y447">
        <v>0</v>
      </c>
      <c r="Z447">
        <v>0</v>
      </c>
      <c r="AA447">
        <v>2</v>
      </c>
      <c r="AE447" t="s">
        <v>1039</v>
      </c>
      <c r="AI447">
        <v>60</v>
      </c>
      <c r="AJ447">
        <v>1850325</v>
      </c>
      <c r="AK447">
        <v>0</v>
      </c>
      <c r="AN447" t="s">
        <v>1703</v>
      </c>
      <c r="AO447">
        <v>3.25</v>
      </c>
      <c r="AX447">
        <v>20200507</v>
      </c>
      <c r="AY447" t="s">
        <v>1754</v>
      </c>
      <c r="BG447" s="556" t="str">
        <f t="shared" si="42"/>
        <v>O</v>
      </c>
      <c r="BH447" s="556" t="str">
        <f t="shared" si="43"/>
        <v/>
      </c>
      <c r="BI447" s="556" t="str">
        <f t="shared" si="44"/>
        <v/>
      </c>
      <c r="BJ447" s="556" t="str">
        <f t="shared" si="45"/>
        <v>M4</v>
      </c>
      <c r="BK447" s="556" t="str">
        <f t="shared" si="46"/>
        <v>TS1</v>
      </c>
      <c r="BL447" s="556" t="str">
        <f t="shared" si="47"/>
        <v/>
      </c>
      <c r="BM447" s="497">
        <f t="shared" si="48"/>
        <v>52017</v>
      </c>
    </row>
    <row r="448" spans="1:65">
      <c r="A448">
        <v>20073</v>
      </c>
      <c r="B448" t="s">
        <v>1674</v>
      </c>
      <c r="C448" t="s">
        <v>81</v>
      </c>
      <c r="D448" t="s">
        <v>1774</v>
      </c>
      <c r="F448" s="503">
        <v>44134</v>
      </c>
      <c r="H448" t="s">
        <v>1212</v>
      </c>
      <c r="I448" t="s">
        <v>1753</v>
      </c>
      <c r="J448">
        <v>1000</v>
      </c>
      <c r="K448" t="s">
        <v>1068</v>
      </c>
      <c r="O448" t="s">
        <v>1068</v>
      </c>
      <c r="S448" t="s">
        <v>2301</v>
      </c>
      <c r="W448">
        <v>2.33</v>
      </c>
      <c r="X448">
        <v>2.35</v>
      </c>
      <c r="Y448">
        <v>0</v>
      </c>
      <c r="Z448">
        <v>0</v>
      </c>
      <c r="AA448">
        <v>2</v>
      </c>
      <c r="AE448" t="s">
        <v>1039</v>
      </c>
      <c r="AI448">
        <v>69</v>
      </c>
      <c r="AJ448">
        <v>1850320</v>
      </c>
      <c r="AK448">
        <v>0</v>
      </c>
      <c r="AL448">
        <v>0</v>
      </c>
      <c r="AN448" t="s">
        <v>1703</v>
      </c>
      <c r="AO448">
        <v>3.2</v>
      </c>
      <c r="AR448" t="s">
        <v>2948</v>
      </c>
      <c r="AX448">
        <v>20201030</v>
      </c>
      <c r="AY448" t="s">
        <v>1830</v>
      </c>
      <c r="BG448" s="556" t="str">
        <f t="shared" si="42"/>
        <v>O</v>
      </c>
      <c r="BH448" s="556" t="str">
        <f t="shared" si="43"/>
        <v/>
      </c>
      <c r="BI448" s="556" t="str">
        <f t="shared" si="44"/>
        <v/>
      </c>
      <c r="BJ448" s="556" t="str">
        <f t="shared" si="45"/>
        <v>M4</v>
      </c>
      <c r="BK448" s="556" t="str">
        <f t="shared" si="46"/>
        <v>M4</v>
      </c>
      <c r="BL448" s="556" t="str">
        <f t="shared" si="47"/>
        <v>CT</v>
      </c>
      <c r="BM448" s="497">
        <f t="shared" si="48"/>
        <v>20073</v>
      </c>
    </row>
    <row r="449" spans="1:65">
      <c r="A449">
        <v>20075</v>
      </c>
      <c r="B449" t="s">
        <v>1677</v>
      </c>
      <c r="C449" t="s">
        <v>2031</v>
      </c>
      <c r="D449" t="s">
        <v>1774</v>
      </c>
      <c r="F449" s="503">
        <v>44253</v>
      </c>
      <c r="H449" t="s">
        <v>1212</v>
      </c>
      <c r="I449" t="s">
        <v>1753</v>
      </c>
      <c r="J449">
        <v>1000</v>
      </c>
      <c r="K449" t="s">
        <v>1068</v>
      </c>
      <c r="O449" t="s">
        <v>1068</v>
      </c>
      <c r="S449" t="s">
        <v>2301</v>
      </c>
      <c r="W449">
        <v>2.02</v>
      </c>
      <c r="X449">
        <v>2.0499999999999998</v>
      </c>
      <c r="Y449">
        <v>0</v>
      </c>
      <c r="Z449">
        <v>0</v>
      </c>
      <c r="AA449">
        <v>2</v>
      </c>
      <c r="AE449" t="s">
        <v>1039</v>
      </c>
      <c r="AI449">
        <v>69</v>
      </c>
      <c r="AJ449">
        <v>1850320</v>
      </c>
      <c r="AK449">
        <v>0</v>
      </c>
      <c r="AN449" t="s">
        <v>1703</v>
      </c>
      <c r="AO449">
        <v>3.2</v>
      </c>
      <c r="AR449" t="s">
        <v>2948</v>
      </c>
      <c r="AX449">
        <v>20210226</v>
      </c>
      <c r="AY449" t="s">
        <v>1830</v>
      </c>
      <c r="BG449" s="556" t="str">
        <f t="shared" si="42"/>
        <v>O</v>
      </c>
      <c r="BH449" s="556" t="str">
        <f t="shared" si="43"/>
        <v/>
      </c>
      <c r="BI449" s="556" t="str">
        <f t="shared" si="44"/>
        <v/>
      </c>
      <c r="BJ449" s="556" t="str">
        <f t="shared" si="45"/>
        <v>M4</v>
      </c>
      <c r="BK449" s="556" t="str">
        <f t="shared" si="46"/>
        <v>M4</v>
      </c>
      <c r="BL449" s="556" t="str">
        <f t="shared" si="47"/>
        <v>CT</v>
      </c>
      <c r="BM449" s="497">
        <f t="shared" si="48"/>
        <v>20075</v>
      </c>
    </row>
    <row r="450" spans="1:65">
      <c r="A450">
        <v>53113</v>
      </c>
      <c r="B450" t="s">
        <v>1701</v>
      </c>
      <c r="C450" t="s">
        <v>2032</v>
      </c>
      <c r="D450" t="s">
        <v>1819</v>
      </c>
      <c r="F450" s="503">
        <v>44414</v>
      </c>
      <c r="H450" t="s">
        <v>2033</v>
      </c>
      <c r="I450" t="s">
        <v>1753</v>
      </c>
      <c r="J450">
        <v>1000</v>
      </c>
      <c r="K450" t="s">
        <v>1068</v>
      </c>
      <c r="O450" t="s">
        <v>1068</v>
      </c>
      <c r="W450">
        <v>2.52</v>
      </c>
      <c r="X450">
        <v>2.4900000000000002</v>
      </c>
      <c r="Y450">
        <v>0</v>
      </c>
      <c r="Z450">
        <v>0</v>
      </c>
      <c r="AA450">
        <v>0</v>
      </c>
      <c r="AE450" t="s">
        <v>1761</v>
      </c>
      <c r="AI450">
        <v>57</v>
      </c>
      <c r="AJ450">
        <v>3020320</v>
      </c>
      <c r="AK450">
        <v>0</v>
      </c>
      <c r="AN450" t="s">
        <v>135</v>
      </c>
      <c r="AO450">
        <v>3.2</v>
      </c>
      <c r="AX450">
        <v>20210806</v>
      </c>
      <c r="AY450" t="s">
        <v>1780</v>
      </c>
      <c r="BG450" s="556" t="str">
        <f t="shared" si="42"/>
        <v>O</v>
      </c>
      <c r="BH450" s="556" t="str">
        <f t="shared" si="43"/>
        <v/>
      </c>
      <c r="BI450" s="556" t="str">
        <f t="shared" si="44"/>
        <v/>
      </c>
      <c r="BJ450" s="556" t="str">
        <f t="shared" si="45"/>
        <v>M4</v>
      </c>
      <c r="BK450" s="556" t="str">
        <f t="shared" si="46"/>
        <v>M4</v>
      </c>
      <c r="BL450" s="556" t="str">
        <f t="shared" si="47"/>
        <v/>
      </c>
      <c r="BM450" s="497">
        <f t="shared" si="48"/>
        <v>53113</v>
      </c>
    </row>
    <row r="451" spans="1:65">
      <c r="A451">
        <v>53115</v>
      </c>
      <c r="B451" t="s">
        <v>1733</v>
      </c>
      <c r="C451" t="s">
        <v>2034</v>
      </c>
      <c r="D451" t="s">
        <v>1819</v>
      </c>
      <c r="F451" s="503">
        <v>44862</v>
      </c>
      <c r="H451" t="s">
        <v>2035</v>
      </c>
      <c r="I451" t="s">
        <v>1753</v>
      </c>
      <c r="J451">
        <v>1500</v>
      </c>
      <c r="K451" t="s">
        <v>1068</v>
      </c>
      <c r="O451" t="s">
        <v>1068</v>
      </c>
      <c r="W451">
        <v>2.4</v>
      </c>
      <c r="X451">
        <v>2.33</v>
      </c>
      <c r="Y451">
        <v>0</v>
      </c>
      <c r="Z451">
        <v>0</v>
      </c>
      <c r="AA451">
        <v>0</v>
      </c>
      <c r="AE451" t="s">
        <v>1761</v>
      </c>
      <c r="AI451">
        <v>57</v>
      </c>
      <c r="AJ451">
        <v>3020320</v>
      </c>
      <c r="AK451">
        <v>0</v>
      </c>
      <c r="AN451" t="s">
        <v>135</v>
      </c>
      <c r="AO451">
        <v>3.2</v>
      </c>
      <c r="AX451">
        <v>20221028</v>
      </c>
      <c r="AY451" t="s">
        <v>1780</v>
      </c>
      <c r="BG451" s="556" t="str">
        <f t="shared" ref="BG451:BG514" si="49">IF(LEFT(AY451,2)="98","X","O")</f>
        <v>O</v>
      </c>
      <c r="BH451" s="556" t="str">
        <f t="shared" ref="BH451:BH514" si="50">IF(IFERROR(SEARCH("45",$AY451,1),0)&gt;0,"Y","")</f>
        <v/>
      </c>
      <c r="BI451" s="556" t="str">
        <f t="shared" ref="BI451:BI514" si="51">IF(IFERROR(SEARCH("86",$AY451,1),0)&gt;0,"Y","")</f>
        <v/>
      </c>
      <c r="BJ451" s="556" t="str">
        <f t="shared" ref="BJ451:BJ514" si="52">IF(L451="",K451,IF(M451="",K451&amp;","&amp;L451,IF(N451="",K451&amp;","&amp;L451&amp;","&amp;M451,K451&amp;","&amp;L451&amp;","&amp;M451&amp;","&amp;N451)))</f>
        <v>M4</v>
      </c>
      <c r="BK451" s="556" t="str">
        <f t="shared" ref="BK451:BK514" si="53">IF(P451="",O451,IF(Q451="",O451&amp;","&amp;P451,IF(R451="",O451&amp;","&amp;P451&amp;","&amp;Q451,IO451&amp;","&amp;P451&amp;","&amp;Q451&amp;","&amp;R451)))</f>
        <v>M4</v>
      </c>
      <c r="BL451" s="556" t="str">
        <f t="shared" ref="BL451:BL514" si="54">IF(S451=0,"",S451)</f>
        <v/>
      </c>
      <c r="BM451" s="497">
        <f t="shared" ref="BM451:BM514" si="55">A451</f>
        <v>53115</v>
      </c>
    </row>
    <row r="452" spans="1:65">
      <c r="A452">
        <v>53050</v>
      </c>
      <c r="B452" t="s">
        <v>2036</v>
      </c>
      <c r="C452" t="s">
        <v>2037</v>
      </c>
      <c r="D452" t="s">
        <v>2038</v>
      </c>
      <c r="F452" s="503">
        <v>44364</v>
      </c>
      <c r="H452" t="s">
        <v>2039</v>
      </c>
      <c r="I452" t="s">
        <v>1753</v>
      </c>
      <c r="J452">
        <v>1000</v>
      </c>
      <c r="K452" t="s">
        <v>1068</v>
      </c>
      <c r="W452">
        <v>3</v>
      </c>
      <c r="X452">
        <v>3.02</v>
      </c>
      <c r="Y452">
        <v>0</v>
      </c>
      <c r="Z452">
        <v>0</v>
      </c>
      <c r="AA452">
        <v>0</v>
      </c>
      <c r="AE452" t="s">
        <v>1039</v>
      </c>
      <c r="AI452">
        <v>16</v>
      </c>
      <c r="AJ452">
        <v>1000345</v>
      </c>
      <c r="AK452">
        <v>0</v>
      </c>
      <c r="AN452" t="s">
        <v>133</v>
      </c>
      <c r="AO452">
        <v>3.45</v>
      </c>
      <c r="AX452">
        <v>20210617</v>
      </c>
      <c r="AY452" t="s">
        <v>2040</v>
      </c>
      <c r="BG452" s="556" t="str">
        <f t="shared" si="49"/>
        <v>O</v>
      </c>
      <c r="BH452" s="556" t="str">
        <f t="shared" si="50"/>
        <v/>
      </c>
      <c r="BI452" s="556" t="str">
        <f t="shared" si="51"/>
        <v/>
      </c>
      <c r="BJ452" s="556" t="str">
        <f t="shared" si="52"/>
        <v>M4</v>
      </c>
      <c r="BK452" s="556">
        <f t="shared" si="53"/>
        <v>0</v>
      </c>
      <c r="BL452" s="556" t="str">
        <f t="shared" si="54"/>
        <v/>
      </c>
      <c r="BM452" s="497">
        <f t="shared" si="55"/>
        <v>53050</v>
      </c>
    </row>
    <row r="453" spans="1:65">
      <c r="A453">
        <v>40042</v>
      </c>
      <c r="B453" t="s">
        <v>2681</v>
      </c>
      <c r="C453" t="s">
        <v>2688</v>
      </c>
      <c r="D453" t="s">
        <v>1803</v>
      </c>
      <c r="F453" s="503">
        <v>45238</v>
      </c>
      <c r="H453" t="s">
        <v>2689</v>
      </c>
      <c r="I453" t="s">
        <v>1753</v>
      </c>
      <c r="J453">
        <v>300</v>
      </c>
      <c r="K453" t="s">
        <v>1681</v>
      </c>
      <c r="O453" t="s">
        <v>2299</v>
      </c>
      <c r="W453">
        <v>2.68</v>
      </c>
      <c r="X453">
        <v>2.68</v>
      </c>
      <c r="Y453">
        <v>0</v>
      </c>
      <c r="Z453">
        <v>0</v>
      </c>
      <c r="AA453">
        <v>2</v>
      </c>
      <c r="AB453" t="s">
        <v>326</v>
      </c>
      <c r="AE453" t="s">
        <v>326</v>
      </c>
      <c r="AI453">
        <v>4</v>
      </c>
      <c r="AJ453">
        <v>1850325</v>
      </c>
      <c r="AK453">
        <v>0</v>
      </c>
      <c r="AL453">
        <v>0</v>
      </c>
      <c r="AN453" t="s">
        <v>1703</v>
      </c>
      <c r="AO453">
        <v>3.25</v>
      </c>
      <c r="AT453" t="s">
        <v>3224</v>
      </c>
      <c r="AX453">
        <v>20231108</v>
      </c>
      <c r="AY453" t="s">
        <v>3241</v>
      </c>
      <c r="BG453" s="556" t="str">
        <f t="shared" si="49"/>
        <v>O</v>
      </c>
      <c r="BH453" s="556" t="str">
        <f t="shared" si="50"/>
        <v/>
      </c>
      <c r="BI453" s="556" t="str">
        <f t="shared" si="51"/>
        <v/>
      </c>
      <c r="BJ453" s="556" t="str">
        <f t="shared" si="52"/>
        <v>6S</v>
      </c>
      <c r="BK453" s="556" t="str">
        <f t="shared" si="53"/>
        <v>TS1</v>
      </c>
      <c r="BL453" s="556" t="str">
        <f t="shared" si="54"/>
        <v/>
      </c>
      <c r="BM453" s="497">
        <f t="shared" si="55"/>
        <v>40042</v>
      </c>
    </row>
    <row r="454" spans="1:65">
      <c r="A454">
        <v>20610</v>
      </c>
      <c r="B454" t="s">
        <v>2041</v>
      </c>
      <c r="C454" t="s">
        <v>984</v>
      </c>
      <c r="D454" t="s">
        <v>1813</v>
      </c>
      <c r="F454" s="503">
        <v>44114</v>
      </c>
      <c r="H454" t="s">
        <v>2042</v>
      </c>
      <c r="I454" t="s">
        <v>1753</v>
      </c>
      <c r="J454">
        <v>1000</v>
      </c>
      <c r="K454" t="s">
        <v>1068</v>
      </c>
      <c r="O454" t="s">
        <v>1068</v>
      </c>
      <c r="W454">
        <v>2.81</v>
      </c>
      <c r="X454">
        <v>3.11</v>
      </c>
      <c r="Y454">
        <v>0</v>
      </c>
      <c r="Z454">
        <v>0</v>
      </c>
      <c r="AA454">
        <v>2</v>
      </c>
      <c r="AE454" t="s">
        <v>3189</v>
      </c>
      <c r="AI454">
        <v>60</v>
      </c>
      <c r="AJ454">
        <v>1850325</v>
      </c>
      <c r="AK454">
        <v>0</v>
      </c>
      <c r="AL454">
        <v>0</v>
      </c>
      <c r="AN454" t="s">
        <v>1703</v>
      </c>
      <c r="AO454">
        <v>3.25</v>
      </c>
      <c r="AT454" t="s">
        <v>2949</v>
      </c>
      <c r="AX454">
        <v>20201010</v>
      </c>
      <c r="AY454" t="s">
        <v>1754</v>
      </c>
      <c r="BG454" s="556" t="str">
        <f t="shared" si="49"/>
        <v>O</v>
      </c>
      <c r="BH454" s="556" t="str">
        <f t="shared" si="50"/>
        <v/>
      </c>
      <c r="BI454" s="556" t="str">
        <f t="shared" si="51"/>
        <v/>
      </c>
      <c r="BJ454" s="556" t="str">
        <f t="shared" si="52"/>
        <v>M4</v>
      </c>
      <c r="BK454" s="556" t="str">
        <f t="shared" si="53"/>
        <v>M4</v>
      </c>
      <c r="BL454" s="556" t="str">
        <f t="shared" si="54"/>
        <v/>
      </c>
      <c r="BM454" s="497">
        <f t="shared" si="55"/>
        <v>20610</v>
      </c>
    </row>
    <row r="455" spans="1:65">
      <c r="A455">
        <v>40068</v>
      </c>
      <c r="B455" t="s">
        <v>3432</v>
      </c>
      <c r="C455" t="s">
        <v>535</v>
      </c>
      <c r="D455" t="s">
        <v>1803</v>
      </c>
      <c r="F455" s="503">
        <v>46035</v>
      </c>
      <c r="H455" t="s">
        <v>3393</v>
      </c>
      <c r="I455" t="s">
        <v>1753</v>
      </c>
      <c r="J455">
        <v>0</v>
      </c>
      <c r="K455" t="s">
        <v>1681</v>
      </c>
      <c r="O455" t="s">
        <v>1068</v>
      </c>
      <c r="W455">
        <v>3.15</v>
      </c>
      <c r="X455">
        <v>3.15</v>
      </c>
      <c r="Y455">
        <v>0</v>
      </c>
      <c r="Z455">
        <v>0</v>
      </c>
      <c r="AA455">
        <v>2</v>
      </c>
      <c r="AE455" t="s">
        <v>1039</v>
      </c>
      <c r="AI455">
        <v>60</v>
      </c>
      <c r="AJ455">
        <v>1850320</v>
      </c>
      <c r="AK455">
        <v>0</v>
      </c>
      <c r="AL455">
        <v>0</v>
      </c>
      <c r="AN455" t="s">
        <v>1703</v>
      </c>
      <c r="AO455">
        <v>3.2</v>
      </c>
      <c r="AX455">
        <v>20260113</v>
      </c>
      <c r="AY455" t="s">
        <v>1754</v>
      </c>
      <c r="BG455" s="556" t="str">
        <f t="shared" si="49"/>
        <v>O</v>
      </c>
      <c r="BH455" s="556" t="str">
        <f t="shared" si="50"/>
        <v/>
      </c>
      <c r="BI455" s="556" t="str">
        <f t="shared" si="51"/>
        <v/>
      </c>
      <c r="BJ455" s="556" t="str">
        <f t="shared" si="52"/>
        <v>6S</v>
      </c>
      <c r="BK455" s="556" t="str">
        <f t="shared" si="53"/>
        <v>M4</v>
      </c>
      <c r="BL455" s="556" t="str">
        <f t="shared" si="54"/>
        <v/>
      </c>
      <c r="BM455" s="497">
        <f t="shared" si="55"/>
        <v>40068</v>
      </c>
    </row>
    <row r="456" spans="1:65">
      <c r="A456">
        <v>40057</v>
      </c>
      <c r="B456" t="s">
        <v>3299</v>
      </c>
      <c r="C456" t="s">
        <v>3300</v>
      </c>
      <c r="D456" t="s">
        <v>1803</v>
      </c>
      <c r="F456" s="503">
        <v>45987</v>
      </c>
      <c r="H456" t="s">
        <v>3301</v>
      </c>
      <c r="I456" t="s">
        <v>1753</v>
      </c>
      <c r="J456">
        <v>1000</v>
      </c>
      <c r="K456" t="s">
        <v>1681</v>
      </c>
      <c r="O456" t="s">
        <v>1068</v>
      </c>
      <c r="W456">
        <v>2.89</v>
      </c>
      <c r="X456">
        <v>2.94</v>
      </c>
      <c r="Y456">
        <v>0</v>
      </c>
      <c r="Z456">
        <v>0</v>
      </c>
      <c r="AA456">
        <v>0</v>
      </c>
      <c r="AE456" t="s">
        <v>1761</v>
      </c>
      <c r="AI456">
        <v>57</v>
      </c>
      <c r="AJ456">
        <v>3020325</v>
      </c>
      <c r="AK456">
        <v>0</v>
      </c>
      <c r="AL456">
        <v>0</v>
      </c>
      <c r="AN456" t="s">
        <v>135</v>
      </c>
      <c r="AO456">
        <v>3.25</v>
      </c>
      <c r="AX456">
        <v>20251126</v>
      </c>
      <c r="AY456" t="s">
        <v>1780</v>
      </c>
      <c r="BG456" s="556" t="str">
        <f t="shared" si="49"/>
        <v>O</v>
      </c>
      <c r="BH456" s="556" t="str">
        <f t="shared" si="50"/>
        <v/>
      </c>
      <c r="BI456" s="556" t="str">
        <f t="shared" si="51"/>
        <v/>
      </c>
      <c r="BJ456" s="556" t="str">
        <f t="shared" si="52"/>
        <v>6S</v>
      </c>
      <c r="BK456" s="556" t="str">
        <f t="shared" si="53"/>
        <v>M4</v>
      </c>
      <c r="BL456" s="556" t="str">
        <f t="shared" si="54"/>
        <v/>
      </c>
      <c r="BM456" s="497">
        <f t="shared" si="55"/>
        <v>40057</v>
      </c>
    </row>
    <row r="457" spans="1:65">
      <c r="A457">
        <v>40005</v>
      </c>
      <c r="B457" t="s">
        <v>707</v>
      </c>
      <c r="C457" t="s">
        <v>709</v>
      </c>
      <c r="D457" t="s">
        <v>1803</v>
      </c>
      <c r="F457" s="503">
        <v>43773</v>
      </c>
      <c r="H457" t="s">
        <v>710</v>
      </c>
      <c r="I457" t="s">
        <v>1753</v>
      </c>
      <c r="J457">
        <v>500</v>
      </c>
      <c r="K457" t="s">
        <v>1706</v>
      </c>
      <c r="O457" t="s">
        <v>2299</v>
      </c>
      <c r="W457">
        <v>3.54</v>
      </c>
      <c r="X457">
        <v>3.32</v>
      </c>
      <c r="Y457">
        <v>0</v>
      </c>
      <c r="Z457">
        <v>0</v>
      </c>
      <c r="AA457">
        <v>2</v>
      </c>
      <c r="AE457">
        <v>101</v>
      </c>
      <c r="AI457">
        <v>60</v>
      </c>
      <c r="AJ457">
        <v>1850325</v>
      </c>
      <c r="AK457">
        <v>0</v>
      </c>
      <c r="AN457" t="s">
        <v>1703</v>
      </c>
      <c r="AO457">
        <v>3.25</v>
      </c>
      <c r="AT457" t="s">
        <v>1859</v>
      </c>
      <c r="AX457">
        <v>20191104</v>
      </c>
      <c r="AY457" t="s">
        <v>1754</v>
      </c>
      <c r="BG457" s="556" t="str">
        <f t="shared" si="49"/>
        <v>O</v>
      </c>
      <c r="BH457" s="556" t="str">
        <f t="shared" si="50"/>
        <v/>
      </c>
      <c r="BI457" s="556" t="str">
        <f t="shared" si="51"/>
        <v/>
      </c>
      <c r="BJ457" s="556" t="str">
        <f t="shared" si="52"/>
        <v>6L</v>
      </c>
      <c r="BK457" s="556" t="str">
        <f t="shared" si="53"/>
        <v>TS1</v>
      </c>
      <c r="BL457" s="556" t="str">
        <f t="shared" si="54"/>
        <v/>
      </c>
      <c r="BM457" s="497">
        <f t="shared" si="55"/>
        <v>40005</v>
      </c>
    </row>
    <row r="458" spans="1:65">
      <c r="A458">
        <v>20706</v>
      </c>
      <c r="B458" t="s">
        <v>1711</v>
      </c>
      <c r="C458" t="s">
        <v>423</v>
      </c>
      <c r="D458" t="s">
        <v>2043</v>
      </c>
      <c r="F458" s="503">
        <v>43283</v>
      </c>
      <c r="H458" t="s">
        <v>424</v>
      </c>
      <c r="I458" t="s">
        <v>1753</v>
      </c>
      <c r="J458">
        <v>2000</v>
      </c>
      <c r="K458" t="s">
        <v>1706</v>
      </c>
      <c r="O458" t="s">
        <v>2303</v>
      </c>
      <c r="W458">
        <v>5.12</v>
      </c>
      <c r="X458">
        <v>5.18</v>
      </c>
      <c r="Y458">
        <v>0</v>
      </c>
      <c r="Z458">
        <v>71</v>
      </c>
      <c r="AA458">
        <v>1</v>
      </c>
      <c r="AE458" t="s">
        <v>1039</v>
      </c>
      <c r="AI458">
        <v>60</v>
      </c>
      <c r="AJ458">
        <v>1000345</v>
      </c>
      <c r="AK458">
        <v>0</v>
      </c>
      <c r="AN458" t="s">
        <v>133</v>
      </c>
      <c r="AO458">
        <v>3.45</v>
      </c>
      <c r="AX458">
        <v>20180702</v>
      </c>
      <c r="AY458" t="s">
        <v>1754</v>
      </c>
      <c r="BG458" s="556" t="str">
        <f t="shared" si="49"/>
        <v>O</v>
      </c>
      <c r="BH458" s="556" t="str">
        <f t="shared" si="50"/>
        <v/>
      </c>
      <c r="BI458" s="556" t="str">
        <f t="shared" si="51"/>
        <v/>
      </c>
      <c r="BJ458" s="556" t="str">
        <f t="shared" si="52"/>
        <v>6L</v>
      </c>
      <c r="BK458" s="556" t="str">
        <f t="shared" si="53"/>
        <v>M6</v>
      </c>
      <c r="BL458" s="556" t="str">
        <f t="shared" si="54"/>
        <v/>
      </c>
      <c r="BM458" s="497">
        <f t="shared" si="55"/>
        <v>20706</v>
      </c>
    </row>
    <row r="459" spans="1:65">
      <c r="A459">
        <v>40006</v>
      </c>
      <c r="B459" t="s">
        <v>159</v>
      </c>
      <c r="C459" t="s">
        <v>160</v>
      </c>
      <c r="D459" t="s">
        <v>1803</v>
      </c>
      <c r="F459" s="503">
        <v>43773</v>
      </c>
      <c r="H459" t="s">
        <v>762</v>
      </c>
      <c r="I459" t="s">
        <v>1753</v>
      </c>
      <c r="J459">
        <v>300</v>
      </c>
      <c r="K459">
        <v>5</v>
      </c>
      <c r="O459" t="s">
        <v>2303</v>
      </c>
      <c r="W459">
        <v>7.6</v>
      </c>
      <c r="X459">
        <v>7.65</v>
      </c>
      <c r="Y459">
        <v>0</v>
      </c>
      <c r="Z459">
        <v>0</v>
      </c>
      <c r="AA459">
        <v>2</v>
      </c>
      <c r="AE459">
        <v>101</v>
      </c>
      <c r="AI459">
        <v>60</v>
      </c>
      <c r="AJ459">
        <v>1850393</v>
      </c>
      <c r="AK459">
        <v>0</v>
      </c>
      <c r="AN459" t="s">
        <v>1704</v>
      </c>
      <c r="AO459">
        <v>3.93</v>
      </c>
      <c r="AT459" t="s">
        <v>2044</v>
      </c>
      <c r="AX459">
        <v>20191104</v>
      </c>
      <c r="AY459" t="s">
        <v>1754</v>
      </c>
      <c r="BG459" s="556" t="str">
        <f t="shared" si="49"/>
        <v>O</v>
      </c>
      <c r="BH459" s="556" t="str">
        <f t="shared" si="50"/>
        <v/>
      </c>
      <c r="BI459" s="556" t="str">
        <f t="shared" si="51"/>
        <v/>
      </c>
      <c r="BJ459" s="556">
        <f t="shared" si="52"/>
        <v>5</v>
      </c>
      <c r="BK459" s="556" t="str">
        <f t="shared" si="53"/>
        <v>M6</v>
      </c>
      <c r="BL459" s="556" t="str">
        <f t="shared" si="54"/>
        <v/>
      </c>
      <c r="BM459" s="497">
        <f t="shared" si="55"/>
        <v>40006</v>
      </c>
    </row>
    <row r="460" spans="1:65">
      <c r="A460">
        <v>0</v>
      </c>
      <c r="B460" t="s">
        <v>1091</v>
      </c>
      <c r="C460" t="s">
        <v>1056</v>
      </c>
      <c r="D460" t="s">
        <v>1763</v>
      </c>
      <c r="F460" s="503">
        <v>43286</v>
      </c>
      <c r="H460" t="s">
        <v>1093</v>
      </c>
      <c r="I460" t="s">
        <v>1753</v>
      </c>
      <c r="J460">
        <v>2000</v>
      </c>
      <c r="K460" t="s">
        <v>1756</v>
      </c>
      <c r="W460">
        <v>0</v>
      </c>
      <c r="X460">
        <v>1</v>
      </c>
      <c r="Y460">
        <v>0</v>
      </c>
      <c r="Z460">
        <v>0</v>
      </c>
      <c r="AA460">
        <v>0</v>
      </c>
      <c r="AE460">
        <v>0</v>
      </c>
      <c r="AI460">
        <v>80</v>
      </c>
      <c r="AJ460" t="s">
        <v>2045</v>
      </c>
      <c r="AK460">
        <v>0</v>
      </c>
      <c r="AN460" t="s">
        <v>1870</v>
      </c>
      <c r="AO460" t="s">
        <v>1884</v>
      </c>
      <c r="AX460">
        <v>20180705</v>
      </c>
      <c r="AY460" t="s">
        <v>1762</v>
      </c>
      <c r="BG460" s="556" t="str">
        <f t="shared" si="49"/>
        <v>X</v>
      </c>
      <c r="BH460" s="556" t="str">
        <f t="shared" si="50"/>
        <v/>
      </c>
      <c r="BI460" s="556" t="str">
        <f t="shared" si="51"/>
        <v/>
      </c>
      <c r="BJ460" s="556" t="str">
        <f t="shared" si="52"/>
        <v>Z</v>
      </c>
      <c r="BK460" s="556">
        <f t="shared" si="53"/>
        <v>0</v>
      </c>
      <c r="BL460" s="556" t="str">
        <f t="shared" si="54"/>
        <v/>
      </c>
      <c r="BM460" s="497">
        <f t="shared" si="55"/>
        <v>0</v>
      </c>
    </row>
    <row r="461" spans="1:65">
      <c r="B461" t="s">
        <v>1281</v>
      </c>
      <c r="C461" t="s">
        <v>1064</v>
      </c>
      <c r="D461" t="s">
        <v>1973</v>
      </c>
      <c r="F461" s="503">
        <v>42748</v>
      </c>
      <c r="H461" t="s">
        <v>1282</v>
      </c>
      <c r="I461" t="s">
        <v>1753</v>
      </c>
      <c r="J461">
        <v>2000</v>
      </c>
      <c r="K461" t="s">
        <v>1756</v>
      </c>
      <c r="W461">
        <v>0</v>
      </c>
      <c r="X461">
        <v>1.48</v>
      </c>
      <c r="Y461">
        <v>0</v>
      </c>
      <c r="Z461">
        <v>0</v>
      </c>
      <c r="AA461">
        <v>0</v>
      </c>
      <c r="AE461" t="s">
        <v>1761</v>
      </c>
      <c r="AI461">
        <v>80</v>
      </c>
      <c r="AJ461" t="s">
        <v>2046</v>
      </c>
      <c r="AK461">
        <v>0</v>
      </c>
      <c r="AL461">
        <v>0</v>
      </c>
      <c r="AN461" t="s">
        <v>135</v>
      </c>
      <c r="AO461">
        <v>0</v>
      </c>
      <c r="AX461">
        <v>20170113</v>
      </c>
      <c r="AY461" t="s">
        <v>1762</v>
      </c>
      <c r="BG461" s="556" t="str">
        <f t="shared" si="49"/>
        <v>X</v>
      </c>
      <c r="BH461" s="556" t="str">
        <f t="shared" si="50"/>
        <v/>
      </c>
      <c r="BI461" s="556" t="str">
        <f t="shared" si="51"/>
        <v/>
      </c>
      <c r="BJ461" s="556" t="str">
        <f t="shared" si="52"/>
        <v>Z</v>
      </c>
      <c r="BK461" s="556">
        <f t="shared" si="53"/>
        <v>0</v>
      </c>
      <c r="BL461" s="556" t="str">
        <f t="shared" si="54"/>
        <v/>
      </c>
      <c r="BM461" s="497">
        <f t="shared" si="55"/>
        <v>0</v>
      </c>
    </row>
    <row r="462" spans="1:65">
      <c r="B462" t="s">
        <v>2788</v>
      </c>
      <c r="C462" t="s">
        <v>1056</v>
      </c>
      <c r="D462" t="s">
        <v>1771</v>
      </c>
      <c r="F462" s="503">
        <v>45359</v>
      </c>
      <c r="H462" t="s">
        <v>2789</v>
      </c>
      <c r="I462" t="s">
        <v>1753</v>
      </c>
      <c r="J462">
        <v>20000</v>
      </c>
      <c r="W462">
        <v>0.14000000000000001</v>
      </c>
      <c r="X462">
        <v>0.13</v>
      </c>
      <c r="Y462">
        <v>0</v>
      </c>
      <c r="Z462">
        <v>0</v>
      </c>
      <c r="AA462">
        <v>0</v>
      </c>
      <c r="AE462" t="s">
        <v>1761</v>
      </c>
      <c r="AI462">
        <v>12</v>
      </c>
      <c r="AJ462" t="s">
        <v>1869</v>
      </c>
      <c r="AK462">
        <v>0</v>
      </c>
      <c r="AL462">
        <v>0</v>
      </c>
      <c r="AN462" t="s">
        <v>1870</v>
      </c>
      <c r="AO462" t="s">
        <v>1785</v>
      </c>
      <c r="AX462">
        <v>20240308</v>
      </c>
      <c r="AY462" t="s">
        <v>2051</v>
      </c>
      <c r="BG462" s="556" t="str">
        <f t="shared" si="49"/>
        <v>X</v>
      </c>
      <c r="BH462" s="556" t="str">
        <f t="shared" si="50"/>
        <v/>
      </c>
      <c r="BI462" s="556" t="str">
        <f t="shared" si="51"/>
        <v/>
      </c>
      <c r="BJ462" s="556">
        <f t="shared" si="52"/>
        <v>0</v>
      </c>
      <c r="BK462" s="556">
        <f t="shared" si="53"/>
        <v>0</v>
      </c>
      <c r="BL462" s="556" t="str">
        <f t="shared" si="54"/>
        <v/>
      </c>
      <c r="BM462" s="497">
        <f t="shared" si="55"/>
        <v>0</v>
      </c>
    </row>
    <row r="463" spans="1:65">
      <c r="B463" t="s">
        <v>1159</v>
      </c>
      <c r="C463" t="s">
        <v>1056</v>
      </c>
      <c r="D463" t="s">
        <v>2047</v>
      </c>
      <c r="F463" s="503">
        <v>43803</v>
      </c>
      <c r="H463" t="s">
        <v>2048</v>
      </c>
      <c r="I463" t="s">
        <v>1753</v>
      </c>
      <c r="J463">
        <v>5000</v>
      </c>
      <c r="K463" t="s">
        <v>1756</v>
      </c>
      <c r="W463">
        <v>0.6</v>
      </c>
      <c r="X463">
        <v>0.6</v>
      </c>
      <c r="Y463">
        <v>0</v>
      </c>
      <c r="Z463">
        <v>0</v>
      </c>
      <c r="AA463">
        <v>0</v>
      </c>
      <c r="AE463" t="s">
        <v>1039</v>
      </c>
      <c r="AI463">
        <v>12</v>
      </c>
      <c r="AJ463" t="s">
        <v>2049</v>
      </c>
      <c r="AK463">
        <v>0</v>
      </c>
      <c r="AL463">
        <v>0</v>
      </c>
      <c r="AN463" t="s">
        <v>1098</v>
      </c>
      <c r="AO463" t="s">
        <v>2050</v>
      </c>
      <c r="AX463">
        <v>20191204</v>
      </c>
      <c r="AY463" t="s">
        <v>2051</v>
      </c>
      <c r="BG463" s="556" t="str">
        <f t="shared" si="49"/>
        <v>X</v>
      </c>
      <c r="BH463" s="556" t="str">
        <f t="shared" si="50"/>
        <v/>
      </c>
      <c r="BI463" s="556" t="str">
        <f t="shared" si="51"/>
        <v/>
      </c>
      <c r="BJ463" s="556" t="str">
        <f t="shared" si="52"/>
        <v>Z</v>
      </c>
      <c r="BK463" s="556">
        <f t="shared" si="53"/>
        <v>0</v>
      </c>
      <c r="BL463" s="556" t="str">
        <f t="shared" si="54"/>
        <v/>
      </c>
      <c r="BM463" s="497">
        <f t="shared" si="55"/>
        <v>0</v>
      </c>
    </row>
    <row r="464" spans="1:65">
      <c r="B464" t="s">
        <v>2827</v>
      </c>
      <c r="C464" t="s">
        <v>1056</v>
      </c>
      <c r="D464" t="s">
        <v>2047</v>
      </c>
      <c r="F464" s="503">
        <v>43803</v>
      </c>
      <c r="H464" t="s">
        <v>2860</v>
      </c>
      <c r="I464" t="s">
        <v>1753</v>
      </c>
      <c r="J464">
        <v>5000</v>
      </c>
      <c r="K464" t="s">
        <v>1756</v>
      </c>
      <c r="W464">
        <v>0.7</v>
      </c>
      <c r="X464">
        <v>0.7</v>
      </c>
      <c r="Y464">
        <v>0</v>
      </c>
      <c r="Z464">
        <v>0</v>
      </c>
      <c r="AA464">
        <v>0</v>
      </c>
      <c r="AE464" t="s">
        <v>1039</v>
      </c>
      <c r="AI464">
        <v>12</v>
      </c>
      <c r="AJ464" t="s">
        <v>2155</v>
      </c>
      <c r="AK464">
        <v>0</v>
      </c>
      <c r="AL464">
        <v>0</v>
      </c>
      <c r="AN464" t="s">
        <v>1098</v>
      </c>
      <c r="AO464" t="s">
        <v>2156</v>
      </c>
      <c r="AX464">
        <v>20191204</v>
      </c>
      <c r="AY464" t="s">
        <v>2051</v>
      </c>
      <c r="BG464" s="556" t="str">
        <f t="shared" si="49"/>
        <v>X</v>
      </c>
      <c r="BH464" s="556" t="str">
        <f t="shared" si="50"/>
        <v/>
      </c>
      <c r="BI464" s="556" t="str">
        <f t="shared" si="51"/>
        <v/>
      </c>
      <c r="BJ464" s="556" t="str">
        <f t="shared" si="52"/>
        <v>Z</v>
      </c>
      <c r="BK464" s="556">
        <f t="shared" si="53"/>
        <v>0</v>
      </c>
      <c r="BL464" s="556" t="str">
        <f t="shared" si="54"/>
        <v/>
      </c>
      <c r="BM464" s="497">
        <f t="shared" si="55"/>
        <v>0</v>
      </c>
    </row>
    <row r="465" spans="1:65">
      <c r="B465" t="s">
        <v>1252</v>
      </c>
      <c r="C465" t="s">
        <v>1056</v>
      </c>
      <c r="D465" t="s">
        <v>2047</v>
      </c>
      <c r="F465" s="503">
        <v>43803</v>
      </c>
      <c r="H465" t="s">
        <v>2052</v>
      </c>
      <c r="I465" t="s">
        <v>1753</v>
      </c>
      <c r="J465">
        <v>1500</v>
      </c>
      <c r="K465" t="s">
        <v>1756</v>
      </c>
      <c r="W465">
        <v>2.52</v>
      </c>
      <c r="X465">
        <v>2.52</v>
      </c>
      <c r="Y465">
        <v>0</v>
      </c>
      <c r="Z465">
        <v>0</v>
      </c>
      <c r="AA465">
        <v>0</v>
      </c>
      <c r="AE465" t="s">
        <v>1039</v>
      </c>
      <c r="AI465">
        <v>12</v>
      </c>
      <c r="AJ465" t="s">
        <v>2053</v>
      </c>
      <c r="AK465">
        <v>0</v>
      </c>
      <c r="AN465" t="s">
        <v>2054</v>
      </c>
      <c r="AO465" t="s">
        <v>1907</v>
      </c>
      <c r="AX465">
        <v>20191204</v>
      </c>
      <c r="AY465" t="s">
        <v>2051</v>
      </c>
      <c r="BG465" s="556" t="str">
        <f t="shared" si="49"/>
        <v>X</v>
      </c>
      <c r="BH465" s="556" t="str">
        <f t="shared" si="50"/>
        <v/>
      </c>
      <c r="BI465" s="556" t="str">
        <f t="shared" si="51"/>
        <v/>
      </c>
      <c r="BJ465" s="556" t="str">
        <f t="shared" si="52"/>
        <v>Z</v>
      </c>
      <c r="BK465" s="556">
        <f t="shared" si="53"/>
        <v>0</v>
      </c>
      <c r="BL465" s="556" t="str">
        <f t="shared" si="54"/>
        <v/>
      </c>
      <c r="BM465" s="497">
        <f t="shared" si="55"/>
        <v>0</v>
      </c>
    </row>
    <row r="466" spans="1:65">
      <c r="B466" t="s">
        <v>2829</v>
      </c>
      <c r="C466" t="s">
        <v>1056</v>
      </c>
      <c r="D466" t="s">
        <v>2047</v>
      </c>
      <c r="F466" s="503">
        <v>43803</v>
      </c>
      <c r="H466" t="s">
        <v>2830</v>
      </c>
      <c r="I466" t="s">
        <v>1753</v>
      </c>
      <c r="J466">
        <v>500</v>
      </c>
      <c r="K466" t="s">
        <v>1756</v>
      </c>
      <c r="W466">
        <v>7.46</v>
      </c>
      <c r="X466">
        <v>7.46</v>
      </c>
      <c r="Y466">
        <v>0</v>
      </c>
      <c r="Z466">
        <v>0</v>
      </c>
      <c r="AA466">
        <v>0</v>
      </c>
      <c r="AE466" t="s">
        <v>1039</v>
      </c>
      <c r="AI466">
        <v>12</v>
      </c>
      <c r="AJ466" t="s">
        <v>2053</v>
      </c>
      <c r="AK466">
        <v>0</v>
      </c>
      <c r="AL466">
        <v>0</v>
      </c>
      <c r="AN466" t="s">
        <v>2054</v>
      </c>
      <c r="AO466" t="s">
        <v>1907</v>
      </c>
      <c r="AX466">
        <v>20191204</v>
      </c>
      <c r="AY466" t="s">
        <v>2051</v>
      </c>
      <c r="BG466" s="556" t="str">
        <f t="shared" si="49"/>
        <v>X</v>
      </c>
      <c r="BH466" s="556" t="str">
        <f t="shared" si="50"/>
        <v/>
      </c>
      <c r="BI466" s="556" t="str">
        <f t="shared" si="51"/>
        <v/>
      </c>
      <c r="BJ466" s="556" t="str">
        <f t="shared" si="52"/>
        <v>Z</v>
      </c>
      <c r="BK466" s="556">
        <f t="shared" si="53"/>
        <v>0</v>
      </c>
      <c r="BL466" s="556" t="str">
        <f t="shared" si="54"/>
        <v/>
      </c>
      <c r="BM466" s="497">
        <f t="shared" si="55"/>
        <v>0</v>
      </c>
    </row>
    <row r="467" spans="1:65">
      <c r="B467" t="s">
        <v>2963</v>
      </c>
      <c r="C467" t="s">
        <v>1042</v>
      </c>
      <c r="D467" t="s">
        <v>1782</v>
      </c>
      <c r="F467" s="503">
        <v>44288</v>
      </c>
      <c r="H467" t="s">
        <v>2056</v>
      </c>
      <c r="I467" t="s">
        <v>1753</v>
      </c>
      <c r="J467">
        <v>0</v>
      </c>
      <c r="K467" t="s">
        <v>1756</v>
      </c>
      <c r="W467">
        <v>0.35</v>
      </c>
      <c r="X467">
        <v>0.34</v>
      </c>
      <c r="Y467">
        <v>0</v>
      </c>
      <c r="Z467">
        <v>0</v>
      </c>
      <c r="AA467">
        <v>0</v>
      </c>
      <c r="AE467">
        <v>0</v>
      </c>
      <c r="AI467">
        <v>84</v>
      </c>
      <c r="AJ467" t="s">
        <v>2094</v>
      </c>
      <c r="AK467">
        <v>0</v>
      </c>
      <c r="AL467">
        <v>0</v>
      </c>
      <c r="AN467" t="s">
        <v>2095</v>
      </c>
      <c r="AO467" t="s">
        <v>2057</v>
      </c>
      <c r="AX467">
        <v>20210402</v>
      </c>
      <c r="AY467" t="s">
        <v>1786</v>
      </c>
      <c r="BG467" s="556" t="str">
        <f t="shared" si="49"/>
        <v>X</v>
      </c>
      <c r="BH467" s="556" t="str">
        <f t="shared" si="50"/>
        <v>Y</v>
      </c>
      <c r="BI467" s="556" t="str">
        <f t="shared" si="51"/>
        <v/>
      </c>
      <c r="BJ467" s="556" t="str">
        <f t="shared" si="52"/>
        <v>Z</v>
      </c>
      <c r="BK467" s="556">
        <f t="shared" si="53"/>
        <v>0</v>
      </c>
      <c r="BL467" s="556" t="str">
        <f t="shared" si="54"/>
        <v/>
      </c>
      <c r="BM467" s="497">
        <f t="shared" si="55"/>
        <v>0</v>
      </c>
    </row>
    <row r="468" spans="1:65">
      <c r="B468" t="s">
        <v>2058</v>
      </c>
      <c r="C468" t="s">
        <v>1056</v>
      </c>
      <c r="D468" t="s">
        <v>1782</v>
      </c>
      <c r="F468" s="503">
        <v>44288</v>
      </c>
      <c r="H468" t="s">
        <v>2059</v>
      </c>
      <c r="I468" t="s">
        <v>1753</v>
      </c>
      <c r="J468">
        <v>0</v>
      </c>
      <c r="K468" t="s">
        <v>1756</v>
      </c>
      <c r="W468">
        <v>0</v>
      </c>
      <c r="X468">
        <v>0.45</v>
      </c>
      <c r="Y468">
        <v>0</v>
      </c>
      <c r="Z468">
        <v>0</v>
      </c>
      <c r="AA468">
        <v>0</v>
      </c>
      <c r="AE468">
        <v>0</v>
      </c>
      <c r="AI468">
        <v>84</v>
      </c>
      <c r="AJ468" t="s">
        <v>2045</v>
      </c>
      <c r="AK468">
        <v>0</v>
      </c>
      <c r="AL468">
        <v>0</v>
      </c>
      <c r="AN468" t="s">
        <v>1870</v>
      </c>
      <c r="AO468" t="s">
        <v>1884</v>
      </c>
      <c r="AX468">
        <v>20210402</v>
      </c>
      <c r="AY468" t="s">
        <v>1786</v>
      </c>
      <c r="BG468" s="556" t="str">
        <f t="shared" si="49"/>
        <v>X</v>
      </c>
      <c r="BH468" s="556" t="str">
        <f t="shared" si="50"/>
        <v>Y</v>
      </c>
      <c r="BI468" s="556" t="str">
        <f t="shared" si="51"/>
        <v/>
      </c>
      <c r="BJ468" s="556" t="str">
        <f t="shared" si="52"/>
        <v>Z</v>
      </c>
      <c r="BK468" s="556">
        <f t="shared" si="53"/>
        <v>0</v>
      </c>
      <c r="BL468" s="556" t="str">
        <f t="shared" si="54"/>
        <v/>
      </c>
      <c r="BM468" s="497">
        <f t="shared" si="55"/>
        <v>0</v>
      </c>
    </row>
    <row r="469" spans="1:65">
      <c r="B469" t="s">
        <v>1065</v>
      </c>
      <c r="C469" t="s">
        <v>1067</v>
      </c>
      <c r="D469" t="s">
        <v>1763</v>
      </c>
      <c r="F469" s="503">
        <v>43320</v>
      </c>
      <c r="H469" t="s">
        <v>1068</v>
      </c>
      <c r="I469" t="s">
        <v>1753</v>
      </c>
      <c r="J469">
        <v>5000</v>
      </c>
      <c r="K469" t="s">
        <v>1756</v>
      </c>
      <c r="W469">
        <v>0.69</v>
      </c>
      <c r="X469">
        <v>0.69</v>
      </c>
      <c r="Y469">
        <v>0</v>
      </c>
      <c r="Z469">
        <v>0</v>
      </c>
      <c r="AA469">
        <v>0</v>
      </c>
      <c r="AE469" t="s">
        <v>1039</v>
      </c>
      <c r="AI469">
        <v>12</v>
      </c>
      <c r="AJ469" t="s">
        <v>2064</v>
      </c>
      <c r="AK469">
        <v>0</v>
      </c>
      <c r="AN469" t="s">
        <v>133</v>
      </c>
      <c r="AO469">
        <v>0</v>
      </c>
      <c r="AX469">
        <v>20180808</v>
      </c>
      <c r="AY469" t="s">
        <v>2051</v>
      </c>
      <c r="BG469" s="556" t="str">
        <f t="shared" si="49"/>
        <v>X</v>
      </c>
      <c r="BH469" s="556" t="str">
        <f t="shared" si="50"/>
        <v/>
      </c>
      <c r="BI469" s="556" t="str">
        <f t="shared" si="51"/>
        <v/>
      </c>
      <c r="BJ469" s="556" t="str">
        <f t="shared" si="52"/>
        <v>Z</v>
      </c>
      <c r="BK469" s="556">
        <f t="shared" si="53"/>
        <v>0</v>
      </c>
      <c r="BL469" s="556" t="str">
        <f t="shared" si="54"/>
        <v/>
      </c>
      <c r="BM469" s="497">
        <f t="shared" si="55"/>
        <v>0</v>
      </c>
    </row>
    <row r="470" spans="1:65">
      <c r="A470">
        <v>32008</v>
      </c>
      <c r="B470" t="s">
        <v>1010</v>
      </c>
      <c r="C470" t="s">
        <v>1012</v>
      </c>
      <c r="D470" t="s">
        <v>2061</v>
      </c>
      <c r="F470" s="503">
        <v>43512</v>
      </c>
      <c r="H470" t="s">
        <v>931</v>
      </c>
      <c r="I470" t="s">
        <v>1913</v>
      </c>
      <c r="J470">
        <v>0</v>
      </c>
      <c r="K470" t="s">
        <v>1756</v>
      </c>
      <c r="O470" t="s">
        <v>2303</v>
      </c>
      <c r="W470">
        <v>3.44</v>
      </c>
      <c r="X470">
        <v>2.4</v>
      </c>
      <c r="Y470">
        <v>0</v>
      </c>
      <c r="Z470">
        <v>0</v>
      </c>
      <c r="AA470">
        <v>0</v>
      </c>
      <c r="AE470" t="s">
        <v>1761</v>
      </c>
      <c r="AI470">
        <v>57</v>
      </c>
      <c r="AJ470">
        <v>2700435</v>
      </c>
      <c r="AK470">
        <v>0</v>
      </c>
      <c r="AN470" t="s">
        <v>1731</v>
      </c>
      <c r="AO470">
        <v>4.3499999999999996</v>
      </c>
      <c r="AX470">
        <v>20190216</v>
      </c>
      <c r="AY470" t="s">
        <v>1780</v>
      </c>
      <c r="BG470" s="556" t="str">
        <f t="shared" si="49"/>
        <v>O</v>
      </c>
      <c r="BH470" s="556" t="str">
        <f t="shared" si="50"/>
        <v/>
      </c>
      <c r="BI470" s="556" t="str">
        <f t="shared" si="51"/>
        <v/>
      </c>
      <c r="BJ470" s="556" t="str">
        <f t="shared" si="52"/>
        <v>Z</v>
      </c>
      <c r="BK470" s="556" t="str">
        <f t="shared" si="53"/>
        <v>M6</v>
      </c>
      <c r="BL470" s="556" t="str">
        <f t="shared" si="54"/>
        <v/>
      </c>
      <c r="BM470" s="497">
        <f t="shared" si="55"/>
        <v>32008</v>
      </c>
    </row>
    <row r="471" spans="1:65">
      <c r="A471">
        <v>52027</v>
      </c>
      <c r="B471" t="s">
        <v>3163</v>
      </c>
      <c r="C471" t="s">
        <v>83</v>
      </c>
      <c r="D471" t="s">
        <v>1755</v>
      </c>
      <c r="F471" s="503">
        <v>45838</v>
      </c>
      <c r="H471" t="s">
        <v>3164</v>
      </c>
      <c r="I471" t="s">
        <v>1753</v>
      </c>
      <c r="J471">
        <v>0</v>
      </c>
      <c r="K471" t="s">
        <v>1681</v>
      </c>
      <c r="O471" t="s">
        <v>2303</v>
      </c>
      <c r="W471">
        <v>2.42</v>
      </c>
      <c r="X471">
        <v>2.42</v>
      </c>
      <c r="Y471">
        <v>0</v>
      </c>
      <c r="Z471">
        <v>0</v>
      </c>
      <c r="AA471">
        <v>0</v>
      </c>
      <c r="AE471" t="s">
        <v>1761</v>
      </c>
      <c r="AI471">
        <v>57</v>
      </c>
      <c r="AJ471">
        <v>3020438</v>
      </c>
      <c r="AK471">
        <v>0</v>
      </c>
      <c r="AN471" t="s">
        <v>2629</v>
      </c>
      <c r="AO471">
        <v>4.38</v>
      </c>
      <c r="AX471">
        <v>20250630</v>
      </c>
      <c r="AY471" t="s">
        <v>1780</v>
      </c>
      <c r="BG471" s="556" t="str">
        <f t="shared" si="49"/>
        <v>O</v>
      </c>
      <c r="BH471" s="556" t="str">
        <f t="shared" si="50"/>
        <v/>
      </c>
      <c r="BI471" s="556" t="str">
        <f t="shared" si="51"/>
        <v/>
      </c>
      <c r="BJ471" s="556" t="str">
        <f t="shared" si="52"/>
        <v>6S</v>
      </c>
      <c r="BK471" s="556" t="str">
        <f t="shared" si="53"/>
        <v>M6</v>
      </c>
      <c r="BL471" s="556" t="str">
        <f t="shared" si="54"/>
        <v/>
      </c>
      <c r="BM471" s="497">
        <f t="shared" si="55"/>
        <v>52027</v>
      </c>
    </row>
    <row r="472" spans="1:65">
      <c r="A472">
        <v>33000</v>
      </c>
      <c r="B472" t="s">
        <v>929</v>
      </c>
      <c r="C472" t="s">
        <v>83</v>
      </c>
      <c r="D472" t="s">
        <v>1770</v>
      </c>
      <c r="F472" s="503">
        <v>43322</v>
      </c>
      <c r="H472" t="s">
        <v>931</v>
      </c>
      <c r="I472" t="s">
        <v>1753</v>
      </c>
      <c r="J472">
        <v>0</v>
      </c>
      <c r="K472" t="s">
        <v>1706</v>
      </c>
      <c r="L472" t="s">
        <v>1681</v>
      </c>
      <c r="O472" t="s">
        <v>2303</v>
      </c>
      <c r="W472">
        <v>2.42</v>
      </c>
      <c r="X472">
        <v>2.42</v>
      </c>
      <c r="Y472">
        <v>0</v>
      </c>
      <c r="Z472">
        <v>0</v>
      </c>
      <c r="AA472">
        <v>0</v>
      </c>
      <c r="AE472" t="s">
        <v>1761</v>
      </c>
      <c r="AI472">
        <v>57</v>
      </c>
      <c r="AJ472">
        <v>3020438</v>
      </c>
      <c r="AK472">
        <v>0</v>
      </c>
      <c r="AN472" t="s">
        <v>2629</v>
      </c>
      <c r="AO472">
        <v>4.38</v>
      </c>
      <c r="AX472">
        <v>20180810</v>
      </c>
      <c r="AY472" t="s">
        <v>1780</v>
      </c>
      <c r="BG472" s="556" t="str">
        <f t="shared" si="49"/>
        <v>O</v>
      </c>
      <c r="BH472" s="556" t="str">
        <f t="shared" si="50"/>
        <v/>
      </c>
      <c r="BI472" s="556" t="str">
        <f t="shared" si="51"/>
        <v/>
      </c>
      <c r="BJ472" s="556" t="str">
        <f t="shared" si="52"/>
        <v>6L,6S</v>
      </c>
      <c r="BK472" s="556" t="str">
        <f t="shared" si="53"/>
        <v>M6</v>
      </c>
      <c r="BL472" s="556" t="str">
        <f t="shared" si="54"/>
        <v/>
      </c>
      <c r="BM472" s="497">
        <f t="shared" si="55"/>
        <v>33000</v>
      </c>
    </row>
    <row r="473" spans="1:65">
      <c r="A473">
        <v>52015</v>
      </c>
      <c r="B473" t="s">
        <v>2065</v>
      </c>
      <c r="C473" t="s">
        <v>1019</v>
      </c>
      <c r="D473" t="s">
        <v>1755</v>
      </c>
      <c r="F473" s="503">
        <v>43915</v>
      </c>
      <c r="H473" t="s">
        <v>1020</v>
      </c>
      <c r="I473" t="s">
        <v>1753</v>
      </c>
      <c r="J473">
        <v>0</v>
      </c>
      <c r="K473">
        <v>9</v>
      </c>
      <c r="O473" t="s">
        <v>2303</v>
      </c>
      <c r="W473">
        <v>3.52</v>
      </c>
      <c r="X473">
        <v>3.46</v>
      </c>
      <c r="Y473">
        <v>0</v>
      </c>
      <c r="Z473">
        <v>0</v>
      </c>
      <c r="AA473">
        <v>0</v>
      </c>
      <c r="AE473" t="s">
        <v>1221</v>
      </c>
      <c r="AI473">
        <v>57</v>
      </c>
      <c r="AJ473">
        <v>1000575</v>
      </c>
      <c r="AK473">
        <v>0</v>
      </c>
      <c r="AN473" t="s">
        <v>133</v>
      </c>
      <c r="AO473">
        <v>5.75</v>
      </c>
      <c r="AX473">
        <v>20200325</v>
      </c>
      <c r="AY473" t="s">
        <v>1780</v>
      </c>
      <c r="BG473" s="556" t="str">
        <f t="shared" si="49"/>
        <v>O</v>
      </c>
      <c r="BH473" s="556" t="str">
        <f t="shared" si="50"/>
        <v/>
      </c>
      <c r="BI473" s="556" t="str">
        <f t="shared" si="51"/>
        <v/>
      </c>
      <c r="BJ473" s="556">
        <f t="shared" si="52"/>
        <v>9</v>
      </c>
      <c r="BK473" s="556" t="str">
        <f t="shared" si="53"/>
        <v>M6</v>
      </c>
      <c r="BL473" s="556" t="str">
        <f t="shared" si="54"/>
        <v/>
      </c>
      <c r="BM473" s="497">
        <f t="shared" si="55"/>
        <v>52015</v>
      </c>
    </row>
    <row r="474" spans="1:65">
      <c r="A474">
        <v>53556</v>
      </c>
      <c r="B474" t="s">
        <v>2067</v>
      </c>
      <c r="C474" t="s">
        <v>2311</v>
      </c>
      <c r="D474" t="s">
        <v>1827</v>
      </c>
      <c r="F474" s="503">
        <v>44841</v>
      </c>
      <c r="H474" t="s">
        <v>2066</v>
      </c>
      <c r="I474" t="s">
        <v>1753</v>
      </c>
      <c r="J474">
        <v>2000</v>
      </c>
      <c r="K474" t="s">
        <v>1068</v>
      </c>
      <c r="O474" t="s">
        <v>1068</v>
      </c>
      <c r="W474">
        <v>1.87</v>
      </c>
      <c r="X474">
        <v>1.87</v>
      </c>
      <c r="Y474">
        <v>0</v>
      </c>
      <c r="Z474">
        <v>0</v>
      </c>
      <c r="AA474">
        <v>2</v>
      </c>
      <c r="AE474" t="s">
        <v>1039</v>
      </c>
      <c r="AI474">
        <v>60</v>
      </c>
      <c r="AJ474">
        <v>1850355</v>
      </c>
      <c r="AK474">
        <v>0</v>
      </c>
      <c r="AL474">
        <v>0</v>
      </c>
      <c r="AN474" t="s">
        <v>1703</v>
      </c>
      <c r="AO474">
        <v>3.55</v>
      </c>
      <c r="AX474">
        <v>20221007</v>
      </c>
      <c r="AY474" t="s">
        <v>1754</v>
      </c>
      <c r="BG474" s="556" t="str">
        <f t="shared" si="49"/>
        <v>O</v>
      </c>
      <c r="BH474" s="556" t="str">
        <f t="shared" si="50"/>
        <v/>
      </c>
      <c r="BI474" s="556" t="str">
        <f t="shared" si="51"/>
        <v/>
      </c>
      <c r="BJ474" s="556" t="str">
        <f t="shared" si="52"/>
        <v>M4</v>
      </c>
      <c r="BK474" s="556" t="str">
        <f t="shared" si="53"/>
        <v>M4</v>
      </c>
      <c r="BL474" s="556" t="str">
        <f t="shared" si="54"/>
        <v/>
      </c>
      <c r="BM474" s="497">
        <f t="shared" si="55"/>
        <v>53556</v>
      </c>
    </row>
    <row r="475" spans="1:65">
      <c r="A475">
        <v>53552</v>
      </c>
      <c r="B475" t="s">
        <v>2312</v>
      </c>
      <c r="C475" t="s">
        <v>2311</v>
      </c>
      <c r="D475" t="s">
        <v>1827</v>
      </c>
      <c r="F475" s="503">
        <v>44841</v>
      </c>
      <c r="H475" t="s">
        <v>2066</v>
      </c>
      <c r="I475" t="s">
        <v>1753</v>
      </c>
      <c r="J475">
        <v>2000</v>
      </c>
      <c r="K475" t="s">
        <v>1068</v>
      </c>
      <c r="O475" t="s">
        <v>1068</v>
      </c>
      <c r="W475">
        <v>2.25</v>
      </c>
      <c r="X475">
        <v>2.14</v>
      </c>
      <c r="Y475">
        <v>0</v>
      </c>
      <c r="Z475">
        <v>0</v>
      </c>
      <c r="AA475">
        <v>2</v>
      </c>
      <c r="AE475" t="s">
        <v>1039</v>
      </c>
      <c r="AI475">
        <v>60</v>
      </c>
      <c r="AJ475">
        <v>1850355</v>
      </c>
      <c r="AK475">
        <v>0</v>
      </c>
      <c r="AL475">
        <v>0</v>
      </c>
      <c r="AN475" t="s">
        <v>1703</v>
      </c>
      <c r="AO475">
        <v>3.55</v>
      </c>
      <c r="AX475">
        <v>20221007</v>
      </c>
      <c r="AY475" t="s">
        <v>1754</v>
      </c>
      <c r="BG475" s="556" t="str">
        <f t="shared" si="49"/>
        <v>O</v>
      </c>
      <c r="BH475" s="556" t="str">
        <f t="shared" si="50"/>
        <v/>
      </c>
      <c r="BI475" s="556" t="str">
        <f t="shared" si="51"/>
        <v/>
      </c>
      <c r="BJ475" s="556" t="str">
        <f t="shared" si="52"/>
        <v>M4</v>
      </c>
      <c r="BK475" s="556" t="str">
        <f t="shared" si="53"/>
        <v>M4</v>
      </c>
      <c r="BL475" s="556" t="str">
        <f t="shared" si="54"/>
        <v/>
      </c>
      <c r="BM475" s="497">
        <f t="shared" si="55"/>
        <v>53552</v>
      </c>
    </row>
    <row r="476" spans="1:65">
      <c r="A476">
        <v>52004</v>
      </c>
      <c r="B476" t="s">
        <v>430</v>
      </c>
      <c r="C476" t="s">
        <v>311</v>
      </c>
      <c r="D476" t="s">
        <v>1755</v>
      </c>
      <c r="F476" s="503">
        <v>43685</v>
      </c>
      <c r="H476" t="s">
        <v>431</v>
      </c>
      <c r="I476" t="s">
        <v>1753</v>
      </c>
      <c r="J476">
        <v>2000</v>
      </c>
      <c r="K476" t="s">
        <v>1681</v>
      </c>
      <c r="O476" t="s">
        <v>1068</v>
      </c>
      <c r="P476" t="s">
        <v>2303</v>
      </c>
      <c r="W476">
        <v>1.6</v>
      </c>
      <c r="X476">
        <v>1.63</v>
      </c>
      <c r="Y476">
        <v>0</v>
      </c>
      <c r="Z476">
        <v>0</v>
      </c>
      <c r="AA476">
        <v>0</v>
      </c>
      <c r="AE476" t="s">
        <v>1773</v>
      </c>
      <c r="AI476">
        <v>57</v>
      </c>
      <c r="AJ476">
        <v>1000436</v>
      </c>
      <c r="AK476">
        <v>0</v>
      </c>
      <c r="AN476" t="s">
        <v>133</v>
      </c>
      <c r="AO476">
        <v>4.3600000000000003</v>
      </c>
      <c r="AX476">
        <v>20190808</v>
      </c>
      <c r="AY476" t="s">
        <v>1780</v>
      </c>
      <c r="BG476" s="556" t="str">
        <f t="shared" si="49"/>
        <v>O</v>
      </c>
      <c r="BH476" s="556" t="str">
        <f t="shared" si="50"/>
        <v/>
      </c>
      <c r="BI476" s="556" t="str">
        <f t="shared" si="51"/>
        <v/>
      </c>
      <c r="BJ476" s="556" t="str">
        <f t="shared" si="52"/>
        <v>6S</v>
      </c>
      <c r="BK476" s="556" t="str">
        <f t="shared" si="53"/>
        <v>M4,M6</v>
      </c>
      <c r="BL476" s="556" t="str">
        <f t="shared" si="54"/>
        <v/>
      </c>
      <c r="BM476" s="497">
        <f t="shared" si="55"/>
        <v>52004</v>
      </c>
    </row>
    <row r="477" spans="1:65">
      <c r="A477">
        <v>52003</v>
      </c>
      <c r="B477" t="s">
        <v>432</v>
      </c>
      <c r="C477" t="s">
        <v>311</v>
      </c>
      <c r="D477" t="s">
        <v>1755</v>
      </c>
      <c r="F477" s="503">
        <v>43685</v>
      </c>
      <c r="H477" t="s">
        <v>431</v>
      </c>
      <c r="I477" t="s">
        <v>1753</v>
      </c>
      <c r="J477">
        <v>2000</v>
      </c>
      <c r="K477" t="s">
        <v>1681</v>
      </c>
      <c r="O477" t="s">
        <v>1068</v>
      </c>
      <c r="P477" t="s">
        <v>2303</v>
      </c>
      <c r="W477">
        <v>1.64</v>
      </c>
      <c r="X477">
        <v>1.66</v>
      </c>
      <c r="Y477">
        <v>0</v>
      </c>
      <c r="Z477">
        <v>0</v>
      </c>
      <c r="AA477">
        <v>0</v>
      </c>
      <c r="AE477" t="s">
        <v>1221</v>
      </c>
      <c r="AI477">
        <v>57</v>
      </c>
      <c r="AJ477">
        <v>1000436</v>
      </c>
      <c r="AK477">
        <v>0</v>
      </c>
      <c r="AL477">
        <v>0</v>
      </c>
      <c r="AN477" t="s">
        <v>133</v>
      </c>
      <c r="AO477">
        <v>4.3600000000000003</v>
      </c>
      <c r="AX477">
        <v>20190808</v>
      </c>
      <c r="AY477" t="s">
        <v>1780</v>
      </c>
      <c r="BG477" s="556" t="str">
        <f t="shared" si="49"/>
        <v>O</v>
      </c>
      <c r="BH477" s="556" t="str">
        <f t="shared" si="50"/>
        <v/>
      </c>
      <c r="BI477" s="556" t="str">
        <f t="shared" si="51"/>
        <v/>
      </c>
      <c r="BJ477" s="556" t="str">
        <f t="shared" si="52"/>
        <v>6S</v>
      </c>
      <c r="BK477" s="556" t="str">
        <f t="shared" si="53"/>
        <v>M4,M6</v>
      </c>
      <c r="BL477" s="556" t="str">
        <f t="shared" si="54"/>
        <v/>
      </c>
      <c r="BM477" s="497">
        <f t="shared" si="55"/>
        <v>52003</v>
      </c>
    </row>
    <row r="478" spans="1:65">
      <c r="A478">
        <v>52701</v>
      </c>
      <c r="B478" t="s">
        <v>2068</v>
      </c>
      <c r="C478" t="s">
        <v>220</v>
      </c>
      <c r="D478" t="s">
        <v>2069</v>
      </c>
      <c r="F478" s="503">
        <v>44011</v>
      </c>
      <c r="H478" t="s">
        <v>431</v>
      </c>
      <c r="I478" t="s">
        <v>1753</v>
      </c>
      <c r="J478">
        <v>0</v>
      </c>
      <c r="K478" t="s">
        <v>1681</v>
      </c>
      <c r="O478" t="s">
        <v>1068</v>
      </c>
      <c r="P478" t="s">
        <v>2303</v>
      </c>
      <c r="W478">
        <v>2.04</v>
      </c>
      <c r="X478">
        <v>2.06</v>
      </c>
      <c r="Y478">
        <v>0</v>
      </c>
      <c r="Z478">
        <v>0</v>
      </c>
      <c r="AA478">
        <v>1</v>
      </c>
      <c r="AE478" t="s">
        <v>1039</v>
      </c>
      <c r="AI478">
        <v>57</v>
      </c>
      <c r="AJ478">
        <v>1000436</v>
      </c>
      <c r="AK478">
        <v>0</v>
      </c>
      <c r="AL478">
        <v>0</v>
      </c>
      <c r="AN478" t="s">
        <v>133</v>
      </c>
      <c r="AO478">
        <v>4.3600000000000003</v>
      </c>
      <c r="AX478">
        <v>20200629</v>
      </c>
      <c r="AY478" t="s">
        <v>1780</v>
      </c>
      <c r="BG478" s="556" t="str">
        <f t="shared" si="49"/>
        <v>O</v>
      </c>
      <c r="BH478" s="556" t="str">
        <f t="shared" si="50"/>
        <v/>
      </c>
      <c r="BI478" s="556" t="str">
        <f t="shared" si="51"/>
        <v/>
      </c>
      <c r="BJ478" s="556" t="str">
        <f t="shared" si="52"/>
        <v>6S</v>
      </c>
      <c r="BK478" s="556" t="str">
        <f t="shared" si="53"/>
        <v>M4,M6</v>
      </c>
      <c r="BL478" s="556" t="str">
        <f t="shared" si="54"/>
        <v/>
      </c>
      <c r="BM478" s="497">
        <f t="shared" si="55"/>
        <v>52701</v>
      </c>
    </row>
    <row r="479" spans="1:65">
      <c r="A479">
        <v>50903</v>
      </c>
      <c r="B479" t="s">
        <v>1729</v>
      </c>
      <c r="C479" t="s">
        <v>1006</v>
      </c>
      <c r="D479" t="s">
        <v>2061</v>
      </c>
      <c r="F479" s="503">
        <v>43252</v>
      </c>
      <c r="H479" t="s">
        <v>1007</v>
      </c>
      <c r="I479" t="s">
        <v>1753</v>
      </c>
      <c r="J479">
        <v>1000</v>
      </c>
      <c r="K479" t="s">
        <v>1681</v>
      </c>
      <c r="O479" t="s">
        <v>2302</v>
      </c>
      <c r="W479">
        <v>2.5099999999999998</v>
      </c>
      <c r="X479">
        <v>3.13</v>
      </c>
      <c r="Y479">
        <v>0</v>
      </c>
      <c r="Z479">
        <v>0</v>
      </c>
      <c r="AA479">
        <v>0</v>
      </c>
      <c r="AE479" t="s">
        <v>2128</v>
      </c>
      <c r="AI479">
        <v>18</v>
      </c>
      <c r="AJ479">
        <v>2700435</v>
      </c>
      <c r="AK479">
        <v>0</v>
      </c>
      <c r="AN479" t="s">
        <v>1731</v>
      </c>
      <c r="AO479">
        <v>4.3499999999999996</v>
      </c>
      <c r="AX479">
        <v>20180601</v>
      </c>
      <c r="AY479" t="s">
        <v>1800</v>
      </c>
      <c r="AZ479" t="s">
        <v>2845</v>
      </c>
      <c r="BA479" t="s">
        <v>2060</v>
      </c>
      <c r="BG479" s="556" t="str">
        <f t="shared" si="49"/>
        <v>O</v>
      </c>
      <c r="BH479" s="556" t="str">
        <f t="shared" si="50"/>
        <v>Y</v>
      </c>
      <c r="BI479" s="556" t="str">
        <f t="shared" si="51"/>
        <v/>
      </c>
      <c r="BJ479" s="556" t="str">
        <f t="shared" si="52"/>
        <v>6S</v>
      </c>
      <c r="BK479" s="556" t="str">
        <f t="shared" si="53"/>
        <v>S4</v>
      </c>
      <c r="BL479" s="556" t="str">
        <f t="shared" si="54"/>
        <v/>
      </c>
      <c r="BM479" s="497">
        <f t="shared" si="55"/>
        <v>50903</v>
      </c>
    </row>
    <row r="480" spans="1:65">
      <c r="A480">
        <v>51500</v>
      </c>
      <c r="B480" t="s">
        <v>935</v>
      </c>
      <c r="C480" t="s">
        <v>878</v>
      </c>
      <c r="D480" t="s">
        <v>1760</v>
      </c>
      <c r="F480" s="503">
        <v>43603</v>
      </c>
      <c r="H480" t="s">
        <v>431</v>
      </c>
      <c r="I480" t="s">
        <v>1913</v>
      </c>
      <c r="J480">
        <v>1000</v>
      </c>
      <c r="K480" t="s">
        <v>1681</v>
      </c>
      <c r="O480" t="s">
        <v>1068</v>
      </c>
      <c r="P480" t="s">
        <v>2303</v>
      </c>
      <c r="W480">
        <v>2.6</v>
      </c>
      <c r="X480">
        <v>2.62</v>
      </c>
      <c r="Y480">
        <v>0</v>
      </c>
      <c r="Z480">
        <v>0</v>
      </c>
      <c r="AA480">
        <v>0</v>
      </c>
      <c r="AE480" t="s">
        <v>1761</v>
      </c>
      <c r="AI480">
        <v>57</v>
      </c>
      <c r="AJ480">
        <v>3020438</v>
      </c>
      <c r="AK480">
        <v>0</v>
      </c>
      <c r="AN480" t="s">
        <v>2629</v>
      </c>
      <c r="AO480">
        <v>4.38</v>
      </c>
      <c r="AX480">
        <v>20190518</v>
      </c>
      <c r="AY480" t="s">
        <v>1780</v>
      </c>
      <c r="BG480" s="556" t="str">
        <f t="shared" si="49"/>
        <v>O</v>
      </c>
      <c r="BH480" s="556" t="str">
        <f t="shared" si="50"/>
        <v/>
      </c>
      <c r="BI480" s="556" t="str">
        <f t="shared" si="51"/>
        <v/>
      </c>
      <c r="BJ480" s="556" t="str">
        <f t="shared" si="52"/>
        <v>6S</v>
      </c>
      <c r="BK480" s="556" t="str">
        <f t="shared" si="53"/>
        <v>M4,M6</v>
      </c>
      <c r="BL480" s="556" t="str">
        <f t="shared" si="54"/>
        <v/>
      </c>
      <c r="BM480" s="497">
        <f t="shared" si="55"/>
        <v>51500</v>
      </c>
    </row>
    <row r="481" spans="1:65">
      <c r="A481">
        <v>53564</v>
      </c>
      <c r="B481" t="s">
        <v>3222</v>
      </c>
      <c r="C481" t="s">
        <v>2311</v>
      </c>
      <c r="D481" t="s">
        <v>1827</v>
      </c>
      <c r="F481" s="503">
        <v>44841</v>
      </c>
      <c r="H481" t="s">
        <v>105</v>
      </c>
      <c r="I481" t="s">
        <v>1753</v>
      </c>
      <c r="J481">
        <v>2000</v>
      </c>
      <c r="K481" t="s">
        <v>1068</v>
      </c>
      <c r="O481" t="s">
        <v>1068</v>
      </c>
      <c r="W481">
        <v>2</v>
      </c>
      <c r="X481">
        <v>2.0699999999999998</v>
      </c>
      <c r="Y481">
        <v>0</v>
      </c>
      <c r="Z481">
        <v>0</v>
      </c>
      <c r="AA481">
        <v>2</v>
      </c>
      <c r="AE481" t="s">
        <v>1773</v>
      </c>
      <c r="AI481">
        <v>60</v>
      </c>
      <c r="AJ481">
        <v>1850355</v>
      </c>
      <c r="AK481">
        <v>0</v>
      </c>
      <c r="AL481">
        <v>0</v>
      </c>
      <c r="AN481" t="s">
        <v>1703</v>
      </c>
      <c r="AO481">
        <v>3.55</v>
      </c>
      <c r="AX481">
        <v>20221007</v>
      </c>
      <c r="AY481" t="s">
        <v>1754</v>
      </c>
      <c r="BG481" s="556" t="str">
        <f t="shared" si="49"/>
        <v>O</v>
      </c>
      <c r="BH481" s="556" t="str">
        <f t="shared" si="50"/>
        <v/>
      </c>
      <c r="BI481" s="556" t="str">
        <f t="shared" si="51"/>
        <v/>
      </c>
      <c r="BJ481" s="556" t="str">
        <f t="shared" si="52"/>
        <v>M4</v>
      </c>
      <c r="BK481" s="556" t="str">
        <f t="shared" si="53"/>
        <v>M4</v>
      </c>
      <c r="BL481" s="556" t="str">
        <f t="shared" si="54"/>
        <v/>
      </c>
      <c r="BM481" s="497">
        <f t="shared" si="55"/>
        <v>53564</v>
      </c>
    </row>
    <row r="482" spans="1:65">
      <c r="A482">
        <v>53561</v>
      </c>
      <c r="B482" t="s">
        <v>3112</v>
      </c>
      <c r="C482" t="s">
        <v>3084</v>
      </c>
      <c r="D482" t="s">
        <v>1827</v>
      </c>
      <c r="F482" s="503">
        <v>45743</v>
      </c>
      <c r="H482" t="s">
        <v>2073</v>
      </c>
      <c r="I482" t="s">
        <v>1753</v>
      </c>
      <c r="J482">
        <v>1500</v>
      </c>
      <c r="K482" t="s">
        <v>1068</v>
      </c>
      <c r="O482" t="s">
        <v>1068</v>
      </c>
      <c r="W482">
        <v>2</v>
      </c>
      <c r="X482">
        <v>2.04</v>
      </c>
      <c r="Y482">
        <v>0</v>
      </c>
      <c r="Z482">
        <v>0</v>
      </c>
      <c r="AA482">
        <v>2</v>
      </c>
      <c r="AE482" t="s">
        <v>1773</v>
      </c>
      <c r="AI482">
        <v>60</v>
      </c>
      <c r="AJ482">
        <v>1850355</v>
      </c>
      <c r="AK482">
        <v>0</v>
      </c>
      <c r="AL482">
        <v>0</v>
      </c>
      <c r="AN482" t="s">
        <v>1703</v>
      </c>
      <c r="AO482">
        <v>3.55</v>
      </c>
      <c r="AX482">
        <v>20250327</v>
      </c>
      <c r="AY482" t="s">
        <v>1754</v>
      </c>
      <c r="BG482" s="556" t="str">
        <f t="shared" si="49"/>
        <v>O</v>
      </c>
      <c r="BH482" s="556" t="str">
        <f t="shared" si="50"/>
        <v/>
      </c>
      <c r="BI482" s="556" t="str">
        <f t="shared" si="51"/>
        <v/>
      </c>
      <c r="BJ482" s="556" t="str">
        <f t="shared" si="52"/>
        <v>M4</v>
      </c>
      <c r="BK482" s="556" t="str">
        <f t="shared" si="53"/>
        <v>M4</v>
      </c>
      <c r="BL482" s="556" t="str">
        <f t="shared" si="54"/>
        <v/>
      </c>
      <c r="BM482" s="497">
        <f t="shared" si="55"/>
        <v>53561</v>
      </c>
    </row>
    <row r="483" spans="1:65">
      <c r="A483">
        <v>53557</v>
      </c>
      <c r="B483" t="s">
        <v>2070</v>
      </c>
      <c r="C483" t="s">
        <v>2311</v>
      </c>
      <c r="D483" t="s">
        <v>1827</v>
      </c>
      <c r="F483" s="503">
        <v>44841</v>
      </c>
      <c r="H483" t="s">
        <v>105</v>
      </c>
      <c r="I483" t="s">
        <v>1753</v>
      </c>
      <c r="J483">
        <v>1500</v>
      </c>
      <c r="K483" t="s">
        <v>1068</v>
      </c>
      <c r="O483" t="s">
        <v>1068</v>
      </c>
      <c r="W483">
        <v>2</v>
      </c>
      <c r="X483">
        <v>2.02</v>
      </c>
      <c r="Y483">
        <v>0</v>
      </c>
      <c r="Z483">
        <v>0</v>
      </c>
      <c r="AA483">
        <v>2</v>
      </c>
      <c r="AE483" t="s">
        <v>1039</v>
      </c>
      <c r="AI483">
        <v>60</v>
      </c>
      <c r="AJ483">
        <v>1850355</v>
      </c>
      <c r="AK483">
        <v>0</v>
      </c>
      <c r="AL483">
        <v>0</v>
      </c>
      <c r="AN483" t="s">
        <v>1703</v>
      </c>
      <c r="AO483">
        <v>3.55</v>
      </c>
      <c r="AX483">
        <v>20221007</v>
      </c>
      <c r="AY483" t="s">
        <v>1754</v>
      </c>
      <c r="BG483" s="556" t="str">
        <f t="shared" si="49"/>
        <v>O</v>
      </c>
      <c r="BH483" s="556" t="str">
        <f t="shared" si="50"/>
        <v/>
      </c>
      <c r="BI483" s="556" t="str">
        <f t="shared" si="51"/>
        <v/>
      </c>
      <c r="BJ483" s="556" t="str">
        <f t="shared" si="52"/>
        <v>M4</v>
      </c>
      <c r="BK483" s="556" t="str">
        <f t="shared" si="53"/>
        <v>M4</v>
      </c>
      <c r="BL483" s="556" t="str">
        <f t="shared" si="54"/>
        <v/>
      </c>
      <c r="BM483" s="497">
        <f t="shared" si="55"/>
        <v>53557</v>
      </c>
    </row>
    <row r="484" spans="1:65">
      <c r="A484">
        <v>20050</v>
      </c>
      <c r="B484" t="s">
        <v>248</v>
      </c>
      <c r="C484" t="s">
        <v>249</v>
      </c>
      <c r="D484" t="s">
        <v>1774</v>
      </c>
      <c r="F484" s="503">
        <v>43010</v>
      </c>
      <c r="H484" t="s">
        <v>105</v>
      </c>
      <c r="I484" t="s">
        <v>1753</v>
      </c>
      <c r="J484">
        <v>1000</v>
      </c>
      <c r="K484">
        <v>10</v>
      </c>
      <c r="O484" t="s">
        <v>2303</v>
      </c>
      <c r="W484">
        <v>3.94</v>
      </c>
      <c r="X484">
        <v>3.85</v>
      </c>
      <c r="Y484">
        <v>0</v>
      </c>
      <c r="Z484">
        <v>0</v>
      </c>
      <c r="AA484">
        <v>2</v>
      </c>
      <c r="AE484" t="s">
        <v>1039</v>
      </c>
      <c r="AI484">
        <v>60</v>
      </c>
      <c r="AJ484">
        <v>1850436</v>
      </c>
      <c r="AK484">
        <v>0</v>
      </c>
      <c r="AL484">
        <v>0</v>
      </c>
      <c r="AN484" t="s">
        <v>1703</v>
      </c>
      <c r="AO484">
        <v>4.3600000000000003</v>
      </c>
      <c r="AX484">
        <v>20171002</v>
      </c>
      <c r="AY484" t="s">
        <v>1754</v>
      </c>
      <c r="BG484" s="556" t="str">
        <f t="shared" si="49"/>
        <v>O</v>
      </c>
      <c r="BH484" s="556" t="str">
        <f t="shared" si="50"/>
        <v/>
      </c>
      <c r="BI484" s="556" t="str">
        <f t="shared" si="51"/>
        <v/>
      </c>
      <c r="BJ484" s="556">
        <f t="shared" si="52"/>
        <v>10</v>
      </c>
      <c r="BK484" s="556" t="str">
        <f t="shared" si="53"/>
        <v>M6</v>
      </c>
      <c r="BL484" s="556" t="str">
        <f t="shared" si="54"/>
        <v/>
      </c>
      <c r="BM484" s="497">
        <f t="shared" si="55"/>
        <v>20050</v>
      </c>
    </row>
    <row r="485" spans="1:65">
      <c r="A485">
        <v>40062</v>
      </c>
      <c r="B485" t="s">
        <v>3351</v>
      </c>
      <c r="C485" t="s">
        <v>3352</v>
      </c>
      <c r="D485" t="s">
        <v>1803</v>
      </c>
      <c r="F485" s="503">
        <v>46007</v>
      </c>
      <c r="H485" t="s">
        <v>3353</v>
      </c>
      <c r="I485" t="s">
        <v>1753</v>
      </c>
      <c r="J485">
        <v>2000</v>
      </c>
      <c r="K485" t="s">
        <v>3354</v>
      </c>
      <c r="O485" t="s">
        <v>2303</v>
      </c>
      <c r="W485">
        <v>2</v>
      </c>
      <c r="X485">
        <v>1.93</v>
      </c>
      <c r="Y485">
        <v>0</v>
      </c>
      <c r="Z485">
        <v>0</v>
      </c>
      <c r="AA485">
        <v>0</v>
      </c>
      <c r="AE485" t="s">
        <v>1761</v>
      </c>
      <c r="AI485">
        <v>57</v>
      </c>
      <c r="AJ485">
        <v>3020438</v>
      </c>
      <c r="AK485">
        <v>0</v>
      </c>
      <c r="AL485">
        <v>0</v>
      </c>
      <c r="AN485" t="s">
        <v>2629</v>
      </c>
      <c r="AO485">
        <v>4.38</v>
      </c>
      <c r="AX485">
        <v>20251216</v>
      </c>
      <c r="AY485" t="s">
        <v>1780</v>
      </c>
      <c r="BG485" s="556" t="str">
        <f t="shared" si="49"/>
        <v>O</v>
      </c>
      <c r="BH485" s="556" t="str">
        <f t="shared" si="50"/>
        <v/>
      </c>
      <c r="BI485" s="556" t="str">
        <f t="shared" si="51"/>
        <v/>
      </c>
      <c r="BJ485" s="556" t="str">
        <f t="shared" si="52"/>
        <v>H9</v>
      </c>
      <c r="BK485" s="556" t="str">
        <f t="shared" si="53"/>
        <v>M6</v>
      </c>
      <c r="BL485" s="556" t="str">
        <f t="shared" si="54"/>
        <v/>
      </c>
      <c r="BM485" s="497">
        <f t="shared" si="55"/>
        <v>40062</v>
      </c>
    </row>
    <row r="486" spans="1:65">
      <c r="A486">
        <v>45000</v>
      </c>
      <c r="B486" t="s">
        <v>2848</v>
      </c>
      <c r="C486" t="s">
        <v>2849</v>
      </c>
      <c r="D486" t="s">
        <v>2850</v>
      </c>
      <c r="F486" s="503">
        <v>45456</v>
      </c>
      <c r="H486" t="s">
        <v>2073</v>
      </c>
      <c r="I486" t="s">
        <v>1753</v>
      </c>
      <c r="J486">
        <v>1000</v>
      </c>
      <c r="K486" t="s">
        <v>1681</v>
      </c>
      <c r="O486" t="s">
        <v>1068</v>
      </c>
      <c r="W486">
        <v>2.5</v>
      </c>
      <c r="X486">
        <v>2.5</v>
      </c>
      <c r="Y486">
        <v>0</v>
      </c>
      <c r="Z486">
        <v>0</v>
      </c>
      <c r="AA486">
        <v>202</v>
      </c>
      <c r="AE486" t="s">
        <v>1039</v>
      </c>
      <c r="AI486">
        <v>60</v>
      </c>
      <c r="AJ486">
        <v>1660395</v>
      </c>
      <c r="AK486">
        <v>0</v>
      </c>
      <c r="AL486">
        <v>0</v>
      </c>
      <c r="AN486" t="s">
        <v>3149</v>
      </c>
      <c r="AO486">
        <v>3.95</v>
      </c>
      <c r="AX486">
        <v>20240613</v>
      </c>
      <c r="AY486" t="s">
        <v>1754</v>
      </c>
      <c r="BG486" s="556" t="str">
        <f t="shared" si="49"/>
        <v>O</v>
      </c>
      <c r="BH486" s="556" t="str">
        <f t="shared" si="50"/>
        <v/>
      </c>
      <c r="BI486" s="556" t="str">
        <f t="shared" si="51"/>
        <v/>
      </c>
      <c r="BJ486" s="556" t="str">
        <f t="shared" si="52"/>
        <v>6S</v>
      </c>
      <c r="BK486" s="556" t="str">
        <f t="shared" si="53"/>
        <v>M4</v>
      </c>
      <c r="BL486" s="556" t="str">
        <f t="shared" si="54"/>
        <v/>
      </c>
      <c r="BM486" s="497">
        <f t="shared" si="55"/>
        <v>45000</v>
      </c>
    </row>
    <row r="487" spans="1:65">
      <c r="A487">
        <v>53553</v>
      </c>
      <c r="B487" t="s">
        <v>2071</v>
      </c>
      <c r="C487" t="s">
        <v>2311</v>
      </c>
      <c r="D487" t="s">
        <v>1827</v>
      </c>
      <c r="F487" s="503">
        <v>44840</v>
      </c>
      <c r="H487" t="s">
        <v>105</v>
      </c>
      <c r="I487" t="s">
        <v>1753</v>
      </c>
      <c r="J487">
        <v>2000</v>
      </c>
      <c r="K487" t="s">
        <v>1068</v>
      </c>
      <c r="O487" t="s">
        <v>1068</v>
      </c>
      <c r="W487">
        <v>1.58</v>
      </c>
      <c r="X487">
        <v>1.58</v>
      </c>
      <c r="Y487">
        <v>0</v>
      </c>
      <c r="Z487">
        <v>0</v>
      </c>
      <c r="AA487">
        <v>2</v>
      </c>
      <c r="AE487" t="s">
        <v>1039</v>
      </c>
      <c r="AI487">
        <v>60</v>
      </c>
      <c r="AJ487">
        <v>1850355</v>
      </c>
      <c r="AK487">
        <v>0</v>
      </c>
      <c r="AN487" t="s">
        <v>1703</v>
      </c>
      <c r="AO487">
        <v>3.55</v>
      </c>
      <c r="AX487">
        <v>20221006</v>
      </c>
      <c r="AY487" t="s">
        <v>1754</v>
      </c>
      <c r="BG487" s="556" t="str">
        <f t="shared" si="49"/>
        <v>O</v>
      </c>
      <c r="BH487" s="556" t="str">
        <f t="shared" si="50"/>
        <v/>
      </c>
      <c r="BI487" s="556" t="str">
        <f t="shared" si="51"/>
        <v/>
      </c>
      <c r="BJ487" s="556" t="str">
        <f t="shared" si="52"/>
        <v>M4</v>
      </c>
      <c r="BK487" s="556" t="str">
        <f t="shared" si="53"/>
        <v>M4</v>
      </c>
      <c r="BL487" s="556" t="str">
        <f t="shared" si="54"/>
        <v/>
      </c>
      <c r="BM487" s="497">
        <f t="shared" si="55"/>
        <v>53553</v>
      </c>
    </row>
    <row r="488" spans="1:65">
      <c r="A488">
        <v>50300</v>
      </c>
      <c r="B488" t="s">
        <v>103</v>
      </c>
      <c r="C488" t="s">
        <v>104</v>
      </c>
      <c r="D488" t="s">
        <v>1799</v>
      </c>
      <c r="F488" s="503">
        <v>43169</v>
      </c>
      <c r="H488" t="s">
        <v>105</v>
      </c>
      <c r="I488" t="s">
        <v>1753</v>
      </c>
      <c r="J488">
        <v>1000</v>
      </c>
      <c r="K488">
        <v>8</v>
      </c>
      <c r="O488" t="s">
        <v>1068</v>
      </c>
      <c r="P488" t="s">
        <v>2303</v>
      </c>
      <c r="W488">
        <v>2.36</v>
      </c>
      <c r="X488">
        <v>2.41</v>
      </c>
      <c r="Y488">
        <v>0</v>
      </c>
      <c r="Z488">
        <v>0</v>
      </c>
      <c r="AA488">
        <v>0</v>
      </c>
      <c r="AE488" t="s">
        <v>1992</v>
      </c>
      <c r="AI488">
        <v>87</v>
      </c>
      <c r="AJ488">
        <v>1850436</v>
      </c>
      <c r="AK488">
        <v>0</v>
      </c>
      <c r="AN488" t="s">
        <v>1703</v>
      </c>
      <c r="AO488">
        <v>4.3600000000000003</v>
      </c>
      <c r="AU488" t="s">
        <v>2951</v>
      </c>
      <c r="AX488">
        <v>20180310</v>
      </c>
      <c r="AY488" t="s">
        <v>2072</v>
      </c>
      <c r="BG488" s="556" t="str">
        <f t="shared" si="49"/>
        <v>O</v>
      </c>
      <c r="BH488" s="556" t="str">
        <f t="shared" si="50"/>
        <v/>
      </c>
      <c r="BI488" s="556" t="str">
        <f t="shared" si="51"/>
        <v>Y</v>
      </c>
      <c r="BJ488" s="556">
        <f t="shared" si="52"/>
        <v>8</v>
      </c>
      <c r="BK488" s="556" t="str">
        <f t="shared" si="53"/>
        <v>M4,M6</v>
      </c>
      <c r="BL488" s="556" t="str">
        <f t="shared" si="54"/>
        <v/>
      </c>
      <c r="BM488" s="497">
        <f t="shared" si="55"/>
        <v>50300</v>
      </c>
    </row>
    <row r="489" spans="1:65">
      <c r="A489">
        <v>51824</v>
      </c>
      <c r="B489" t="s">
        <v>1740</v>
      </c>
      <c r="C489" t="s">
        <v>564</v>
      </c>
      <c r="D489" t="s">
        <v>1772</v>
      </c>
      <c r="F489" s="503">
        <v>44283</v>
      </c>
      <c r="H489" t="s">
        <v>2073</v>
      </c>
      <c r="I489" t="s">
        <v>1753</v>
      </c>
      <c r="J489">
        <v>4000</v>
      </c>
      <c r="K489">
        <v>9</v>
      </c>
      <c r="O489" t="s">
        <v>1068</v>
      </c>
      <c r="P489" t="s">
        <v>2303</v>
      </c>
      <c r="W489">
        <v>3.27</v>
      </c>
      <c r="X489">
        <v>3.26</v>
      </c>
      <c r="Y489">
        <v>0</v>
      </c>
      <c r="Z489">
        <v>0</v>
      </c>
      <c r="AA489">
        <v>2</v>
      </c>
      <c r="AE489" t="s">
        <v>1039</v>
      </c>
      <c r="AI489">
        <v>60</v>
      </c>
      <c r="AJ489">
        <v>1850565</v>
      </c>
      <c r="AK489">
        <v>0</v>
      </c>
      <c r="AL489">
        <v>0</v>
      </c>
      <c r="AN489" t="s">
        <v>1703</v>
      </c>
      <c r="AO489">
        <v>5.65</v>
      </c>
      <c r="AX489">
        <v>20210328</v>
      </c>
      <c r="AY489" t="s">
        <v>1754</v>
      </c>
      <c r="BG489" s="556" t="str">
        <f t="shared" si="49"/>
        <v>O</v>
      </c>
      <c r="BH489" s="556" t="str">
        <f t="shared" si="50"/>
        <v/>
      </c>
      <c r="BI489" s="556" t="str">
        <f t="shared" si="51"/>
        <v/>
      </c>
      <c r="BJ489" s="556">
        <f t="shared" si="52"/>
        <v>9</v>
      </c>
      <c r="BK489" s="556" t="str">
        <f t="shared" si="53"/>
        <v>M4,M6</v>
      </c>
      <c r="BL489" s="556" t="str">
        <f t="shared" si="54"/>
        <v/>
      </c>
      <c r="BM489" s="497">
        <f t="shared" si="55"/>
        <v>51824</v>
      </c>
    </row>
    <row r="490" spans="1:65">
      <c r="A490">
        <v>99017</v>
      </c>
      <c r="B490" t="s">
        <v>2881</v>
      </c>
      <c r="C490" t="s">
        <v>2839</v>
      </c>
      <c r="D490" t="s">
        <v>358</v>
      </c>
      <c r="F490" s="503">
        <v>45454</v>
      </c>
      <c r="H490" t="s">
        <v>2840</v>
      </c>
      <c r="I490" t="s">
        <v>1753</v>
      </c>
      <c r="J490">
        <v>2000</v>
      </c>
      <c r="K490" t="s">
        <v>1481</v>
      </c>
      <c r="L490" t="s">
        <v>2972</v>
      </c>
      <c r="O490" t="s">
        <v>1068</v>
      </c>
      <c r="W490">
        <v>1.48</v>
      </c>
      <c r="X490">
        <v>1.45</v>
      </c>
      <c r="Y490">
        <v>0</v>
      </c>
      <c r="Z490">
        <v>0</v>
      </c>
      <c r="AA490">
        <v>0</v>
      </c>
      <c r="AE490" t="s">
        <v>1756</v>
      </c>
      <c r="AI490">
        <v>57</v>
      </c>
      <c r="AJ490">
        <v>1000450</v>
      </c>
      <c r="AK490">
        <v>0</v>
      </c>
      <c r="AL490">
        <v>0</v>
      </c>
      <c r="AN490" t="s">
        <v>133</v>
      </c>
      <c r="AO490">
        <v>4.5</v>
      </c>
      <c r="AX490">
        <v>20240611</v>
      </c>
      <c r="AY490" t="s">
        <v>1780</v>
      </c>
      <c r="BG490" s="556" t="str">
        <f t="shared" si="49"/>
        <v>O</v>
      </c>
      <c r="BH490" s="556" t="str">
        <f t="shared" si="50"/>
        <v/>
      </c>
      <c r="BI490" s="556" t="str">
        <f t="shared" si="51"/>
        <v/>
      </c>
      <c r="BJ490" s="556" t="str">
        <f t="shared" si="52"/>
        <v>9A,9B</v>
      </c>
      <c r="BK490" s="556" t="str">
        <f t="shared" si="53"/>
        <v>M4</v>
      </c>
      <c r="BL490" s="556" t="str">
        <f t="shared" si="54"/>
        <v/>
      </c>
      <c r="BM490" s="497">
        <f t="shared" si="55"/>
        <v>99017</v>
      </c>
    </row>
    <row r="491" spans="1:65">
      <c r="A491">
        <v>0</v>
      </c>
      <c r="B491" t="s">
        <v>2074</v>
      </c>
      <c r="C491" t="s">
        <v>770</v>
      </c>
      <c r="D491" t="s">
        <v>2075</v>
      </c>
      <c r="F491" s="503">
        <v>42824</v>
      </c>
      <c r="H491" t="s">
        <v>2076</v>
      </c>
      <c r="I491" t="s">
        <v>1753</v>
      </c>
      <c r="J491">
        <v>1000</v>
      </c>
      <c r="K491">
        <v>10</v>
      </c>
      <c r="O491" t="s">
        <v>1068</v>
      </c>
      <c r="P491" t="s">
        <v>2303</v>
      </c>
      <c r="W491">
        <v>3.07</v>
      </c>
      <c r="X491">
        <v>3.07</v>
      </c>
      <c r="Y491">
        <v>0</v>
      </c>
      <c r="Z491">
        <v>0</v>
      </c>
      <c r="AA491">
        <v>2</v>
      </c>
      <c r="AE491" t="s">
        <v>1039</v>
      </c>
      <c r="AI491">
        <v>60</v>
      </c>
      <c r="AJ491">
        <v>1850436</v>
      </c>
      <c r="AK491">
        <v>0</v>
      </c>
      <c r="AL491">
        <v>0</v>
      </c>
      <c r="AN491" t="s">
        <v>1703</v>
      </c>
      <c r="AO491">
        <v>4.3600000000000003</v>
      </c>
      <c r="AX491">
        <v>20170330</v>
      </c>
      <c r="AY491" t="s">
        <v>1754</v>
      </c>
      <c r="BG491" s="556" t="str">
        <f t="shared" si="49"/>
        <v>O</v>
      </c>
      <c r="BH491" s="556" t="str">
        <f t="shared" si="50"/>
        <v/>
      </c>
      <c r="BI491" s="556" t="str">
        <f t="shared" si="51"/>
        <v/>
      </c>
      <c r="BJ491" s="556">
        <f t="shared" si="52"/>
        <v>10</v>
      </c>
      <c r="BK491" s="556" t="str">
        <f t="shared" si="53"/>
        <v>M4,M6</v>
      </c>
      <c r="BL491" s="556" t="str">
        <f t="shared" si="54"/>
        <v/>
      </c>
      <c r="BM491" s="497">
        <f t="shared" si="55"/>
        <v>0</v>
      </c>
    </row>
    <row r="492" spans="1:65">
      <c r="A492">
        <v>20401</v>
      </c>
      <c r="B492" t="s">
        <v>768</v>
      </c>
      <c r="C492" t="s">
        <v>770</v>
      </c>
      <c r="D492" t="s">
        <v>2075</v>
      </c>
      <c r="F492" s="503">
        <v>43692</v>
      </c>
      <c r="H492" t="s">
        <v>576</v>
      </c>
      <c r="I492" t="s">
        <v>1753</v>
      </c>
      <c r="J492">
        <v>1000</v>
      </c>
      <c r="K492">
        <v>10</v>
      </c>
      <c r="L492" t="s">
        <v>1681</v>
      </c>
      <c r="O492" t="s">
        <v>1068</v>
      </c>
      <c r="P492" t="s">
        <v>2303</v>
      </c>
      <c r="W492">
        <v>2.92</v>
      </c>
      <c r="X492">
        <v>2.93</v>
      </c>
      <c r="Y492">
        <v>0</v>
      </c>
      <c r="Z492">
        <v>0</v>
      </c>
      <c r="AA492">
        <v>2</v>
      </c>
      <c r="AE492" t="s">
        <v>1039</v>
      </c>
      <c r="AI492">
        <v>60</v>
      </c>
      <c r="AJ492">
        <v>1850436</v>
      </c>
      <c r="AK492">
        <v>0</v>
      </c>
      <c r="AN492" t="s">
        <v>1703</v>
      </c>
      <c r="AO492">
        <v>4.3600000000000003</v>
      </c>
      <c r="AX492">
        <v>20190815</v>
      </c>
      <c r="AY492" t="s">
        <v>1754</v>
      </c>
      <c r="BG492" s="556" t="str">
        <f t="shared" si="49"/>
        <v>O</v>
      </c>
      <c r="BH492" s="556" t="str">
        <f t="shared" si="50"/>
        <v/>
      </c>
      <c r="BI492" s="556" t="str">
        <f t="shared" si="51"/>
        <v/>
      </c>
      <c r="BJ492" s="556" t="str">
        <f t="shared" si="52"/>
        <v>10,6S</v>
      </c>
      <c r="BK492" s="556" t="str">
        <f t="shared" si="53"/>
        <v>M4,M6</v>
      </c>
      <c r="BL492" s="556" t="str">
        <f t="shared" si="54"/>
        <v/>
      </c>
      <c r="BM492" s="497">
        <f t="shared" si="55"/>
        <v>20401</v>
      </c>
    </row>
    <row r="493" spans="1:65">
      <c r="A493">
        <v>51815</v>
      </c>
      <c r="B493" t="s">
        <v>573</v>
      </c>
      <c r="C493" t="s">
        <v>575</v>
      </c>
      <c r="D493" t="s">
        <v>1772</v>
      </c>
      <c r="F493" s="503">
        <v>43965</v>
      </c>
      <c r="H493" t="s">
        <v>576</v>
      </c>
      <c r="I493" t="s">
        <v>1753</v>
      </c>
      <c r="J493">
        <v>70</v>
      </c>
      <c r="K493">
        <v>8</v>
      </c>
      <c r="O493" t="s">
        <v>1068</v>
      </c>
      <c r="P493" t="s">
        <v>2303</v>
      </c>
      <c r="W493">
        <v>3.16</v>
      </c>
      <c r="X493">
        <v>3.01</v>
      </c>
      <c r="Y493">
        <v>0</v>
      </c>
      <c r="Z493">
        <v>0</v>
      </c>
      <c r="AA493">
        <v>2</v>
      </c>
      <c r="AE493" t="s">
        <v>1221</v>
      </c>
      <c r="AI493">
        <v>60</v>
      </c>
      <c r="AJ493">
        <v>1810675</v>
      </c>
      <c r="AK493">
        <v>0</v>
      </c>
      <c r="AL493">
        <v>0</v>
      </c>
      <c r="AN493" t="s">
        <v>136</v>
      </c>
      <c r="AO493">
        <v>6.75</v>
      </c>
      <c r="AX493">
        <v>20200514</v>
      </c>
      <c r="AY493" t="s">
        <v>1754</v>
      </c>
      <c r="BG493" s="556" t="str">
        <f t="shared" si="49"/>
        <v>O</v>
      </c>
      <c r="BH493" s="556" t="str">
        <f t="shared" si="50"/>
        <v/>
      </c>
      <c r="BI493" s="556" t="str">
        <f t="shared" si="51"/>
        <v/>
      </c>
      <c r="BJ493" s="556">
        <f t="shared" si="52"/>
        <v>8</v>
      </c>
      <c r="BK493" s="556" t="str">
        <f t="shared" si="53"/>
        <v>M4,M6</v>
      </c>
      <c r="BL493" s="556" t="str">
        <f t="shared" si="54"/>
        <v/>
      </c>
      <c r="BM493" s="497">
        <f t="shared" si="55"/>
        <v>51815</v>
      </c>
    </row>
    <row r="494" spans="1:65">
      <c r="A494">
        <v>53563</v>
      </c>
      <c r="B494" t="s">
        <v>3212</v>
      </c>
      <c r="C494" t="s">
        <v>2311</v>
      </c>
      <c r="D494" t="s">
        <v>1827</v>
      </c>
      <c r="F494" s="503">
        <v>44841</v>
      </c>
      <c r="H494" t="s">
        <v>2077</v>
      </c>
      <c r="I494" t="s">
        <v>1753</v>
      </c>
      <c r="J494">
        <v>1000</v>
      </c>
      <c r="K494" t="s">
        <v>1068</v>
      </c>
      <c r="O494" t="s">
        <v>1068</v>
      </c>
      <c r="W494">
        <v>2.5299999999999998</v>
      </c>
      <c r="X494">
        <v>2.61</v>
      </c>
      <c r="Y494">
        <v>0</v>
      </c>
      <c r="Z494">
        <v>0</v>
      </c>
      <c r="AA494">
        <v>2</v>
      </c>
      <c r="AE494" t="s">
        <v>1773</v>
      </c>
      <c r="AI494">
        <v>60</v>
      </c>
      <c r="AJ494">
        <v>1850355</v>
      </c>
      <c r="AK494">
        <v>0</v>
      </c>
      <c r="AL494">
        <v>0</v>
      </c>
      <c r="AN494" t="s">
        <v>1703</v>
      </c>
      <c r="AO494">
        <v>3.55</v>
      </c>
      <c r="AX494">
        <v>20221007</v>
      </c>
      <c r="AY494" t="s">
        <v>1754</v>
      </c>
      <c r="BG494" s="556" t="str">
        <f t="shared" si="49"/>
        <v>O</v>
      </c>
      <c r="BH494" s="556" t="str">
        <f t="shared" si="50"/>
        <v/>
      </c>
      <c r="BI494" s="556" t="str">
        <f t="shared" si="51"/>
        <v/>
      </c>
      <c r="BJ494" s="556" t="str">
        <f t="shared" si="52"/>
        <v>M4</v>
      </c>
      <c r="BK494" s="556" t="str">
        <f t="shared" si="53"/>
        <v>M4</v>
      </c>
      <c r="BL494" s="556" t="str">
        <f t="shared" si="54"/>
        <v/>
      </c>
      <c r="BM494" s="497">
        <f t="shared" si="55"/>
        <v>53563</v>
      </c>
    </row>
    <row r="495" spans="1:65">
      <c r="A495">
        <v>53550</v>
      </c>
      <c r="B495" t="s">
        <v>2313</v>
      </c>
      <c r="C495" t="s">
        <v>2311</v>
      </c>
      <c r="D495" t="s">
        <v>1827</v>
      </c>
      <c r="F495" s="503">
        <v>44841</v>
      </c>
      <c r="H495" t="s">
        <v>2077</v>
      </c>
      <c r="I495" t="s">
        <v>1753</v>
      </c>
      <c r="J495">
        <v>1000</v>
      </c>
      <c r="K495" t="s">
        <v>1068</v>
      </c>
      <c r="O495" t="s">
        <v>1068</v>
      </c>
      <c r="W495">
        <v>2.5299999999999998</v>
      </c>
      <c r="X495">
        <v>2.61</v>
      </c>
      <c r="Y495">
        <v>0</v>
      </c>
      <c r="Z495">
        <v>0</v>
      </c>
      <c r="AA495">
        <v>2</v>
      </c>
      <c r="AE495" t="s">
        <v>1039</v>
      </c>
      <c r="AI495">
        <v>60</v>
      </c>
      <c r="AJ495">
        <v>1850355</v>
      </c>
      <c r="AK495">
        <v>0</v>
      </c>
      <c r="AL495">
        <v>0</v>
      </c>
      <c r="AN495" t="s">
        <v>1703</v>
      </c>
      <c r="AO495">
        <v>3.55</v>
      </c>
      <c r="AX495">
        <v>20221007</v>
      </c>
      <c r="AY495" t="s">
        <v>1754</v>
      </c>
      <c r="BG495" s="556" t="str">
        <f t="shared" si="49"/>
        <v>O</v>
      </c>
      <c r="BH495" s="556" t="str">
        <f t="shared" si="50"/>
        <v/>
      </c>
      <c r="BI495" s="556" t="str">
        <f t="shared" si="51"/>
        <v/>
      </c>
      <c r="BJ495" s="556" t="str">
        <f t="shared" si="52"/>
        <v>M4</v>
      </c>
      <c r="BK495" s="556" t="str">
        <f t="shared" si="53"/>
        <v>M4</v>
      </c>
      <c r="BL495" s="556" t="str">
        <f t="shared" si="54"/>
        <v/>
      </c>
      <c r="BM495" s="497">
        <f t="shared" si="55"/>
        <v>53550</v>
      </c>
    </row>
    <row r="496" spans="1:65">
      <c r="A496">
        <v>45001</v>
      </c>
      <c r="B496" t="s">
        <v>2851</v>
      </c>
      <c r="C496" t="s">
        <v>2852</v>
      </c>
      <c r="D496" t="s">
        <v>2850</v>
      </c>
      <c r="F496" s="503">
        <v>45456</v>
      </c>
      <c r="H496" t="s">
        <v>2853</v>
      </c>
      <c r="J496">
        <v>0</v>
      </c>
      <c r="K496" t="s">
        <v>1681</v>
      </c>
      <c r="O496" t="s">
        <v>2303</v>
      </c>
      <c r="W496">
        <v>3.65</v>
      </c>
      <c r="X496">
        <v>3.65</v>
      </c>
      <c r="Y496">
        <v>0</v>
      </c>
      <c r="Z496">
        <v>0</v>
      </c>
      <c r="AA496">
        <v>202</v>
      </c>
      <c r="AE496" t="s">
        <v>1039</v>
      </c>
      <c r="AI496">
        <v>94</v>
      </c>
      <c r="AJ496">
        <v>1650436</v>
      </c>
      <c r="AK496">
        <v>0</v>
      </c>
      <c r="AL496">
        <v>0</v>
      </c>
      <c r="AN496" t="s">
        <v>2856</v>
      </c>
      <c r="AO496">
        <v>4.3600000000000003</v>
      </c>
      <c r="AR496" t="s">
        <v>2948</v>
      </c>
      <c r="AX496">
        <v>20240613</v>
      </c>
      <c r="AY496" t="s">
        <v>2131</v>
      </c>
      <c r="BG496" s="556" t="str">
        <f t="shared" si="49"/>
        <v>O</v>
      </c>
      <c r="BH496" s="556" t="str">
        <f t="shared" si="50"/>
        <v/>
      </c>
      <c r="BI496" s="556" t="str">
        <f t="shared" si="51"/>
        <v/>
      </c>
      <c r="BJ496" s="556" t="str">
        <f t="shared" si="52"/>
        <v>6S</v>
      </c>
      <c r="BK496" s="556" t="str">
        <f t="shared" si="53"/>
        <v>M6</v>
      </c>
      <c r="BL496" s="556" t="str">
        <f t="shared" si="54"/>
        <v/>
      </c>
      <c r="BM496" s="497">
        <f t="shared" si="55"/>
        <v>45001</v>
      </c>
    </row>
    <row r="497" spans="1:65">
      <c r="A497">
        <v>50644</v>
      </c>
      <c r="B497" t="s">
        <v>2078</v>
      </c>
      <c r="C497" t="s">
        <v>123</v>
      </c>
      <c r="D497" t="s">
        <v>1921</v>
      </c>
      <c r="F497" s="503">
        <v>44210</v>
      </c>
      <c r="H497" t="s">
        <v>824</v>
      </c>
      <c r="I497" t="s">
        <v>1753</v>
      </c>
      <c r="J497">
        <v>1000</v>
      </c>
      <c r="K497" t="s">
        <v>1681</v>
      </c>
      <c r="O497" t="s">
        <v>1068</v>
      </c>
      <c r="P497" t="s">
        <v>2303</v>
      </c>
      <c r="W497">
        <v>3.54</v>
      </c>
      <c r="X497">
        <v>3.27</v>
      </c>
      <c r="Y497">
        <v>0</v>
      </c>
      <c r="Z497">
        <v>0</v>
      </c>
      <c r="AA497">
        <v>2</v>
      </c>
      <c r="AE497" t="s">
        <v>1039</v>
      </c>
      <c r="AI497">
        <v>60</v>
      </c>
      <c r="AJ497">
        <v>1850455</v>
      </c>
      <c r="AK497">
        <v>0</v>
      </c>
      <c r="AN497" t="s">
        <v>1703</v>
      </c>
      <c r="AO497">
        <v>4.55</v>
      </c>
      <c r="AX497">
        <v>20210114</v>
      </c>
      <c r="AY497" t="s">
        <v>1754</v>
      </c>
      <c r="BG497" s="556" t="str">
        <f t="shared" si="49"/>
        <v>O</v>
      </c>
      <c r="BH497" s="556" t="str">
        <f t="shared" si="50"/>
        <v/>
      </c>
      <c r="BI497" s="556" t="str">
        <f t="shared" si="51"/>
        <v/>
      </c>
      <c r="BJ497" s="556" t="str">
        <f t="shared" si="52"/>
        <v>6S</v>
      </c>
      <c r="BK497" s="556" t="str">
        <f t="shared" si="53"/>
        <v>M4,M6</v>
      </c>
      <c r="BL497" s="556" t="str">
        <f t="shared" si="54"/>
        <v/>
      </c>
      <c r="BM497" s="497">
        <f t="shared" si="55"/>
        <v>50644</v>
      </c>
    </row>
    <row r="498" spans="1:65">
      <c r="A498">
        <v>53603</v>
      </c>
      <c r="B498" t="s">
        <v>2404</v>
      </c>
      <c r="C498" t="s">
        <v>2398</v>
      </c>
      <c r="D498" t="s">
        <v>2191</v>
      </c>
      <c r="F498" s="503">
        <v>45010</v>
      </c>
      <c r="H498" t="s">
        <v>2405</v>
      </c>
      <c r="I498" t="s">
        <v>1753</v>
      </c>
      <c r="J498">
        <v>1000</v>
      </c>
      <c r="K498" t="s">
        <v>1681</v>
      </c>
      <c r="O498" t="s">
        <v>2303</v>
      </c>
      <c r="W498">
        <v>3.43</v>
      </c>
      <c r="X498">
        <v>3.43</v>
      </c>
      <c r="Y498">
        <v>0</v>
      </c>
      <c r="Z498">
        <v>0</v>
      </c>
      <c r="AA498">
        <v>0</v>
      </c>
      <c r="AE498" t="s">
        <v>2079</v>
      </c>
      <c r="AI498">
        <v>87</v>
      </c>
      <c r="AJ498">
        <v>3020438</v>
      </c>
      <c r="AK498">
        <v>0</v>
      </c>
      <c r="AN498" t="s">
        <v>2629</v>
      </c>
      <c r="AO498">
        <v>4.38</v>
      </c>
      <c r="AU498" t="s">
        <v>3227</v>
      </c>
      <c r="AX498">
        <v>20230325</v>
      </c>
      <c r="AY498" t="s">
        <v>2072</v>
      </c>
      <c r="BG498" s="556" t="str">
        <f t="shared" si="49"/>
        <v>O</v>
      </c>
      <c r="BH498" s="556" t="str">
        <f t="shared" si="50"/>
        <v/>
      </c>
      <c r="BI498" s="556" t="str">
        <f t="shared" si="51"/>
        <v>Y</v>
      </c>
      <c r="BJ498" s="556" t="str">
        <f t="shared" si="52"/>
        <v>6S</v>
      </c>
      <c r="BK498" s="556" t="str">
        <f t="shared" si="53"/>
        <v>M6</v>
      </c>
      <c r="BL498" s="556" t="str">
        <f t="shared" si="54"/>
        <v/>
      </c>
      <c r="BM498" s="497">
        <f t="shared" si="55"/>
        <v>53603</v>
      </c>
    </row>
    <row r="499" spans="1:65">
      <c r="A499">
        <v>51506</v>
      </c>
      <c r="B499" t="s">
        <v>821</v>
      </c>
      <c r="C499" t="s">
        <v>823</v>
      </c>
      <c r="D499" t="s">
        <v>1760</v>
      </c>
      <c r="F499" s="503">
        <v>43696</v>
      </c>
      <c r="H499" t="s">
        <v>824</v>
      </c>
      <c r="I499" t="s">
        <v>1753</v>
      </c>
      <c r="J499">
        <v>1000</v>
      </c>
      <c r="K499" t="s">
        <v>1681</v>
      </c>
      <c r="O499" t="s">
        <v>1068</v>
      </c>
      <c r="P499" t="s">
        <v>2303</v>
      </c>
      <c r="W499">
        <v>2.85</v>
      </c>
      <c r="X499">
        <v>2.86</v>
      </c>
      <c r="Y499">
        <v>0</v>
      </c>
      <c r="Z499">
        <v>0</v>
      </c>
      <c r="AA499">
        <v>5</v>
      </c>
      <c r="AE499" t="s">
        <v>1039</v>
      </c>
      <c r="AI499">
        <v>60</v>
      </c>
      <c r="AJ499">
        <v>4510436</v>
      </c>
      <c r="AK499">
        <v>0</v>
      </c>
      <c r="AN499" t="s">
        <v>825</v>
      </c>
      <c r="AO499">
        <v>4.3600000000000003</v>
      </c>
      <c r="AX499">
        <v>20190819</v>
      </c>
      <c r="AY499" t="s">
        <v>1754</v>
      </c>
      <c r="BG499" s="556" t="str">
        <f t="shared" si="49"/>
        <v>O</v>
      </c>
      <c r="BH499" s="556" t="str">
        <f t="shared" si="50"/>
        <v/>
      </c>
      <c r="BI499" s="556" t="str">
        <f t="shared" si="51"/>
        <v/>
      </c>
      <c r="BJ499" s="556" t="str">
        <f t="shared" si="52"/>
        <v>6S</v>
      </c>
      <c r="BK499" s="556" t="str">
        <f t="shared" si="53"/>
        <v>M4,M6</v>
      </c>
      <c r="BL499" s="556" t="str">
        <f t="shared" si="54"/>
        <v/>
      </c>
      <c r="BM499" s="497">
        <f t="shared" si="55"/>
        <v>51506</v>
      </c>
    </row>
    <row r="500" spans="1:65">
      <c r="A500">
        <v>31030</v>
      </c>
      <c r="B500" t="s">
        <v>787</v>
      </c>
      <c r="C500" t="s">
        <v>123</v>
      </c>
      <c r="D500" t="s">
        <v>1921</v>
      </c>
      <c r="F500" s="503">
        <v>43559</v>
      </c>
      <c r="H500" t="s">
        <v>788</v>
      </c>
      <c r="I500" t="s">
        <v>1753</v>
      </c>
      <c r="J500">
        <v>1000</v>
      </c>
      <c r="K500">
        <v>8</v>
      </c>
      <c r="O500" t="s">
        <v>1068</v>
      </c>
      <c r="P500" t="s">
        <v>2303</v>
      </c>
      <c r="W500">
        <v>4.83</v>
      </c>
      <c r="X500">
        <v>4.8499999999999996</v>
      </c>
      <c r="Y500">
        <v>0</v>
      </c>
      <c r="Z500">
        <v>0</v>
      </c>
      <c r="AA500">
        <v>2</v>
      </c>
      <c r="AE500" t="s">
        <v>1039</v>
      </c>
      <c r="AI500">
        <v>60</v>
      </c>
      <c r="AJ500">
        <v>1850625</v>
      </c>
      <c r="AK500">
        <v>0</v>
      </c>
      <c r="AN500" t="s">
        <v>1703</v>
      </c>
      <c r="AO500">
        <v>6.25</v>
      </c>
      <c r="AX500">
        <v>20190404</v>
      </c>
      <c r="AY500" t="s">
        <v>1754</v>
      </c>
      <c r="BG500" s="556" t="str">
        <f t="shared" si="49"/>
        <v>O</v>
      </c>
      <c r="BH500" s="556" t="str">
        <f t="shared" si="50"/>
        <v/>
      </c>
      <c r="BI500" s="556" t="str">
        <f t="shared" si="51"/>
        <v/>
      </c>
      <c r="BJ500" s="556">
        <f t="shared" si="52"/>
        <v>8</v>
      </c>
      <c r="BK500" s="556" t="str">
        <f t="shared" si="53"/>
        <v>M4,M6</v>
      </c>
      <c r="BL500" s="556" t="str">
        <f t="shared" si="54"/>
        <v/>
      </c>
      <c r="BM500" s="497">
        <f t="shared" si="55"/>
        <v>31030</v>
      </c>
    </row>
    <row r="501" spans="1:65">
      <c r="A501">
        <v>20093</v>
      </c>
      <c r="B501" t="s">
        <v>2841</v>
      </c>
      <c r="C501" t="s">
        <v>2842</v>
      </c>
      <c r="D501" t="s">
        <v>1774</v>
      </c>
      <c r="F501" s="503">
        <v>45454</v>
      </c>
      <c r="H501" t="s">
        <v>2843</v>
      </c>
      <c r="I501" t="s">
        <v>1753</v>
      </c>
      <c r="J501">
        <v>800</v>
      </c>
      <c r="K501" t="s">
        <v>1713</v>
      </c>
      <c r="O501" t="s">
        <v>2303</v>
      </c>
      <c r="W501">
        <v>4.55</v>
      </c>
      <c r="X501">
        <v>4.62</v>
      </c>
      <c r="Y501">
        <v>0</v>
      </c>
      <c r="Z501">
        <v>0</v>
      </c>
      <c r="AA501">
        <v>2</v>
      </c>
      <c r="AE501" t="s">
        <v>1039</v>
      </c>
      <c r="AI501">
        <v>60</v>
      </c>
      <c r="AJ501">
        <v>1850705</v>
      </c>
      <c r="AK501">
        <v>0</v>
      </c>
      <c r="AN501" t="s">
        <v>1703</v>
      </c>
      <c r="AO501">
        <v>7.05</v>
      </c>
      <c r="AX501">
        <v>20240611</v>
      </c>
      <c r="AY501" t="s">
        <v>1754</v>
      </c>
      <c r="BG501" s="556" t="str">
        <f t="shared" si="49"/>
        <v>O</v>
      </c>
      <c r="BH501" s="556" t="str">
        <f t="shared" si="50"/>
        <v/>
      </c>
      <c r="BI501" s="556" t="str">
        <f t="shared" si="51"/>
        <v/>
      </c>
      <c r="BJ501" s="556" t="str">
        <f t="shared" si="52"/>
        <v>4A</v>
      </c>
      <c r="BK501" s="556" t="str">
        <f t="shared" si="53"/>
        <v>M6</v>
      </c>
      <c r="BL501" s="556" t="str">
        <f t="shared" si="54"/>
        <v/>
      </c>
      <c r="BM501" s="497">
        <f t="shared" si="55"/>
        <v>20093</v>
      </c>
    </row>
    <row r="502" spans="1:65">
      <c r="A502">
        <v>20056</v>
      </c>
      <c r="B502" t="s">
        <v>764</v>
      </c>
      <c r="C502" t="s">
        <v>766</v>
      </c>
      <c r="D502" t="s">
        <v>1763</v>
      </c>
      <c r="F502" s="503">
        <v>43164</v>
      </c>
      <c r="H502" t="s">
        <v>767</v>
      </c>
      <c r="I502" t="s">
        <v>1753</v>
      </c>
      <c r="J502">
        <v>1000</v>
      </c>
      <c r="K502" t="s">
        <v>1681</v>
      </c>
      <c r="O502" t="s">
        <v>1068</v>
      </c>
      <c r="P502" t="s">
        <v>2303</v>
      </c>
      <c r="W502">
        <v>2.36</v>
      </c>
      <c r="X502">
        <v>2.36</v>
      </c>
      <c r="Y502">
        <v>0</v>
      </c>
      <c r="Z502">
        <v>0</v>
      </c>
      <c r="AA502">
        <v>2</v>
      </c>
      <c r="AE502" t="s">
        <v>1039</v>
      </c>
      <c r="AI502">
        <v>60</v>
      </c>
      <c r="AJ502">
        <v>1850436</v>
      </c>
      <c r="AK502">
        <v>0</v>
      </c>
      <c r="AN502" t="s">
        <v>1703</v>
      </c>
      <c r="AO502">
        <v>4.3600000000000003</v>
      </c>
      <c r="AX502">
        <v>20180305</v>
      </c>
      <c r="AY502" t="s">
        <v>1754</v>
      </c>
      <c r="BG502" s="556" t="str">
        <f t="shared" si="49"/>
        <v>O</v>
      </c>
      <c r="BH502" s="556" t="str">
        <f t="shared" si="50"/>
        <v/>
      </c>
      <c r="BI502" s="556" t="str">
        <f t="shared" si="51"/>
        <v/>
      </c>
      <c r="BJ502" s="556" t="str">
        <f t="shared" si="52"/>
        <v>6S</v>
      </c>
      <c r="BK502" s="556" t="str">
        <f t="shared" si="53"/>
        <v>M4,M6</v>
      </c>
      <c r="BL502" s="556" t="str">
        <f t="shared" si="54"/>
        <v/>
      </c>
      <c r="BM502" s="497">
        <f t="shared" si="55"/>
        <v>20056</v>
      </c>
    </row>
    <row r="503" spans="1:65">
      <c r="A503">
        <v>50603</v>
      </c>
      <c r="B503" t="s">
        <v>2973</v>
      </c>
      <c r="C503" t="s">
        <v>777</v>
      </c>
      <c r="D503" t="s">
        <v>1829</v>
      </c>
      <c r="F503" s="503">
        <v>45554</v>
      </c>
      <c r="H503" t="s">
        <v>2974</v>
      </c>
      <c r="I503" t="s">
        <v>1753</v>
      </c>
      <c r="J503">
        <v>1000</v>
      </c>
      <c r="K503">
        <v>10</v>
      </c>
      <c r="L503" t="s">
        <v>1681</v>
      </c>
      <c r="O503" t="s">
        <v>2303</v>
      </c>
      <c r="W503">
        <v>3.46</v>
      </c>
      <c r="X503">
        <v>3.79</v>
      </c>
      <c r="Y503">
        <v>0</v>
      </c>
      <c r="Z503">
        <v>0</v>
      </c>
      <c r="AA503">
        <v>2</v>
      </c>
      <c r="AE503" t="s">
        <v>1039</v>
      </c>
      <c r="AI503">
        <v>60</v>
      </c>
      <c r="AJ503">
        <v>1850455</v>
      </c>
      <c r="AK503">
        <v>0</v>
      </c>
      <c r="AN503" t="s">
        <v>1703</v>
      </c>
      <c r="AO503">
        <v>4.55</v>
      </c>
      <c r="AT503" t="s">
        <v>2975</v>
      </c>
      <c r="AX503">
        <v>20240919</v>
      </c>
      <c r="AY503" t="s">
        <v>1754</v>
      </c>
      <c r="BG503" s="556" t="str">
        <f t="shared" si="49"/>
        <v>O</v>
      </c>
      <c r="BH503" s="556" t="str">
        <f t="shared" si="50"/>
        <v/>
      </c>
      <c r="BI503" s="556" t="str">
        <f t="shared" si="51"/>
        <v/>
      </c>
      <c r="BJ503" s="556" t="str">
        <f t="shared" si="52"/>
        <v>10,6S</v>
      </c>
      <c r="BK503" s="556" t="str">
        <f t="shared" si="53"/>
        <v>M6</v>
      </c>
      <c r="BL503" s="556" t="str">
        <f t="shared" si="54"/>
        <v/>
      </c>
      <c r="BM503" s="497">
        <f t="shared" si="55"/>
        <v>50603</v>
      </c>
    </row>
    <row r="504" spans="1:65">
      <c r="A504">
        <v>52026</v>
      </c>
      <c r="B504" t="s">
        <v>3142</v>
      </c>
      <c r="C504" t="s">
        <v>961</v>
      </c>
      <c r="D504" t="s">
        <v>1755</v>
      </c>
      <c r="F504" s="503">
        <v>45811</v>
      </c>
      <c r="H504" t="s">
        <v>3143</v>
      </c>
      <c r="I504" t="s">
        <v>1753</v>
      </c>
      <c r="J504">
        <v>1000</v>
      </c>
      <c r="K504" t="s">
        <v>1681</v>
      </c>
      <c r="O504" t="s">
        <v>1681</v>
      </c>
      <c r="W504">
        <v>2.8</v>
      </c>
      <c r="X504">
        <v>2.85</v>
      </c>
      <c r="Y504">
        <v>0</v>
      </c>
      <c r="Z504">
        <v>0</v>
      </c>
      <c r="AA504">
        <v>0</v>
      </c>
      <c r="AE504" t="s">
        <v>1761</v>
      </c>
      <c r="AI504">
        <v>57</v>
      </c>
      <c r="AJ504">
        <v>3020438</v>
      </c>
      <c r="AK504">
        <v>0</v>
      </c>
      <c r="AL504">
        <v>0</v>
      </c>
      <c r="AN504" t="s">
        <v>2629</v>
      </c>
      <c r="AO504">
        <v>4.38</v>
      </c>
      <c r="AX504">
        <v>20250603</v>
      </c>
      <c r="AY504" t="s">
        <v>1780</v>
      </c>
      <c r="BG504" s="556" t="str">
        <f t="shared" si="49"/>
        <v>O</v>
      </c>
      <c r="BH504" s="556" t="str">
        <f t="shared" si="50"/>
        <v/>
      </c>
      <c r="BI504" s="556" t="str">
        <f t="shared" si="51"/>
        <v/>
      </c>
      <c r="BJ504" s="556" t="str">
        <f t="shared" si="52"/>
        <v>6S</v>
      </c>
      <c r="BK504" s="556" t="str">
        <f t="shared" si="53"/>
        <v>6S</v>
      </c>
      <c r="BL504" s="556" t="str">
        <f t="shared" si="54"/>
        <v/>
      </c>
      <c r="BM504" s="497">
        <f t="shared" si="55"/>
        <v>52026</v>
      </c>
    </row>
    <row r="505" spans="1:65">
      <c r="A505">
        <v>53001</v>
      </c>
      <c r="B505" t="s">
        <v>112</v>
      </c>
      <c r="C505" t="s">
        <v>113</v>
      </c>
      <c r="D505" t="s">
        <v>2024</v>
      </c>
      <c r="F505" s="503">
        <v>43487</v>
      </c>
      <c r="H505" t="s">
        <v>114</v>
      </c>
      <c r="I505" t="s">
        <v>1753</v>
      </c>
      <c r="J505">
        <v>1000</v>
      </c>
      <c r="K505" t="s">
        <v>1681</v>
      </c>
      <c r="O505" t="s">
        <v>2302</v>
      </c>
      <c r="W505">
        <v>2.7</v>
      </c>
      <c r="X505">
        <v>2.85</v>
      </c>
      <c r="Y505">
        <v>0</v>
      </c>
      <c r="Z505">
        <v>0</v>
      </c>
      <c r="AA505">
        <v>0</v>
      </c>
      <c r="AE505" t="s">
        <v>1761</v>
      </c>
      <c r="AI505">
        <v>18</v>
      </c>
      <c r="AJ505">
        <v>3020438</v>
      </c>
      <c r="AK505">
        <v>0</v>
      </c>
      <c r="AN505" t="s">
        <v>2629</v>
      </c>
      <c r="AO505">
        <v>4.38</v>
      </c>
      <c r="AX505">
        <v>20190122</v>
      </c>
      <c r="AY505" t="s">
        <v>1800</v>
      </c>
      <c r="AZ505" t="s">
        <v>2055</v>
      </c>
      <c r="BA505" t="s">
        <v>2963</v>
      </c>
      <c r="BG505" s="556" t="str">
        <f t="shared" si="49"/>
        <v>O</v>
      </c>
      <c r="BH505" s="556" t="str">
        <f t="shared" si="50"/>
        <v>Y</v>
      </c>
      <c r="BI505" s="556" t="str">
        <f t="shared" si="51"/>
        <v/>
      </c>
      <c r="BJ505" s="556" t="str">
        <f t="shared" si="52"/>
        <v>6S</v>
      </c>
      <c r="BK505" s="556" t="str">
        <f t="shared" si="53"/>
        <v>S4</v>
      </c>
      <c r="BL505" s="556" t="str">
        <f t="shared" si="54"/>
        <v/>
      </c>
      <c r="BM505" s="497">
        <f t="shared" si="55"/>
        <v>53001</v>
      </c>
    </row>
    <row r="506" spans="1:65">
      <c r="A506">
        <v>53551</v>
      </c>
      <c r="B506" t="s">
        <v>2314</v>
      </c>
      <c r="C506" t="s">
        <v>2311</v>
      </c>
      <c r="D506" t="s">
        <v>1827</v>
      </c>
      <c r="F506" s="503">
        <v>44841</v>
      </c>
      <c r="H506" t="s">
        <v>54</v>
      </c>
      <c r="I506" t="s">
        <v>1753</v>
      </c>
      <c r="J506">
        <v>1000</v>
      </c>
      <c r="K506" t="s">
        <v>1068</v>
      </c>
      <c r="O506" t="s">
        <v>1068</v>
      </c>
      <c r="W506">
        <v>2.72</v>
      </c>
      <c r="X506">
        <v>2.72</v>
      </c>
      <c r="Y506">
        <v>0</v>
      </c>
      <c r="Z506">
        <v>0</v>
      </c>
      <c r="AA506">
        <v>2</v>
      </c>
      <c r="AE506" t="s">
        <v>1039</v>
      </c>
      <c r="AI506">
        <v>60</v>
      </c>
      <c r="AJ506">
        <v>1850355</v>
      </c>
      <c r="AK506">
        <v>0</v>
      </c>
      <c r="AL506">
        <v>0</v>
      </c>
      <c r="AN506" t="s">
        <v>1703</v>
      </c>
      <c r="AO506">
        <v>3.55</v>
      </c>
      <c r="AX506">
        <v>20221007</v>
      </c>
      <c r="AY506" t="s">
        <v>1754</v>
      </c>
      <c r="BG506" s="556" t="str">
        <f t="shared" si="49"/>
        <v>O</v>
      </c>
      <c r="BH506" s="556" t="str">
        <f t="shared" si="50"/>
        <v/>
      </c>
      <c r="BI506" s="556" t="str">
        <f t="shared" si="51"/>
        <v/>
      </c>
      <c r="BJ506" s="556" t="str">
        <f t="shared" si="52"/>
        <v>M4</v>
      </c>
      <c r="BK506" s="556" t="str">
        <f t="shared" si="53"/>
        <v>M4</v>
      </c>
      <c r="BL506" s="556" t="str">
        <f t="shared" si="54"/>
        <v/>
      </c>
      <c r="BM506" s="497">
        <f t="shared" si="55"/>
        <v>53551</v>
      </c>
    </row>
    <row r="507" spans="1:65">
      <c r="A507">
        <v>52010</v>
      </c>
      <c r="B507" t="s">
        <v>773</v>
      </c>
      <c r="C507" t="s">
        <v>774</v>
      </c>
      <c r="D507" t="s">
        <v>1755</v>
      </c>
      <c r="F507" s="503">
        <v>43711</v>
      </c>
      <c r="H507" t="s">
        <v>434</v>
      </c>
      <c r="I507" t="s">
        <v>1753</v>
      </c>
      <c r="J507">
        <v>1000</v>
      </c>
      <c r="K507">
        <v>10</v>
      </c>
      <c r="L507" t="s">
        <v>1681</v>
      </c>
      <c r="O507" t="s">
        <v>1068</v>
      </c>
      <c r="P507" t="s">
        <v>2303</v>
      </c>
      <c r="W507">
        <v>4.18</v>
      </c>
      <c r="X507">
        <v>4.21</v>
      </c>
      <c r="Y507">
        <v>0</v>
      </c>
      <c r="Z507">
        <v>0</v>
      </c>
      <c r="AA507">
        <v>2</v>
      </c>
      <c r="AE507" t="s">
        <v>1039</v>
      </c>
      <c r="AI507">
        <v>60</v>
      </c>
      <c r="AJ507">
        <v>1850436</v>
      </c>
      <c r="AK507">
        <v>0</v>
      </c>
      <c r="AN507" t="s">
        <v>1703</v>
      </c>
      <c r="AO507">
        <v>4.3600000000000003</v>
      </c>
      <c r="AX507">
        <v>20190903</v>
      </c>
      <c r="AY507" t="s">
        <v>1754</v>
      </c>
      <c r="BG507" s="556" t="str">
        <f t="shared" si="49"/>
        <v>O</v>
      </c>
      <c r="BH507" s="556" t="str">
        <f t="shared" si="50"/>
        <v/>
      </c>
      <c r="BI507" s="556" t="str">
        <f t="shared" si="51"/>
        <v/>
      </c>
      <c r="BJ507" s="556" t="str">
        <f t="shared" si="52"/>
        <v>10,6S</v>
      </c>
      <c r="BK507" s="556" t="str">
        <f t="shared" si="53"/>
        <v>M4,M6</v>
      </c>
      <c r="BL507" s="556" t="str">
        <f t="shared" si="54"/>
        <v/>
      </c>
      <c r="BM507" s="497">
        <f t="shared" si="55"/>
        <v>52010</v>
      </c>
    </row>
    <row r="508" spans="1:65">
      <c r="A508">
        <v>20016</v>
      </c>
      <c r="B508" t="s">
        <v>1676</v>
      </c>
      <c r="C508" t="s">
        <v>990</v>
      </c>
      <c r="D508" t="s">
        <v>1774</v>
      </c>
      <c r="F508" s="503">
        <v>42748</v>
      </c>
      <c r="H508" t="s">
        <v>54</v>
      </c>
      <c r="I508" t="s">
        <v>1753</v>
      </c>
      <c r="J508">
        <v>1000</v>
      </c>
      <c r="K508">
        <v>10</v>
      </c>
      <c r="L508" t="s">
        <v>1681</v>
      </c>
      <c r="O508" t="s">
        <v>1068</v>
      </c>
      <c r="P508" t="s">
        <v>2303</v>
      </c>
      <c r="W508">
        <v>4.38</v>
      </c>
      <c r="X508">
        <v>4.3499999999999996</v>
      </c>
      <c r="Y508">
        <v>0</v>
      </c>
      <c r="Z508">
        <v>0</v>
      </c>
      <c r="AA508">
        <v>0</v>
      </c>
      <c r="AE508" t="s">
        <v>2079</v>
      </c>
      <c r="AI508">
        <v>87</v>
      </c>
      <c r="AJ508">
        <v>4310438</v>
      </c>
      <c r="AK508">
        <v>0</v>
      </c>
      <c r="AL508">
        <v>0</v>
      </c>
      <c r="AN508" t="s">
        <v>137</v>
      </c>
      <c r="AO508">
        <v>4.38</v>
      </c>
      <c r="AU508" t="s">
        <v>3225</v>
      </c>
      <c r="AX508">
        <v>20170113</v>
      </c>
      <c r="AY508" t="s">
        <v>2072</v>
      </c>
      <c r="BG508" s="556" t="str">
        <f t="shared" si="49"/>
        <v>O</v>
      </c>
      <c r="BH508" s="556" t="str">
        <f t="shared" si="50"/>
        <v/>
      </c>
      <c r="BI508" s="556" t="str">
        <f t="shared" si="51"/>
        <v>Y</v>
      </c>
      <c r="BJ508" s="556" t="str">
        <f t="shared" si="52"/>
        <v>10,6S</v>
      </c>
      <c r="BK508" s="556" t="str">
        <f t="shared" si="53"/>
        <v>M4,M6</v>
      </c>
      <c r="BL508" s="556" t="str">
        <f t="shared" si="54"/>
        <v/>
      </c>
      <c r="BM508" s="497">
        <f t="shared" si="55"/>
        <v>20016</v>
      </c>
    </row>
    <row r="509" spans="1:65">
      <c r="A509">
        <v>20010</v>
      </c>
      <c r="B509" t="s">
        <v>29</v>
      </c>
      <c r="C509" t="s">
        <v>42</v>
      </c>
      <c r="D509" t="s">
        <v>1774</v>
      </c>
      <c r="F509" s="503">
        <v>42748</v>
      </c>
      <c r="H509" t="s">
        <v>54</v>
      </c>
      <c r="I509" t="s">
        <v>1753</v>
      </c>
      <c r="J509">
        <v>1000</v>
      </c>
      <c r="K509">
        <v>10</v>
      </c>
      <c r="L509" t="s">
        <v>1681</v>
      </c>
      <c r="O509" t="s">
        <v>1068</v>
      </c>
      <c r="P509" t="s">
        <v>2303</v>
      </c>
      <c r="W509">
        <v>3.86</v>
      </c>
      <c r="X509">
        <v>3.85</v>
      </c>
      <c r="Y509">
        <v>0</v>
      </c>
      <c r="Z509">
        <v>0</v>
      </c>
      <c r="AA509">
        <v>2</v>
      </c>
      <c r="AE509" t="s">
        <v>1039</v>
      </c>
      <c r="AI509">
        <v>60</v>
      </c>
      <c r="AJ509">
        <v>1850436</v>
      </c>
      <c r="AK509">
        <v>0</v>
      </c>
      <c r="AL509">
        <v>0</v>
      </c>
      <c r="AN509" t="s">
        <v>1703</v>
      </c>
      <c r="AO509">
        <v>4.3600000000000003</v>
      </c>
      <c r="AX509">
        <v>20170113</v>
      </c>
      <c r="AY509" t="s">
        <v>1754</v>
      </c>
      <c r="BG509" s="556" t="str">
        <f t="shared" si="49"/>
        <v>O</v>
      </c>
      <c r="BH509" s="556" t="str">
        <f t="shared" si="50"/>
        <v/>
      </c>
      <c r="BI509" s="556" t="str">
        <f t="shared" si="51"/>
        <v/>
      </c>
      <c r="BJ509" s="556" t="str">
        <f t="shared" si="52"/>
        <v>10,6S</v>
      </c>
      <c r="BK509" s="556" t="str">
        <f t="shared" si="53"/>
        <v>M4,M6</v>
      </c>
      <c r="BL509" s="556" t="str">
        <f t="shared" si="54"/>
        <v/>
      </c>
      <c r="BM509" s="497">
        <f t="shared" si="55"/>
        <v>20010</v>
      </c>
    </row>
    <row r="510" spans="1:65">
      <c r="A510">
        <v>51509</v>
      </c>
      <c r="B510" t="s">
        <v>945</v>
      </c>
      <c r="C510" t="s">
        <v>947</v>
      </c>
      <c r="D510" t="s">
        <v>1760</v>
      </c>
      <c r="F510" s="503">
        <v>43774</v>
      </c>
      <c r="H510" t="s">
        <v>434</v>
      </c>
      <c r="I510" t="s">
        <v>1753</v>
      </c>
      <c r="J510">
        <v>1000</v>
      </c>
      <c r="K510" t="s">
        <v>1756</v>
      </c>
      <c r="O510" t="s">
        <v>2304</v>
      </c>
      <c r="W510">
        <v>0</v>
      </c>
      <c r="X510">
        <v>3.9</v>
      </c>
      <c r="Y510">
        <v>0</v>
      </c>
      <c r="Z510">
        <v>0</v>
      </c>
      <c r="AA510">
        <v>0</v>
      </c>
      <c r="AE510" t="s">
        <v>1761</v>
      </c>
      <c r="AI510">
        <v>78</v>
      </c>
      <c r="AJ510">
        <v>3020438</v>
      </c>
      <c r="AK510">
        <v>0</v>
      </c>
      <c r="AN510" t="s">
        <v>2629</v>
      </c>
      <c r="AO510">
        <v>4.38</v>
      </c>
      <c r="AX510">
        <v>20191105</v>
      </c>
      <c r="AY510" t="s">
        <v>2080</v>
      </c>
      <c r="AZ510" t="s">
        <v>2055</v>
      </c>
      <c r="BA510" t="s">
        <v>2058</v>
      </c>
      <c r="BB510" t="s">
        <v>2963</v>
      </c>
      <c r="BG510" s="556" t="str">
        <f t="shared" si="49"/>
        <v>X</v>
      </c>
      <c r="BH510" s="556" t="str">
        <f t="shared" si="50"/>
        <v>Y</v>
      </c>
      <c r="BI510" s="556" t="str">
        <f t="shared" si="51"/>
        <v/>
      </c>
      <c r="BJ510" s="556" t="str">
        <f t="shared" si="52"/>
        <v>Z</v>
      </c>
      <c r="BK510" s="556" t="str">
        <f t="shared" si="53"/>
        <v>S3</v>
      </c>
      <c r="BL510" s="556" t="str">
        <f t="shared" si="54"/>
        <v/>
      </c>
      <c r="BM510" s="497">
        <f t="shared" si="55"/>
        <v>51509</v>
      </c>
    </row>
    <row r="511" spans="1:65">
      <c r="A511">
        <v>52006</v>
      </c>
      <c r="B511" t="s">
        <v>433</v>
      </c>
      <c r="C511" t="s">
        <v>311</v>
      </c>
      <c r="D511" t="s">
        <v>1755</v>
      </c>
      <c r="F511" s="503">
        <v>43685</v>
      </c>
      <c r="H511" t="s">
        <v>434</v>
      </c>
      <c r="I511" t="s">
        <v>1753</v>
      </c>
      <c r="J511">
        <v>1000</v>
      </c>
      <c r="K511" t="s">
        <v>1681</v>
      </c>
      <c r="O511" t="s">
        <v>1068</v>
      </c>
      <c r="P511" t="s">
        <v>2303</v>
      </c>
      <c r="W511">
        <v>2.44</v>
      </c>
      <c r="X511">
        <v>2.4700000000000002</v>
      </c>
      <c r="Y511">
        <v>0</v>
      </c>
      <c r="Z511">
        <v>0</v>
      </c>
      <c r="AA511">
        <v>0</v>
      </c>
      <c r="AE511" t="s">
        <v>1039</v>
      </c>
      <c r="AI511">
        <v>57</v>
      </c>
      <c r="AJ511">
        <v>1000436</v>
      </c>
      <c r="AK511">
        <v>0</v>
      </c>
      <c r="AN511" t="s">
        <v>133</v>
      </c>
      <c r="AO511">
        <v>4.3600000000000003</v>
      </c>
      <c r="AX511">
        <v>20190808</v>
      </c>
      <c r="AY511" t="s">
        <v>1780</v>
      </c>
      <c r="BG511" s="556" t="str">
        <f t="shared" si="49"/>
        <v>O</v>
      </c>
      <c r="BH511" s="556" t="str">
        <f t="shared" si="50"/>
        <v/>
      </c>
      <c r="BI511" s="556" t="str">
        <f t="shared" si="51"/>
        <v/>
      </c>
      <c r="BJ511" s="556" t="str">
        <f t="shared" si="52"/>
        <v>6S</v>
      </c>
      <c r="BK511" s="556" t="str">
        <f t="shared" si="53"/>
        <v>M4,M6</v>
      </c>
      <c r="BL511" s="556" t="str">
        <f t="shared" si="54"/>
        <v/>
      </c>
      <c r="BM511" s="497">
        <f t="shared" si="55"/>
        <v>52006</v>
      </c>
    </row>
    <row r="512" spans="1:65">
      <c r="A512">
        <v>20100</v>
      </c>
      <c r="B512" t="s">
        <v>3255</v>
      </c>
      <c r="C512" t="s">
        <v>311</v>
      </c>
      <c r="D512" t="s">
        <v>1774</v>
      </c>
      <c r="F512" s="503">
        <v>45954</v>
      </c>
      <c r="H512" t="s">
        <v>3258</v>
      </c>
      <c r="I512" t="s">
        <v>1753</v>
      </c>
      <c r="J512">
        <v>1000</v>
      </c>
      <c r="K512" t="s">
        <v>1681</v>
      </c>
      <c r="O512" t="s">
        <v>2303</v>
      </c>
      <c r="W512">
        <v>2.44</v>
      </c>
      <c r="X512">
        <v>2.44</v>
      </c>
      <c r="Y512">
        <v>0</v>
      </c>
      <c r="Z512">
        <v>0</v>
      </c>
      <c r="AA512">
        <v>2</v>
      </c>
      <c r="AE512" t="s">
        <v>1039</v>
      </c>
      <c r="AI512">
        <v>60</v>
      </c>
      <c r="AJ512">
        <v>1850436</v>
      </c>
      <c r="AK512">
        <v>0</v>
      </c>
      <c r="AN512" t="s">
        <v>1703</v>
      </c>
      <c r="AO512">
        <v>4.3600000000000003</v>
      </c>
      <c r="AX512">
        <v>20251024</v>
      </c>
      <c r="AY512" t="s">
        <v>1754</v>
      </c>
      <c r="BG512" s="556" t="str">
        <f t="shared" si="49"/>
        <v>O</v>
      </c>
      <c r="BH512" s="556" t="str">
        <f t="shared" si="50"/>
        <v/>
      </c>
      <c r="BI512" s="556" t="str">
        <f t="shared" si="51"/>
        <v/>
      </c>
      <c r="BJ512" s="556" t="str">
        <f t="shared" si="52"/>
        <v>6S</v>
      </c>
      <c r="BK512" s="556" t="str">
        <f t="shared" si="53"/>
        <v>M6</v>
      </c>
      <c r="BL512" s="556" t="str">
        <f t="shared" si="54"/>
        <v/>
      </c>
      <c r="BM512" s="497">
        <f t="shared" si="55"/>
        <v>20100</v>
      </c>
    </row>
    <row r="513" spans="1:65">
      <c r="A513">
        <v>51501</v>
      </c>
      <c r="B513" t="s">
        <v>933</v>
      </c>
      <c r="C513" t="s">
        <v>874</v>
      </c>
      <c r="D513" t="s">
        <v>1760</v>
      </c>
      <c r="F513" s="503">
        <v>43603</v>
      </c>
      <c r="H513" t="s">
        <v>434</v>
      </c>
      <c r="I513" t="s">
        <v>1913</v>
      </c>
      <c r="J513">
        <v>1000</v>
      </c>
      <c r="K513" t="s">
        <v>1681</v>
      </c>
      <c r="O513" t="s">
        <v>1068</v>
      </c>
      <c r="P513" t="s">
        <v>2303</v>
      </c>
      <c r="W513">
        <v>2.52</v>
      </c>
      <c r="X513">
        <v>2.5499999999999998</v>
      </c>
      <c r="Y513">
        <v>0</v>
      </c>
      <c r="Z513">
        <v>0</v>
      </c>
      <c r="AA513">
        <v>0</v>
      </c>
      <c r="AE513" t="s">
        <v>1761</v>
      </c>
      <c r="AI513">
        <v>57</v>
      </c>
      <c r="AJ513">
        <v>3020438</v>
      </c>
      <c r="AK513">
        <v>0</v>
      </c>
      <c r="AN513" t="s">
        <v>2629</v>
      </c>
      <c r="AO513">
        <v>4.38</v>
      </c>
      <c r="AX513">
        <v>20190518</v>
      </c>
      <c r="AY513" t="s">
        <v>1780</v>
      </c>
      <c r="BG513" s="556" t="str">
        <f t="shared" si="49"/>
        <v>O</v>
      </c>
      <c r="BH513" s="556" t="str">
        <f t="shared" si="50"/>
        <v/>
      </c>
      <c r="BI513" s="556" t="str">
        <f t="shared" si="51"/>
        <v/>
      </c>
      <c r="BJ513" s="556" t="str">
        <f t="shared" si="52"/>
        <v>6S</v>
      </c>
      <c r="BK513" s="556" t="str">
        <f t="shared" si="53"/>
        <v>M4,M6</v>
      </c>
      <c r="BL513" s="556" t="str">
        <f t="shared" si="54"/>
        <v/>
      </c>
      <c r="BM513" s="497">
        <f t="shared" si="55"/>
        <v>51501</v>
      </c>
    </row>
    <row r="514" spans="1:65">
      <c r="A514">
        <v>52131</v>
      </c>
      <c r="B514" t="s">
        <v>756</v>
      </c>
      <c r="C514" t="s">
        <v>77</v>
      </c>
      <c r="D514" t="s">
        <v>1796</v>
      </c>
      <c r="F514" s="503">
        <v>43776</v>
      </c>
      <c r="H514" t="s">
        <v>434</v>
      </c>
      <c r="I514" t="s">
        <v>1753</v>
      </c>
      <c r="J514">
        <v>0</v>
      </c>
      <c r="K514" t="s">
        <v>1681</v>
      </c>
      <c r="O514" t="s">
        <v>2299</v>
      </c>
      <c r="W514">
        <v>2.42</v>
      </c>
      <c r="X514">
        <v>2.4700000000000002</v>
      </c>
      <c r="Y514">
        <v>0</v>
      </c>
      <c r="Z514">
        <v>0</v>
      </c>
      <c r="AA514">
        <v>2</v>
      </c>
      <c r="AE514" t="s">
        <v>1221</v>
      </c>
      <c r="AI514">
        <v>60</v>
      </c>
      <c r="AJ514">
        <v>1850395</v>
      </c>
      <c r="AK514">
        <v>0</v>
      </c>
      <c r="AL514">
        <v>0</v>
      </c>
      <c r="AN514" t="s">
        <v>1703</v>
      </c>
      <c r="AO514">
        <v>3.95</v>
      </c>
      <c r="AX514">
        <v>20191107</v>
      </c>
      <c r="AY514" t="s">
        <v>1754</v>
      </c>
      <c r="BG514" s="556" t="str">
        <f t="shared" si="49"/>
        <v>O</v>
      </c>
      <c r="BH514" s="556" t="str">
        <f t="shared" si="50"/>
        <v/>
      </c>
      <c r="BI514" s="556" t="str">
        <f t="shared" si="51"/>
        <v/>
      </c>
      <c r="BJ514" s="556" t="str">
        <f t="shared" si="52"/>
        <v>6S</v>
      </c>
      <c r="BK514" s="556" t="str">
        <f t="shared" si="53"/>
        <v>TS1</v>
      </c>
      <c r="BL514" s="556" t="str">
        <f t="shared" si="54"/>
        <v/>
      </c>
      <c r="BM514" s="497">
        <f t="shared" si="55"/>
        <v>52131</v>
      </c>
    </row>
    <row r="515" spans="1:65">
      <c r="A515">
        <v>53558</v>
      </c>
      <c r="B515" t="s">
        <v>2838</v>
      </c>
      <c r="C515" t="s">
        <v>2844</v>
      </c>
      <c r="D515" t="s">
        <v>1827</v>
      </c>
      <c r="F515" s="503">
        <v>45454</v>
      </c>
      <c r="H515" t="s">
        <v>434</v>
      </c>
      <c r="I515" t="s">
        <v>1753</v>
      </c>
      <c r="J515">
        <v>1000</v>
      </c>
      <c r="K515" t="s">
        <v>1068</v>
      </c>
      <c r="O515" t="s">
        <v>1068</v>
      </c>
      <c r="W515">
        <v>2.25</v>
      </c>
      <c r="X515">
        <v>2.25</v>
      </c>
      <c r="Y515">
        <v>0</v>
      </c>
      <c r="Z515">
        <v>0</v>
      </c>
      <c r="AA515">
        <v>2</v>
      </c>
      <c r="AE515" t="s">
        <v>1039</v>
      </c>
      <c r="AI515">
        <v>60</v>
      </c>
      <c r="AJ515">
        <v>1850355</v>
      </c>
      <c r="AK515">
        <v>0</v>
      </c>
      <c r="AL515">
        <v>0</v>
      </c>
      <c r="AN515" t="s">
        <v>1703</v>
      </c>
      <c r="AO515">
        <v>3.55</v>
      </c>
      <c r="AX515">
        <v>20240611</v>
      </c>
      <c r="AY515" t="s">
        <v>1754</v>
      </c>
      <c r="BG515" s="556" t="str">
        <f t="shared" ref="BG515:BG578" si="56">IF(LEFT(AY515,2)="98","X","O")</f>
        <v>O</v>
      </c>
      <c r="BH515" s="556" t="str">
        <f t="shared" ref="BH515:BH578" si="57">IF(IFERROR(SEARCH("45",$AY515,1),0)&gt;0,"Y","")</f>
        <v/>
      </c>
      <c r="BI515" s="556" t="str">
        <f t="shared" ref="BI515:BI578" si="58">IF(IFERROR(SEARCH("86",$AY515,1),0)&gt;0,"Y","")</f>
        <v/>
      </c>
      <c r="BJ515" s="556" t="str">
        <f t="shared" ref="BJ515:BJ578" si="59">IF(L515="",K515,IF(M515="",K515&amp;","&amp;L515,IF(N515="",K515&amp;","&amp;L515&amp;","&amp;M515,K515&amp;","&amp;L515&amp;","&amp;M515&amp;","&amp;N515)))</f>
        <v>M4</v>
      </c>
      <c r="BK515" s="556" t="str">
        <f t="shared" ref="BK515:BK578" si="60">IF(P515="",O515,IF(Q515="",O515&amp;","&amp;P515,IF(R515="",O515&amp;","&amp;P515&amp;","&amp;Q515,IO515&amp;","&amp;P515&amp;","&amp;Q515&amp;","&amp;R515)))</f>
        <v>M4</v>
      </c>
      <c r="BL515" s="556" t="str">
        <f t="shared" ref="BL515:BL578" si="61">IF(S515=0,"",S515)</f>
        <v/>
      </c>
      <c r="BM515" s="497">
        <f t="shared" ref="BM515:BM578" si="62">A515</f>
        <v>53558</v>
      </c>
    </row>
    <row r="516" spans="1:65">
      <c r="A516">
        <v>20017</v>
      </c>
      <c r="B516" t="s">
        <v>759</v>
      </c>
      <c r="C516" t="s">
        <v>45</v>
      </c>
      <c r="D516" t="s">
        <v>1774</v>
      </c>
      <c r="F516" s="503">
        <v>42748</v>
      </c>
      <c r="H516" t="s">
        <v>54</v>
      </c>
      <c r="I516" t="s">
        <v>1753</v>
      </c>
      <c r="J516">
        <v>1000</v>
      </c>
      <c r="K516">
        <v>10</v>
      </c>
      <c r="L516" t="s">
        <v>1706</v>
      </c>
      <c r="M516" t="s">
        <v>1681</v>
      </c>
      <c r="O516" t="s">
        <v>2299</v>
      </c>
      <c r="W516">
        <v>3.02</v>
      </c>
      <c r="X516">
        <v>2.78</v>
      </c>
      <c r="Y516">
        <v>0</v>
      </c>
      <c r="Z516">
        <v>0</v>
      </c>
      <c r="AA516">
        <v>2</v>
      </c>
      <c r="AE516" t="s">
        <v>1039</v>
      </c>
      <c r="AI516">
        <v>60</v>
      </c>
      <c r="AJ516">
        <v>1850395</v>
      </c>
      <c r="AK516">
        <v>0</v>
      </c>
      <c r="AL516">
        <v>0</v>
      </c>
      <c r="AN516" t="s">
        <v>1703</v>
      </c>
      <c r="AO516">
        <v>3.95</v>
      </c>
      <c r="AX516">
        <v>20170113</v>
      </c>
      <c r="AY516" t="s">
        <v>1754</v>
      </c>
      <c r="BG516" s="556" t="str">
        <f t="shared" si="56"/>
        <v>O</v>
      </c>
      <c r="BH516" s="556" t="str">
        <f t="shared" si="57"/>
        <v/>
      </c>
      <c r="BI516" s="556" t="str">
        <f t="shared" si="58"/>
        <v/>
      </c>
      <c r="BJ516" s="556" t="str">
        <f t="shared" si="59"/>
        <v>10,6L,6S</v>
      </c>
      <c r="BK516" s="556" t="str">
        <f t="shared" si="60"/>
        <v>TS1</v>
      </c>
      <c r="BL516" s="556" t="str">
        <f t="shared" si="61"/>
        <v/>
      </c>
      <c r="BM516" s="497">
        <f t="shared" si="62"/>
        <v>20017</v>
      </c>
    </row>
    <row r="517" spans="1:65">
      <c r="A517">
        <v>20013</v>
      </c>
      <c r="B517" t="s">
        <v>87</v>
      </c>
      <c r="C517" t="s">
        <v>81</v>
      </c>
      <c r="D517" t="s">
        <v>1774</v>
      </c>
      <c r="F517" s="503">
        <v>42748</v>
      </c>
      <c r="H517" t="s">
        <v>54</v>
      </c>
      <c r="I517" t="s">
        <v>1753</v>
      </c>
      <c r="J517">
        <v>1000</v>
      </c>
      <c r="K517">
        <v>10</v>
      </c>
      <c r="L517" t="s">
        <v>1681</v>
      </c>
      <c r="O517" t="s">
        <v>1068</v>
      </c>
      <c r="P517" t="s">
        <v>2303</v>
      </c>
      <c r="S517" t="s">
        <v>2301</v>
      </c>
      <c r="W517">
        <v>3.08</v>
      </c>
      <c r="X517">
        <v>3</v>
      </c>
      <c r="Y517">
        <v>0</v>
      </c>
      <c r="Z517">
        <v>0</v>
      </c>
      <c r="AA517">
        <v>2</v>
      </c>
      <c r="AE517" t="s">
        <v>1039</v>
      </c>
      <c r="AI517">
        <v>69</v>
      </c>
      <c r="AJ517">
        <v>1850406</v>
      </c>
      <c r="AK517">
        <v>0</v>
      </c>
      <c r="AL517">
        <v>0</v>
      </c>
      <c r="AN517" t="s">
        <v>1703</v>
      </c>
      <c r="AO517">
        <v>4.0599999999999996</v>
      </c>
      <c r="AR517" t="s">
        <v>2948</v>
      </c>
      <c r="AX517">
        <v>20170113</v>
      </c>
      <c r="AY517" t="s">
        <v>1830</v>
      </c>
      <c r="BG517" s="556" t="str">
        <f t="shared" si="56"/>
        <v>O</v>
      </c>
      <c r="BH517" s="556" t="str">
        <f t="shared" si="57"/>
        <v/>
      </c>
      <c r="BI517" s="556" t="str">
        <f t="shared" si="58"/>
        <v/>
      </c>
      <c r="BJ517" s="556" t="str">
        <f t="shared" si="59"/>
        <v>10,6S</v>
      </c>
      <c r="BK517" s="556" t="str">
        <f t="shared" si="60"/>
        <v>M4,M6</v>
      </c>
      <c r="BL517" s="556" t="str">
        <f t="shared" si="61"/>
        <v>CT</v>
      </c>
      <c r="BM517" s="497">
        <f t="shared" si="62"/>
        <v>20013</v>
      </c>
    </row>
    <row r="518" spans="1:65">
      <c r="A518">
        <v>52005</v>
      </c>
      <c r="B518" t="s">
        <v>435</v>
      </c>
      <c r="C518" t="s">
        <v>427</v>
      </c>
      <c r="D518" t="s">
        <v>1755</v>
      </c>
      <c r="F518" s="503">
        <v>43685</v>
      </c>
      <c r="H518" t="s">
        <v>434</v>
      </c>
      <c r="I518" t="s">
        <v>1753</v>
      </c>
      <c r="J518">
        <v>1000</v>
      </c>
      <c r="K518" t="s">
        <v>1681</v>
      </c>
      <c r="O518" t="s">
        <v>1068</v>
      </c>
      <c r="P518" t="s">
        <v>2303</v>
      </c>
      <c r="W518">
        <v>3.47</v>
      </c>
      <c r="X518">
        <v>3.5</v>
      </c>
      <c r="Y518">
        <v>0</v>
      </c>
      <c r="Z518">
        <v>0</v>
      </c>
      <c r="AA518">
        <v>0</v>
      </c>
      <c r="AE518" t="s">
        <v>1039</v>
      </c>
      <c r="AI518">
        <v>57</v>
      </c>
      <c r="AJ518">
        <v>1000436</v>
      </c>
      <c r="AK518">
        <v>0</v>
      </c>
      <c r="AN518" t="s">
        <v>133</v>
      </c>
      <c r="AO518">
        <v>4.3600000000000003</v>
      </c>
      <c r="AX518">
        <v>20190808</v>
      </c>
      <c r="AY518" t="s">
        <v>1780</v>
      </c>
      <c r="BG518" s="556" t="str">
        <f t="shared" si="56"/>
        <v>O</v>
      </c>
      <c r="BH518" s="556" t="str">
        <f t="shared" si="57"/>
        <v/>
      </c>
      <c r="BI518" s="556" t="str">
        <f t="shared" si="58"/>
        <v/>
      </c>
      <c r="BJ518" s="556" t="str">
        <f t="shared" si="59"/>
        <v>6S</v>
      </c>
      <c r="BK518" s="556" t="str">
        <f t="shared" si="60"/>
        <v>M4,M6</v>
      </c>
      <c r="BL518" s="556" t="str">
        <f t="shared" si="61"/>
        <v/>
      </c>
      <c r="BM518" s="497">
        <f t="shared" si="62"/>
        <v>52005</v>
      </c>
    </row>
    <row r="519" spans="1:65">
      <c r="A519">
        <v>20011</v>
      </c>
      <c r="B519" t="s">
        <v>991</v>
      </c>
      <c r="C519" t="s">
        <v>41</v>
      </c>
      <c r="D519" t="s">
        <v>1774</v>
      </c>
      <c r="F519" s="503">
        <v>42748</v>
      </c>
      <c r="H519" t="s">
        <v>54</v>
      </c>
      <c r="I519" t="s">
        <v>1753</v>
      </c>
      <c r="J519">
        <v>1000</v>
      </c>
      <c r="K519">
        <v>10</v>
      </c>
      <c r="L519" t="s">
        <v>1681</v>
      </c>
      <c r="O519" t="s">
        <v>1068</v>
      </c>
      <c r="P519" t="s">
        <v>2303</v>
      </c>
      <c r="W519">
        <v>2.31</v>
      </c>
      <c r="X519">
        <v>2.2599999999999998</v>
      </c>
      <c r="Y519">
        <v>0</v>
      </c>
      <c r="Z519">
        <v>0</v>
      </c>
      <c r="AA519">
        <v>0</v>
      </c>
      <c r="AE519" t="s">
        <v>1761</v>
      </c>
      <c r="AI519">
        <v>57</v>
      </c>
      <c r="AJ519">
        <v>4310405</v>
      </c>
      <c r="AK519">
        <v>0</v>
      </c>
      <c r="AL519">
        <v>0</v>
      </c>
      <c r="AN519" t="s">
        <v>137</v>
      </c>
      <c r="AO519">
        <v>4.05</v>
      </c>
      <c r="AX519">
        <v>20170113</v>
      </c>
      <c r="AY519" t="s">
        <v>1780</v>
      </c>
      <c r="BG519" s="556" t="str">
        <f t="shared" si="56"/>
        <v>O</v>
      </c>
      <c r="BH519" s="556" t="str">
        <f t="shared" si="57"/>
        <v/>
      </c>
      <c r="BI519" s="556" t="str">
        <f t="shared" si="58"/>
        <v/>
      </c>
      <c r="BJ519" s="556" t="str">
        <f t="shared" si="59"/>
        <v>10,6S</v>
      </c>
      <c r="BK519" s="556" t="str">
        <f t="shared" si="60"/>
        <v>M4,M6</v>
      </c>
      <c r="BL519" s="556" t="str">
        <f t="shared" si="61"/>
        <v/>
      </c>
      <c r="BM519" s="497">
        <f t="shared" si="62"/>
        <v>20011</v>
      </c>
    </row>
    <row r="520" spans="1:65">
      <c r="A520">
        <v>52702</v>
      </c>
      <c r="B520" t="s">
        <v>2081</v>
      </c>
      <c r="C520" t="s">
        <v>1966</v>
      </c>
      <c r="D520" t="s">
        <v>2069</v>
      </c>
      <c r="F520" s="503">
        <v>44011</v>
      </c>
      <c r="H520" t="s">
        <v>434</v>
      </c>
      <c r="I520" t="s">
        <v>1753</v>
      </c>
      <c r="J520">
        <v>0</v>
      </c>
      <c r="K520" t="s">
        <v>1681</v>
      </c>
      <c r="O520" t="s">
        <v>1068</v>
      </c>
      <c r="P520" t="s">
        <v>2303</v>
      </c>
      <c r="W520">
        <v>3.03</v>
      </c>
      <c r="X520">
        <v>3.05</v>
      </c>
      <c r="Y520">
        <v>0</v>
      </c>
      <c r="Z520">
        <v>0</v>
      </c>
      <c r="AA520">
        <v>2</v>
      </c>
      <c r="AE520" t="s">
        <v>1221</v>
      </c>
      <c r="AI520">
        <v>60</v>
      </c>
      <c r="AJ520">
        <v>1850436</v>
      </c>
      <c r="AK520">
        <v>0</v>
      </c>
      <c r="AL520">
        <v>0</v>
      </c>
      <c r="AN520" t="s">
        <v>1703</v>
      </c>
      <c r="AO520">
        <v>4.3600000000000003</v>
      </c>
      <c r="AX520">
        <v>20200629</v>
      </c>
      <c r="AY520" t="s">
        <v>1754</v>
      </c>
      <c r="BG520" s="556" t="str">
        <f t="shared" si="56"/>
        <v>O</v>
      </c>
      <c r="BH520" s="556" t="str">
        <f t="shared" si="57"/>
        <v/>
      </c>
      <c r="BI520" s="556" t="str">
        <f t="shared" si="58"/>
        <v/>
      </c>
      <c r="BJ520" s="556" t="str">
        <f t="shared" si="59"/>
        <v>6S</v>
      </c>
      <c r="BK520" s="556" t="str">
        <f t="shared" si="60"/>
        <v>M4,M6</v>
      </c>
      <c r="BL520" s="556" t="str">
        <f t="shared" si="61"/>
        <v/>
      </c>
      <c r="BM520" s="497">
        <f t="shared" si="62"/>
        <v>52702</v>
      </c>
    </row>
    <row r="521" spans="1:65">
      <c r="A521">
        <v>20014</v>
      </c>
      <c r="B521" t="s">
        <v>226</v>
      </c>
      <c r="C521" t="s">
        <v>227</v>
      </c>
      <c r="D521" t="s">
        <v>1774</v>
      </c>
      <c r="F521" s="503">
        <v>42748</v>
      </c>
      <c r="H521" t="s">
        <v>54</v>
      </c>
      <c r="I521" t="s">
        <v>1753</v>
      </c>
      <c r="J521">
        <v>1000</v>
      </c>
      <c r="K521">
        <v>10</v>
      </c>
      <c r="L521" t="s">
        <v>1681</v>
      </c>
      <c r="O521" t="s">
        <v>1068</v>
      </c>
      <c r="P521" t="s">
        <v>2303</v>
      </c>
      <c r="W521">
        <v>3.33</v>
      </c>
      <c r="X521">
        <v>3.39</v>
      </c>
      <c r="Y521">
        <v>0</v>
      </c>
      <c r="Z521">
        <v>0</v>
      </c>
      <c r="AA521">
        <v>0</v>
      </c>
      <c r="AE521" t="s">
        <v>2079</v>
      </c>
      <c r="AI521">
        <v>87</v>
      </c>
      <c r="AJ521">
        <v>4310438</v>
      </c>
      <c r="AK521">
        <v>0</v>
      </c>
      <c r="AL521">
        <v>0</v>
      </c>
      <c r="AN521" t="s">
        <v>137</v>
      </c>
      <c r="AO521">
        <v>4.38</v>
      </c>
      <c r="AU521" t="s">
        <v>3225</v>
      </c>
      <c r="AX521">
        <v>20170113</v>
      </c>
      <c r="AY521" t="s">
        <v>2072</v>
      </c>
      <c r="BG521" s="556" t="str">
        <f t="shared" si="56"/>
        <v>O</v>
      </c>
      <c r="BH521" s="556" t="str">
        <f t="shared" si="57"/>
        <v/>
      </c>
      <c r="BI521" s="556" t="str">
        <f t="shared" si="58"/>
        <v>Y</v>
      </c>
      <c r="BJ521" s="556" t="str">
        <f t="shared" si="59"/>
        <v>10,6S</v>
      </c>
      <c r="BK521" s="556" t="str">
        <f t="shared" si="60"/>
        <v>M4,M6</v>
      </c>
      <c r="BL521" s="556" t="str">
        <f t="shared" si="61"/>
        <v/>
      </c>
      <c r="BM521" s="497">
        <f t="shared" si="62"/>
        <v>20014</v>
      </c>
    </row>
    <row r="522" spans="1:65">
      <c r="A522">
        <v>53602</v>
      </c>
      <c r="B522" t="s">
        <v>2406</v>
      </c>
      <c r="C522" t="s">
        <v>2400</v>
      </c>
      <c r="D522" t="s">
        <v>2191</v>
      </c>
      <c r="F522" s="503">
        <v>45010</v>
      </c>
      <c r="H522" t="s">
        <v>54</v>
      </c>
      <c r="I522" t="s">
        <v>1753</v>
      </c>
      <c r="J522">
        <v>0</v>
      </c>
      <c r="K522" t="s">
        <v>1068</v>
      </c>
      <c r="O522" t="s">
        <v>1068</v>
      </c>
      <c r="W522">
        <v>2.1</v>
      </c>
      <c r="X522">
        <v>2.1</v>
      </c>
      <c r="Y522">
        <v>0</v>
      </c>
      <c r="Z522">
        <v>0</v>
      </c>
      <c r="AA522">
        <v>0</v>
      </c>
      <c r="AE522" t="s">
        <v>1761</v>
      </c>
      <c r="AI522">
        <v>57</v>
      </c>
      <c r="AJ522">
        <v>3020345</v>
      </c>
      <c r="AK522">
        <v>0</v>
      </c>
      <c r="AN522" t="s">
        <v>2629</v>
      </c>
      <c r="AO522">
        <v>3.45</v>
      </c>
      <c r="AX522">
        <v>20230325</v>
      </c>
      <c r="AY522" t="s">
        <v>1780</v>
      </c>
      <c r="BG522" s="556" t="str">
        <f t="shared" si="56"/>
        <v>O</v>
      </c>
      <c r="BH522" s="556" t="str">
        <f t="shared" si="57"/>
        <v/>
      </c>
      <c r="BI522" s="556" t="str">
        <f t="shared" si="58"/>
        <v/>
      </c>
      <c r="BJ522" s="556" t="str">
        <f t="shared" si="59"/>
        <v>M4</v>
      </c>
      <c r="BK522" s="556" t="str">
        <f t="shared" si="60"/>
        <v>M4</v>
      </c>
      <c r="BL522" s="556" t="str">
        <f t="shared" si="61"/>
        <v/>
      </c>
      <c r="BM522" s="497">
        <f t="shared" si="62"/>
        <v>53602</v>
      </c>
    </row>
    <row r="523" spans="1:65">
      <c r="A523">
        <v>20012</v>
      </c>
      <c r="B523" t="s">
        <v>198</v>
      </c>
      <c r="C523" t="s">
        <v>199</v>
      </c>
      <c r="D523" t="s">
        <v>1774</v>
      </c>
      <c r="F523" s="503">
        <v>42748</v>
      </c>
      <c r="H523" t="s">
        <v>54</v>
      </c>
      <c r="I523" t="s">
        <v>1753</v>
      </c>
      <c r="J523">
        <v>1000</v>
      </c>
      <c r="K523">
        <v>10</v>
      </c>
      <c r="L523" t="s">
        <v>1706</v>
      </c>
      <c r="M523" t="s">
        <v>1681</v>
      </c>
      <c r="O523" t="s">
        <v>1068</v>
      </c>
      <c r="P523" t="s">
        <v>2303</v>
      </c>
      <c r="W523">
        <v>3.64</v>
      </c>
      <c r="X523">
        <v>3.78</v>
      </c>
      <c r="Y523">
        <v>0</v>
      </c>
      <c r="Z523">
        <v>0</v>
      </c>
      <c r="AA523">
        <v>2</v>
      </c>
      <c r="AE523" t="s">
        <v>1039</v>
      </c>
      <c r="AI523">
        <v>60</v>
      </c>
      <c r="AJ523">
        <v>1850406</v>
      </c>
      <c r="AK523">
        <v>0</v>
      </c>
      <c r="AL523">
        <v>0</v>
      </c>
      <c r="AN523" t="s">
        <v>1703</v>
      </c>
      <c r="AO523">
        <v>4.0599999999999996</v>
      </c>
      <c r="AX523">
        <v>20170113</v>
      </c>
      <c r="AY523" t="s">
        <v>1754</v>
      </c>
      <c r="BG523" s="556" t="str">
        <f t="shared" si="56"/>
        <v>O</v>
      </c>
      <c r="BH523" s="556" t="str">
        <f t="shared" si="57"/>
        <v/>
      </c>
      <c r="BI523" s="556" t="str">
        <f t="shared" si="58"/>
        <v/>
      </c>
      <c r="BJ523" s="556" t="str">
        <f t="shared" si="59"/>
        <v>10,6L,6S</v>
      </c>
      <c r="BK523" s="556" t="str">
        <f t="shared" si="60"/>
        <v>M4,M6</v>
      </c>
      <c r="BL523" s="556" t="str">
        <f t="shared" si="61"/>
        <v/>
      </c>
      <c r="BM523" s="497">
        <f t="shared" si="62"/>
        <v>20012</v>
      </c>
    </row>
    <row r="524" spans="1:65">
      <c r="A524">
        <v>55011</v>
      </c>
      <c r="B524" t="s">
        <v>2367</v>
      </c>
      <c r="C524" t="s">
        <v>2609</v>
      </c>
      <c r="D524" t="s">
        <v>2375</v>
      </c>
      <c r="F524" s="503">
        <v>45062</v>
      </c>
      <c r="H524" t="s">
        <v>434</v>
      </c>
      <c r="I524" t="s">
        <v>1753</v>
      </c>
      <c r="J524">
        <v>1000</v>
      </c>
      <c r="K524">
        <v>9</v>
      </c>
      <c r="O524" t="s">
        <v>2303</v>
      </c>
      <c r="W524">
        <v>3.1</v>
      </c>
      <c r="X524">
        <v>3.1</v>
      </c>
      <c r="Y524">
        <v>0</v>
      </c>
      <c r="Z524">
        <v>0</v>
      </c>
      <c r="AA524">
        <v>3</v>
      </c>
      <c r="AE524" t="s">
        <v>2698</v>
      </c>
      <c r="AI524">
        <v>60</v>
      </c>
      <c r="AJ524">
        <v>4360436</v>
      </c>
      <c r="AK524">
        <v>0</v>
      </c>
      <c r="AN524" t="s">
        <v>134</v>
      </c>
      <c r="AO524">
        <v>4.3600000000000003</v>
      </c>
      <c r="AX524">
        <v>20230516</v>
      </c>
      <c r="AY524" t="s">
        <v>1754</v>
      </c>
      <c r="BG524" s="556" t="str">
        <f t="shared" si="56"/>
        <v>O</v>
      </c>
      <c r="BH524" s="556" t="str">
        <f t="shared" si="57"/>
        <v/>
      </c>
      <c r="BI524" s="556" t="str">
        <f t="shared" si="58"/>
        <v/>
      </c>
      <c r="BJ524" s="556">
        <f t="shared" si="59"/>
        <v>9</v>
      </c>
      <c r="BK524" s="556" t="str">
        <f t="shared" si="60"/>
        <v>M6</v>
      </c>
      <c r="BL524" s="556" t="str">
        <f t="shared" si="61"/>
        <v/>
      </c>
      <c r="BM524" s="497">
        <f t="shared" si="62"/>
        <v>55011</v>
      </c>
    </row>
    <row r="525" spans="1:65">
      <c r="A525">
        <v>54007</v>
      </c>
      <c r="B525" t="s">
        <v>2082</v>
      </c>
      <c r="C525" t="s">
        <v>2083</v>
      </c>
      <c r="D525" t="s">
        <v>1807</v>
      </c>
      <c r="F525" s="503">
        <v>44792</v>
      </c>
      <c r="H525" t="s">
        <v>2084</v>
      </c>
      <c r="I525" t="s">
        <v>1753</v>
      </c>
      <c r="J525">
        <v>2000</v>
      </c>
      <c r="K525" t="s">
        <v>218</v>
      </c>
      <c r="O525" t="s">
        <v>2303</v>
      </c>
      <c r="W525">
        <v>7.85</v>
      </c>
      <c r="X525">
        <v>7.85</v>
      </c>
      <c r="Y525">
        <v>0</v>
      </c>
      <c r="Z525">
        <v>0</v>
      </c>
      <c r="AA525">
        <v>3</v>
      </c>
      <c r="AE525" t="s">
        <v>1992</v>
      </c>
      <c r="AI525">
        <v>92</v>
      </c>
      <c r="AJ525">
        <v>4350675</v>
      </c>
      <c r="AK525">
        <v>0</v>
      </c>
      <c r="AN525" t="s">
        <v>184</v>
      </c>
      <c r="AO525">
        <v>6.75</v>
      </c>
      <c r="AU525" t="s">
        <v>3223</v>
      </c>
      <c r="AX525">
        <v>20220819</v>
      </c>
      <c r="AY525" t="s">
        <v>2085</v>
      </c>
      <c r="BG525" s="556" t="str">
        <f t="shared" si="56"/>
        <v>O</v>
      </c>
      <c r="BH525" s="556" t="str">
        <f t="shared" si="57"/>
        <v/>
      </c>
      <c r="BI525" s="556" t="str">
        <f t="shared" si="58"/>
        <v>Y</v>
      </c>
      <c r="BJ525" s="556" t="str">
        <f t="shared" si="59"/>
        <v>8A</v>
      </c>
      <c r="BK525" s="556" t="str">
        <f t="shared" si="60"/>
        <v>M6</v>
      </c>
      <c r="BL525" s="556" t="str">
        <f t="shared" si="61"/>
        <v/>
      </c>
      <c r="BM525" s="497">
        <f t="shared" si="62"/>
        <v>54007</v>
      </c>
    </row>
    <row r="526" spans="1:65">
      <c r="A526">
        <v>40066</v>
      </c>
      <c r="B526" t="s">
        <v>3407</v>
      </c>
      <c r="C526" t="s">
        <v>81</v>
      </c>
      <c r="D526" t="s">
        <v>1803</v>
      </c>
      <c r="F526" s="503">
        <v>46038</v>
      </c>
      <c r="H526" t="s">
        <v>3408</v>
      </c>
      <c r="I526" t="s">
        <v>1753</v>
      </c>
      <c r="J526">
        <v>0</v>
      </c>
      <c r="K526" t="s">
        <v>1681</v>
      </c>
      <c r="O526" t="s">
        <v>2303</v>
      </c>
      <c r="W526">
        <v>3.25</v>
      </c>
      <c r="X526">
        <v>3.25</v>
      </c>
      <c r="Y526">
        <v>0</v>
      </c>
      <c r="Z526">
        <v>0</v>
      </c>
      <c r="AA526">
        <v>2</v>
      </c>
      <c r="AE526" t="s">
        <v>1039</v>
      </c>
      <c r="AI526">
        <v>69</v>
      </c>
      <c r="AJ526">
        <v>1850406</v>
      </c>
      <c r="AK526">
        <v>0</v>
      </c>
      <c r="AL526">
        <v>0</v>
      </c>
      <c r="AN526" t="s">
        <v>1703</v>
      </c>
      <c r="AO526">
        <v>4.0599999999999996</v>
      </c>
      <c r="AR526" t="s">
        <v>2948</v>
      </c>
      <c r="AX526">
        <v>20260116</v>
      </c>
      <c r="AY526" t="s">
        <v>1830</v>
      </c>
      <c r="BG526" s="556" t="str">
        <f t="shared" si="56"/>
        <v>O</v>
      </c>
      <c r="BH526" s="556" t="str">
        <f t="shared" si="57"/>
        <v/>
      </c>
      <c r="BI526" s="556" t="str">
        <f t="shared" si="58"/>
        <v/>
      </c>
      <c r="BJ526" s="556" t="str">
        <f t="shared" si="59"/>
        <v>6S</v>
      </c>
      <c r="BK526" s="556" t="str">
        <f t="shared" si="60"/>
        <v>M6</v>
      </c>
      <c r="BL526" s="556" t="str">
        <f t="shared" si="61"/>
        <v/>
      </c>
      <c r="BM526" s="497">
        <f t="shared" si="62"/>
        <v>40066</v>
      </c>
    </row>
    <row r="527" spans="1:65">
      <c r="A527">
        <v>20049</v>
      </c>
      <c r="B527" t="s">
        <v>795</v>
      </c>
      <c r="C527" t="s">
        <v>224</v>
      </c>
      <c r="D527" t="s">
        <v>1774</v>
      </c>
      <c r="F527" s="503">
        <v>43010</v>
      </c>
      <c r="H527" t="s">
        <v>225</v>
      </c>
      <c r="I527" t="s">
        <v>1753</v>
      </c>
      <c r="J527">
        <v>500</v>
      </c>
      <c r="K527">
        <v>8</v>
      </c>
      <c r="L527" t="s">
        <v>218</v>
      </c>
      <c r="O527" t="s">
        <v>2303</v>
      </c>
      <c r="W527">
        <v>6.82</v>
      </c>
      <c r="X527">
        <v>6.8</v>
      </c>
      <c r="Y527">
        <v>0</v>
      </c>
      <c r="Z527">
        <v>0</v>
      </c>
      <c r="AA527">
        <v>2</v>
      </c>
      <c r="AE527" t="s">
        <v>1039</v>
      </c>
      <c r="AI527">
        <v>60</v>
      </c>
      <c r="AJ527">
        <v>1810780</v>
      </c>
      <c r="AK527">
        <v>0</v>
      </c>
      <c r="AL527">
        <v>0</v>
      </c>
      <c r="AN527" t="s">
        <v>136</v>
      </c>
      <c r="AO527">
        <v>7.8</v>
      </c>
      <c r="AX527">
        <v>20171002</v>
      </c>
      <c r="AY527" t="s">
        <v>1754</v>
      </c>
      <c r="BG527" s="556" t="str">
        <f t="shared" si="56"/>
        <v>O</v>
      </c>
      <c r="BH527" s="556" t="str">
        <f t="shared" si="57"/>
        <v/>
      </c>
      <c r="BI527" s="556" t="str">
        <f t="shared" si="58"/>
        <v/>
      </c>
      <c r="BJ527" s="556" t="str">
        <f t="shared" si="59"/>
        <v>8,8A</v>
      </c>
      <c r="BK527" s="556" t="str">
        <f t="shared" si="60"/>
        <v>M6</v>
      </c>
      <c r="BL527" s="556" t="str">
        <f t="shared" si="61"/>
        <v/>
      </c>
      <c r="BM527" s="497">
        <f t="shared" si="62"/>
        <v>20049</v>
      </c>
    </row>
    <row r="528" spans="1:65">
      <c r="A528">
        <v>20061</v>
      </c>
      <c r="B528" t="s">
        <v>223</v>
      </c>
      <c r="C528" t="s">
        <v>224</v>
      </c>
      <c r="D528" t="s">
        <v>1839</v>
      </c>
      <c r="F528" s="503">
        <v>43944</v>
      </c>
      <c r="H528" t="s">
        <v>2086</v>
      </c>
      <c r="I528" t="s">
        <v>1753</v>
      </c>
      <c r="J528">
        <v>500</v>
      </c>
      <c r="K528">
        <v>8</v>
      </c>
      <c r="L528" t="s">
        <v>218</v>
      </c>
      <c r="O528" t="s">
        <v>2303</v>
      </c>
      <c r="W528">
        <v>5.57</v>
      </c>
      <c r="X528">
        <v>5.53</v>
      </c>
      <c r="Y528">
        <v>0</v>
      </c>
      <c r="Z528">
        <v>0</v>
      </c>
      <c r="AA528">
        <v>2</v>
      </c>
      <c r="AE528" t="s">
        <v>1039</v>
      </c>
      <c r="AI528">
        <v>60</v>
      </c>
      <c r="AJ528">
        <v>1850705</v>
      </c>
      <c r="AK528">
        <v>0</v>
      </c>
      <c r="AN528" t="s">
        <v>1703</v>
      </c>
      <c r="AO528">
        <v>7.05</v>
      </c>
      <c r="AX528">
        <v>20200423</v>
      </c>
      <c r="AY528" t="s">
        <v>1754</v>
      </c>
      <c r="BG528" s="556" t="str">
        <f t="shared" si="56"/>
        <v>O</v>
      </c>
      <c r="BH528" s="556" t="str">
        <f t="shared" si="57"/>
        <v/>
      </c>
      <c r="BI528" s="556" t="str">
        <f t="shared" si="58"/>
        <v/>
      </c>
      <c r="BJ528" s="556" t="str">
        <f t="shared" si="59"/>
        <v>8,8A</v>
      </c>
      <c r="BK528" s="556" t="str">
        <f t="shared" si="60"/>
        <v>M6</v>
      </c>
      <c r="BL528" s="556" t="str">
        <f t="shared" si="61"/>
        <v/>
      </c>
      <c r="BM528" s="497">
        <f t="shared" si="62"/>
        <v>20061</v>
      </c>
    </row>
    <row r="529" spans="1:65">
      <c r="A529">
        <v>20070</v>
      </c>
      <c r="B529" t="s">
        <v>775</v>
      </c>
      <c r="C529" t="s">
        <v>777</v>
      </c>
      <c r="D529" t="s">
        <v>1763</v>
      </c>
      <c r="F529" s="503">
        <v>43714</v>
      </c>
      <c r="H529" t="s">
        <v>2407</v>
      </c>
      <c r="I529" t="s">
        <v>1753</v>
      </c>
      <c r="J529">
        <v>1000</v>
      </c>
      <c r="K529">
        <v>10</v>
      </c>
      <c r="L529" t="s">
        <v>1681</v>
      </c>
      <c r="O529" t="s">
        <v>1068</v>
      </c>
      <c r="P529" t="s">
        <v>2303</v>
      </c>
      <c r="W529">
        <v>4.2300000000000004</v>
      </c>
      <c r="X529">
        <v>4.2699999999999996</v>
      </c>
      <c r="Y529">
        <v>0</v>
      </c>
      <c r="Z529">
        <v>0</v>
      </c>
      <c r="AA529">
        <v>2</v>
      </c>
      <c r="AE529" t="s">
        <v>1039</v>
      </c>
      <c r="AI529">
        <v>60</v>
      </c>
      <c r="AJ529">
        <v>1850455</v>
      </c>
      <c r="AK529">
        <v>0</v>
      </c>
      <c r="AN529" t="s">
        <v>1703</v>
      </c>
      <c r="AO529">
        <v>4.55</v>
      </c>
      <c r="AT529" t="s">
        <v>2976</v>
      </c>
      <c r="AX529">
        <v>20190906</v>
      </c>
      <c r="AY529" t="s">
        <v>1754</v>
      </c>
      <c r="BG529" s="556" t="str">
        <f t="shared" si="56"/>
        <v>O</v>
      </c>
      <c r="BH529" s="556" t="str">
        <f t="shared" si="57"/>
        <v/>
      </c>
      <c r="BI529" s="556" t="str">
        <f t="shared" si="58"/>
        <v/>
      </c>
      <c r="BJ529" s="556" t="str">
        <f t="shared" si="59"/>
        <v>10,6S</v>
      </c>
      <c r="BK529" s="556" t="str">
        <f t="shared" si="60"/>
        <v>M4,M6</v>
      </c>
      <c r="BL529" s="556" t="str">
        <f t="shared" si="61"/>
        <v/>
      </c>
      <c r="BM529" s="497">
        <f t="shared" si="62"/>
        <v>20070</v>
      </c>
    </row>
    <row r="530" spans="1:65">
      <c r="A530">
        <v>52028</v>
      </c>
      <c r="B530" t="s">
        <v>3213</v>
      </c>
      <c r="C530" t="s">
        <v>311</v>
      </c>
      <c r="D530" t="s">
        <v>3215</v>
      </c>
      <c r="F530" s="503">
        <v>43685</v>
      </c>
      <c r="H530" t="s">
        <v>778</v>
      </c>
      <c r="I530" t="s">
        <v>1753</v>
      </c>
      <c r="J530">
        <v>1000</v>
      </c>
      <c r="K530" t="s">
        <v>1681</v>
      </c>
      <c r="O530" t="s">
        <v>1068</v>
      </c>
      <c r="P530" t="s">
        <v>2303</v>
      </c>
      <c r="W530">
        <v>2.91</v>
      </c>
      <c r="X530">
        <v>2.82</v>
      </c>
      <c r="Y530">
        <v>0</v>
      </c>
      <c r="Z530">
        <v>0</v>
      </c>
      <c r="AA530">
        <v>0</v>
      </c>
      <c r="AE530" t="s">
        <v>1039</v>
      </c>
      <c r="AI530">
        <v>57</v>
      </c>
      <c r="AJ530">
        <v>1000436</v>
      </c>
      <c r="AK530">
        <v>0</v>
      </c>
      <c r="AN530" t="s">
        <v>133</v>
      </c>
      <c r="AO530">
        <v>4.3600000000000003</v>
      </c>
      <c r="AX530">
        <v>20190808</v>
      </c>
      <c r="AY530" t="s">
        <v>1780</v>
      </c>
      <c r="BG530" s="556" t="str">
        <f t="shared" si="56"/>
        <v>O</v>
      </c>
      <c r="BH530" s="556" t="str">
        <f t="shared" si="57"/>
        <v/>
      </c>
      <c r="BI530" s="556" t="str">
        <f t="shared" si="58"/>
        <v/>
      </c>
      <c r="BJ530" s="556" t="str">
        <f t="shared" si="59"/>
        <v>6S</v>
      </c>
      <c r="BK530" s="556" t="str">
        <f t="shared" si="60"/>
        <v>M4,M6</v>
      </c>
      <c r="BL530" s="556" t="str">
        <f t="shared" si="61"/>
        <v/>
      </c>
      <c r="BM530" s="497">
        <f t="shared" si="62"/>
        <v>52028</v>
      </c>
    </row>
    <row r="531" spans="1:65">
      <c r="A531">
        <v>40045</v>
      </c>
      <c r="B531" t="s">
        <v>2993</v>
      </c>
      <c r="C531" t="s">
        <v>81</v>
      </c>
      <c r="D531" t="s">
        <v>1803</v>
      </c>
      <c r="F531" s="503">
        <v>45572</v>
      </c>
      <c r="H531" t="s">
        <v>778</v>
      </c>
      <c r="I531" t="s">
        <v>1753</v>
      </c>
      <c r="J531">
        <v>1000</v>
      </c>
      <c r="K531" t="s">
        <v>1681</v>
      </c>
      <c r="O531" t="s">
        <v>2303</v>
      </c>
      <c r="W531">
        <v>3.45</v>
      </c>
      <c r="X531">
        <v>3.45</v>
      </c>
      <c r="Y531">
        <v>0</v>
      </c>
      <c r="Z531">
        <v>0</v>
      </c>
      <c r="AA531">
        <v>2</v>
      </c>
      <c r="AE531" t="s">
        <v>1039</v>
      </c>
      <c r="AI531">
        <v>69</v>
      </c>
      <c r="AJ531">
        <v>1850406</v>
      </c>
      <c r="AK531">
        <v>0</v>
      </c>
      <c r="AL531">
        <v>0</v>
      </c>
      <c r="AN531" t="s">
        <v>1703</v>
      </c>
      <c r="AO531">
        <v>4.0599999999999996</v>
      </c>
      <c r="AR531" t="s">
        <v>3022</v>
      </c>
      <c r="AX531">
        <v>20241007</v>
      </c>
      <c r="AY531" t="s">
        <v>1830</v>
      </c>
      <c r="BG531" s="556" t="str">
        <f t="shared" si="56"/>
        <v>O</v>
      </c>
      <c r="BH531" s="556" t="str">
        <f t="shared" si="57"/>
        <v/>
      </c>
      <c r="BI531" s="556" t="str">
        <f t="shared" si="58"/>
        <v/>
      </c>
      <c r="BJ531" s="556" t="str">
        <f t="shared" si="59"/>
        <v>6S</v>
      </c>
      <c r="BK531" s="556" t="str">
        <f t="shared" si="60"/>
        <v>M6</v>
      </c>
      <c r="BL531" s="556" t="str">
        <f t="shared" si="61"/>
        <v/>
      </c>
      <c r="BM531" s="497">
        <f t="shared" si="62"/>
        <v>40045</v>
      </c>
    </row>
    <row r="532" spans="1:65">
      <c r="A532">
        <v>50119</v>
      </c>
      <c r="B532" t="s">
        <v>2087</v>
      </c>
      <c r="C532" t="s">
        <v>2088</v>
      </c>
      <c r="D532" t="s">
        <v>1918</v>
      </c>
      <c r="F532" s="503">
        <v>44180</v>
      </c>
      <c r="H532" t="s">
        <v>778</v>
      </c>
      <c r="I532" t="s">
        <v>1753</v>
      </c>
      <c r="J532">
        <v>0</v>
      </c>
      <c r="K532">
        <v>10</v>
      </c>
      <c r="L532" t="s">
        <v>1681</v>
      </c>
      <c r="O532" t="s">
        <v>1068</v>
      </c>
      <c r="P532" t="s">
        <v>2303</v>
      </c>
      <c r="W532">
        <v>3.59</v>
      </c>
      <c r="X532">
        <v>3.6</v>
      </c>
      <c r="Y532">
        <v>0</v>
      </c>
      <c r="Z532">
        <v>0</v>
      </c>
      <c r="AA532">
        <v>2</v>
      </c>
      <c r="AE532" t="s">
        <v>1039</v>
      </c>
      <c r="AI532">
        <v>60</v>
      </c>
      <c r="AJ532">
        <v>1850436</v>
      </c>
      <c r="AK532">
        <v>0</v>
      </c>
      <c r="AN532" t="s">
        <v>1703</v>
      </c>
      <c r="AO532">
        <v>4.3600000000000003</v>
      </c>
      <c r="AX532">
        <v>20201215</v>
      </c>
      <c r="AY532" t="s">
        <v>1754</v>
      </c>
      <c r="BG532" s="556" t="str">
        <f t="shared" si="56"/>
        <v>O</v>
      </c>
      <c r="BH532" s="556" t="str">
        <f t="shared" si="57"/>
        <v/>
      </c>
      <c r="BI532" s="556" t="str">
        <f t="shared" si="58"/>
        <v/>
      </c>
      <c r="BJ532" s="556" t="str">
        <f t="shared" si="59"/>
        <v>10,6S</v>
      </c>
      <c r="BK532" s="556" t="str">
        <f t="shared" si="60"/>
        <v>M4,M6</v>
      </c>
      <c r="BL532" s="556" t="str">
        <f t="shared" si="61"/>
        <v/>
      </c>
      <c r="BM532" s="497">
        <f t="shared" si="62"/>
        <v>50119</v>
      </c>
    </row>
    <row r="533" spans="1:65">
      <c r="A533">
        <v>50600</v>
      </c>
      <c r="B533" t="s">
        <v>926</v>
      </c>
      <c r="C533" t="s">
        <v>927</v>
      </c>
      <c r="D533" t="s">
        <v>1921</v>
      </c>
      <c r="F533" s="503">
        <v>43194</v>
      </c>
      <c r="H533" t="s">
        <v>928</v>
      </c>
      <c r="I533" t="s">
        <v>1753</v>
      </c>
      <c r="J533">
        <v>1000</v>
      </c>
      <c r="K533" t="s">
        <v>1706</v>
      </c>
      <c r="L533" t="s">
        <v>1681</v>
      </c>
      <c r="O533" t="s">
        <v>2303</v>
      </c>
      <c r="W533">
        <v>3.62</v>
      </c>
      <c r="X533">
        <v>3.58</v>
      </c>
      <c r="Y533">
        <v>0</v>
      </c>
      <c r="Z533">
        <v>36.700000000000003</v>
      </c>
      <c r="AA533">
        <v>0</v>
      </c>
      <c r="AE533" t="s">
        <v>1761</v>
      </c>
      <c r="AI533">
        <v>57</v>
      </c>
      <c r="AJ533">
        <v>3020395</v>
      </c>
      <c r="AK533">
        <v>0</v>
      </c>
      <c r="AN533" t="s">
        <v>135</v>
      </c>
      <c r="AO533">
        <v>3.95</v>
      </c>
      <c r="AX533">
        <v>20180404</v>
      </c>
      <c r="AY533" t="s">
        <v>1780</v>
      </c>
      <c r="BG533" s="556" t="str">
        <f t="shared" si="56"/>
        <v>O</v>
      </c>
      <c r="BH533" s="556" t="str">
        <f t="shared" si="57"/>
        <v/>
      </c>
      <c r="BI533" s="556" t="str">
        <f t="shared" si="58"/>
        <v/>
      </c>
      <c r="BJ533" s="556" t="str">
        <f t="shared" si="59"/>
        <v>6L,6S</v>
      </c>
      <c r="BK533" s="556" t="str">
        <f t="shared" si="60"/>
        <v>M6</v>
      </c>
      <c r="BL533" s="556" t="str">
        <f t="shared" si="61"/>
        <v/>
      </c>
      <c r="BM533" s="497">
        <f t="shared" si="62"/>
        <v>50600</v>
      </c>
    </row>
    <row r="534" spans="1:65">
      <c r="A534">
        <v>51502</v>
      </c>
      <c r="B534" t="s">
        <v>938</v>
      </c>
      <c r="C534" t="s">
        <v>940</v>
      </c>
      <c r="D534" t="s">
        <v>1760</v>
      </c>
      <c r="F534" s="503">
        <v>43603</v>
      </c>
      <c r="H534" t="s">
        <v>941</v>
      </c>
      <c r="I534" t="s">
        <v>1753</v>
      </c>
      <c r="J534">
        <v>1000</v>
      </c>
      <c r="K534" t="s">
        <v>1681</v>
      </c>
      <c r="O534" t="s">
        <v>2303</v>
      </c>
      <c r="W534">
        <v>3</v>
      </c>
      <c r="X534">
        <v>2.86</v>
      </c>
      <c r="Y534">
        <v>0</v>
      </c>
      <c r="Z534">
        <v>0</v>
      </c>
      <c r="AA534">
        <v>0</v>
      </c>
      <c r="AE534" t="s">
        <v>1761</v>
      </c>
      <c r="AI534">
        <v>57</v>
      </c>
      <c r="AJ534">
        <v>3020438</v>
      </c>
      <c r="AK534">
        <v>0</v>
      </c>
      <c r="AN534" t="s">
        <v>2629</v>
      </c>
      <c r="AO534">
        <v>4.38</v>
      </c>
      <c r="AX534">
        <v>20190518</v>
      </c>
      <c r="AY534" t="s">
        <v>1780</v>
      </c>
      <c r="BG534" s="556" t="str">
        <f t="shared" si="56"/>
        <v>O</v>
      </c>
      <c r="BH534" s="556" t="str">
        <f t="shared" si="57"/>
        <v/>
      </c>
      <c r="BI534" s="556" t="str">
        <f t="shared" si="58"/>
        <v/>
      </c>
      <c r="BJ534" s="556" t="str">
        <f t="shared" si="59"/>
        <v>6S</v>
      </c>
      <c r="BK534" s="556" t="str">
        <f t="shared" si="60"/>
        <v>M6</v>
      </c>
      <c r="BL534" s="556" t="str">
        <f t="shared" si="61"/>
        <v/>
      </c>
      <c r="BM534" s="497">
        <f t="shared" si="62"/>
        <v>51502</v>
      </c>
    </row>
    <row r="535" spans="1:65">
      <c r="A535">
        <v>50911</v>
      </c>
      <c r="B535" t="s">
        <v>812</v>
      </c>
      <c r="C535" t="s">
        <v>805</v>
      </c>
      <c r="D535" t="s">
        <v>2061</v>
      </c>
      <c r="F535" s="503">
        <v>43775</v>
      </c>
      <c r="H535" t="s">
        <v>814</v>
      </c>
      <c r="I535" t="s">
        <v>1753</v>
      </c>
      <c r="J535">
        <v>1000</v>
      </c>
      <c r="K535" t="s">
        <v>1481</v>
      </c>
      <c r="O535" t="s">
        <v>2303</v>
      </c>
      <c r="W535">
        <v>4.62</v>
      </c>
      <c r="X535">
        <v>4.6500000000000004</v>
      </c>
      <c r="Y535">
        <v>0</v>
      </c>
      <c r="Z535">
        <v>0</v>
      </c>
      <c r="AA535">
        <v>5</v>
      </c>
      <c r="AE535" t="s">
        <v>1039</v>
      </c>
      <c r="AI535">
        <v>60</v>
      </c>
      <c r="AJ535">
        <v>4510436</v>
      </c>
      <c r="AK535">
        <v>0</v>
      </c>
      <c r="AL535">
        <v>0</v>
      </c>
      <c r="AN535" t="s">
        <v>825</v>
      </c>
      <c r="AO535">
        <v>4.3600000000000003</v>
      </c>
      <c r="AX535">
        <v>20191106</v>
      </c>
      <c r="AY535" t="s">
        <v>1754</v>
      </c>
      <c r="BG535" s="556" t="str">
        <f t="shared" si="56"/>
        <v>O</v>
      </c>
      <c r="BH535" s="556" t="str">
        <f t="shared" si="57"/>
        <v/>
      </c>
      <c r="BI535" s="556" t="str">
        <f t="shared" si="58"/>
        <v/>
      </c>
      <c r="BJ535" s="556" t="str">
        <f t="shared" si="59"/>
        <v>9A</v>
      </c>
      <c r="BK535" s="556" t="str">
        <f t="shared" si="60"/>
        <v>M6</v>
      </c>
      <c r="BL535" s="556" t="str">
        <f t="shared" si="61"/>
        <v/>
      </c>
      <c r="BM535" s="497">
        <f t="shared" si="62"/>
        <v>50911</v>
      </c>
    </row>
    <row r="536" spans="1:65">
      <c r="A536">
        <v>51507</v>
      </c>
      <c r="B536" t="s">
        <v>959</v>
      </c>
      <c r="C536" t="s">
        <v>961</v>
      </c>
      <c r="D536" t="s">
        <v>1760</v>
      </c>
      <c r="F536" s="503">
        <v>43879</v>
      </c>
      <c r="H536" t="s">
        <v>814</v>
      </c>
      <c r="I536" t="s">
        <v>1753</v>
      </c>
      <c r="J536">
        <v>1000</v>
      </c>
      <c r="K536" t="s">
        <v>1681</v>
      </c>
      <c r="O536" t="s">
        <v>1068</v>
      </c>
      <c r="P536" t="s">
        <v>2303</v>
      </c>
      <c r="W536">
        <v>3.95</v>
      </c>
      <c r="X536">
        <v>3.98</v>
      </c>
      <c r="Y536">
        <v>0</v>
      </c>
      <c r="Z536">
        <v>0</v>
      </c>
      <c r="AA536">
        <v>0</v>
      </c>
      <c r="AE536" t="s">
        <v>1761</v>
      </c>
      <c r="AI536">
        <v>57</v>
      </c>
      <c r="AJ536">
        <v>3020438</v>
      </c>
      <c r="AK536">
        <v>0</v>
      </c>
      <c r="AN536" t="s">
        <v>2629</v>
      </c>
      <c r="AO536">
        <v>4.38</v>
      </c>
      <c r="AX536">
        <v>20200218</v>
      </c>
      <c r="AY536" t="s">
        <v>1780</v>
      </c>
      <c r="BG536" s="556" t="str">
        <f t="shared" si="56"/>
        <v>O</v>
      </c>
      <c r="BH536" s="556" t="str">
        <f t="shared" si="57"/>
        <v/>
      </c>
      <c r="BI536" s="556" t="str">
        <f t="shared" si="58"/>
        <v/>
      </c>
      <c r="BJ536" s="556" t="str">
        <f t="shared" si="59"/>
        <v>6S</v>
      </c>
      <c r="BK536" s="556" t="str">
        <f t="shared" si="60"/>
        <v>M4,M6</v>
      </c>
      <c r="BL536" s="556" t="str">
        <f t="shared" si="61"/>
        <v/>
      </c>
      <c r="BM536" s="497">
        <f t="shared" si="62"/>
        <v>51507</v>
      </c>
    </row>
    <row r="537" spans="1:65">
      <c r="A537">
        <v>20085</v>
      </c>
      <c r="B537" t="s">
        <v>425</v>
      </c>
      <c r="C537" t="s">
        <v>427</v>
      </c>
      <c r="D537" t="s">
        <v>1774</v>
      </c>
      <c r="F537" s="503">
        <v>44930</v>
      </c>
      <c r="H537" t="s">
        <v>2332</v>
      </c>
      <c r="I537" t="s">
        <v>1753</v>
      </c>
      <c r="J537">
        <v>800</v>
      </c>
      <c r="K537" t="s">
        <v>1681</v>
      </c>
      <c r="O537" t="s">
        <v>1068</v>
      </c>
      <c r="W537">
        <v>4.4400000000000004</v>
      </c>
      <c r="X537">
        <v>4.4400000000000004</v>
      </c>
      <c r="Y537">
        <v>0</v>
      </c>
      <c r="Z537">
        <v>0</v>
      </c>
      <c r="AA537">
        <v>0</v>
      </c>
      <c r="AE537" t="s">
        <v>1039</v>
      </c>
      <c r="AI537">
        <v>57</v>
      </c>
      <c r="AJ537">
        <v>1000436</v>
      </c>
      <c r="AK537">
        <v>0</v>
      </c>
      <c r="AN537" t="s">
        <v>133</v>
      </c>
      <c r="AO537">
        <v>4.3600000000000003</v>
      </c>
      <c r="AX537">
        <v>20230104</v>
      </c>
      <c r="AY537" t="s">
        <v>1780</v>
      </c>
      <c r="BG537" s="556" t="str">
        <f t="shared" si="56"/>
        <v>O</v>
      </c>
      <c r="BH537" s="556" t="str">
        <f t="shared" si="57"/>
        <v/>
      </c>
      <c r="BI537" s="556" t="str">
        <f t="shared" si="58"/>
        <v/>
      </c>
      <c r="BJ537" s="556" t="str">
        <f t="shared" si="59"/>
        <v>6S</v>
      </c>
      <c r="BK537" s="556" t="str">
        <f t="shared" si="60"/>
        <v>M4</v>
      </c>
      <c r="BL537" s="556" t="str">
        <f t="shared" si="61"/>
        <v/>
      </c>
      <c r="BM537" s="497">
        <f t="shared" si="62"/>
        <v>20085</v>
      </c>
    </row>
    <row r="538" spans="1:65">
      <c r="A538">
        <v>52029</v>
      </c>
      <c r="B538" t="s">
        <v>3214</v>
      </c>
      <c r="C538" t="s">
        <v>311</v>
      </c>
      <c r="D538" t="s">
        <v>3215</v>
      </c>
      <c r="F538" s="503">
        <v>43685</v>
      </c>
      <c r="H538" t="s">
        <v>2090</v>
      </c>
      <c r="I538" t="s">
        <v>1753</v>
      </c>
      <c r="J538">
        <v>800</v>
      </c>
      <c r="K538" t="s">
        <v>1681</v>
      </c>
      <c r="O538" t="s">
        <v>1068</v>
      </c>
      <c r="P538" t="s">
        <v>2303</v>
      </c>
      <c r="W538">
        <v>4.08</v>
      </c>
      <c r="X538">
        <v>4.08</v>
      </c>
      <c r="Y538">
        <v>0</v>
      </c>
      <c r="Z538">
        <v>0</v>
      </c>
      <c r="AA538">
        <v>0</v>
      </c>
      <c r="AE538" t="s">
        <v>1039</v>
      </c>
      <c r="AI538">
        <v>57</v>
      </c>
      <c r="AJ538">
        <v>1000436</v>
      </c>
      <c r="AK538">
        <v>0</v>
      </c>
      <c r="AN538" t="s">
        <v>133</v>
      </c>
      <c r="AO538">
        <v>4.3600000000000003</v>
      </c>
      <c r="AX538">
        <v>20190808</v>
      </c>
      <c r="AY538" t="s">
        <v>1780</v>
      </c>
      <c r="BG538" s="556" t="str">
        <f t="shared" si="56"/>
        <v>O</v>
      </c>
      <c r="BH538" s="556" t="str">
        <f t="shared" si="57"/>
        <v/>
      </c>
      <c r="BI538" s="556" t="str">
        <f t="shared" si="58"/>
        <v/>
      </c>
      <c r="BJ538" s="556" t="str">
        <f t="shared" si="59"/>
        <v>6S</v>
      </c>
      <c r="BK538" s="556" t="str">
        <f t="shared" si="60"/>
        <v>M4,M6</v>
      </c>
      <c r="BL538" s="556" t="str">
        <f t="shared" si="61"/>
        <v/>
      </c>
      <c r="BM538" s="497">
        <f t="shared" si="62"/>
        <v>52029</v>
      </c>
    </row>
    <row r="539" spans="1:65">
      <c r="A539">
        <v>52700</v>
      </c>
      <c r="B539" t="s">
        <v>2089</v>
      </c>
      <c r="C539" t="s">
        <v>220</v>
      </c>
      <c r="D539" t="s">
        <v>2069</v>
      </c>
      <c r="F539" s="503">
        <v>44011</v>
      </c>
      <c r="H539" t="s">
        <v>2090</v>
      </c>
      <c r="I539" t="s">
        <v>1753</v>
      </c>
      <c r="J539">
        <v>0</v>
      </c>
      <c r="K539" t="s">
        <v>1681</v>
      </c>
      <c r="O539" t="s">
        <v>1068</v>
      </c>
      <c r="P539" t="s">
        <v>2303</v>
      </c>
      <c r="W539">
        <v>4.34</v>
      </c>
      <c r="X539">
        <v>4.32</v>
      </c>
      <c r="Y539">
        <v>0</v>
      </c>
      <c r="Z539">
        <v>0</v>
      </c>
      <c r="AA539">
        <v>1</v>
      </c>
      <c r="AE539" t="s">
        <v>1039</v>
      </c>
      <c r="AI539">
        <v>57</v>
      </c>
      <c r="AJ539">
        <v>1000436</v>
      </c>
      <c r="AK539">
        <v>0</v>
      </c>
      <c r="AN539" t="s">
        <v>133</v>
      </c>
      <c r="AO539">
        <v>4.3600000000000003</v>
      </c>
      <c r="AX539">
        <v>20200629</v>
      </c>
      <c r="AY539" t="s">
        <v>1780</v>
      </c>
      <c r="BG539" s="556" t="str">
        <f t="shared" si="56"/>
        <v>O</v>
      </c>
      <c r="BH539" s="556" t="str">
        <f t="shared" si="57"/>
        <v/>
      </c>
      <c r="BI539" s="556" t="str">
        <f t="shared" si="58"/>
        <v/>
      </c>
      <c r="BJ539" s="556" t="str">
        <f t="shared" si="59"/>
        <v>6S</v>
      </c>
      <c r="BK539" s="556" t="str">
        <f t="shared" si="60"/>
        <v>M4,M6</v>
      </c>
      <c r="BL539" s="556" t="str">
        <f t="shared" si="61"/>
        <v/>
      </c>
      <c r="BM539" s="497">
        <f t="shared" si="62"/>
        <v>52700</v>
      </c>
    </row>
    <row r="540" spans="1:65">
      <c r="A540">
        <v>53610</v>
      </c>
      <c r="B540" t="s">
        <v>3165</v>
      </c>
      <c r="C540" t="s">
        <v>2566</v>
      </c>
      <c r="D540" t="s">
        <v>2191</v>
      </c>
      <c r="F540" s="503">
        <v>45034</v>
      </c>
      <c r="H540" t="s">
        <v>2982</v>
      </c>
      <c r="I540" t="s">
        <v>1753</v>
      </c>
      <c r="J540">
        <v>0</v>
      </c>
      <c r="K540">
        <v>9</v>
      </c>
      <c r="O540" t="s">
        <v>2299</v>
      </c>
      <c r="W540">
        <v>4.08</v>
      </c>
      <c r="X540">
        <v>4.08</v>
      </c>
      <c r="Y540">
        <v>0</v>
      </c>
      <c r="Z540">
        <v>0</v>
      </c>
      <c r="AA540">
        <v>0</v>
      </c>
      <c r="AE540" t="s">
        <v>1761</v>
      </c>
      <c r="AI540">
        <v>57</v>
      </c>
      <c r="AJ540">
        <v>3020345</v>
      </c>
      <c r="AK540">
        <v>0</v>
      </c>
      <c r="AL540">
        <v>0</v>
      </c>
      <c r="AN540" t="s">
        <v>2629</v>
      </c>
      <c r="AO540">
        <v>3.45</v>
      </c>
      <c r="AX540">
        <v>20230418</v>
      </c>
      <c r="AY540" t="s">
        <v>1780</v>
      </c>
      <c r="BG540" s="556" t="str">
        <f t="shared" si="56"/>
        <v>O</v>
      </c>
      <c r="BH540" s="556" t="str">
        <f t="shared" si="57"/>
        <v/>
      </c>
      <c r="BI540" s="556" t="str">
        <f t="shared" si="58"/>
        <v/>
      </c>
      <c r="BJ540" s="556">
        <f t="shared" si="59"/>
        <v>9</v>
      </c>
      <c r="BK540" s="556" t="str">
        <f t="shared" si="60"/>
        <v>TS1</v>
      </c>
      <c r="BL540" s="556" t="str">
        <f t="shared" si="61"/>
        <v/>
      </c>
      <c r="BM540" s="497">
        <f t="shared" si="62"/>
        <v>53610</v>
      </c>
    </row>
    <row r="541" spans="1:65">
      <c r="A541">
        <v>53611</v>
      </c>
      <c r="B541" t="s">
        <v>2567</v>
      </c>
      <c r="C541" t="s">
        <v>2568</v>
      </c>
      <c r="D541" t="s">
        <v>2191</v>
      </c>
      <c r="F541" s="503">
        <v>45034</v>
      </c>
      <c r="H541" t="s">
        <v>2569</v>
      </c>
      <c r="I541" t="s">
        <v>1753</v>
      </c>
      <c r="J541">
        <v>0</v>
      </c>
      <c r="K541" t="s">
        <v>1481</v>
      </c>
      <c r="W541">
        <v>6.25</v>
      </c>
      <c r="X541">
        <v>6.25</v>
      </c>
      <c r="Y541">
        <v>0</v>
      </c>
      <c r="Z541">
        <v>0</v>
      </c>
      <c r="AA541">
        <v>0</v>
      </c>
      <c r="AE541" t="s">
        <v>1761</v>
      </c>
      <c r="AI541">
        <v>57</v>
      </c>
      <c r="AJ541">
        <v>3330625</v>
      </c>
      <c r="AK541">
        <v>0</v>
      </c>
      <c r="AL541">
        <v>0</v>
      </c>
      <c r="AN541" t="s">
        <v>2629</v>
      </c>
      <c r="AO541">
        <v>6.25</v>
      </c>
      <c r="AX541">
        <v>20230418</v>
      </c>
      <c r="AY541" t="s">
        <v>1780</v>
      </c>
      <c r="BG541" s="556" t="str">
        <f t="shared" si="56"/>
        <v>O</v>
      </c>
      <c r="BH541" s="556" t="str">
        <f t="shared" si="57"/>
        <v/>
      </c>
      <c r="BI541" s="556" t="str">
        <f t="shared" si="58"/>
        <v/>
      </c>
      <c r="BJ541" s="556" t="str">
        <f t="shared" si="59"/>
        <v>9A</v>
      </c>
      <c r="BK541" s="556">
        <f t="shared" si="60"/>
        <v>0</v>
      </c>
      <c r="BL541" s="556" t="str">
        <f t="shared" si="61"/>
        <v/>
      </c>
      <c r="BM541" s="497">
        <f t="shared" si="62"/>
        <v>53611</v>
      </c>
    </row>
    <row r="542" spans="1:65">
      <c r="A542">
        <v>20083</v>
      </c>
      <c r="B542" t="s">
        <v>2091</v>
      </c>
      <c r="C542" t="s">
        <v>2092</v>
      </c>
      <c r="D542" t="s">
        <v>1774</v>
      </c>
      <c r="F542" s="503">
        <v>43363</v>
      </c>
      <c r="H542" t="s">
        <v>2093</v>
      </c>
      <c r="I542" t="s">
        <v>1753</v>
      </c>
      <c r="J542">
        <v>2000</v>
      </c>
      <c r="K542" t="s">
        <v>1706</v>
      </c>
      <c r="O542" t="s">
        <v>2303</v>
      </c>
      <c r="W542">
        <v>6.3</v>
      </c>
      <c r="X542">
        <v>6.3</v>
      </c>
      <c r="Y542">
        <v>0</v>
      </c>
      <c r="Z542">
        <v>0</v>
      </c>
      <c r="AA542">
        <v>2</v>
      </c>
      <c r="AE542" t="s">
        <v>1039</v>
      </c>
      <c r="AI542">
        <v>60</v>
      </c>
      <c r="AJ542">
        <v>1850458</v>
      </c>
      <c r="AK542">
        <v>0</v>
      </c>
      <c r="AN542" t="s">
        <v>1703</v>
      </c>
      <c r="AO542">
        <v>4.58</v>
      </c>
      <c r="AV542" s="504">
        <v>46026</v>
      </c>
      <c r="AX542">
        <v>20180920</v>
      </c>
      <c r="AY542" t="s">
        <v>1754</v>
      </c>
      <c r="BG542" s="556" t="str">
        <f t="shared" si="56"/>
        <v>O</v>
      </c>
      <c r="BH542" s="556" t="str">
        <f t="shared" si="57"/>
        <v/>
      </c>
      <c r="BI542" s="556" t="str">
        <f t="shared" si="58"/>
        <v/>
      </c>
      <c r="BJ542" s="556" t="str">
        <f t="shared" si="59"/>
        <v>6L</v>
      </c>
      <c r="BK542" s="556" t="str">
        <f t="shared" si="60"/>
        <v>M6</v>
      </c>
      <c r="BL542" s="556" t="str">
        <f t="shared" si="61"/>
        <v/>
      </c>
      <c r="BM542" s="497">
        <f t="shared" si="62"/>
        <v>20083</v>
      </c>
    </row>
    <row r="543" spans="1:65">
      <c r="A543">
        <v>20067</v>
      </c>
      <c r="B543" t="s">
        <v>234</v>
      </c>
      <c r="C543" t="s">
        <v>235</v>
      </c>
      <c r="D543" t="s">
        <v>1816</v>
      </c>
      <c r="F543" s="503">
        <v>43455</v>
      </c>
      <c r="H543" t="s">
        <v>236</v>
      </c>
      <c r="I543" t="s">
        <v>1753</v>
      </c>
      <c r="J543">
        <v>300</v>
      </c>
      <c r="K543" t="s">
        <v>1706</v>
      </c>
      <c r="O543" t="s">
        <v>2303</v>
      </c>
      <c r="W543">
        <v>7.78</v>
      </c>
      <c r="X543">
        <v>7.35</v>
      </c>
      <c r="Y543">
        <v>0</v>
      </c>
      <c r="Z543">
        <v>0</v>
      </c>
      <c r="AA543">
        <v>2</v>
      </c>
      <c r="AE543" t="s">
        <v>1773</v>
      </c>
      <c r="AI543">
        <v>60</v>
      </c>
      <c r="AJ543">
        <v>1850436</v>
      </c>
      <c r="AK543">
        <v>0</v>
      </c>
      <c r="AN543" t="s">
        <v>1703</v>
      </c>
      <c r="AO543">
        <v>4.3600000000000003</v>
      </c>
      <c r="AX543">
        <v>20181221</v>
      </c>
      <c r="AY543" t="s">
        <v>1754</v>
      </c>
      <c r="BG543" s="556" t="str">
        <f t="shared" si="56"/>
        <v>O</v>
      </c>
      <c r="BH543" s="556" t="str">
        <f t="shared" si="57"/>
        <v/>
      </c>
      <c r="BI543" s="556" t="str">
        <f t="shared" si="58"/>
        <v/>
      </c>
      <c r="BJ543" s="556" t="str">
        <f t="shared" si="59"/>
        <v>6L</v>
      </c>
      <c r="BK543" s="556" t="str">
        <f t="shared" si="60"/>
        <v>M6</v>
      </c>
      <c r="BL543" s="556" t="str">
        <f t="shared" si="61"/>
        <v/>
      </c>
      <c r="BM543" s="497">
        <f t="shared" si="62"/>
        <v>20067</v>
      </c>
    </row>
    <row r="544" spans="1:65">
      <c r="B544" t="s">
        <v>1040</v>
      </c>
      <c r="C544" t="s">
        <v>1042</v>
      </c>
      <c r="D544" t="s">
        <v>2061</v>
      </c>
      <c r="F544" s="503">
        <v>43565</v>
      </c>
      <c r="H544" t="s">
        <v>1043</v>
      </c>
      <c r="I544" t="s">
        <v>1753</v>
      </c>
      <c r="J544">
        <v>5000</v>
      </c>
      <c r="K544" t="s">
        <v>1756</v>
      </c>
      <c r="W544">
        <v>0.39</v>
      </c>
      <c r="X544">
        <v>0.39</v>
      </c>
      <c r="Y544">
        <v>0</v>
      </c>
      <c r="Z544">
        <v>0</v>
      </c>
      <c r="AE544" t="s">
        <v>1761</v>
      </c>
      <c r="AI544">
        <v>12</v>
      </c>
      <c r="AJ544" t="s">
        <v>2094</v>
      </c>
      <c r="AK544">
        <v>0</v>
      </c>
      <c r="AL544">
        <v>0</v>
      </c>
      <c r="AN544" t="s">
        <v>2095</v>
      </c>
      <c r="AO544" t="s">
        <v>2057</v>
      </c>
      <c r="AX544">
        <v>20190410</v>
      </c>
      <c r="AY544" t="s">
        <v>2051</v>
      </c>
      <c r="BG544" s="556" t="str">
        <f t="shared" si="56"/>
        <v>X</v>
      </c>
      <c r="BH544" s="556" t="str">
        <f t="shared" si="57"/>
        <v/>
      </c>
      <c r="BI544" s="556" t="str">
        <f t="shared" si="58"/>
        <v/>
      </c>
      <c r="BJ544" s="556" t="str">
        <f t="shared" si="59"/>
        <v>Z</v>
      </c>
      <c r="BK544" s="556">
        <f t="shared" si="60"/>
        <v>0</v>
      </c>
      <c r="BL544" s="556" t="str">
        <f t="shared" si="61"/>
        <v/>
      </c>
      <c r="BM544" s="497">
        <f t="shared" si="62"/>
        <v>0</v>
      </c>
    </row>
    <row r="545" spans="2:65">
      <c r="B545" t="s">
        <v>1046</v>
      </c>
      <c r="C545" t="s">
        <v>1042</v>
      </c>
      <c r="D545" t="s">
        <v>1782</v>
      </c>
      <c r="F545" s="503">
        <v>44790</v>
      </c>
      <c r="H545" t="s">
        <v>1043</v>
      </c>
      <c r="J545">
        <v>5000</v>
      </c>
      <c r="K545" t="s">
        <v>1756</v>
      </c>
      <c r="W545">
        <v>0.39</v>
      </c>
      <c r="X545">
        <v>0.39</v>
      </c>
      <c r="Y545">
        <v>0</v>
      </c>
      <c r="Z545">
        <v>0</v>
      </c>
      <c r="AE545" t="s">
        <v>1039</v>
      </c>
      <c r="AI545">
        <v>12</v>
      </c>
      <c r="AJ545" t="s">
        <v>2096</v>
      </c>
      <c r="AK545">
        <v>0</v>
      </c>
      <c r="AN545" t="s">
        <v>2097</v>
      </c>
      <c r="AO545" t="s">
        <v>2057</v>
      </c>
      <c r="AX545">
        <v>20220817</v>
      </c>
      <c r="AY545" t="s">
        <v>2051</v>
      </c>
      <c r="BG545" s="556" t="str">
        <f t="shared" si="56"/>
        <v>X</v>
      </c>
      <c r="BH545" s="556" t="str">
        <f t="shared" si="57"/>
        <v/>
      </c>
      <c r="BI545" s="556" t="str">
        <f t="shared" si="58"/>
        <v/>
      </c>
      <c r="BJ545" s="556" t="str">
        <f t="shared" si="59"/>
        <v>Z</v>
      </c>
      <c r="BK545" s="556">
        <f t="shared" si="60"/>
        <v>0</v>
      </c>
      <c r="BL545" s="556" t="str">
        <f t="shared" si="61"/>
        <v/>
      </c>
      <c r="BM545" s="497">
        <f t="shared" si="62"/>
        <v>0</v>
      </c>
    </row>
    <row r="546" spans="2:65">
      <c r="B546" t="s">
        <v>3166</v>
      </c>
      <c r="C546" t="s">
        <v>3167</v>
      </c>
      <c r="D546" t="s">
        <v>1755</v>
      </c>
      <c r="F546" s="503">
        <v>45839</v>
      </c>
      <c r="H546" t="s">
        <v>3168</v>
      </c>
      <c r="I546" t="s">
        <v>1753</v>
      </c>
      <c r="J546">
        <v>0</v>
      </c>
      <c r="W546">
        <v>1.22</v>
      </c>
      <c r="X546">
        <v>1.22</v>
      </c>
      <c r="Y546">
        <v>0</v>
      </c>
      <c r="Z546">
        <v>0</v>
      </c>
      <c r="AA546">
        <v>0</v>
      </c>
      <c r="AE546" t="s">
        <v>1761</v>
      </c>
      <c r="AI546">
        <v>12</v>
      </c>
      <c r="AJ546" t="s">
        <v>2045</v>
      </c>
      <c r="AK546">
        <v>0</v>
      </c>
      <c r="AN546" t="s">
        <v>1870</v>
      </c>
      <c r="AO546" t="s">
        <v>1884</v>
      </c>
      <c r="AX546">
        <v>20250701</v>
      </c>
      <c r="AY546" t="s">
        <v>2051</v>
      </c>
      <c r="BG546" s="556" t="str">
        <f t="shared" si="56"/>
        <v>X</v>
      </c>
      <c r="BH546" s="556" t="str">
        <f t="shared" si="57"/>
        <v/>
      </c>
      <c r="BI546" s="556" t="str">
        <f t="shared" si="58"/>
        <v/>
      </c>
      <c r="BJ546" s="556">
        <f t="shared" si="59"/>
        <v>0</v>
      </c>
      <c r="BK546" s="556">
        <f t="shared" si="60"/>
        <v>0</v>
      </c>
      <c r="BL546" s="556" t="str">
        <f t="shared" si="61"/>
        <v/>
      </c>
      <c r="BM546" s="497">
        <f t="shared" si="62"/>
        <v>0</v>
      </c>
    </row>
    <row r="547" spans="2:65">
      <c r="B547" t="s">
        <v>1213</v>
      </c>
      <c r="C547" t="s">
        <v>1056</v>
      </c>
      <c r="D547" t="s">
        <v>2061</v>
      </c>
      <c r="F547" s="503">
        <v>43943</v>
      </c>
      <c r="H547" t="s">
        <v>1215</v>
      </c>
      <c r="I547" t="s">
        <v>1753</v>
      </c>
      <c r="J547">
        <v>5000</v>
      </c>
      <c r="K547" t="s">
        <v>1756</v>
      </c>
      <c r="W547">
        <v>0.34</v>
      </c>
      <c r="X547">
        <v>0.34</v>
      </c>
      <c r="Y547">
        <v>0</v>
      </c>
      <c r="Z547">
        <v>0</v>
      </c>
      <c r="AA547">
        <v>0</v>
      </c>
      <c r="AE547" t="s">
        <v>1761</v>
      </c>
      <c r="AI547">
        <v>12</v>
      </c>
      <c r="AJ547" t="s">
        <v>2098</v>
      </c>
      <c r="AK547">
        <v>0</v>
      </c>
      <c r="AN547" t="s">
        <v>1870</v>
      </c>
      <c r="AO547" t="s">
        <v>1879</v>
      </c>
      <c r="AX547">
        <v>20200422</v>
      </c>
      <c r="AY547" t="s">
        <v>2051</v>
      </c>
      <c r="BG547" s="556" t="str">
        <f t="shared" si="56"/>
        <v>X</v>
      </c>
      <c r="BH547" s="556" t="str">
        <f t="shared" si="57"/>
        <v/>
      </c>
      <c r="BI547" s="556" t="str">
        <f t="shared" si="58"/>
        <v/>
      </c>
      <c r="BJ547" s="556" t="str">
        <f t="shared" si="59"/>
        <v>Z</v>
      </c>
      <c r="BK547" s="556">
        <f t="shared" si="60"/>
        <v>0</v>
      </c>
      <c r="BL547" s="556" t="str">
        <f t="shared" si="61"/>
        <v/>
      </c>
      <c r="BM547" s="497">
        <f t="shared" si="62"/>
        <v>0</v>
      </c>
    </row>
    <row r="548" spans="2:65">
      <c r="B548" t="s">
        <v>1054</v>
      </c>
      <c r="C548" t="s">
        <v>1056</v>
      </c>
      <c r="D548" t="s">
        <v>2061</v>
      </c>
      <c r="F548" s="503">
        <v>43564</v>
      </c>
      <c r="H548" t="s">
        <v>1057</v>
      </c>
      <c r="I548" t="s">
        <v>1753</v>
      </c>
      <c r="J548">
        <v>1000</v>
      </c>
      <c r="K548" t="s">
        <v>1756</v>
      </c>
      <c r="W548">
        <v>0.51</v>
      </c>
      <c r="X548">
        <v>0.51</v>
      </c>
      <c r="Y548">
        <v>0</v>
      </c>
      <c r="Z548">
        <v>0</v>
      </c>
      <c r="AE548" t="s">
        <v>1761</v>
      </c>
      <c r="AI548">
        <v>12</v>
      </c>
      <c r="AJ548" t="s">
        <v>2098</v>
      </c>
      <c r="AK548">
        <v>0</v>
      </c>
      <c r="AL548">
        <v>0</v>
      </c>
      <c r="AN548" t="s">
        <v>1870</v>
      </c>
      <c r="AO548" t="s">
        <v>1879</v>
      </c>
      <c r="AX548">
        <v>20190409</v>
      </c>
      <c r="AY548" t="s">
        <v>2051</v>
      </c>
      <c r="BG548" s="556" t="str">
        <f t="shared" si="56"/>
        <v>X</v>
      </c>
      <c r="BH548" s="556" t="str">
        <f t="shared" si="57"/>
        <v/>
      </c>
      <c r="BI548" s="556" t="str">
        <f t="shared" si="58"/>
        <v/>
      </c>
      <c r="BJ548" s="556" t="str">
        <f t="shared" si="59"/>
        <v>Z</v>
      </c>
      <c r="BK548" s="556">
        <f t="shared" si="60"/>
        <v>0</v>
      </c>
      <c r="BL548" s="556" t="str">
        <f t="shared" si="61"/>
        <v/>
      </c>
      <c r="BM548" s="497">
        <f t="shared" si="62"/>
        <v>0</v>
      </c>
    </row>
    <row r="549" spans="2:65">
      <c r="B549" t="s">
        <v>1163</v>
      </c>
      <c r="C549" t="s">
        <v>1056</v>
      </c>
      <c r="D549" t="s">
        <v>2047</v>
      </c>
      <c r="F549" s="503">
        <v>43908</v>
      </c>
      <c r="H549" t="s">
        <v>2099</v>
      </c>
      <c r="I549" t="s">
        <v>1753</v>
      </c>
      <c r="J549">
        <v>1000</v>
      </c>
      <c r="K549" t="s">
        <v>1756</v>
      </c>
      <c r="W549">
        <v>0</v>
      </c>
      <c r="X549">
        <v>2.17</v>
      </c>
      <c r="Y549">
        <v>0</v>
      </c>
      <c r="Z549">
        <v>0</v>
      </c>
      <c r="AA549">
        <v>0</v>
      </c>
      <c r="AE549" t="s">
        <v>1039</v>
      </c>
      <c r="AI549">
        <v>12</v>
      </c>
      <c r="AJ549" t="s">
        <v>2100</v>
      </c>
      <c r="AK549">
        <v>0</v>
      </c>
      <c r="AN549" t="s">
        <v>2054</v>
      </c>
      <c r="AO549" t="s">
        <v>2101</v>
      </c>
      <c r="AX549">
        <v>20200318</v>
      </c>
      <c r="AY549" t="s">
        <v>2051</v>
      </c>
      <c r="BG549" s="556" t="str">
        <f t="shared" si="56"/>
        <v>X</v>
      </c>
      <c r="BH549" s="556" t="str">
        <f t="shared" si="57"/>
        <v/>
      </c>
      <c r="BI549" s="556" t="str">
        <f t="shared" si="58"/>
        <v/>
      </c>
      <c r="BJ549" s="556" t="str">
        <f t="shared" si="59"/>
        <v>Z</v>
      </c>
      <c r="BK549" s="556">
        <f t="shared" si="60"/>
        <v>0</v>
      </c>
      <c r="BL549" s="556" t="str">
        <f t="shared" si="61"/>
        <v/>
      </c>
      <c r="BM549" s="497">
        <f t="shared" si="62"/>
        <v>0</v>
      </c>
    </row>
    <row r="550" spans="2:65">
      <c r="B550" t="s">
        <v>3243</v>
      </c>
      <c r="C550" t="s">
        <v>1056</v>
      </c>
      <c r="D550" t="s">
        <v>2850</v>
      </c>
      <c r="F550" s="503">
        <v>45934</v>
      </c>
      <c r="H550" t="s">
        <v>3244</v>
      </c>
      <c r="I550" t="s">
        <v>1753</v>
      </c>
      <c r="J550">
        <v>0</v>
      </c>
      <c r="K550" t="s">
        <v>1756</v>
      </c>
      <c r="O550" t="s">
        <v>1756</v>
      </c>
      <c r="W550">
        <v>1.2</v>
      </c>
      <c r="X550">
        <v>1.2</v>
      </c>
      <c r="Y550">
        <v>0</v>
      </c>
      <c r="Z550">
        <v>0</v>
      </c>
      <c r="AA550">
        <v>0</v>
      </c>
      <c r="AE550" t="s">
        <v>1039</v>
      </c>
      <c r="AI550">
        <v>12</v>
      </c>
      <c r="AJ550" t="s">
        <v>1887</v>
      </c>
      <c r="AK550">
        <v>0</v>
      </c>
      <c r="AN550" t="s">
        <v>1098</v>
      </c>
      <c r="AO550" t="s">
        <v>1884</v>
      </c>
      <c r="AX550">
        <v>20251004</v>
      </c>
      <c r="AY550" t="s">
        <v>2051</v>
      </c>
      <c r="BG550" s="556" t="str">
        <f t="shared" si="56"/>
        <v>X</v>
      </c>
      <c r="BH550" s="556" t="str">
        <f t="shared" si="57"/>
        <v/>
      </c>
      <c r="BI550" s="556" t="str">
        <f t="shared" si="58"/>
        <v/>
      </c>
      <c r="BJ550" s="556" t="str">
        <f t="shared" si="59"/>
        <v>Z</v>
      </c>
      <c r="BK550" s="556" t="str">
        <f t="shared" si="60"/>
        <v>Z</v>
      </c>
      <c r="BL550" s="556" t="str">
        <f t="shared" si="61"/>
        <v/>
      </c>
      <c r="BM550" s="497">
        <f t="shared" si="62"/>
        <v>0</v>
      </c>
    </row>
    <row r="551" spans="2:65">
      <c r="B551" t="s">
        <v>2102</v>
      </c>
      <c r="C551" t="s">
        <v>1056</v>
      </c>
      <c r="D551" t="s">
        <v>1782</v>
      </c>
      <c r="F551" s="503">
        <v>44288</v>
      </c>
      <c r="H551" t="s">
        <v>2103</v>
      </c>
      <c r="J551">
        <v>0</v>
      </c>
      <c r="K551" t="s">
        <v>1756</v>
      </c>
      <c r="W551">
        <v>2.93</v>
      </c>
      <c r="X551">
        <v>2.93</v>
      </c>
      <c r="Y551">
        <v>0</v>
      </c>
      <c r="Z551">
        <v>0</v>
      </c>
      <c r="AA551">
        <v>0</v>
      </c>
      <c r="AB551">
        <v>0</v>
      </c>
      <c r="AE551">
        <v>0</v>
      </c>
      <c r="AI551">
        <v>84</v>
      </c>
      <c r="AJ551" t="s">
        <v>2104</v>
      </c>
      <c r="AK551">
        <v>0</v>
      </c>
      <c r="AN551" t="s">
        <v>2054</v>
      </c>
      <c r="AO551" t="s">
        <v>1907</v>
      </c>
      <c r="AX551">
        <v>20210402</v>
      </c>
      <c r="AY551" t="s">
        <v>1786</v>
      </c>
      <c r="BG551" s="556" t="str">
        <f t="shared" si="56"/>
        <v>X</v>
      </c>
      <c r="BH551" s="556" t="str">
        <f t="shared" si="57"/>
        <v>Y</v>
      </c>
      <c r="BI551" s="556" t="str">
        <f t="shared" si="58"/>
        <v/>
      </c>
      <c r="BJ551" s="556" t="str">
        <f t="shared" si="59"/>
        <v>Z</v>
      </c>
      <c r="BK551" s="556">
        <f t="shared" si="60"/>
        <v>0</v>
      </c>
      <c r="BL551" s="556" t="str">
        <f t="shared" si="61"/>
        <v/>
      </c>
      <c r="BM551" s="497">
        <f t="shared" si="62"/>
        <v>0</v>
      </c>
    </row>
    <row r="552" spans="2:65">
      <c r="B552" t="s">
        <v>2694</v>
      </c>
      <c r="C552" t="s">
        <v>1056</v>
      </c>
      <c r="D552" t="s">
        <v>1782</v>
      </c>
      <c r="F552" s="503">
        <v>45260</v>
      </c>
      <c r="H552" t="s">
        <v>2695</v>
      </c>
      <c r="I552" t="s">
        <v>1753</v>
      </c>
      <c r="J552">
        <v>0</v>
      </c>
      <c r="W552">
        <v>1.82</v>
      </c>
      <c r="X552">
        <v>1.82</v>
      </c>
      <c r="Y552">
        <v>0</v>
      </c>
      <c r="Z552">
        <v>0</v>
      </c>
      <c r="AA552">
        <v>0</v>
      </c>
      <c r="AE552">
        <v>0</v>
      </c>
      <c r="AI552">
        <v>84</v>
      </c>
      <c r="AJ552" t="s">
        <v>2107</v>
      </c>
      <c r="AK552">
        <v>0</v>
      </c>
      <c r="AL552">
        <v>0</v>
      </c>
      <c r="AN552" t="s">
        <v>2054</v>
      </c>
      <c r="AO552" t="s">
        <v>1884</v>
      </c>
      <c r="AX552">
        <v>20231130</v>
      </c>
      <c r="AY552" t="s">
        <v>1786</v>
      </c>
      <c r="BG552" s="556" t="str">
        <f t="shared" si="56"/>
        <v>X</v>
      </c>
      <c r="BH552" s="556" t="str">
        <f t="shared" si="57"/>
        <v>Y</v>
      </c>
      <c r="BI552" s="556" t="str">
        <f t="shared" si="58"/>
        <v/>
      </c>
      <c r="BJ552" s="556">
        <f t="shared" si="59"/>
        <v>0</v>
      </c>
      <c r="BK552" s="556">
        <f t="shared" si="60"/>
        <v>0</v>
      </c>
      <c r="BL552" s="556" t="str">
        <f t="shared" si="61"/>
        <v/>
      </c>
      <c r="BM552" s="497">
        <f t="shared" si="62"/>
        <v>0</v>
      </c>
    </row>
    <row r="553" spans="2:65">
      <c r="B553" t="s">
        <v>2381</v>
      </c>
      <c r="C553" t="s">
        <v>2570</v>
      </c>
      <c r="D553" t="s">
        <v>1782</v>
      </c>
      <c r="F553" s="503">
        <v>45029</v>
      </c>
      <c r="H553" t="s">
        <v>2382</v>
      </c>
      <c r="I553" t="s">
        <v>1753</v>
      </c>
      <c r="J553">
        <v>0</v>
      </c>
      <c r="W553">
        <v>2.78</v>
      </c>
      <c r="X553">
        <v>2.78</v>
      </c>
      <c r="Y553">
        <v>0</v>
      </c>
      <c r="Z553">
        <v>0</v>
      </c>
      <c r="AA553">
        <v>0</v>
      </c>
      <c r="AE553">
        <v>0</v>
      </c>
      <c r="AI553">
        <v>84</v>
      </c>
      <c r="AJ553" t="s">
        <v>2359</v>
      </c>
      <c r="AK553">
        <v>0</v>
      </c>
      <c r="AL553">
        <v>0</v>
      </c>
      <c r="AN553" t="s">
        <v>1870</v>
      </c>
      <c r="AO553" t="s">
        <v>2111</v>
      </c>
      <c r="AX553">
        <v>20230413</v>
      </c>
      <c r="AY553" t="s">
        <v>1786</v>
      </c>
      <c r="BG553" s="556" t="str">
        <f t="shared" si="56"/>
        <v>X</v>
      </c>
      <c r="BH553" s="556" t="str">
        <f t="shared" si="57"/>
        <v>Y</v>
      </c>
      <c r="BI553" s="556" t="str">
        <f t="shared" si="58"/>
        <v/>
      </c>
      <c r="BJ553" s="556">
        <f t="shared" si="59"/>
        <v>0</v>
      </c>
      <c r="BK553" s="556">
        <f t="shared" si="60"/>
        <v>0</v>
      </c>
      <c r="BL553" s="556" t="str">
        <f t="shared" si="61"/>
        <v/>
      </c>
      <c r="BM553" s="497">
        <f t="shared" si="62"/>
        <v>0</v>
      </c>
    </row>
    <row r="554" spans="2:65">
      <c r="B554" t="s">
        <v>2105</v>
      </c>
      <c r="C554" t="s">
        <v>1056</v>
      </c>
      <c r="D554" t="s">
        <v>1782</v>
      </c>
      <c r="F554" s="503">
        <v>44288</v>
      </c>
      <c r="H554" t="s">
        <v>2106</v>
      </c>
      <c r="I554" t="s">
        <v>1753</v>
      </c>
      <c r="J554">
        <v>0</v>
      </c>
      <c r="K554" t="s">
        <v>1756</v>
      </c>
      <c r="W554">
        <v>0</v>
      </c>
      <c r="X554">
        <v>2.2799999999999998</v>
      </c>
      <c r="Y554">
        <v>0</v>
      </c>
      <c r="Z554">
        <v>0</v>
      </c>
      <c r="AA554">
        <v>0</v>
      </c>
      <c r="AE554">
        <v>0</v>
      </c>
      <c r="AI554">
        <v>84</v>
      </c>
      <c r="AJ554" t="s">
        <v>2107</v>
      </c>
      <c r="AK554">
        <v>0</v>
      </c>
      <c r="AL554">
        <v>0</v>
      </c>
      <c r="AN554" t="s">
        <v>2054</v>
      </c>
      <c r="AO554" t="s">
        <v>1884</v>
      </c>
      <c r="AX554">
        <v>20210402</v>
      </c>
      <c r="AY554" t="s">
        <v>1786</v>
      </c>
      <c r="BG554" s="556" t="str">
        <f t="shared" si="56"/>
        <v>X</v>
      </c>
      <c r="BH554" s="556" t="str">
        <f t="shared" si="57"/>
        <v>Y</v>
      </c>
      <c r="BI554" s="556" t="str">
        <f t="shared" si="58"/>
        <v/>
      </c>
      <c r="BJ554" s="556" t="str">
        <f t="shared" si="59"/>
        <v>Z</v>
      </c>
      <c r="BK554" s="556">
        <f t="shared" si="60"/>
        <v>0</v>
      </c>
      <c r="BL554" s="556" t="str">
        <f t="shared" si="61"/>
        <v/>
      </c>
      <c r="BM554" s="497">
        <f t="shared" si="62"/>
        <v>0</v>
      </c>
    </row>
    <row r="555" spans="2:65">
      <c r="B555" t="s">
        <v>2108</v>
      </c>
      <c r="C555" t="s">
        <v>1056</v>
      </c>
      <c r="D555" t="s">
        <v>1782</v>
      </c>
      <c r="F555" s="503">
        <v>44288</v>
      </c>
      <c r="H555" t="s">
        <v>2109</v>
      </c>
      <c r="I555" t="s">
        <v>1753</v>
      </c>
      <c r="J555">
        <v>0</v>
      </c>
      <c r="K555" t="s">
        <v>1756</v>
      </c>
      <c r="W555">
        <v>0</v>
      </c>
      <c r="X555">
        <v>3.42</v>
      </c>
      <c r="Y555">
        <v>0</v>
      </c>
      <c r="Z555">
        <v>0</v>
      </c>
      <c r="AA555">
        <v>0</v>
      </c>
      <c r="AE555">
        <v>0</v>
      </c>
      <c r="AI555">
        <v>84</v>
      </c>
      <c r="AJ555" t="s">
        <v>2110</v>
      </c>
      <c r="AK555">
        <v>0</v>
      </c>
      <c r="AL555">
        <v>0</v>
      </c>
      <c r="AN555" t="s">
        <v>1098</v>
      </c>
      <c r="AO555" t="s">
        <v>2111</v>
      </c>
      <c r="AX555">
        <v>20210402</v>
      </c>
      <c r="AY555" t="s">
        <v>1786</v>
      </c>
      <c r="BG555" s="556" t="str">
        <f t="shared" si="56"/>
        <v>X</v>
      </c>
      <c r="BH555" s="556" t="str">
        <f t="shared" si="57"/>
        <v>Y</v>
      </c>
      <c r="BI555" s="556" t="str">
        <f t="shared" si="58"/>
        <v/>
      </c>
      <c r="BJ555" s="556" t="str">
        <f t="shared" si="59"/>
        <v>Z</v>
      </c>
      <c r="BK555" s="556">
        <f t="shared" si="60"/>
        <v>0</v>
      </c>
      <c r="BL555" s="556" t="str">
        <f t="shared" si="61"/>
        <v/>
      </c>
      <c r="BM555" s="497">
        <f t="shared" si="62"/>
        <v>0</v>
      </c>
    </row>
    <row r="556" spans="2:65">
      <c r="B556" t="s">
        <v>2112</v>
      </c>
      <c r="C556" t="s">
        <v>1056</v>
      </c>
      <c r="D556" t="s">
        <v>1782</v>
      </c>
      <c r="F556" s="503">
        <v>44735</v>
      </c>
      <c r="H556" t="s">
        <v>2113</v>
      </c>
      <c r="I556" t="s">
        <v>1753</v>
      </c>
      <c r="J556">
        <v>0</v>
      </c>
      <c r="K556" t="s">
        <v>1756</v>
      </c>
      <c r="W556">
        <v>4.5</v>
      </c>
      <c r="X556">
        <v>4.33</v>
      </c>
      <c r="Y556">
        <v>0</v>
      </c>
      <c r="Z556">
        <v>0</v>
      </c>
      <c r="AA556">
        <v>0</v>
      </c>
      <c r="AE556">
        <v>0</v>
      </c>
      <c r="AI556">
        <v>84</v>
      </c>
      <c r="AJ556" t="s">
        <v>2114</v>
      </c>
      <c r="AK556">
        <v>0</v>
      </c>
      <c r="AN556" t="s">
        <v>1870</v>
      </c>
      <c r="AO556" t="s">
        <v>1907</v>
      </c>
      <c r="AX556">
        <v>20220623</v>
      </c>
      <c r="AY556" t="s">
        <v>1786</v>
      </c>
      <c r="BG556" s="556" t="str">
        <f t="shared" si="56"/>
        <v>X</v>
      </c>
      <c r="BH556" s="556" t="str">
        <f t="shared" si="57"/>
        <v>Y</v>
      </c>
      <c r="BI556" s="556" t="str">
        <f t="shared" si="58"/>
        <v/>
      </c>
      <c r="BJ556" s="556" t="str">
        <f t="shared" si="59"/>
        <v>Z</v>
      </c>
      <c r="BK556" s="556">
        <f t="shared" si="60"/>
        <v>0</v>
      </c>
      <c r="BL556" s="556" t="str">
        <f t="shared" si="61"/>
        <v/>
      </c>
      <c r="BM556" s="497">
        <f t="shared" si="62"/>
        <v>0</v>
      </c>
    </row>
    <row r="557" spans="2:65">
      <c r="B557" t="s">
        <v>2624</v>
      </c>
      <c r="C557" t="s">
        <v>2625</v>
      </c>
      <c r="D557" t="s">
        <v>1782</v>
      </c>
      <c r="F557" s="503">
        <v>42748</v>
      </c>
      <c r="H557" t="s">
        <v>59</v>
      </c>
      <c r="I557" t="s">
        <v>1753</v>
      </c>
      <c r="J557">
        <v>2000</v>
      </c>
      <c r="K557" t="s">
        <v>1068</v>
      </c>
      <c r="O557" t="s">
        <v>2302</v>
      </c>
      <c r="W557">
        <v>1.45</v>
      </c>
      <c r="X557">
        <v>1.56</v>
      </c>
      <c r="Y557">
        <v>0</v>
      </c>
      <c r="Z557">
        <v>0</v>
      </c>
      <c r="AA557">
        <v>2</v>
      </c>
      <c r="AE557" t="s">
        <v>1039</v>
      </c>
      <c r="AI557">
        <v>70</v>
      </c>
      <c r="AJ557">
        <v>1850345</v>
      </c>
      <c r="AK557">
        <v>0</v>
      </c>
      <c r="AL557">
        <v>0</v>
      </c>
      <c r="AN557" t="s">
        <v>1703</v>
      </c>
      <c r="AO557">
        <v>3.45</v>
      </c>
      <c r="AV557" t="s">
        <v>1968</v>
      </c>
      <c r="AX557">
        <v>20170113</v>
      </c>
      <c r="AY557" t="s">
        <v>1939</v>
      </c>
      <c r="BG557" s="556" t="str">
        <f t="shared" si="56"/>
        <v>O</v>
      </c>
      <c r="BH557" s="556" t="str">
        <f t="shared" si="57"/>
        <v>Y</v>
      </c>
      <c r="BI557" s="556" t="str">
        <f t="shared" si="58"/>
        <v/>
      </c>
      <c r="BJ557" s="556" t="str">
        <f t="shared" si="59"/>
        <v>M4</v>
      </c>
      <c r="BK557" s="556" t="str">
        <f t="shared" si="60"/>
        <v>S4</v>
      </c>
      <c r="BL557" s="556" t="str">
        <f t="shared" si="61"/>
        <v/>
      </c>
      <c r="BM557" s="497">
        <f t="shared" si="62"/>
        <v>0</v>
      </c>
    </row>
    <row r="558" spans="2:65">
      <c r="B558" t="s">
        <v>2115</v>
      </c>
      <c r="C558" t="s">
        <v>1042</v>
      </c>
      <c r="D558" t="s">
        <v>1782</v>
      </c>
      <c r="F558" s="503">
        <v>44735</v>
      </c>
      <c r="H558" t="s">
        <v>2116</v>
      </c>
      <c r="I558" t="s">
        <v>1753</v>
      </c>
      <c r="J558">
        <v>0</v>
      </c>
      <c r="K558" t="s">
        <v>1756</v>
      </c>
      <c r="W558">
        <v>0.87</v>
      </c>
      <c r="X558">
        <v>0.84</v>
      </c>
      <c r="Y558">
        <v>0</v>
      </c>
      <c r="Z558">
        <v>0</v>
      </c>
      <c r="AA558">
        <v>0</v>
      </c>
      <c r="AE558">
        <v>0</v>
      </c>
      <c r="AI558">
        <v>84</v>
      </c>
      <c r="AJ558" t="s">
        <v>2117</v>
      </c>
      <c r="AK558">
        <v>0</v>
      </c>
      <c r="AN558" t="s">
        <v>2095</v>
      </c>
      <c r="AO558" t="s">
        <v>2111</v>
      </c>
      <c r="AX558">
        <v>20220623</v>
      </c>
      <c r="AY558" t="s">
        <v>1786</v>
      </c>
      <c r="BG558" s="556" t="str">
        <f t="shared" si="56"/>
        <v>X</v>
      </c>
      <c r="BH558" s="556" t="str">
        <f t="shared" si="57"/>
        <v>Y</v>
      </c>
      <c r="BI558" s="556" t="str">
        <f t="shared" si="58"/>
        <v/>
      </c>
      <c r="BJ558" s="556" t="str">
        <f t="shared" si="59"/>
        <v>Z</v>
      </c>
      <c r="BK558" s="556">
        <f t="shared" si="60"/>
        <v>0</v>
      </c>
      <c r="BL558" s="556" t="str">
        <f t="shared" si="61"/>
        <v/>
      </c>
      <c r="BM558" s="497">
        <f t="shared" si="62"/>
        <v>0</v>
      </c>
    </row>
    <row r="559" spans="2:65">
      <c r="B559" t="s">
        <v>2118</v>
      </c>
      <c r="C559" t="s">
        <v>1042</v>
      </c>
      <c r="D559" t="s">
        <v>1782</v>
      </c>
      <c r="F559" s="503">
        <v>44288</v>
      </c>
      <c r="H559" t="s">
        <v>1168</v>
      </c>
      <c r="I559" t="s">
        <v>1753</v>
      </c>
      <c r="J559">
        <v>0</v>
      </c>
      <c r="K559" t="s">
        <v>1756</v>
      </c>
      <c r="W559">
        <v>0.85</v>
      </c>
      <c r="X559">
        <v>0.85</v>
      </c>
      <c r="Y559">
        <v>0</v>
      </c>
      <c r="Z559">
        <v>0</v>
      </c>
      <c r="AA559">
        <v>0</v>
      </c>
      <c r="AE559">
        <v>0</v>
      </c>
      <c r="AI559">
        <v>84</v>
      </c>
      <c r="AJ559" t="s">
        <v>2119</v>
      </c>
      <c r="AK559">
        <v>0</v>
      </c>
      <c r="AN559" t="s">
        <v>1790</v>
      </c>
      <c r="AO559" t="s">
        <v>2111</v>
      </c>
      <c r="AX559">
        <v>20210402</v>
      </c>
      <c r="AY559" t="s">
        <v>1786</v>
      </c>
      <c r="BG559" s="556" t="str">
        <f t="shared" si="56"/>
        <v>X</v>
      </c>
      <c r="BH559" s="556" t="str">
        <f t="shared" si="57"/>
        <v>Y</v>
      </c>
      <c r="BI559" s="556" t="str">
        <f t="shared" si="58"/>
        <v/>
      </c>
      <c r="BJ559" s="556" t="str">
        <f t="shared" si="59"/>
        <v>Z</v>
      </c>
      <c r="BK559" s="556">
        <f t="shared" si="60"/>
        <v>0</v>
      </c>
      <c r="BL559" s="556" t="str">
        <f t="shared" si="61"/>
        <v/>
      </c>
      <c r="BM559" s="497">
        <f t="shared" si="62"/>
        <v>0</v>
      </c>
    </row>
    <row r="560" spans="2:65">
      <c r="B560" t="s">
        <v>1166</v>
      </c>
      <c r="C560" t="s">
        <v>1042</v>
      </c>
      <c r="D560" t="s">
        <v>1755</v>
      </c>
      <c r="F560" s="503">
        <v>43694</v>
      </c>
      <c r="H560" t="s">
        <v>1168</v>
      </c>
      <c r="I560" t="s">
        <v>1753</v>
      </c>
      <c r="J560">
        <v>2000</v>
      </c>
      <c r="K560" t="s">
        <v>1756</v>
      </c>
      <c r="W560">
        <v>0.86</v>
      </c>
      <c r="X560">
        <v>0.86</v>
      </c>
      <c r="Y560">
        <v>0</v>
      </c>
      <c r="Z560">
        <v>0</v>
      </c>
      <c r="AA560">
        <v>0</v>
      </c>
      <c r="AE560" t="s">
        <v>1039</v>
      </c>
      <c r="AI560">
        <v>12</v>
      </c>
      <c r="AJ560" t="s">
        <v>2119</v>
      </c>
      <c r="AK560">
        <v>0</v>
      </c>
      <c r="AN560" t="s">
        <v>1790</v>
      </c>
      <c r="AO560" t="s">
        <v>2111</v>
      </c>
      <c r="AX560">
        <v>20190817</v>
      </c>
      <c r="AY560" t="s">
        <v>2051</v>
      </c>
      <c r="BG560" s="556" t="str">
        <f t="shared" si="56"/>
        <v>X</v>
      </c>
      <c r="BH560" s="556" t="str">
        <f t="shared" si="57"/>
        <v/>
      </c>
      <c r="BI560" s="556" t="str">
        <f t="shared" si="58"/>
        <v/>
      </c>
      <c r="BJ560" s="556" t="str">
        <f t="shared" si="59"/>
        <v>Z</v>
      </c>
      <c r="BK560" s="556">
        <f t="shared" si="60"/>
        <v>0</v>
      </c>
      <c r="BL560" s="556" t="str">
        <f t="shared" si="61"/>
        <v/>
      </c>
      <c r="BM560" s="497">
        <f t="shared" si="62"/>
        <v>0</v>
      </c>
    </row>
    <row r="561" spans="1:65">
      <c r="B561" t="s">
        <v>1217</v>
      </c>
      <c r="C561" t="s">
        <v>1219</v>
      </c>
      <c r="D561" t="s">
        <v>2069</v>
      </c>
      <c r="F561" s="503">
        <v>43928</v>
      </c>
      <c r="H561" t="s">
        <v>1220</v>
      </c>
      <c r="I561" t="s">
        <v>1753</v>
      </c>
      <c r="J561">
        <v>1000</v>
      </c>
      <c r="K561" t="s">
        <v>1756</v>
      </c>
      <c r="W561">
        <v>0</v>
      </c>
      <c r="X561">
        <v>2.11</v>
      </c>
      <c r="Y561">
        <v>0</v>
      </c>
      <c r="Z561">
        <v>0</v>
      </c>
      <c r="AA561">
        <v>0</v>
      </c>
      <c r="AE561" t="s">
        <v>1039</v>
      </c>
      <c r="AI561">
        <v>12</v>
      </c>
      <c r="AJ561" t="s">
        <v>2120</v>
      </c>
      <c r="AK561">
        <v>0</v>
      </c>
      <c r="AL561">
        <v>0</v>
      </c>
      <c r="AN561" t="s">
        <v>1185</v>
      </c>
      <c r="AO561">
        <v>7</v>
      </c>
      <c r="AX561">
        <v>20200407</v>
      </c>
      <c r="AY561" t="s">
        <v>2051</v>
      </c>
      <c r="BG561" s="556" t="str">
        <f t="shared" si="56"/>
        <v>X</v>
      </c>
      <c r="BH561" s="556" t="str">
        <f t="shared" si="57"/>
        <v/>
      </c>
      <c r="BI561" s="556" t="str">
        <f t="shared" si="58"/>
        <v/>
      </c>
      <c r="BJ561" s="556" t="str">
        <f t="shared" si="59"/>
        <v>Z</v>
      </c>
      <c r="BK561" s="556">
        <f t="shared" si="60"/>
        <v>0</v>
      </c>
      <c r="BL561" s="556" t="str">
        <f t="shared" si="61"/>
        <v/>
      </c>
      <c r="BM561" s="497">
        <f t="shared" si="62"/>
        <v>0</v>
      </c>
    </row>
    <row r="562" spans="1:65">
      <c r="A562">
        <v>52016</v>
      </c>
      <c r="B562" t="s">
        <v>962</v>
      </c>
      <c r="C562" t="s">
        <v>963</v>
      </c>
      <c r="D562" t="s">
        <v>1755</v>
      </c>
      <c r="F562" s="503">
        <v>43915</v>
      </c>
      <c r="H562" t="s">
        <v>964</v>
      </c>
      <c r="I562" t="s">
        <v>1753</v>
      </c>
      <c r="J562">
        <v>1000</v>
      </c>
      <c r="K562" t="s">
        <v>1681</v>
      </c>
      <c r="O562" t="s">
        <v>2303</v>
      </c>
      <c r="W562">
        <v>2.42</v>
      </c>
      <c r="X562">
        <v>2.17</v>
      </c>
      <c r="Y562">
        <v>0</v>
      </c>
      <c r="Z562">
        <v>0</v>
      </c>
      <c r="AA562">
        <v>0</v>
      </c>
      <c r="AE562" t="s">
        <v>1761</v>
      </c>
      <c r="AI562">
        <v>57</v>
      </c>
      <c r="AJ562">
        <v>3020525</v>
      </c>
      <c r="AK562">
        <v>0</v>
      </c>
      <c r="AN562" t="s">
        <v>2629</v>
      </c>
      <c r="AO562">
        <v>5.25</v>
      </c>
      <c r="AX562">
        <v>20200325</v>
      </c>
      <c r="AY562" t="s">
        <v>1780</v>
      </c>
      <c r="BG562" s="556" t="str">
        <f t="shared" si="56"/>
        <v>O</v>
      </c>
      <c r="BH562" s="556" t="str">
        <f t="shared" si="57"/>
        <v/>
      </c>
      <c r="BI562" s="556" t="str">
        <f t="shared" si="58"/>
        <v/>
      </c>
      <c r="BJ562" s="556" t="str">
        <f t="shared" si="59"/>
        <v>6S</v>
      </c>
      <c r="BK562" s="556" t="str">
        <f t="shared" si="60"/>
        <v>M6</v>
      </c>
      <c r="BL562" s="556" t="str">
        <f t="shared" si="61"/>
        <v/>
      </c>
      <c r="BM562" s="497">
        <f t="shared" si="62"/>
        <v>52016</v>
      </c>
    </row>
    <row r="563" spans="1:65">
      <c r="A563">
        <v>51819</v>
      </c>
      <c r="B563" t="s">
        <v>2121</v>
      </c>
      <c r="C563" t="s">
        <v>878</v>
      </c>
      <c r="D563" t="s">
        <v>1772</v>
      </c>
      <c r="F563" s="503">
        <v>44077</v>
      </c>
      <c r="H563" t="s">
        <v>2122</v>
      </c>
      <c r="I563" t="s">
        <v>1753</v>
      </c>
      <c r="J563">
        <v>1000</v>
      </c>
      <c r="K563">
        <v>10</v>
      </c>
      <c r="L563" t="s">
        <v>1681</v>
      </c>
      <c r="O563" t="s">
        <v>2303</v>
      </c>
      <c r="W563">
        <v>2.7</v>
      </c>
      <c r="X563">
        <v>2.73</v>
      </c>
      <c r="Y563">
        <v>0</v>
      </c>
      <c r="Z563">
        <v>0</v>
      </c>
      <c r="AA563">
        <v>0</v>
      </c>
      <c r="AE563" t="s">
        <v>1761</v>
      </c>
      <c r="AI563">
        <v>57</v>
      </c>
      <c r="AJ563">
        <v>3020525</v>
      </c>
      <c r="AK563">
        <v>0</v>
      </c>
      <c r="AL563">
        <v>0</v>
      </c>
      <c r="AN563" t="s">
        <v>2629</v>
      </c>
      <c r="AO563">
        <v>5.25</v>
      </c>
      <c r="AX563">
        <v>20200903</v>
      </c>
      <c r="AY563" t="s">
        <v>1780</v>
      </c>
      <c r="BG563" s="556" t="str">
        <f t="shared" si="56"/>
        <v>O</v>
      </c>
      <c r="BH563" s="556" t="str">
        <f t="shared" si="57"/>
        <v/>
      </c>
      <c r="BI563" s="556" t="str">
        <f t="shared" si="58"/>
        <v/>
      </c>
      <c r="BJ563" s="556" t="str">
        <f t="shared" si="59"/>
        <v>10,6S</v>
      </c>
      <c r="BK563" s="556" t="str">
        <f t="shared" si="60"/>
        <v>M6</v>
      </c>
      <c r="BL563" s="556" t="str">
        <f t="shared" si="61"/>
        <v/>
      </c>
      <c r="BM563" s="497">
        <f t="shared" si="62"/>
        <v>51819</v>
      </c>
    </row>
    <row r="564" spans="1:65">
      <c r="A564">
        <v>52500</v>
      </c>
      <c r="B564" t="s">
        <v>1241</v>
      </c>
      <c r="C564" t="s">
        <v>1232</v>
      </c>
      <c r="D564" t="s">
        <v>2047</v>
      </c>
      <c r="F564" s="503">
        <v>43930</v>
      </c>
      <c r="H564" t="s">
        <v>1243</v>
      </c>
      <c r="I564" t="s">
        <v>1753</v>
      </c>
      <c r="J564">
        <v>2000</v>
      </c>
      <c r="K564" t="s">
        <v>1681</v>
      </c>
      <c r="O564" t="s">
        <v>2303</v>
      </c>
      <c r="W564">
        <v>2.1</v>
      </c>
      <c r="X564">
        <v>2.25</v>
      </c>
      <c r="Y564">
        <v>0</v>
      </c>
      <c r="Z564">
        <v>0</v>
      </c>
      <c r="AA564">
        <v>0</v>
      </c>
      <c r="AE564" t="s">
        <v>1039</v>
      </c>
      <c r="AI564">
        <v>57</v>
      </c>
      <c r="AJ564">
        <v>1000590</v>
      </c>
      <c r="AK564">
        <v>0</v>
      </c>
      <c r="AN564" t="s">
        <v>133</v>
      </c>
      <c r="AO564">
        <v>5.9</v>
      </c>
      <c r="AX564">
        <v>20200409</v>
      </c>
      <c r="AY564" t="s">
        <v>1780</v>
      </c>
      <c r="BG564" s="556" t="str">
        <f t="shared" si="56"/>
        <v>O</v>
      </c>
      <c r="BH564" s="556" t="str">
        <f t="shared" si="57"/>
        <v/>
      </c>
      <c r="BI564" s="556" t="str">
        <f t="shared" si="58"/>
        <v/>
      </c>
      <c r="BJ564" s="556" t="str">
        <f t="shared" si="59"/>
        <v>6S</v>
      </c>
      <c r="BK564" s="556" t="str">
        <f t="shared" si="60"/>
        <v>M6</v>
      </c>
      <c r="BL564" s="556" t="str">
        <f t="shared" si="61"/>
        <v/>
      </c>
      <c r="BM564" s="497">
        <f t="shared" si="62"/>
        <v>52500</v>
      </c>
    </row>
    <row r="565" spans="1:65">
      <c r="A565">
        <v>54003</v>
      </c>
      <c r="B565" t="s">
        <v>2123</v>
      </c>
      <c r="C565" t="s">
        <v>2124</v>
      </c>
      <c r="D565" t="s">
        <v>1807</v>
      </c>
      <c r="F565" s="503">
        <v>44792</v>
      </c>
      <c r="H565" t="s">
        <v>2125</v>
      </c>
      <c r="I565" t="s">
        <v>1753</v>
      </c>
      <c r="J565">
        <v>3000</v>
      </c>
      <c r="K565" t="s">
        <v>1681</v>
      </c>
      <c r="O565" t="s">
        <v>2303</v>
      </c>
      <c r="W565">
        <v>4.46</v>
      </c>
      <c r="X565">
        <v>4.46</v>
      </c>
      <c r="Y565">
        <v>0</v>
      </c>
      <c r="Z565">
        <v>0</v>
      </c>
      <c r="AA565">
        <v>0</v>
      </c>
      <c r="AE565" t="s">
        <v>1773</v>
      </c>
      <c r="AI565">
        <v>100</v>
      </c>
      <c r="AJ565">
        <v>1000525</v>
      </c>
      <c r="AK565">
        <v>0</v>
      </c>
      <c r="AN565" t="s">
        <v>133</v>
      </c>
      <c r="AO565">
        <v>5.25</v>
      </c>
      <c r="AX565">
        <v>20220819</v>
      </c>
      <c r="AY565" t="s">
        <v>2126</v>
      </c>
      <c r="BG565" s="556" t="str">
        <f t="shared" si="56"/>
        <v>O</v>
      </c>
      <c r="BH565" s="556" t="str">
        <f t="shared" si="57"/>
        <v/>
      </c>
      <c r="BI565" s="556" t="str">
        <f t="shared" si="58"/>
        <v/>
      </c>
      <c r="BJ565" s="556" t="str">
        <f t="shared" si="59"/>
        <v>6S</v>
      </c>
      <c r="BK565" s="556" t="str">
        <f t="shared" si="60"/>
        <v>M6</v>
      </c>
      <c r="BL565" s="556" t="str">
        <f t="shared" si="61"/>
        <v/>
      </c>
      <c r="BM565" s="497">
        <f t="shared" si="62"/>
        <v>54003</v>
      </c>
    </row>
    <row r="566" spans="1:65">
      <c r="A566">
        <v>32000</v>
      </c>
      <c r="B566" t="s">
        <v>948</v>
      </c>
      <c r="C566" t="s">
        <v>220</v>
      </c>
      <c r="D566" t="s">
        <v>2061</v>
      </c>
      <c r="F566" s="503">
        <v>43252</v>
      </c>
      <c r="H566" t="s">
        <v>2127</v>
      </c>
      <c r="I566" t="s">
        <v>1753</v>
      </c>
      <c r="J566">
        <v>1000</v>
      </c>
      <c r="K566" t="s">
        <v>1681</v>
      </c>
      <c r="O566" t="s">
        <v>2303</v>
      </c>
      <c r="W566">
        <v>3.47</v>
      </c>
      <c r="X566">
        <v>3.47</v>
      </c>
      <c r="Y566">
        <v>0</v>
      </c>
      <c r="Z566">
        <v>0</v>
      </c>
      <c r="AA566">
        <v>0</v>
      </c>
      <c r="AE566" t="s">
        <v>1761</v>
      </c>
      <c r="AI566">
        <v>57</v>
      </c>
      <c r="AJ566">
        <v>3020525</v>
      </c>
      <c r="AK566">
        <v>0</v>
      </c>
      <c r="AL566">
        <v>0</v>
      </c>
      <c r="AN566" t="s">
        <v>2629</v>
      </c>
      <c r="AO566">
        <v>5.25</v>
      </c>
      <c r="AX566">
        <v>20180601</v>
      </c>
      <c r="AY566" t="s">
        <v>1780</v>
      </c>
      <c r="BG566" s="556" t="str">
        <f t="shared" si="56"/>
        <v>O</v>
      </c>
      <c r="BH566" s="556" t="str">
        <f t="shared" si="57"/>
        <v/>
      </c>
      <c r="BI566" s="556" t="str">
        <f t="shared" si="58"/>
        <v/>
      </c>
      <c r="BJ566" s="556" t="str">
        <f t="shared" si="59"/>
        <v>6S</v>
      </c>
      <c r="BK566" s="556" t="str">
        <f t="shared" si="60"/>
        <v>M6</v>
      </c>
      <c r="BL566" s="556" t="str">
        <f t="shared" si="61"/>
        <v/>
      </c>
      <c r="BM566" s="497">
        <f t="shared" si="62"/>
        <v>32000</v>
      </c>
    </row>
    <row r="567" spans="1:65">
      <c r="A567">
        <v>50904</v>
      </c>
      <c r="B567" t="s">
        <v>1013</v>
      </c>
      <c r="C567" t="s">
        <v>1006</v>
      </c>
      <c r="D567" t="s">
        <v>2061</v>
      </c>
      <c r="F567" s="503">
        <v>43252</v>
      </c>
      <c r="H567" t="s">
        <v>2127</v>
      </c>
      <c r="I567" t="s">
        <v>1753</v>
      </c>
      <c r="J567">
        <v>500</v>
      </c>
      <c r="K567" t="s">
        <v>1681</v>
      </c>
      <c r="O567" t="s">
        <v>2304</v>
      </c>
      <c r="W567">
        <v>3.66</v>
      </c>
      <c r="X567">
        <v>3.66</v>
      </c>
      <c r="Y567">
        <v>0</v>
      </c>
      <c r="Z567">
        <v>0</v>
      </c>
      <c r="AA567">
        <v>0</v>
      </c>
      <c r="AE567" t="s">
        <v>2128</v>
      </c>
      <c r="AI567">
        <v>18</v>
      </c>
      <c r="AJ567">
        <v>2700525</v>
      </c>
      <c r="AK567">
        <v>0</v>
      </c>
      <c r="AL567">
        <v>0</v>
      </c>
      <c r="AN567" t="s">
        <v>1731</v>
      </c>
      <c r="AO567">
        <v>5.25</v>
      </c>
      <c r="AX567">
        <v>20180601</v>
      </c>
      <c r="AY567" t="s">
        <v>1800</v>
      </c>
      <c r="AZ567" t="s">
        <v>2129</v>
      </c>
      <c r="BA567" t="s">
        <v>3008</v>
      </c>
      <c r="BG567" s="556" t="str">
        <f t="shared" si="56"/>
        <v>O</v>
      </c>
      <c r="BH567" s="556" t="str">
        <f t="shared" si="57"/>
        <v>Y</v>
      </c>
      <c r="BI567" s="556" t="str">
        <f t="shared" si="58"/>
        <v/>
      </c>
      <c r="BJ567" s="556" t="str">
        <f t="shared" si="59"/>
        <v>6S</v>
      </c>
      <c r="BK567" s="556" t="str">
        <f t="shared" si="60"/>
        <v>S3</v>
      </c>
      <c r="BL567" s="556" t="str">
        <f t="shared" si="61"/>
        <v/>
      </c>
      <c r="BM567" s="497">
        <f t="shared" si="62"/>
        <v>50904</v>
      </c>
    </row>
    <row r="568" spans="1:65">
      <c r="A568">
        <v>40030</v>
      </c>
      <c r="B568" t="s">
        <v>1741</v>
      </c>
      <c r="C568" t="s">
        <v>2130</v>
      </c>
      <c r="D568" t="s">
        <v>1803</v>
      </c>
      <c r="F568" s="503">
        <v>44604</v>
      </c>
      <c r="H568" t="s">
        <v>2127</v>
      </c>
      <c r="I568" t="s">
        <v>1753</v>
      </c>
      <c r="J568">
        <v>1000</v>
      </c>
      <c r="K568" t="s">
        <v>1681</v>
      </c>
      <c r="O568" t="s">
        <v>2303</v>
      </c>
      <c r="S568" t="s">
        <v>2301</v>
      </c>
      <c r="W568">
        <v>3.29</v>
      </c>
      <c r="X568">
        <v>3.47</v>
      </c>
      <c r="Y568">
        <v>0</v>
      </c>
      <c r="Z568">
        <v>0</v>
      </c>
      <c r="AA568">
        <v>2</v>
      </c>
      <c r="AE568" t="s">
        <v>1039</v>
      </c>
      <c r="AI568">
        <v>94</v>
      </c>
      <c r="AJ568">
        <v>1850485</v>
      </c>
      <c r="AK568">
        <v>0</v>
      </c>
      <c r="AL568">
        <v>0</v>
      </c>
      <c r="AN568" t="s">
        <v>1703</v>
      </c>
      <c r="AO568">
        <v>4.8499999999999996</v>
      </c>
      <c r="AR568" t="s">
        <v>2948</v>
      </c>
      <c r="AX568">
        <v>20220212</v>
      </c>
      <c r="AY568" t="s">
        <v>2131</v>
      </c>
      <c r="BG568" s="556" t="str">
        <f t="shared" si="56"/>
        <v>O</v>
      </c>
      <c r="BH568" s="556" t="str">
        <f t="shared" si="57"/>
        <v/>
      </c>
      <c r="BI568" s="556" t="str">
        <f t="shared" si="58"/>
        <v/>
      </c>
      <c r="BJ568" s="556" t="str">
        <f t="shared" si="59"/>
        <v>6S</v>
      </c>
      <c r="BK568" s="556" t="str">
        <f t="shared" si="60"/>
        <v>M6</v>
      </c>
      <c r="BL568" s="556" t="str">
        <f t="shared" si="61"/>
        <v>CT</v>
      </c>
      <c r="BM568" s="497">
        <f t="shared" si="62"/>
        <v>40030</v>
      </c>
    </row>
    <row r="569" spans="1:65">
      <c r="A569">
        <v>32009</v>
      </c>
      <c r="B569" t="s">
        <v>1015</v>
      </c>
      <c r="C569" t="s">
        <v>1012</v>
      </c>
      <c r="D569" t="s">
        <v>2061</v>
      </c>
      <c r="F569" s="503">
        <v>43488</v>
      </c>
      <c r="H569" t="s">
        <v>1017</v>
      </c>
      <c r="I569" t="s">
        <v>1753</v>
      </c>
      <c r="J569">
        <v>500</v>
      </c>
      <c r="K569" t="s">
        <v>1756</v>
      </c>
      <c r="O569" t="s">
        <v>2303</v>
      </c>
      <c r="W569">
        <v>6.21</v>
      </c>
      <c r="X569">
        <v>4.5999999999999996</v>
      </c>
      <c r="Y569">
        <v>0</v>
      </c>
      <c r="Z569">
        <v>0</v>
      </c>
      <c r="AA569">
        <v>0</v>
      </c>
      <c r="AE569" t="s">
        <v>1761</v>
      </c>
      <c r="AI569">
        <v>57</v>
      </c>
      <c r="AJ569">
        <v>2700525</v>
      </c>
      <c r="AK569">
        <v>0</v>
      </c>
      <c r="AN569" t="s">
        <v>1731</v>
      </c>
      <c r="AO569">
        <v>5.25</v>
      </c>
      <c r="AX569">
        <v>20190123</v>
      </c>
      <c r="AY569" t="s">
        <v>1780</v>
      </c>
      <c r="BG569" s="556" t="str">
        <f t="shared" si="56"/>
        <v>O</v>
      </c>
      <c r="BH569" s="556" t="str">
        <f t="shared" si="57"/>
        <v/>
      </c>
      <c r="BI569" s="556" t="str">
        <f t="shared" si="58"/>
        <v/>
      </c>
      <c r="BJ569" s="556" t="str">
        <f t="shared" si="59"/>
        <v>Z</v>
      </c>
      <c r="BK569" s="556" t="str">
        <f t="shared" si="60"/>
        <v>M6</v>
      </c>
      <c r="BL569" s="556" t="str">
        <f t="shared" si="61"/>
        <v/>
      </c>
      <c r="BM569" s="497">
        <f t="shared" si="62"/>
        <v>32009</v>
      </c>
    </row>
    <row r="570" spans="1:65">
      <c r="A570">
        <v>40039</v>
      </c>
      <c r="B570" t="s">
        <v>3122</v>
      </c>
      <c r="C570" t="s">
        <v>2408</v>
      </c>
      <c r="D570" t="s">
        <v>1803</v>
      </c>
      <c r="F570" s="503">
        <v>45010</v>
      </c>
      <c r="H570" t="s">
        <v>2409</v>
      </c>
      <c r="I570" t="s">
        <v>1753</v>
      </c>
      <c r="J570">
        <v>1000</v>
      </c>
      <c r="K570">
        <v>9</v>
      </c>
      <c r="O570" t="s">
        <v>2303</v>
      </c>
      <c r="W570">
        <v>4.3499999999999996</v>
      </c>
      <c r="X570">
        <v>3.93</v>
      </c>
      <c r="Y570">
        <v>0</v>
      </c>
      <c r="Z570">
        <v>0</v>
      </c>
      <c r="AA570">
        <v>2</v>
      </c>
      <c r="AE570" t="s">
        <v>1039</v>
      </c>
      <c r="AI570">
        <v>60</v>
      </c>
      <c r="AJ570">
        <v>1850525</v>
      </c>
      <c r="AK570">
        <v>0</v>
      </c>
      <c r="AN570" t="s">
        <v>1703</v>
      </c>
      <c r="AO570">
        <v>5.25</v>
      </c>
      <c r="AX570">
        <v>20230325</v>
      </c>
      <c r="AY570" t="s">
        <v>1754</v>
      </c>
      <c r="BG570" s="556" t="str">
        <f t="shared" si="56"/>
        <v>O</v>
      </c>
      <c r="BH570" s="556" t="str">
        <f t="shared" si="57"/>
        <v/>
      </c>
      <c r="BI570" s="556" t="str">
        <f t="shared" si="58"/>
        <v/>
      </c>
      <c r="BJ570" s="556">
        <f t="shared" si="59"/>
        <v>9</v>
      </c>
      <c r="BK570" s="556" t="str">
        <f t="shared" si="60"/>
        <v>M6</v>
      </c>
      <c r="BL570" s="556" t="str">
        <f t="shared" si="61"/>
        <v/>
      </c>
      <c r="BM570" s="497">
        <f t="shared" si="62"/>
        <v>40039</v>
      </c>
    </row>
    <row r="571" spans="1:65">
      <c r="A571">
        <v>20090</v>
      </c>
      <c r="B571" t="s">
        <v>2757</v>
      </c>
      <c r="C571" t="s">
        <v>1953</v>
      </c>
      <c r="D571" t="s">
        <v>1774</v>
      </c>
      <c r="F571" s="503">
        <v>45366</v>
      </c>
      <c r="I571" t="s">
        <v>1753</v>
      </c>
      <c r="J571">
        <v>0</v>
      </c>
      <c r="K571" t="s">
        <v>1681</v>
      </c>
      <c r="O571" t="s">
        <v>2303</v>
      </c>
      <c r="W571">
        <v>6.57</v>
      </c>
      <c r="X571">
        <v>6.57</v>
      </c>
      <c r="Y571">
        <v>0</v>
      </c>
      <c r="Z571">
        <v>0</v>
      </c>
      <c r="AA571">
        <v>2</v>
      </c>
      <c r="AE571" t="s">
        <v>1039</v>
      </c>
      <c r="AI571">
        <v>60</v>
      </c>
      <c r="AJ571">
        <v>1860545</v>
      </c>
      <c r="AK571">
        <v>0</v>
      </c>
      <c r="AL571">
        <v>0</v>
      </c>
      <c r="AN571" t="s">
        <v>1704</v>
      </c>
      <c r="AO571">
        <v>5.45</v>
      </c>
      <c r="AX571">
        <v>20240315</v>
      </c>
      <c r="AY571" t="s">
        <v>1754</v>
      </c>
      <c r="BG571" s="556" t="str">
        <f t="shared" si="56"/>
        <v>O</v>
      </c>
      <c r="BH571" s="556" t="str">
        <f t="shared" si="57"/>
        <v/>
      </c>
      <c r="BI571" s="556" t="str">
        <f t="shared" si="58"/>
        <v/>
      </c>
      <c r="BJ571" s="556" t="str">
        <f t="shared" si="59"/>
        <v>6S</v>
      </c>
      <c r="BK571" s="556" t="str">
        <f t="shared" si="60"/>
        <v>M6</v>
      </c>
      <c r="BL571" s="556" t="str">
        <f t="shared" si="61"/>
        <v/>
      </c>
      <c r="BM571" s="497">
        <f t="shared" si="62"/>
        <v>20090</v>
      </c>
    </row>
    <row r="572" spans="1:65">
      <c r="A572">
        <v>32001</v>
      </c>
      <c r="B572" t="s">
        <v>951</v>
      </c>
      <c r="C572" t="s">
        <v>220</v>
      </c>
      <c r="D572" t="s">
        <v>2061</v>
      </c>
      <c r="F572" s="503">
        <v>43252</v>
      </c>
      <c r="H572" t="s">
        <v>1003</v>
      </c>
      <c r="I572" t="s">
        <v>1753</v>
      </c>
      <c r="J572">
        <v>500</v>
      </c>
      <c r="K572" t="s">
        <v>1681</v>
      </c>
      <c r="O572" t="s">
        <v>2303</v>
      </c>
      <c r="W572">
        <v>4.51</v>
      </c>
      <c r="X572">
        <v>4.51</v>
      </c>
      <c r="Y572">
        <v>0</v>
      </c>
      <c r="Z572">
        <v>0</v>
      </c>
      <c r="AA572">
        <v>0</v>
      </c>
      <c r="AE572" t="s">
        <v>1761</v>
      </c>
      <c r="AI572">
        <v>57</v>
      </c>
      <c r="AJ572">
        <v>3020525</v>
      </c>
      <c r="AK572">
        <v>0</v>
      </c>
      <c r="AL572">
        <v>0</v>
      </c>
      <c r="AN572" t="s">
        <v>2629</v>
      </c>
      <c r="AO572">
        <v>5.25</v>
      </c>
      <c r="AX572">
        <v>20180601</v>
      </c>
      <c r="AY572" t="s">
        <v>1780</v>
      </c>
      <c r="BG572" s="556" t="str">
        <f t="shared" si="56"/>
        <v>O</v>
      </c>
      <c r="BH572" s="556" t="str">
        <f t="shared" si="57"/>
        <v/>
      </c>
      <c r="BI572" s="556" t="str">
        <f t="shared" si="58"/>
        <v/>
      </c>
      <c r="BJ572" s="556" t="str">
        <f t="shared" si="59"/>
        <v>6S</v>
      </c>
      <c r="BK572" s="556" t="str">
        <f t="shared" si="60"/>
        <v>M6</v>
      </c>
      <c r="BL572" s="556" t="str">
        <f t="shared" si="61"/>
        <v/>
      </c>
      <c r="BM572" s="497">
        <f t="shared" si="62"/>
        <v>32001</v>
      </c>
    </row>
    <row r="573" spans="1:65">
      <c r="A573">
        <v>53604</v>
      </c>
      <c r="B573" t="s">
        <v>2410</v>
      </c>
      <c r="C573" t="s">
        <v>2398</v>
      </c>
      <c r="D573" t="s">
        <v>2191</v>
      </c>
      <c r="F573" s="503">
        <v>45010</v>
      </c>
      <c r="H573" t="s">
        <v>2134</v>
      </c>
      <c r="I573" t="s">
        <v>1753</v>
      </c>
      <c r="J573">
        <v>0</v>
      </c>
      <c r="K573" t="s">
        <v>1681</v>
      </c>
      <c r="O573" t="s">
        <v>2303</v>
      </c>
      <c r="W573">
        <v>5.63</v>
      </c>
      <c r="X573">
        <v>5.63</v>
      </c>
      <c r="Y573">
        <v>0</v>
      </c>
      <c r="Z573">
        <v>0</v>
      </c>
      <c r="AA573">
        <v>0</v>
      </c>
      <c r="AE573" t="s">
        <v>2079</v>
      </c>
      <c r="AI573">
        <v>87</v>
      </c>
      <c r="AJ573">
        <v>3020525</v>
      </c>
      <c r="AK573">
        <v>0</v>
      </c>
      <c r="AN573" t="s">
        <v>2629</v>
      </c>
      <c r="AO573">
        <v>5.25</v>
      </c>
      <c r="AU573" t="s">
        <v>3225</v>
      </c>
      <c r="AX573">
        <v>20230325</v>
      </c>
      <c r="AY573" t="s">
        <v>2072</v>
      </c>
      <c r="BG573" s="556" t="str">
        <f t="shared" si="56"/>
        <v>O</v>
      </c>
      <c r="BH573" s="556" t="str">
        <f t="shared" si="57"/>
        <v/>
      </c>
      <c r="BI573" s="556" t="str">
        <f t="shared" si="58"/>
        <v>Y</v>
      </c>
      <c r="BJ573" s="556" t="str">
        <f t="shared" si="59"/>
        <v>6S</v>
      </c>
      <c r="BK573" s="556" t="str">
        <f t="shared" si="60"/>
        <v>M6</v>
      </c>
      <c r="BL573" s="556" t="str">
        <f t="shared" si="61"/>
        <v/>
      </c>
      <c r="BM573" s="497">
        <f t="shared" si="62"/>
        <v>53604</v>
      </c>
    </row>
    <row r="574" spans="1:65">
      <c r="A574">
        <v>50640</v>
      </c>
      <c r="B574" t="s">
        <v>1001</v>
      </c>
      <c r="C574" t="s">
        <v>1002</v>
      </c>
      <c r="D574" t="s">
        <v>1829</v>
      </c>
      <c r="F574" s="503">
        <v>43803</v>
      </c>
      <c r="H574" t="s">
        <v>1003</v>
      </c>
      <c r="I574" t="s">
        <v>1753</v>
      </c>
      <c r="J574">
        <v>1000</v>
      </c>
      <c r="K574" t="s">
        <v>1681</v>
      </c>
      <c r="O574" t="s">
        <v>2303</v>
      </c>
      <c r="S574" t="s">
        <v>2301</v>
      </c>
      <c r="W574">
        <v>4.8600000000000003</v>
      </c>
      <c r="X574">
        <v>4.9000000000000004</v>
      </c>
      <c r="Y574">
        <v>0</v>
      </c>
      <c r="Z574">
        <v>0</v>
      </c>
      <c r="AA574">
        <v>2</v>
      </c>
      <c r="AE574" t="s">
        <v>1039</v>
      </c>
      <c r="AI574">
        <v>69</v>
      </c>
      <c r="AJ574">
        <v>1850525</v>
      </c>
      <c r="AK574">
        <v>0</v>
      </c>
      <c r="AL574">
        <v>0</v>
      </c>
      <c r="AN574" t="s">
        <v>1703</v>
      </c>
      <c r="AO574">
        <v>5.25</v>
      </c>
      <c r="AR574" t="s">
        <v>2948</v>
      </c>
      <c r="AX574">
        <v>20191204</v>
      </c>
      <c r="AY574" t="s">
        <v>1830</v>
      </c>
      <c r="BG574" s="556" t="str">
        <f t="shared" si="56"/>
        <v>O</v>
      </c>
      <c r="BH574" s="556" t="str">
        <f t="shared" si="57"/>
        <v/>
      </c>
      <c r="BI574" s="556" t="str">
        <f t="shared" si="58"/>
        <v/>
      </c>
      <c r="BJ574" s="556" t="str">
        <f t="shared" si="59"/>
        <v>6S</v>
      </c>
      <c r="BK574" s="556" t="str">
        <f t="shared" si="60"/>
        <v>M6</v>
      </c>
      <c r="BL574" s="556" t="str">
        <f t="shared" si="61"/>
        <v>CT</v>
      </c>
      <c r="BM574" s="497">
        <f t="shared" si="62"/>
        <v>50640</v>
      </c>
    </row>
    <row r="575" spans="1:65">
      <c r="A575">
        <v>52022</v>
      </c>
      <c r="B575" t="s">
        <v>2132</v>
      </c>
      <c r="C575" t="s">
        <v>2133</v>
      </c>
      <c r="D575" t="s">
        <v>1755</v>
      </c>
      <c r="F575" s="503">
        <v>44686</v>
      </c>
      <c r="H575" t="s">
        <v>2134</v>
      </c>
      <c r="I575" t="s">
        <v>1753</v>
      </c>
      <c r="J575">
        <v>2000</v>
      </c>
      <c r="K575" t="s">
        <v>1706</v>
      </c>
      <c r="O575" t="s">
        <v>2304</v>
      </c>
      <c r="W575">
        <v>4.9800000000000004</v>
      </c>
      <c r="X575">
        <v>10.28</v>
      </c>
      <c r="Y575">
        <v>0</v>
      </c>
      <c r="Z575">
        <v>0</v>
      </c>
      <c r="AA575">
        <v>0</v>
      </c>
      <c r="AE575" t="s">
        <v>1761</v>
      </c>
      <c r="AI575">
        <v>18</v>
      </c>
      <c r="AJ575">
        <v>3020525</v>
      </c>
      <c r="AK575">
        <v>0</v>
      </c>
      <c r="AN575" t="s">
        <v>2629</v>
      </c>
      <c r="AO575">
        <v>5.25</v>
      </c>
      <c r="AX575">
        <v>20220505</v>
      </c>
      <c r="AY575" t="s">
        <v>1800</v>
      </c>
      <c r="AZ575" t="s">
        <v>2112</v>
      </c>
      <c r="BA575" t="s">
        <v>2115</v>
      </c>
      <c r="BG575" s="556" t="str">
        <f t="shared" si="56"/>
        <v>O</v>
      </c>
      <c r="BH575" s="556" t="str">
        <f t="shared" si="57"/>
        <v>Y</v>
      </c>
      <c r="BI575" s="556" t="str">
        <f t="shared" si="58"/>
        <v/>
      </c>
      <c r="BJ575" s="556" t="str">
        <f t="shared" si="59"/>
        <v>6L</v>
      </c>
      <c r="BK575" s="556" t="str">
        <f t="shared" si="60"/>
        <v>S3</v>
      </c>
      <c r="BL575" s="556" t="str">
        <f t="shared" si="61"/>
        <v/>
      </c>
      <c r="BM575" s="497">
        <f t="shared" si="62"/>
        <v>52022</v>
      </c>
    </row>
    <row r="576" spans="1:65">
      <c r="A576">
        <v>53500</v>
      </c>
      <c r="B576" t="s">
        <v>2135</v>
      </c>
      <c r="C576" t="s">
        <v>2136</v>
      </c>
      <c r="D576" t="s">
        <v>2137</v>
      </c>
      <c r="F576" s="503">
        <v>44798</v>
      </c>
      <c r="H576" t="s">
        <v>1003</v>
      </c>
      <c r="J576">
        <v>600</v>
      </c>
      <c r="K576" t="s">
        <v>1681</v>
      </c>
      <c r="O576" t="s">
        <v>2303</v>
      </c>
      <c r="W576">
        <v>5.12</v>
      </c>
      <c r="X576">
        <v>4.8</v>
      </c>
      <c r="Y576">
        <v>0</v>
      </c>
      <c r="Z576">
        <v>0</v>
      </c>
      <c r="AA576">
        <v>3</v>
      </c>
      <c r="AE576" t="s">
        <v>2700</v>
      </c>
      <c r="AI576">
        <v>60</v>
      </c>
      <c r="AJ576">
        <v>4360525</v>
      </c>
      <c r="AK576">
        <v>0</v>
      </c>
      <c r="AN576" t="s">
        <v>134</v>
      </c>
      <c r="AO576">
        <v>5.25</v>
      </c>
      <c r="AX576">
        <v>20220825</v>
      </c>
      <c r="AY576" t="s">
        <v>1754</v>
      </c>
      <c r="BG576" s="556" t="str">
        <f t="shared" si="56"/>
        <v>O</v>
      </c>
      <c r="BH576" s="556" t="str">
        <f t="shared" si="57"/>
        <v/>
      </c>
      <c r="BI576" s="556" t="str">
        <f t="shared" si="58"/>
        <v/>
      </c>
      <c r="BJ576" s="556" t="str">
        <f t="shared" si="59"/>
        <v>6S</v>
      </c>
      <c r="BK576" s="556" t="str">
        <f t="shared" si="60"/>
        <v>M6</v>
      </c>
      <c r="BL576" s="556" t="str">
        <f t="shared" si="61"/>
        <v/>
      </c>
      <c r="BM576" s="497">
        <f t="shared" si="62"/>
        <v>53500</v>
      </c>
    </row>
    <row r="577" spans="1:65">
      <c r="A577">
        <v>40037</v>
      </c>
      <c r="B577" t="s">
        <v>2411</v>
      </c>
      <c r="C577" t="s">
        <v>2412</v>
      </c>
      <c r="D577" t="s">
        <v>1803</v>
      </c>
      <c r="F577" s="503">
        <v>45010</v>
      </c>
      <c r="H577" t="s">
        <v>2413</v>
      </c>
      <c r="I577" t="s">
        <v>1753</v>
      </c>
      <c r="J577">
        <v>0</v>
      </c>
      <c r="K577" t="s">
        <v>1681</v>
      </c>
      <c r="O577" t="s">
        <v>2303</v>
      </c>
      <c r="W577">
        <v>4.5</v>
      </c>
      <c r="X577">
        <v>4.5</v>
      </c>
      <c r="Y577">
        <v>0</v>
      </c>
      <c r="Z577">
        <v>0</v>
      </c>
      <c r="AA577">
        <v>2</v>
      </c>
      <c r="AE577" t="s">
        <v>3189</v>
      </c>
      <c r="AI577">
        <v>60</v>
      </c>
      <c r="AJ577">
        <v>1850525</v>
      </c>
      <c r="AK577">
        <v>0</v>
      </c>
      <c r="AN577" t="s">
        <v>1703</v>
      </c>
      <c r="AO577">
        <v>5.25</v>
      </c>
      <c r="AX577">
        <v>20230325</v>
      </c>
      <c r="AY577" t="s">
        <v>1754</v>
      </c>
      <c r="BG577" s="556" t="str">
        <f t="shared" si="56"/>
        <v>O</v>
      </c>
      <c r="BH577" s="556" t="str">
        <f t="shared" si="57"/>
        <v/>
      </c>
      <c r="BI577" s="556" t="str">
        <f t="shared" si="58"/>
        <v/>
      </c>
      <c r="BJ577" s="556" t="str">
        <f t="shared" si="59"/>
        <v>6S</v>
      </c>
      <c r="BK577" s="556" t="str">
        <f t="shared" si="60"/>
        <v>M6</v>
      </c>
      <c r="BL577" s="556" t="str">
        <f t="shared" si="61"/>
        <v/>
      </c>
      <c r="BM577" s="497">
        <f t="shared" si="62"/>
        <v>40037</v>
      </c>
    </row>
    <row r="578" spans="1:65">
      <c r="A578">
        <v>20400</v>
      </c>
      <c r="B578" t="s">
        <v>453</v>
      </c>
      <c r="C578" t="s">
        <v>455</v>
      </c>
      <c r="D578" t="s">
        <v>2075</v>
      </c>
      <c r="F578" s="503">
        <v>42748</v>
      </c>
      <c r="H578" t="s">
        <v>456</v>
      </c>
      <c r="I578" t="s">
        <v>1753</v>
      </c>
      <c r="J578">
        <v>1500</v>
      </c>
      <c r="K578">
        <v>8</v>
      </c>
      <c r="W578">
        <v>9.8000000000000007</v>
      </c>
      <c r="X578">
        <v>9.8000000000000007</v>
      </c>
      <c r="Y578">
        <v>0</v>
      </c>
      <c r="Z578">
        <v>0</v>
      </c>
      <c r="AA578">
        <v>0</v>
      </c>
      <c r="AE578">
        <v>0</v>
      </c>
      <c r="AI578">
        <v>79</v>
      </c>
      <c r="AJ578">
        <v>1000676</v>
      </c>
      <c r="AK578">
        <v>0</v>
      </c>
      <c r="AL578">
        <v>0</v>
      </c>
      <c r="AN578" t="s">
        <v>133</v>
      </c>
      <c r="AO578">
        <v>6.76</v>
      </c>
      <c r="AX578">
        <v>20170113</v>
      </c>
      <c r="AY578" t="s">
        <v>1972</v>
      </c>
      <c r="BG578" s="556" t="str">
        <f t="shared" si="56"/>
        <v>O</v>
      </c>
      <c r="BH578" s="556" t="str">
        <f t="shared" si="57"/>
        <v/>
      </c>
      <c r="BI578" s="556" t="str">
        <f t="shared" si="58"/>
        <v/>
      </c>
      <c r="BJ578" s="556">
        <f t="shared" si="59"/>
        <v>8</v>
      </c>
      <c r="BK578" s="556">
        <f t="shared" si="60"/>
        <v>0</v>
      </c>
      <c r="BL578" s="556" t="str">
        <f t="shared" si="61"/>
        <v/>
      </c>
      <c r="BM578" s="497">
        <f t="shared" si="62"/>
        <v>20400</v>
      </c>
    </row>
    <row r="579" spans="1:65">
      <c r="A579">
        <v>40043</v>
      </c>
      <c r="B579" t="s">
        <v>2682</v>
      </c>
      <c r="C579" t="s">
        <v>2690</v>
      </c>
      <c r="D579" t="s">
        <v>1803</v>
      </c>
      <c r="F579" s="503">
        <v>45238</v>
      </c>
      <c r="H579" t="s">
        <v>2139</v>
      </c>
      <c r="I579" t="s">
        <v>1753</v>
      </c>
      <c r="J579">
        <v>600</v>
      </c>
      <c r="K579" t="s">
        <v>1681</v>
      </c>
      <c r="O579" t="s">
        <v>2303</v>
      </c>
      <c r="W579">
        <v>5.26</v>
      </c>
      <c r="X579">
        <v>4.8</v>
      </c>
      <c r="Y579">
        <v>0</v>
      </c>
      <c r="Z579">
        <v>0</v>
      </c>
      <c r="AA579">
        <v>2</v>
      </c>
      <c r="AE579" t="s">
        <v>1039</v>
      </c>
      <c r="AI579">
        <v>60</v>
      </c>
      <c r="AJ579">
        <v>1850485</v>
      </c>
      <c r="AK579">
        <v>0</v>
      </c>
      <c r="AL579">
        <v>0</v>
      </c>
      <c r="AN579" t="s">
        <v>1703</v>
      </c>
      <c r="AO579">
        <v>4.8499999999999996</v>
      </c>
      <c r="AX579">
        <v>20231108</v>
      </c>
      <c r="AY579" t="s">
        <v>1754</v>
      </c>
      <c r="BG579" s="556" t="str">
        <f t="shared" ref="BG579:BG642" si="63">IF(LEFT(AY579,2)="98","X","O")</f>
        <v>O</v>
      </c>
      <c r="BH579" s="556" t="str">
        <f t="shared" ref="BH579:BH642" si="64">IF(IFERROR(SEARCH("45",$AY579,1),0)&gt;0,"Y","")</f>
        <v/>
      </c>
      <c r="BI579" s="556" t="str">
        <f t="shared" ref="BI579:BI642" si="65">IF(IFERROR(SEARCH("86",$AY579,1),0)&gt;0,"Y","")</f>
        <v/>
      </c>
      <c r="BJ579" s="556" t="str">
        <f t="shared" ref="BJ579:BJ642" si="66">IF(L579="",K579,IF(M579="",K579&amp;","&amp;L579,IF(N579="",K579&amp;","&amp;L579&amp;","&amp;M579,K579&amp;","&amp;L579&amp;","&amp;M579&amp;","&amp;N579)))</f>
        <v>6S</v>
      </c>
      <c r="BK579" s="556" t="str">
        <f t="shared" ref="BK579:BK642" si="67">IF(P579="",O579,IF(Q579="",O579&amp;","&amp;P579,IF(R579="",O579&amp;","&amp;P579&amp;","&amp;Q579,IO579&amp;","&amp;P579&amp;","&amp;Q579&amp;","&amp;R579)))</f>
        <v>M6</v>
      </c>
      <c r="BL579" s="556" t="str">
        <f t="shared" ref="BL579:BL642" si="68">IF(S579=0,"",S579)</f>
        <v/>
      </c>
      <c r="BM579" s="497">
        <f t="shared" ref="BM579:BM642" si="69">A579</f>
        <v>40043</v>
      </c>
    </row>
    <row r="580" spans="1:65">
      <c r="A580">
        <v>40044</v>
      </c>
      <c r="B580" t="s">
        <v>2806</v>
      </c>
      <c r="C580" t="s">
        <v>2807</v>
      </c>
      <c r="D580" t="s">
        <v>1803</v>
      </c>
      <c r="F580" s="503">
        <v>45432</v>
      </c>
      <c r="H580" t="s">
        <v>2738</v>
      </c>
      <c r="I580" t="s">
        <v>1753</v>
      </c>
      <c r="J580">
        <v>600</v>
      </c>
      <c r="K580" t="s">
        <v>1681</v>
      </c>
      <c r="O580" t="s">
        <v>2303</v>
      </c>
      <c r="W580">
        <v>6.65</v>
      </c>
      <c r="X580">
        <v>6.95</v>
      </c>
      <c r="Y580">
        <v>0</v>
      </c>
      <c r="Z580">
        <v>0</v>
      </c>
      <c r="AA580">
        <v>2</v>
      </c>
      <c r="AE580" t="s">
        <v>1773</v>
      </c>
      <c r="AI580">
        <v>60</v>
      </c>
      <c r="AJ580">
        <v>1860545</v>
      </c>
      <c r="AK580">
        <v>0</v>
      </c>
      <c r="AL580">
        <v>0</v>
      </c>
      <c r="AN580" t="s">
        <v>1704</v>
      </c>
      <c r="AO580">
        <v>5.45</v>
      </c>
      <c r="AX580">
        <v>20240520</v>
      </c>
      <c r="AY580" t="s">
        <v>1754</v>
      </c>
      <c r="BG580" s="556" t="str">
        <f t="shared" si="63"/>
        <v>O</v>
      </c>
      <c r="BH580" s="556" t="str">
        <f t="shared" si="64"/>
        <v/>
      </c>
      <c r="BI580" s="556" t="str">
        <f t="shared" si="65"/>
        <v/>
      </c>
      <c r="BJ580" s="556" t="str">
        <f t="shared" si="66"/>
        <v>6S</v>
      </c>
      <c r="BK580" s="556" t="str">
        <f t="shared" si="67"/>
        <v>M6</v>
      </c>
      <c r="BL580" s="556" t="str">
        <f t="shared" si="68"/>
        <v/>
      </c>
      <c r="BM580" s="497">
        <f t="shared" si="69"/>
        <v>40044</v>
      </c>
    </row>
    <row r="581" spans="1:65">
      <c r="A581">
        <v>52019</v>
      </c>
      <c r="B581" t="s">
        <v>2138</v>
      </c>
      <c r="C581" t="s">
        <v>1953</v>
      </c>
      <c r="D581" t="s">
        <v>1755</v>
      </c>
      <c r="F581" s="503">
        <v>44128</v>
      </c>
      <c r="H581" t="s">
        <v>2139</v>
      </c>
      <c r="I581" t="s">
        <v>1753</v>
      </c>
      <c r="J581">
        <v>400</v>
      </c>
      <c r="K581" t="s">
        <v>1681</v>
      </c>
      <c r="O581" t="s">
        <v>2303</v>
      </c>
      <c r="W581">
        <v>6.32</v>
      </c>
      <c r="X581">
        <v>6.5</v>
      </c>
      <c r="Y581">
        <v>0</v>
      </c>
      <c r="Z581">
        <v>0</v>
      </c>
      <c r="AA581">
        <v>2</v>
      </c>
      <c r="AE581" t="s">
        <v>1039</v>
      </c>
      <c r="AI581">
        <v>60</v>
      </c>
      <c r="AJ581">
        <v>1860545</v>
      </c>
      <c r="AK581">
        <v>0</v>
      </c>
      <c r="AN581" t="s">
        <v>1704</v>
      </c>
      <c r="AO581">
        <v>5.45</v>
      </c>
      <c r="AX581">
        <v>20201024</v>
      </c>
      <c r="AY581" t="s">
        <v>1754</v>
      </c>
      <c r="BG581" s="556" t="str">
        <f t="shared" si="63"/>
        <v>O</v>
      </c>
      <c r="BH581" s="556" t="str">
        <f t="shared" si="64"/>
        <v/>
      </c>
      <c r="BI581" s="556" t="str">
        <f t="shared" si="65"/>
        <v/>
      </c>
      <c r="BJ581" s="556" t="str">
        <f t="shared" si="66"/>
        <v>6S</v>
      </c>
      <c r="BK581" s="556" t="str">
        <f t="shared" si="67"/>
        <v>M6</v>
      </c>
      <c r="BL581" s="556" t="str">
        <f t="shared" si="68"/>
        <v/>
      </c>
      <c r="BM581" s="497">
        <f t="shared" si="69"/>
        <v>52019</v>
      </c>
    </row>
    <row r="582" spans="1:65">
      <c r="A582">
        <v>40052</v>
      </c>
      <c r="B582" t="s">
        <v>3245</v>
      </c>
      <c r="C582" t="s">
        <v>3114</v>
      </c>
      <c r="D582" t="s">
        <v>1803</v>
      </c>
      <c r="F582" s="503">
        <v>45790</v>
      </c>
      <c r="H582" t="s">
        <v>2738</v>
      </c>
      <c r="I582" t="s">
        <v>1753</v>
      </c>
      <c r="J582">
        <v>600</v>
      </c>
      <c r="K582" t="s">
        <v>1681</v>
      </c>
      <c r="O582" t="s">
        <v>2303</v>
      </c>
      <c r="W582">
        <v>6.71</v>
      </c>
      <c r="X582">
        <v>6.71</v>
      </c>
      <c r="Y582">
        <v>0</v>
      </c>
      <c r="Z582">
        <v>0</v>
      </c>
      <c r="AA582" t="s">
        <v>3115</v>
      </c>
      <c r="AE582" t="s">
        <v>1039</v>
      </c>
      <c r="AI582">
        <v>60</v>
      </c>
      <c r="AJ582">
        <v>2200545</v>
      </c>
      <c r="AK582">
        <v>0</v>
      </c>
      <c r="AL582">
        <v>0</v>
      </c>
      <c r="AN582" t="s">
        <v>2345</v>
      </c>
      <c r="AO582">
        <v>5.45</v>
      </c>
      <c r="AX582">
        <v>20250513</v>
      </c>
      <c r="AY582" t="s">
        <v>1754</v>
      </c>
      <c r="BG582" s="556" t="str">
        <f t="shared" si="63"/>
        <v>O</v>
      </c>
      <c r="BH582" s="556" t="str">
        <f t="shared" si="64"/>
        <v/>
      </c>
      <c r="BI582" s="556" t="str">
        <f t="shared" si="65"/>
        <v/>
      </c>
      <c r="BJ582" s="556" t="str">
        <f t="shared" si="66"/>
        <v>6S</v>
      </c>
      <c r="BK582" s="556" t="str">
        <f t="shared" si="67"/>
        <v>M6</v>
      </c>
      <c r="BL582" s="556" t="str">
        <f t="shared" si="68"/>
        <v/>
      </c>
      <c r="BM582" s="497">
        <f t="shared" si="69"/>
        <v>40052</v>
      </c>
    </row>
    <row r="583" spans="1:65">
      <c r="A583">
        <v>53612</v>
      </c>
      <c r="B583" t="s">
        <v>2422</v>
      </c>
      <c r="C583" t="s">
        <v>2423</v>
      </c>
      <c r="D583" t="s">
        <v>2191</v>
      </c>
      <c r="F583" s="503">
        <v>45010</v>
      </c>
      <c r="H583" t="s">
        <v>2424</v>
      </c>
      <c r="I583" t="s">
        <v>1753</v>
      </c>
      <c r="J583">
        <v>0</v>
      </c>
      <c r="K583" t="s">
        <v>1481</v>
      </c>
      <c r="O583" t="s">
        <v>2303</v>
      </c>
      <c r="W583">
        <v>7.05</v>
      </c>
      <c r="X583">
        <v>7.05</v>
      </c>
      <c r="Y583">
        <v>0</v>
      </c>
      <c r="Z583">
        <v>0</v>
      </c>
      <c r="AA583">
        <v>0</v>
      </c>
      <c r="AE583" t="s">
        <v>2079</v>
      </c>
      <c r="AI583">
        <v>89</v>
      </c>
      <c r="AJ583">
        <v>3020525</v>
      </c>
      <c r="AK583">
        <v>0</v>
      </c>
      <c r="AN583" t="s">
        <v>2629</v>
      </c>
      <c r="AO583">
        <v>5.25</v>
      </c>
      <c r="AU583" t="s">
        <v>3225</v>
      </c>
      <c r="AX583">
        <v>20230325</v>
      </c>
      <c r="AY583" t="s">
        <v>2195</v>
      </c>
      <c r="AZ583" t="s">
        <v>2381</v>
      </c>
      <c r="BG583" s="556" t="str">
        <f t="shared" si="63"/>
        <v>O</v>
      </c>
      <c r="BH583" s="556" t="str">
        <f t="shared" si="64"/>
        <v>Y</v>
      </c>
      <c r="BI583" s="556" t="str">
        <f t="shared" si="65"/>
        <v>Y</v>
      </c>
      <c r="BJ583" s="556" t="str">
        <f t="shared" si="66"/>
        <v>9A</v>
      </c>
      <c r="BK583" s="556" t="str">
        <f t="shared" si="67"/>
        <v>M6</v>
      </c>
      <c r="BL583" s="556" t="str">
        <f t="shared" si="68"/>
        <v/>
      </c>
      <c r="BM583" s="497">
        <f t="shared" si="69"/>
        <v>53612</v>
      </c>
    </row>
    <row r="584" spans="1:65">
      <c r="A584">
        <v>53618</v>
      </c>
      <c r="B584" t="s">
        <v>2721</v>
      </c>
      <c r="C584" t="s">
        <v>2737</v>
      </c>
      <c r="D584" t="s">
        <v>2191</v>
      </c>
      <c r="F584" s="503">
        <v>45359</v>
      </c>
      <c r="H584" t="s">
        <v>2738</v>
      </c>
      <c r="I584" t="s">
        <v>1753</v>
      </c>
      <c r="J584">
        <v>600</v>
      </c>
      <c r="K584" t="s">
        <v>1681</v>
      </c>
      <c r="O584" t="s">
        <v>2303</v>
      </c>
      <c r="W584">
        <v>6.16</v>
      </c>
      <c r="X584">
        <v>6.04</v>
      </c>
      <c r="Y584">
        <v>0</v>
      </c>
      <c r="Z584">
        <v>0</v>
      </c>
      <c r="AA584">
        <v>0</v>
      </c>
      <c r="AE584" t="s">
        <v>2079</v>
      </c>
      <c r="AI584">
        <v>87</v>
      </c>
      <c r="AJ584">
        <v>3020525</v>
      </c>
      <c r="AK584">
        <v>0</v>
      </c>
      <c r="AL584">
        <v>0</v>
      </c>
      <c r="AN584" t="s">
        <v>2629</v>
      </c>
      <c r="AO584">
        <v>5.25</v>
      </c>
      <c r="AU584" t="s">
        <v>3225</v>
      </c>
      <c r="AX584">
        <v>20240308</v>
      </c>
      <c r="AY584" t="s">
        <v>2072</v>
      </c>
      <c r="BG584" s="556" t="str">
        <f t="shared" si="63"/>
        <v>O</v>
      </c>
      <c r="BH584" s="556" t="str">
        <f t="shared" si="64"/>
        <v/>
      </c>
      <c r="BI584" s="556" t="str">
        <f t="shared" si="65"/>
        <v>Y</v>
      </c>
      <c r="BJ584" s="556" t="str">
        <f t="shared" si="66"/>
        <v>6S</v>
      </c>
      <c r="BK584" s="556" t="str">
        <f t="shared" si="67"/>
        <v>M6</v>
      </c>
      <c r="BL584" s="556" t="str">
        <f t="shared" si="68"/>
        <v/>
      </c>
      <c r="BM584" s="497">
        <f t="shared" si="69"/>
        <v>53618</v>
      </c>
    </row>
    <row r="585" spans="1:65">
      <c r="A585">
        <v>40031</v>
      </c>
      <c r="B585" t="s">
        <v>3248</v>
      </c>
      <c r="C585" t="s">
        <v>2140</v>
      </c>
      <c r="D585" t="s">
        <v>1803</v>
      </c>
      <c r="F585" s="503">
        <v>44618</v>
      </c>
      <c r="H585" t="s">
        <v>2738</v>
      </c>
      <c r="I585" t="s">
        <v>1753</v>
      </c>
      <c r="J585">
        <v>600</v>
      </c>
      <c r="K585" t="s">
        <v>1681</v>
      </c>
      <c r="O585" t="s">
        <v>2303</v>
      </c>
      <c r="W585">
        <v>6.77</v>
      </c>
      <c r="X585">
        <v>6.23</v>
      </c>
      <c r="Y585">
        <v>0</v>
      </c>
      <c r="Z585">
        <v>0</v>
      </c>
      <c r="AA585" t="s">
        <v>3115</v>
      </c>
      <c r="AE585" t="s">
        <v>3192</v>
      </c>
      <c r="AI585">
        <v>60</v>
      </c>
      <c r="AJ585">
        <v>2200545</v>
      </c>
      <c r="AK585">
        <v>0</v>
      </c>
      <c r="AN585" t="s">
        <v>2345</v>
      </c>
      <c r="AO585">
        <v>5.45</v>
      </c>
      <c r="AX585">
        <v>20220226</v>
      </c>
      <c r="AY585" t="s">
        <v>1754</v>
      </c>
      <c r="BG585" s="556" t="str">
        <f t="shared" si="63"/>
        <v>O</v>
      </c>
      <c r="BH585" s="556" t="str">
        <f t="shared" si="64"/>
        <v/>
      </c>
      <c r="BI585" s="556" t="str">
        <f t="shared" si="65"/>
        <v/>
      </c>
      <c r="BJ585" s="556" t="str">
        <f t="shared" si="66"/>
        <v>6S</v>
      </c>
      <c r="BK585" s="556" t="str">
        <f t="shared" si="67"/>
        <v>M6</v>
      </c>
      <c r="BL585" s="556" t="str">
        <f t="shared" si="68"/>
        <v/>
      </c>
      <c r="BM585" s="497">
        <f t="shared" si="69"/>
        <v>40031</v>
      </c>
    </row>
    <row r="586" spans="1:65">
      <c r="A586">
        <v>20084</v>
      </c>
      <c r="B586" t="s">
        <v>2341</v>
      </c>
      <c r="C586" t="s">
        <v>2342</v>
      </c>
      <c r="D586" t="s">
        <v>1774</v>
      </c>
      <c r="F586" s="503">
        <v>44930</v>
      </c>
      <c r="H586" t="s">
        <v>2343</v>
      </c>
      <c r="I586" t="s">
        <v>1753</v>
      </c>
      <c r="J586">
        <v>0</v>
      </c>
      <c r="K586" t="s">
        <v>1681</v>
      </c>
      <c r="O586" t="s">
        <v>2303</v>
      </c>
      <c r="W586">
        <v>7.47</v>
      </c>
      <c r="X586">
        <v>7.47</v>
      </c>
      <c r="Y586">
        <v>0</v>
      </c>
      <c r="Z586">
        <v>0</v>
      </c>
      <c r="AA586">
        <v>2</v>
      </c>
      <c r="AE586" t="s">
        <v>1039</v>
      </c>
      <c r="AI586">
        <v>60</v>
      </c>
      <c r="AJ586">
        <v>1860545</v>
      </c>
      <c r="AK586">
        <v>0</v>
      </c>
      <c r="AN586" t="s">
        <v>1704</v>
      </c>
      <c r="AO586">
        <v>5.45</v>
      </c>
      <c r="AX586">
        <v>20230104</v>
      </c>
      <c r="AY586" t="s">
        <v>1754</v>
      </c>
      <c r="BG586" s="556" t="str">
        <f t="shared" si="63"/>
        <v>O</v>
      </c>
      <c r="BH586" s="556" t="str">
        <f t="shared" si="64"/>
        <v/>
      </c>
      <c r="BI586" s="556" t="str">
        <f t="shared" si="65"/>
        <v/>
      </c>
      <c r="BJ586" s="556" t="str">
        <f t="shared" si="66"/>
        <v>6S</v>
      </c>
      <c r="BK586" s="556" t="str">
        <f t="shared" si="67"/>
        <v>M6</v>
      </c>
      <c r="BL586" s="556" t="str">
        <f t="shared" si="68"/>
        <v/>
      </c>
      <c r="BM586" s="497">
        <f t="shared" si="69"/>
        <v>20084</v>
      </c>
    </row>
    <row r="587" spans="1:65">
      <c r="A587">
        <v>50602</v>
      </c>
      <c r="B587" t="s">
        <v>954</v>
      </c>
      <c r="C587" t="s">
        <v>955</v>
      </c>
      <c r="D587" t="s">
        <v>1921</v>
      </c>
      <c r="F587" s="503">
        <v>43194</v>
      </c>
      <c r="H587" t="s">
        <v>956</v>
      </c>
      <c r="I587" t="s">
        <v>1753</v>
      </c>
      <c r="J587">
        <v>500</v>
      </c>
      <c r="K587" t="s">
        <v>1706</v>
      </c>
      <c r="L587" t="s">
        <v>1681</v>
      </c>
      <c r="O587" t="s">
        <v>2303</v>
      </c>
      <c r="W587">
        <v>6.6</v>
      </c>
      <c r="X587">
        <v>6.6</v>
      </c>
      <c r="Y587">
        <v>0</v>
      </c>
      <c r="Z587">
        <v>38.4</v>
      </c>
      <c r="AA587">
        <v>0</v>
      </c>
      <c r="AE587" t="s">
        <v>1761</v>
      </c>
      <c r="AI587">
        <v>57</v>
      </c>
      <c r="AJ587">
        <v>3020525</v>
      </c>
      <c r="AK587">
        <v>0</v>
      </c>
      <c r="AN587" t="s">
        <v>2629</v>
      </c>
      <c r="AO587">
        <v>5.25</v>
      </c>
      <c r="AX587">
        <v>20180404</v>
      </c>
      <c r="AY587" t="s">
        <v>1780</v>
      </c>
      <c r="BG587" s="556" t="str">
        <f t="shared" si="63"/>
        <v>O</v>
      </c>
      <c r="BH587" s="556" t="str">
        <f t="shared" si="64"/>
        <v/>
      </c>
      <c r="BI587" s="556" t="str">
        <f t="shared" si="65"/>
        <v/>
      </c>
      <c r="BJ587" s="556" t="str">
        <f t="shared" si="66"/>
        <v>6L,6S</v>
      </c>
      <c r="BK587" s="556" t="str">
        <f t="shared" si="67"/>
        <v>M6</v>
      </c>
      <c r="BL587" s="556" t="str">
        <f t="shared" si="68"/>
        <v/>
      </c>
      <c r="BM587" s="497">
        <f t="shared" si="69"/>
        <v>50602</v>
      </c>
    </row>
    <row r="588" spans="1:65">
      <c r="B588" t="s">
        <v>2141</v>
      </c>
      <c r="C588" t="s">
        <v>1056</v>
      </c>
      <c r="D588" t="s">
        <v>1782</v>
      </c>
      <c r="F588" s="503">
        <v>44283</v>
      </c>
      <c r="H588" t="s">
        <v>2142</v>
      </c>
      <c r="I588" t="s">
        <v>1753</v>
      </c>
      <c r="J588">
        <v>0</v>
      </c>
      <c r="K588" t="s">
        <v>1756</v>
      </c>
      <c r="W588">
        <v>9.08</v>
      </c>
      <c r="X588">
        <v>9.08</v>
      </c>
      <c r="Y588">
        <v>0</v>
      </c>
      <c r="Z588">
        <v>0</v>
      </c>
      <c r="AA588">
        <v>0</v>
      </c>
      <c r="AE588">
        <v>0</v>
      </c>
      <c r="AI588">
        <v>84</v>
      </c>
      <c r="AJ588" t="s">
        <v>2053</v>
      </c>
      <c r="AK588">
        <v>0</v>
      </c>
      <c r="AL588">
        <v>0</v>
      </c>
      <c r="AN588" t="s">
        <v>2054</v>
      </c>
      <c r="AO588" t="s">
        <v>1907</v>
      </c>
      <c r="AX588">
        <v>20210328</v>
      </c>
      <c r="AY588" t="s">
        <v>1786</v>
      </c>
      <c r="BG588" s="556" t="str">
        <f t="shared" si="63"/>
        <v>X</v>
      </c>
      <c r="BH588" s="556" t="str">
        <f t="shared" si="64"/>
        <v>Y</v>
      </c>
      <c r="BI588" s="556" t="str">
        <f t="shared" si="65"/>
        <v/>
      </c>
      <c r="BJ588" s="556" t="str">
        <f t="shared" si="66"/>
        <v>Z</v>
      </c>
      <c r="BK588" s="556">
        <f t="shared" si="67"/>
        <v>0</v>
      </c>
      <c r="BL588" s="556" t="str">
        <f t="shared" si="68"/>
        <v/>
      </c>
      <c r="BM588" s="497">
        <f t="shared" si="69"/>
        <v>0</v>
      </c>
    </row>
    <row r="589" spans="1:65">
      <c r="A589">
        <v>20009</v>
      </c>
      <c r="B589" t="s">
        <v>833</v>
      </c>
      <c r="C589" t="s">
        <v>43</v>
      </c>
      <c r="D589" t="s">
        <v>1774</v>
      </c>
      <c r="F589" s="503">
        <v>42748</v>
      </c>
      <c r="H589" t="s">
        <v>835</v>
      </c>
      <c r="I589" t="s">
        <v>1753</v>
      </c>
      <c r="J589">
        <v>300</v>
      </c>
      <c r="K589" t="s">
        <v>1706</v>
      </c>
      <c r="L589" t="s">
        <v>1681</v>
      </c>
      <c r="O589" t="s">
        <v>2305</v>
      </c>
      <c r="W589">
        <v>7.23</v>
      </c>
      <c r="X589">
        <v>11.26</v>
      </c>
      <c r="Y589">
        <v>0</v>
      </c>
      <c r="Z589">
        <v>0</v>
      </c>
      <c r="AA589">
        <v>3</v>
      </c>
      <c r="AE589" t="s">
        <v>1039</v>
      </c>
      <c r="AI589">
        <v>65</v>
      </c>
      <c r="AJ589">
        <v>4360525</v>
      </c>
      <c r="AK589">
        <v>0</v>
      </c>
      <c r="AL589">
        <v>0</v>
      </c>
      <c r="AN589" t="s">
        <v>134</v>
      </c>
      <c r="AO589">
        <v>5.25</v>
      </c>
      <c r="AX589">
        <v>20170113</v>
      </c>
      <c r="AY589" t="s">
        <v>2143</v>
      </c>
      <c r="AZ589" t="s">
        <v>2102</v>
      </c>
      <c r="BA589" t="s">
        <v>2118</v>
      </c>
      <c r="BG589" s="556" t="str">
        <f t="shared" si="63"/>
        <v>O</v>
      </c>
      <c r="BH589" s="556" t="str">
        <f t="shared" si="64"/>
        <v>Y</v>
      </c>
      <c r="BI589" s="556" t="str">
        <f t="shared" si="65"/>
        <v/>
      </c>
      <c r="BJ589" s="556" t="str">
        <f t="shared" si="66"/>
        <v>6L,6S</v>
      </c>
      <c r="BK589" s="556" t="str">
        <f t="shared" si="67"/>
        <v>S2</v>
      </c>
      <c r="BL589" s="556" t="str">
        <f t="shared" si="68"/>
        <v/>
      </c>
      <c r="BM589" s="497">
        <f t="shared" si="69"/>
        <v>20009</v>
      </c>
    </row>
    <row r="590" spans="1:65">
      <c r="A590">
        <v>20701</v>
      </c>
      <c r="B590" t="s">
        <v>436</v>
      </c>
      <c r="C590" t="s">
        <v>438</v>
      </c>
      <c r="D590" t="s">
        <v>2043</v>
      </c>
      <c r="F590" s="503">
        <v>43194</v>
      </c>
      <c r="H590" t="s">
        <v>439</v>
      </c>
      <c r="I590" t="s">
        <v>1753</v>
      </c>
      <c r="J590">
        <v>2000</v>
      </c>
      <c r="K590" t="s">
        <v>1706</v>
      </c>
      <c r="L590" t="s">
        <v>1681</v>
      </c>
      <c r="O590" t="s">
        <v>2303</v>
      </c>
      <c r="W590">
        <v>7.88</v>
      </c>
      <c r="X590">
        <v>7.95</v>
      </c>
      <c r="Y590">
        <v>0</v>
      </c>
      <c r="Z590">
        <v>46.7</v>
      </c>
      <c r="AA590">
        <v>0</v>
      </c>
      <c r="AE590" t="s">
        <v>1039</v>
      </c>
      <c r="AI590">
        <v>57</v>
      </c>
      <c r="AJ590">
        <v>1000525</v>
      </c>
      <c r="AK590">
        <v>0</v>
      </c>
      <c r="AL590">
        <v>0</v>
      </c>
      <c r="AN590" t="s">
        <v>133</v>
      </c>
      <c r="AO590">
        <v>5.25</v>
      </c>
      <c r="AX590">
        <v>20180404</v>
      </c>
      <c r="AY590" t="s">
        <v>1780</v>
      </c>
      <c r="BG590" s="556" t="str">
        <f t="shared" si="63"/>
        <v>O</v>
      </c>
      <c r="BH590" s="556" t="str">
        <f t="shared" si="64"/>
        <v/>
      </c>
      <c r="BI590" s="556" t="str">
        <f t="shared" si="65"/>
        <v/>
      </c>
      <c r="BJ590" s="556" t="str">
        <f t="shared" si="66"/>
        <v>6L,6S</v>
      </c>
      <c r="BK590" s="556" t="str">
        <f t="shared" si="67"/>
        <v>M6</v>
      </c>
      <c r="BL590" s="556" t="str">
        <f t="shared" si="68"/>
        <v/>
      </c>
      <c r="BM590" s="497">
        <f t="shared" si="69"/>
        <v>20701</v>
      </c>
    </row>
    <row r="591" spans="1:65">
      <c r="A591">
        <v>52009</v>
      </c>
      <c r="B591" t="s">
        <v>2663</v>
      </c>
      <c r="C591" t="s">
        <v>442</v>
      </c>
      <c r="D591" t="s">
        <v>1755</v>
      </c>
      <c r="F591" s="503">
        <v>43711</v>
      </c>
      <c r="H591" t="s">
        <v>443</v>
      </c>
      <c r="I591" t="s">
        <v>1753</v>
      </c>
      <c r="J591">
        <v>300</v>
      </c>
      <c r="K591" t="s">
        <v>1681</v>
      </c>
      <c r="O591" t="s">
        <v>2305</v>
      </c>
      <c r="W591">
        <v>8.25</v>
      </c>
      <c r="X591">
        <v>10.6</v>
      </c>
      <c r="Y591">
        <v>0</v>
      </c>
      <c r="Z591">
        <v>0</v>
      </c>
      <c r="AA591">
        <v>0</v>
      </c>
      <c r="AE591" t="s">
        <v>1039</v>
      </c>
      <c r="AI591">
        <v>18</v>
      </c>
      <c r="AJ591">
        <v>1000525</v>
      </c>
      <c r="AK591">
        <v>0</v>
      </c>
      <c r="AN591" t="s">
        <v>133</v>
      </c>
      <c r="AO591">
        <v>5.25</v>
      </c>
      <c r="AX591">
        <v>20190903</v>
      </c>
      <c r="AY591" t="s">
        <v>1800</v>
      </c>
      <c r="AZ591" t="s">
        <v>2694</v>
      </c>
      <c r="BA591" t="s">
        <v>2118</v>
      </c>
      <c r="BG591" s="556" t="str">
        <f t="shared" si="63"/>
        <v>O</v>
      </c>
      <c r="BH591" s="556" t="str">
        <f t="shared" si="64"/>
        <v>Y</v>
      </c>
      <c r="BI591" s="556" t="str">
        <f t="shared" si="65"/>
        <v/>
      </c>
      <c r="BJ591" s="556" t="str">
        <f t="shared" si="66"/>
        <v>6S</v>
      </c>
      <c r="BK591" s="556" t="str">
        <f t="shared" si="67"/>
        <v>S2</v>
      </c>
      <c r="BL591" s="556" t="str">
        <f t="shared" si="68"/>
        <v/>
      </c>
      <c r="BM591" s="497">
        <f t="shared" si="69"/>
        <v>52009</v>
      </c>
    </row>
    <row r="592" spans="1:65">
      <c r="A592">
        <v>20710</v>
      </c>
      <c r="B592" t="s">
        <v>2144</v>
      </c>
      <c r="C592" t="s">
        <v>2145</v>
      </c>
      <c r="D592" t="s">
        <v>2043</v>
      </c>
      <c r="F592" s="503">
        <v>44069</v>
      </c>
      <c r="H592" t="s">
        <v>1389</v>
      </c>
      <c r="I592" t="s">
        <v>1753</v>
      </c>
      <c r="J592">
        <v>2000</v>
      </c>
      <c r="K592" t="s">
        <v>1706</v>
      </c>
      <c r="O592" t="s">
        <v>2303</v>
      </c>
      <c r="W592">
        <v>7.74</v>
      </c>
      <c r="X592">
        <v>7.78</v>
      </c>
      <c r="Y592">
        <v>0</v>
      </c>
      <c r="Z592">
        <v>0</v>
      </c>
      <c r="AA592">
        <v>0</v>
      </c>
      <c r="AE592" t="s">
        <v>1039</v>
      </c>
      <c r="AI592">
        <v>57</v>
      </c>
      <c r="AJ592">
        <v>1000525</v>
      </c>
      <c r="AK592">
        <v>0</v>
      </c>
      <c r="AN592" t="s">
        <v>133</v>
      </c>
      <c r="AO592">
        <v>5.25</v>
      </c>
      <c r="AX592">
        <v>20200826</v>
      </c>
      <c r="AY592" t="s">
        <v>1780</v>
      </c>
      <c r="BG592" s="556" t="str">
        <f t="shared" si="63"/>
        <v>O</v>
      </c>
      <c r="BH592" s="556" t="str">
        <f t="shared" si="64"/>
        <v/>
      </c>
      <c r="BI592" s="556" t="str">
        <f t="shared" si="65"/>
        <v/>
      </c>
      <c r="BJ592" s="556" t="str">
        <f t="shared" si="66"/>
        <v>6L</v>
      </c>
      <c r="BK592" s="556" t="str">
        <f t="shared" si="67"/>
        <v>M6</v>
      </c>
      <c r="BL592" s="556" t="str">
        <f t="shared" si="68"/>
        <v/>
      </c>
      <c r="BM592" s="497">
        <f t="shared" si="69"/>
        <v>20710</v>
      </c>
    </row>
    <row r="593" spans="1:65">
      <c r="A593">
        <v>53609</v>
      </c>
      <c r="B593" t="s">
        <v>2414</v>
      </c>
      <c r="C593" t="s">
        <v>2415</v>
      </c>
      <c r="D593" t="s">
        <v>2191</v>
      </c>
      <c r="F593" s="503">
        <v>45010</v>
      </c>
      <c r="H593" t="s">
        <v>2416</v>
      </c>
      <c r="I593" t="s">
        <v>1753</v>
      </c>
      <c r="J593">
        <v>0</v>
      </c>
      <c r="K593" t="s">
        <v>1681</v>
      </c>
      <c r="O593" t="s">
        <v>2303</v>
      </c>
      <c r="W593">
        <v>9.5</v>
      </c>
      <c r="X593">
        <v>9.5</v>
      </c>
      <c r="Y593">
        <v>0</v>
      </c>
      <c r="Z593">
        <v>0</v>
      </c>
      <c r="AA593">
        <v>0</v>
      </c>
      <c r="AE593" t="s">
        <v>1761</v>
      </c>
      <c r="AI593">
        <v>57</v>
      </c>
      <c r="AJ593">
        <v>3020525</v>
      </c>
      <c r="AK593">
        <v>0</v>
      </c>
      <c r="AN593" t="s">
        <v>2629</v>
      </c>
      <c r="AO593">
        <v>5.25</v>
      </c>
      <c r="AX593">
        <v>20230325</v>
      </c>
      <c r="AY593" t="s">
        <v>1780</v>
      </c>
      <c r="BG593" s="556" t="str">
        <f t="shared" si="63"/>
        <v>O</v>
      </c>
      <c r="BH593" s="556" t="str">
        <f t="shared" si="64"/>
        <v/>
      </c>
      <c r="BI593" s="556" t="str">
        <f t="shared" si="65"/>
        <v/>
      </c>
      <c r="BJ593" s="556" t="str">
        <f t="shared" si="66"/>
        <v>6S</v>
      </c>
      <c r="BK593" s="556" t="str">
        <f t="shared" si="67"/>
        <v>M6</v>
      </c>
      <c r="BL593" s="556" t="str">
        <f t="shared" si="68"/>
        <v/>
      </c>
      <c r="BM593" s="497">
        <f t="shared" si="69"/>
        <v>53609</v>
      </c>
    </row>
    <row r="594" spans="1:65">
      <c r="A594">
        <v>20300</v>
      </c>
      <c r="B594" t="s">
        <v>139</v>
      </c>
      <c r="C594" t="s">
        <v>140</v>
      </c>
      <c r="D594" t="s">
        <v>2001</v>
      </c>
      <c r="F594" s="503">
        <v>42748</v>
      </c>
      <c r="H594" t="s">
        <v>142</v>
      </c>
      <c r="I594" t="s">
        <v>1753</v>
      </c>
      <c r="J594">
        <v>800</v>
      </c>
      <c r="K594">
        <v>2</v>
      </c>
      <c r="L594">
        <v>6</v>
      </c>
      <c r="O594" t="s">
        <v>2303</v>
      </c>
      <c r="W594">
        <v>24.3</v>
      </c>
      <c r="X594">
        <v>24.58</v>
      </c>
      <c r="Y594">
        <v>0</v>
      </c>
      <c r="Z594">
        <v>0</v>
      </c>
      <c r="AA594">
        <v>0</v>
      </c>
      <c r="AE594" t="s">
        <v>1039</v>
      </c>
      <c r="AI594">
        <v>57</v>
      </c>
      <c r="AJ594">
        <v>2510878</v>
      </c>
      <c r="AK594">
        <v>0</v>
      </c>
      <c r="AL594">
        <v>0</v>
      </c>
      <c r="AN594" t="s">
        <v>141</v>
      </c>
      <c r="AO594">
        <v>8.7799999999999994</v>
      </c>
      <c r="AX594">
        <v>20170113</v>
      </c>
      <c r="AY594" t="s">
        <v>1780</v>
      </c>
      <c r="BG594" s="556" t="str">
        <f t="shared" si="63"/>
        <v>O</v>
      </c>
      <c r="BH594" s="556" t="str">
        <f t="shared" si="64"/>
        <v/>
      </c>
      <c r="BI594" s="556" t="str">
        <f t="shared" si="65"/>
        <v/>
      </c>
      <c r="BJ594" s="556" t="str">
        <f t="shared" si="66"/>
        <v>2,6</v>
      </c>
      <c r="BK594" s="556" t="str">
        <f t="shared" si="67"/>
        <v>M6</v>
      </c>
      <c r="BL594" s="556" t="str">
        <f t="shared" si="68"/>
        <v/>
      </c>
      <c r="BM594" s="497">
        <f t="shared" si="69"/>
        <v>20300</v>
      </c>
    </row>
    <row r="595" spans="1:65">
      <c r="A595">
        <v>40000</v>
      </c>
      <c r="B595" t="s">
        <v>479</v>
      </c>
      <c r="C595" t="s">
        <v>482</v>
      </c>
      <c r="D595" t="s">
        <v>1803</v>
      </c>
      <c r="F595" s="503">
        <v>43434</v>
      </c>
      <c r="H595" t="s">
        <v>483</v>
      </c>
      <c r="I595" t="s">
        <v>1753</v>
      </c>
      <c r="J595">
        <v>0</v>
      </c>
      <c r="K595">
        <v>2</v>
      </c>
      <c r="O595" t="s">
        <v>2303</v>
      </c>
      <c r="W595">
        <v>23.7</v>
      </c>
      <c r="X595">
        <v>23.9</v>
      </c>
      <c r="Y595">
        <v>0</v>
      </c>
      <c r="Z595">
        <v>0</v>
      </c>
      <c r="AA595">
        <v>0</v>
      </c>
      <c r="AE595" t="s">
        <v>1039</v>
      </c>
      <c r="AI595">
        <v>57</v>
      </c>
      <c r="AJ595">
        <v>1000878</v>
      </c>
      <c r="AK595">
        <v>0</v>
      </c>
      <c r="AN595" t="s">
        <v>133</v>
      </c>
      <c r="AO595">
        <v>8.7799999999999994</v>
      </c>
      <c r="AX595">
        <v>20181130</v>
      </c>
      <c r="AY595" t="s">
        <v>1780</v>
      </c>
      <c r="BG595" s="556" t="str">
        <f t="shared" si="63"/>
        <v>O</v>
      </c>
      <c r="BH595" s="556" t="str">
        <f t="shared" si="64"/>
        <v/>
      </c>
      <c r="BI595" s="556" t="str">
        <f t="shared" si="65"/>
        <v/>
      </c>
      <c r="BJ595" s="556">
        <f t="shared" si="66"/>
        <v>2</v>
      </c>
      <c r="BK595" s="556" t="str">
        <f t="shared" si="67"/>
        <v>M6</v>
      </c>
      <c r="BL595" s="556" t="str">
        <f t="shared" si="68"/>
        <v/>
      </c>
      <c r="BM595" s="497">
        <f t="shared" si="69"/>
        <v>40000</v>
      </c>
    </row>
    <row r="596" spans="1:65">
      <c r="B596" t="s">
        <v>1085</v>
      </c>
      <c r="C596" t="s">
        <v>1087</v>
      </c>
      <c r="D596" t="s">
        <v>1816</v>
      </c>
      <c r="F596" s="503">
        <v>43451</v>
      </c>
      <c r="H596" t="s">
        <v>1088</v>
      </c>
      <c r="I596" t="s">
        <v>1753</v>
      </c>
      <c r="J596">
        <v>500</v>
      </c>
      <c r="K596" t="s">
        <v>1756</v>
      </c>
      <c r="W596">
        <v>0</v>
      </c>
      <c r="X596">
        <v>1</v>
      </c>
      <c r="Y596">
        <v>0</v>
      </c>
      <c r="Z596">
        <v>0</v>
      </c>
      <c r="AA596">
        <v>0</v>
      </c>
      <c r="AE596">
        <v>0</v>
      </c>
      <c r="AI596">
        <v>80</v>
      </c>
      <c r="AJ596" t="s">
        <v>2146</v>
      </c>
      <c r="AK596">
        <v>0</v>
      </c>
      <c r="AN596" t="s">
        <v>1089</v>
      </c>
      <c r="AO596">
        <v>6</v>
      </c>
      <c r="AX596">
        <v>20181217</v>
      </c>
      <c r="AY596" t="s">
        <v>1762</v>
      </c>
      <c r="BG596" s="556" t="str">
        <f t="shared" si="63"/>
        <v>X</v>
      </c>
      <c r="BH596" s="556" t="str">
        <f t="shared" si="64"/>
        <v/>
      </c>
      <c r="BI596" s="556" t="str">
        <f t="shared" si="65"/>
        <v/>
      </c>
      <c r="BJ596" s="556" t="str">
        <f t="shared" si="66"/>
        <v>Z</v>
      </c>
      <c r="BK596" s="556">
        <f t="shared" si="67"/>
        <v>0</v>
      </c>
      <c r="BL596" s="556" t="str">
        <f t="shared" si="68"/>
        <v/>
      </c>
      <c r="BM596" s="497">
        <f t="shared" si="69"/>
        <v>0</v>
      </c>
    </row>
    <row r="597" spans="1:65">
      <c r="A597">
        <v>20707</v>
      </c>
      <c r="B597" t="s">
        <v>178</v>
      </c>
      <c r="C597" t="s">
        <v>179</v>
      </c>
      <c r="D597" t="s">
        <v>2043</v>
      </c>
      <c r="F597" s="503">
        <v>43418</v>
      </c>
      <c r="H597" t="s">
        <v>445</v>
      </c>
      <c r="I597" t="s">
        <v>1753</v>
      </c>
      <c r="J597">
        <v>2000</v>
      </c>
      <c r="K597" t="s">
        <v>1706</v>
      </c>
      <c r="O597" t="s">
        <v>2303</v>
      </c>
      <c r="W597">
        <v>8.8800000000000008</v>
      </c>
      <c r="X597">
        <v>8.85</v>
      </c>
      <c r="Y597">
        <v>0</v>
      </c>
      <c r="Z597">
        <v>0</v>
      </c>
      <c r="AA597">
        <v>0</v>
      </c>
      <c r="AE597" t="s">
        <v>1039</v>
      </c>
      <c r="AI597">
        <v>57</v>
      </c>
      <c r="AJ597">
        <v>1000525</v>
      </c>
      <c r="AK597">
        <v>0</v>
      </c>
      <c r="AN597" t="s">
        <v>133</v>
      </c>
      <c r="AO597">
        <v>5.25</v>
      </c>
      <c r="AX597">
        <v>20181114</v>
      </c>
      <c r="AY597" t="s">
        <v>1780</v>
      </c>
      <c r="BG597" s="556" t="str">
        <f t="shared" si="63"/>
        <v>O</v>
      </c>
      <c r="BH597" s="556" t="str">
        <f t="shared" si="64"/>
        <v/>
      </c>
      <c r="BI597" s="556" t="str">
        <f t="shared" si="65"/>
        <v/>
      </c>
      <c r="BJ597" s="556" t="str">
        <f t="shared" si="66"/>
        <v>6L</v>
      </c>
      <c r="BK597" s="556" t="str">
        <f t="shared" si="67"/>
        <v>M6</v>
      </c>
      <c r="BL597" s="556" t="str">
        <f t="shared" si="68"/>
        <v/>
      </c>
      <c r="BM597" s="497">
        <f t="shared" si="69"/>
        <v>20707</v>
      </c>
    </row>
    <row r="598" spans="1:65">
      <c r="A598">
        <v>52008</v>
      </c>
      <c r="B598" t="s">
        <v>2664</v>
      </c>
      <c r="C598" t="s">
        <v>43</v>
      </c>
      <c r="D598" t="s">
        <v>1755</v>
      </c>
      <c r="F598" s="503">
        <v>43711</v>
      </c>
      <c r="H598" t="s">
        <v>445</v>
      </c>
      <c r="I598" t="s">
        <v>1753</v>
      </c>
      <c r="J598">
        <v>200</v>
      </c>
      <c r="K598" t="s">
        <v>1706</v>
      </c>
      <c r="O598" t="s">
        <v>2305</v>
      </c>
      <c r="W598">
        <v>9.84</v>
      </c>
      <c r="X598">
        <v>13.81</v>
      </c>
      <c r="Y598">
        <v>0</v>
      </c>
      <c r="Z598">
        <v>0</v>
      </c>
      <c r="AA598">
        <v>0</v>
      </c>
      <c r="AE598" t="s">
        <v>1039</v>
      </c>
      <c r="AI598">
        <v>18</v>
      </c>
      <c r="AJ598">
        <v>1000525</v>
      </c>
      <c r="AK598">
        <v>0</v>
      </c>
      <c r="AN598" t="s">
        <v>133</v>
      </c>
      <c r="AO598">
        <v>5.25</v>
      </c>
      <c r="AX598">
        <v>20190903</v>
      </c>
      <c r="AY598" t="s">
        <v>1800</v>
      </c>
      <c r="AZ598" t="s">
        <v>2108</v>
      </c>
      <c r="BA598" t="s">
        <v>2118</v>
      </c>
      <c r="BG598" s="556" t="str">
        <f t="shared" si="63"/>
        <v>O</v>
      </c>
      <c r="BH598" s="556" t="str">
        <f t="shared" si="64"/>
        <v>Y</v>
      </c>
      <c r="BI598" s="556" t="str">
        <f t="shared" si="65"/>
        <v/>
      </c>
      <c r="BJ598" s="556" t="str">
        <f t="shared" si="66"/>
        <v>6L</v>
      </c>
      <c r="BK598" s="556" t="str">
        <f t="shared" si="67"/>
        <v>S2</v>
      </c>
      <c r="BL598" s="556" t="str">
        <f t="shared" si="68"/>
        <v/>
      </c>
      <c r="BM598" s="497">
        <f t="shared" si="69"/>
        <v>52008</v>
      </c>
    </row>
    <row r="599" spans="1:65">
      <c r="A599">
        <v>54008</v>
      </c>
      <c r="B599" t="s">
        <v>2147</v>
      </c>
      <c r="C599" t="s">
        <v>2148</v>
      </c>
      <c r="D599" t="s">
        <v>1807</v>
      </c>
      <c r="F599" s="503">
        <v>44792</v>
      </c>
      <c r="H599" t="s">
        <v>233</v>
      </c>
      <c r="I599" t="s">
        <v>1753</v>
      </c>
      <c r="J599">
        <v>2000</v>
      </c>
      <c r="K599" t="s">
        <v>1706</v>
      </c>
      <c r="O599" t="s">
        <v>2303</v>
      </c>
      <c r="W599">
        <v>8.4600000000000009</v>
      </c>
      <c r="X599">
        <v>8.4600000000000009</v>
      </c>
      <c r="Y599">
        <v>0</v>
      </c>
      <c r="Z599">
        <v>0</v>
      </c>
      <c r="AA599">
        <v>3</v>
      </c>
      <c r="AE599" t="s">
        <v>1039</v>
      </c>
      <c r="AI599">
        <v>60</v>
      </c>
      <c r="AJ599">
        <v>4350479</v>
      </c>
      <c r="AK599">
        <v>0</v>
      </c>
      <c r="AN599" t="s">
        <v>184</v>
      </c>
      <c r="AO599">
        <v>4.79</v>
      </c>
      <c r="AX599">
        <v>20220819</v>
      </c>
      <c r="AY599" t="s">
        <v>1754</v>
      </c>
      <c r="BG599" s="556" t="str">
        <f t="shared" si="63"/>
        <v>O</v>
      </c>
      <c r="BH599" s="556" t="str">
        <f t="shared" si="64"/>
        <v/>
      </c>
      <c r="BI599" s="556" t="str">
        <f t="shared" si="65"/>
        <v/>
      </c>
      <c r="BJ599" s="556" t="str">
        <f t="shared" si="66"/>
        <v>6L</v>
      </c>
      <c r="BK599" s="556" t="str">
        <f t="shared" si="67"/>
        <v>M6</v>
      </c>
      <c r="BL599" s="556" t="str">
        <f t="shared" si="68"/>
        <v/>
      </c>
      <c r="BM599" s="497">
        <f t="shared" si="69"/>
        <v>54008</v>
      </c>
    </row>
    <row r="600" spans="1:65">
      <c r="A600">
        <v>52600</v>
      </c>
      <c r="B600" t="s">
        <v>1222</v>
      </c>
      <c r="C600" t="s">
        <v>1224</v>
      </c>
      <c r="D600" t="s">
        <v>2149</v>
      </c>
      <c r="F600" s="503">
        <v>43939</v>
      </c>
      <c r="H600" t="s">
        <v>1225</v>
      </c>
      <c r="I600" t="s">
        <v>1753</v>
      </c>
      <c r="J600">
        <v>0</v>
      </c>
      <c r="K600" t="s">
        <v>1481</v>
      </c>
      <c r="O600" t="s">
        <v>2303</v>
      </c>
      <c r="W600">
        <v>12.01</v>
      </c>
      <c r="X600">
        <v>11.5</v>
      </c>
      <c r="Y600">
        <v>0</v>
      </c>
      <c r="Z600">
        <v>0</v>
      </c>
      <c r="AA600">
        <v>0</v>
      </c>
      <c r="AE600" t="s">
        <v>1761</v>
      </c>
      <c r="AI600">
        <v>62</v>
      </c>
      <c r="AJ600">
        <v>3020525</v>
      </c>
      <c r="AK600">
        <v>0</v>
      </c>
      <c r="AL600">
        <v>0</v>
      </c>
      <c r="AN600" t="s">
        <v>2629</v>
      </c>
      <c r="AO600">
        <v>5.25</v>
      </c>
      <c r="AX600">
        <v>20200418</v>
      </c>
      <c r="AY600" t="s">
        <v>2150</v>
      </c>
      <c r="BG600" s="556" t="str">
        <f t="shared" si="63"/>
        <v>O</v>
      </c>
      <c r="BH600" s="556" t="str">
        <f t="shared" si="64"/>
        <v/>
      </c>
      <c r="BI600" s="556" t="str">
        <f t="shared" si="65"/>
        <v/>
      </c>
      <c r="BJ600" s="556" t="str">
        <f t="shared" si="66"/>
        <v>9A</v>
      </c>
      <c r="BK600" s="556" t="str">
        <f t="shared" si="67"/>
        <v>M6</v>
      </c>
      <c r="BL600" s="556" t="str">
        <f t="shared" si="68"/>
        <v/>
      </c>
      <c r="BM600" s="497">
        <f t="shared" si="69"/>
        <v>52600</v>
      </c>
    </row>
    <row r="601" spans="1:65">
      <c r="A601">
        <v>53617</v>
      </c>
      <c r="B601" t="s">
        <v>2654</v>
      </c>
      <c r="C601" t="s">
        <v>2655</v>
      </c>
      <c r="D601" t="s">
        <v>2191</v>
      </c>
      <c r="F601" s="503">
        <v>45156</v>
      </c>
      <c r="H601" t="s">
        <v>1225</v>
      </c>
      <c r="I601" t="s">
        <v>1753</v>
      </c>
      <c r="J601">
        <v>400</v>
      </c>
      <c r="K601" t="s">
        <v>1706</v>
      </c>
      <c r="O601" t="s">
        <v>2303</v>
      </c>
      <c r="W601">
        <v>11.02</v>
      </c>
      <c r="X601">
        <v>10.6</v>
      </c>
      <c r="Y601">
        <v>0</v>
      </c>
      <c r="Z601">
        <v>0</v>
      </c>
      <c r="AE601" t="s">
        <v>2079</v>
      </c>
      <c r="AI601">
        <v>87</v>
      </c>
      <c r="AJ601">
        <v>3020583</v>
      </c>
      <c r="AK601">
        <v>0</v>
      </c>
      <c r="AN601" t="s">
        <v>2629</v>
      </c>
      <c r="AO601">
        <v>5.83</v>
      </c>
      <c r="AU601" t="s">
        <v>3225</v>
      </c>
      <c r="AX601">
        <v>20230818</v>
      </c>
      <c r="AY601" t="s">
        <v>2072</v>
      </c>
      <c r="BG601" s="556" t="str">
        <f t="shared" si="63"/>
        <v>O</v>
      </c>
      <c r="BH601" s="556" t="str">
        <f t="shared" si="64"/>
        <v/>
      </c>
      <c r="BI601" s="556" t="str">
        <f t="shared" si="65"/>
        <v>Y</v>
      </c>
      <c r="BJ601" s="556" t="str">
        <f t="shared" si="66"/>
        <v>6L</v>
      </c>
      <c r="BK601" s="556" t="str">
        <f t="shared" si="67"/>
        <v>M6</v>
      </c>
      <c r="BL601" s="556" t="str">
        <f t="shared" si="68"/>
        <v/>
      </c>
      <c r="BM601" s="497">
        <f t="shared" si="69"/>
        <v>53617</v>
      </c>
    </row>
    <row r="602" spans="1:65">
      <c r="A602">
        <v>32002</v>
      </c>
      <c r="B602" t="s">
        <v>232</v>
      </c>
      <c r="C602" t="s">
        <v>220</v>
      </c>
      <c r="D602" t="s">
        <v>2061</v>
      </c>
      <c r="F602" s="503">
        <v>43244</v>
      </c>
      <c r="H602" t="s">
        <v>958</v>
      </c>
      <c r="I602" t="s">
        <v>1753</v>
      </c>
      <c r="J602">
        <v>1500</v>
      </c>
      <c r="K602" t="s">
        <v>1706</v>
      </c>
      <c r="L602" t="s">
        <v>1681</v>
      </c>
      <c r="O602" t="s">
        <v>2303</v>
      </c>
      <c r="W602">
        <v>10.19</v>
      </c>
      <c r="X602">
        <v>10.19</v>
      </c>
      <c r="Y602">
        <v>0</v>
      </c>
      <c r="Z602">
        <v>0</v>
      </c>
      <c r="AA602">
        <v>0</v>
      </c>
      <c r="AE602" t="s">
        <v>1761</v>
      </c>
      <c r="AI602">
        <v>57</v>
      </c>
      <c r="AJ602">
        <v>3020525</v>
      </c>
      <c r="AK602">
        <v>0</v>
      </c>
      <c r="AN602" t="s">
        <v>2629</v>
      </c>
      <c r="AO602">
        <v>5.25</v>
      </c>
      <c r="AX602">
        <v>20180524</v>
      </c>
      <c r="AY602" t="s">
        <v>1780</v>
      </c>
      <c r="BG602" s="556" t="str">
        <f t="shared" si="63"/>
        <v>O</v>
      </c>
      <c r="BH602" s="556" t="str">
        <f t="shared" si="64"/>
        <v/>
      </c>
      <c r="BI602" s="556" t="str">
        <f t="shared" si="65"/>
        <v/>
      </c>
      <c r="BJ602" s="556" t="str">
        <f t="shared" si="66"/>
        <v>6L,6S</v>
      </c>
      <c r="BK602" s="556" t="str">
        <f t="shared" si="67"/>
        <v>M6</v>
      </c>
      <c r="BL602" s="556" t="str">
        <f t="shared" si="68"/>
        <v/>
      </c>
      <c r="BM602" s="497">
        <f t="shared" si="69"/>
        <v>32002</v>
      </c>
    </row>
    <row r="603" spans="1:65">
      <c r="A603">
        <v>20079</v>
      </c>
      <c r="B603" t="s">
        <v>1714</v>
      </c>
      <c r="C603" t="s">
        <v>2151</v>
      </c>
      <c r="D603" t="s">
        <v>1774</v>
      </c>
      <c r="F603" s="503">
        <v>44454</v>
      </c>
      <c r="H603" t="s">
        <v>1225</v>
      </c>
      <c r="I603" t="s">
        <v>1753</v>
      </c>
      <c r="J603">
        <v>200</v>
      </c>
      <c r="K603" t="s">
        <v>1706</v>
      </c>
      <c r="O603" t="s">
        <v>2305</v>
      </c>
      <c r="W603">
        <v>10.72</v>
      </c>
      <c r="X603">
        <v>14.65</v>
      </c>
      <c r="Y603">
        <v>0</v>
      </c>
      <c r="Z603">
        <v>0</v>
      </c>
      <c r="AA603">
        <v>3</v>
      </c>
      <c r="AE603" t="s">
        <v>1039</v>
      </c>
      <c r="AI603">
        <v>65</v>
      </c>
      <c r="AJ603">
        <v>4360525</v>
      </c>
      <c r="AK603">
        <v>0</v>
      </c>
      <c r="AN603" t="s">
        <v>134</v>
      </c>
      <c r="AO603">
        <v>5.25</v>
      </c>
      <c r="AX603">
        <v>20210915</v>
      </c>
      <c r="AY603" t="s">
        <v>2143</v>
      </c>
      <c r="AZ603" t="s">
        <v>2102</v>
      </c>
      <c r="BA603" t="s">
        <v>2118</v>
      </c>
      <c r="BG603" s="556" t="str">
        <f t="shared" si="63"/>
        <v>O</v>
      </c>
      <c r="BH603" s="556" t="str">
        <f t="shared" si="64"/>
        <v>Y</v>
      </c>
      <c r="BI603" s="556" t="str">
        <f t="shared" si="65"/>
        <v/>
      </c>
      <c r="BJ603" s="556" t="str">
        <f t="shared" si="66"/>
        <v>6L</v>
      </c>
      <c r="BK603" s="556" t="str">
        <f t="shared" si="67"/>
        <v>S2</v>
      </c>
      <c r="BL603" s="556" t="str">
        <f t="shared" si="68"/>
        <v/>
      </c>
      <c r="BM603" s="497">
        <f t="shared" si="69"/>
        <v>20079</v>
      </c>
    </row>
    <row r="604" spans="1:65">
      <c r="A604">
        <v>20008</v>
      </c>
      <c r="B604" t="s">
        <v>30</v>
      </c>
      <c r="C604" t="s">
        <v>43</v>
      </c>
      <c r="D604" t="s">
        <v>1774</v>
      </c>
      <c r="F604" s="503">
        <v>42748</v>
      </c>
      <c r="H604" t="s">
        <v>837</v>
      </c>
      <c r="I604" t="s">
        <v>1753</v>
      </c>
      <c r="J604">
        <v>200</v>
      </c>
      <c r="K604" t="s">
        <v>1706</v>
      </c>
      <c r="L604">
        <v>7</v>
      </c>
      <c r="O604" t="s">
        <v>2305</v>
      </c>
      <c r="W604">
        <v>12.43</v>
      </c>
      <c r="X604">
        <v>16.239999999999998</v>
      </c>
      <c r="Y604">
        <v>0</v>
      </c>
      <c r="Z604">
        <v>0</v>
      </c>
      <c r="AA604">
        <v>3</v>
      </c>
      <c r="AE604" t="s">
        <v>1039</v>
      </c>
      <c r="AI604">
        <v>65</v>
      </c>
      <c r="AJ604">
        <v>4360525</v>
      </c>
      <c r="AK604">
        <v>0</v>
      </c>
      <c r="AL604">
        <v>0</v>
      </c>
      <c r="AN604" t="s">
        <v>134</v>
      </c>
      <c r="AO604">
        <v>5.25</v>
      </c>
      <c r="AX604">
        <v>20170113</v>
      </c>
      <c r="AY604" t="s">
        <v>2143</v>
      </c>
      <c r="AZ604" t="s">
        <v>2102</v>
      </c>
      <c r="BA604" t="s">
        <v>2118</v>
      </c>
      <c r="BG604" s="556" t="str">
        <f t="shared" si="63"/>
        <v>O</v>
      </c>
      <c r="BH604" s="556" t="str">
        <f t="shared" si="64"/>
        <v>Y</v>
      </c>
      <c r="BI604" s="556" t="str">
        <f t="shared" si="65"/>
        <v/>
      </c>
      <c r="BJ604" s="556" t="str">
        <f t="shared" si="66"/>
        <v>6L,7</v>
      </c>
      <c r="BK604" s="556" t="str">
        <f t="shared" si="67"/>
        <v>S2</v>
      </c>
      <c r="BL604" s="556" t="str">
        <f t="shared" si="68"/>
        <v/>
      </c>
      <c r="BM604" s="497">
        <f t="shared" si="69"/>
        <v>20008</v>
      </c>
    </row>
    <row r="605" spans="1:65">
      <c r="B605" t="s">
        <v>1074</v>
      </c>
      <c r="C605" t="s">
        <v>1042</v>
      </c>
      <c r="D605" t="s">
        <v>2061</v>
      </c>
      <c r="F605" s="503">
        <v>43567</v>
      </c>
      <c r="H605" t="s">
        <v>1076</v>
      </c>
      <c r="I605" t="s">
        <v>1753</v>
      </c>
      <c r="J605">
        <v>2000</v>
      </c>
      <c r="K605" t="s">
        <v>1756</v>
      </c>
      <c r="W605">
        <v>0.95</v>
      </c>
      <c r="X605">
        <v>0.95</v>
      </c>
      <c r="Y605">
        <v>0</v>
      </c>
      <c r="Z605">
        <v>0</v>
      </c>
      <c r="AA605">
        <v>0</v>
      </c>
      <c r="AE605" t="s">
        <v>1761</v>
      </c>
      <c r="AI605">
        <v>12</v>
      </c>
      <c r="AJ605" t="s">
        <v>2117</v>
      </c>
      <c r="AK605">
        <v>0</v>
      </c>
      <c r="AN605" t="s">
        <v>2095</v>
      </c>
      <c r="AO605" t="s">
        <v>2111</v>
      </c>
      <c r="AX605">
        <v>20190412</v>
      </c>
      <c r="AY605" t="s">
        <v>2051</v>
      </c>
      <c r="BG605" s="556" t="str">
        <f t="shared" si="63"/>
        <v>X</v>
      </c>
      <c r="BH605" s="556" t="str">
        <f t="shared" si="64"/>
        <v/>
      </c>
      <c r="BI605" s="556" t="str">
        <f t="shared" si="65"/>
        <v/>
      </c>
      <c r="BJ605" s="556" t="str">
        <f t="shared" si="66"/>
        <v>Z</v>
      </c>
      <c r="BK605" s="556">
        <f t="shared" si="67"/>
        <v>0</v>
      </c>
      <c r="BL605" s="556" t="str">
        <f t="shared" si="68"/>
        <v/>
      </c>
      <c r="BM605" s="497">
        <f t="shared" si="69"/>
        <v>0</v>
      </c>
    </row>
    <row r="606" spans="1:65">
      <c r="B606" t="s">
        <v>1077</v>
      </c>
      <c r="C606" t="s">
        <v>1042</v>
      </c>
      <c r="D606" t="s">
        <v>2061</v>
      </c>
      <c r="F606" s="503">
        <v>43565</v>
      </c>
      <c r="H606" t="s">
        <v>1079</v>
      </c>
      <c r="I606" t="s">
        <v>1753</v>
      </c>
      <c r="J606">
        <v>2000</v>
      </c>
      <c r="K606" t="s">
        <v>1756</v>
      </c>
      <c r="W606">
        <v>0.95</v>
      </c>
      <c r="X606">
        <v>0.95</v>
      </c>
      <c r="Y606">
        <v>0</v>
      </c>
      <c r="Z606">
        <v>0</v>
      </c>
      <c r="AE606" t="s">
        <v>1039</v>
      </c>
      <c r="AI606">
        <v>12</v>
      </c>
      <c r="AJ606" t="s">
        <v>2152</v>
      </c>
      <c r="AK606">
        <v>0</v>
      </c>
      <c r="AL606">
        <v>0</v>
      </c>
      <c r="AN606" t="s">
        <v>2097</v>
      </c>
      <c r="AO606" t="s">
        <v>2111</v>
      </c>
      <c r="AX606">
        <v>20190410</v>
      </c>
      <c r="AY606" t="s">
        <v>2051</v>
      </c>
      <c r="BG606" s="556" t="str">
        <f t="shared" si="63"/>
        <v>X</v>
      </c>
      <c r="BH606" s="556" t="str">
        <f t="shared" si="64"/>
        <v/>
      </c>
      <c r="BI606" s="556" t="str">
        <f t="shared" si="65"/>
        <v/>
      </c>
      <c r="BJ606" s="556" t="str">
        <f t="shared" si="66"/>
        <v>Z</v>
      </c>
      <c r="BK606" s="556">
        <f t="shared" si="67"/>
        <v>0</v>
      </c>
      <c r="BL606" s="556" t="str">
        <f t="shared" si="68"/>
        <v/>
      </c>
      <c r="BM606" s="497">
        <f t="shared" si="69"/>
        <v>0</v>
      </c>
    </row>
    <row r="607" spans="1:65">
      <c r="B607" t="s">
        <v>2153</v>
      </c>
      <c r="C607" t="s">
        <v>1056</v>
      </c>
      <c r="D607" t="s">
        <v>1782</v>
      </c>
      <c r="F607" s="503">
        <v>44491</v>
      </c>
      <c r="H607" t="s">
        <v>2154</v>
      </c>
      <c r="I607" t="s">
        <v>1753</v>
      </c>
      <c r="J607">
        <v>10000</v>
      </c>
      <c r="K607" t="s">
        <v>1756</v>
      </c>
      <c r="W607">
        <v>0.17</v>
      </c>
      <c r="X607">
        <v>0.17</v>
      </c>
      <c r="Y607">
        <v>0</v>
      </c>
      <c r="Z607">
        <v>0</v>
      </c>
      <c r="AA607">
        <v>0</v>
      </c>
      <c r="AE607" t="s">
        <v>1039</v>
      </c>
      <c r="AI607">
        <v>12</v>
      </c>
      <c r="AJ607" t="s">
        <v>1784</v>
      </c>
      <c r="AK607">
        <v>0</v>
      </c>
      <c r="AN607" t="s">
        <v>1098</v>
      </c>
      <c r="AO607" t="s">
        <v>1785</v>
      </c>
      <c r="AX607">
        <v>20211022</v>
      </c>
      <c r="AY607" t="s">
        <v>2051</v>
      </c>
      <c r="BG607" s="556" t="str">
        <f t="shared" si="63"/>
        <v>X</v>
      </c>
      <c r="BH607" s="556" t="str">
        <f t="shared" si="64"/>
        <v/>
      </c>
      <c r="BI607" s="556" t="str">
        <f t="shared" si="65"/>
        <v/>
      </c>
      <c r="BJ607" s="556" t="str">
        <f t="shared" si="66"/>
        <v>Z</v>
      </c>
      <c r="BK607" s="556">
        <f t="shared" si="67"/>
        <v>0</v>
      </c>
      <c r="BL607" s="556" t="str">
        <f t="shared" si="68"/>
        <v/>
      </c>
      <c r="BM607" s="497">
        <f t="shared" si="69"/>
        <v>0</v>
      </c>
    </row>
    <row r="608" spans="1:65">
      <c r="B608" t="s">
        <v>1148</v>
      </c>
      <c r="C608" t="s">
        <v>1149</v>
      </c>
      <c r="D608" t="s">
        <v>1921</v>
      </c>
      <c r="F608" s="503">
        <v>43539</v>
      </c>
      <c r="H608" t="s">
        <v>1150</v>
      </c>
      <c r="I608" t="s">
        <v>1753</v>
      </c>
      <c r="J608">
        <v>5000</v>
      </c>
      <c r="K608" t="s">
        <v>1756</v>
      </c>
      <c r="W608">
        <v>0.36</v>
      </c>
      <c r="X608">
        <v>0.38</v>
      </c>
      <c r="Y608">
        <v>0</v>
      </c>
      <c r="Z608">
        <v>0</v>
      </c>
      <c r="AA608">
        <v>0</v>
      </c>
      <c r="AE608" t="s">
        <v>1761</v>
      </c>
      <c r="AI608">
        <v>12</v>
      </c>
      <c r="AJ608" t="s">
        <v>1869</v>
      </c>
      <c r="AK608">
        <v>0</v>
      </c>
      <c r="AL608">
        <v>0</v>
      </c>
      <c r="AN608" t="s">
        <v>1870</v>
      </c>
      <c r="AO608" t="s">
        <v>1785</v>
      </c>
      <c r="AX608">
        <v>20190315</v>
      </c>
      <c r="AY608" t="s">
        <v>2051</v>
      </c>
      <c r="BG608" s="556" t="str">
        <f t="shared" si="63"/>
        <v>X</v>
      </c>
      <c r="BH608" s="556" t="str">
        <f t="shared" si="64"/>
        <v/>
      </c>
      <c r="BI608" s="556" t="str">
        <f t="shared" si="65"/>
        <v/>
      </c>
      <c r="BJ608" s="556" t="str">
        <f t="shared" si="66"/>
        <v>Z</v>
      </c>
      <c r="BK608" s="556">
        <f t="shared" si="67"/>
        <v>0</v>
      </c>
      <c r="BL608" s="556" t="str">
        <f t="shared" si="68"/>
        <v/>
      </c>
      <c r="BM608" s="497">
        <f t="shared" si="69"/>
        <v>0</v>
      </c>
    </row>
    <row r="609" spans="1:65">
      <c r="B609" t="s">
        <v>2583</v>
      </c>
      <c r="C609" t="s">
        <v>2584</v>
      </c>
      <c r="D609" t="s">
        <v>1782</v>
      </c>
      <c r="F609" s="503">
        <v>45040</v>
      </c>
      <c r="H609" t="s">
        <v>2585</v>
      </c>
      <c r="I609" t="s">
        <v>1753</v>
      </c>
      <c r="J609">
        <v>1000</v>
      </c>
      <c r="W609">
        <v>2.86</v>
      </c>
      <c r="X609">
        <v>2.86</v>
      </c>
      <c r="Y609">
        <v>0</v>
      </c>
      <c r="Z609">
        <v>0</v>
      </c>
      <c r="AE609" t="s">
        <v>1761</v>
      </c>
      <c r="AI609">
        <v>12</v>
      </c>
      <c r="AJ609" t="s">
        <v>2201</v>
      </c>
      <c r="AK609">
        <v>0</v>
      </c>
      <c r="AL609">
        <v>0</v>
      </c>
      <c r="AN609" t="s">
        <v>1870</v>
      </c>
      <c r="AO609" t="s">
        <v>2156</v>
      </c>
      <c r="AX609">
        <v>20230424</v>
      </c>
      <c r="AY609" t="s">
        <v>2051</v>
      </c>
      <c r="BG609" s="556" t="str">
        <f t="shared" si="63"/>
        <v>X</v>
      </c>
      <c r="BH609" s="556" t="str">
        <f t="shared" si="64"/>
        <v/>
      </c>
      <c r="BI609" s="556" t="str">
        <f t="shared" si="65"/>
        <v/>
      </c>
      <c r="BJ609" s="556">
        <f t="shared" si="66"/>
        <v>0</v>
      </c>
      <c r="BK609" s="556">
        <f t="shared" si="67"/>
        <v>0</v>
      </c>
      <c r="BL609" s="556" t="str">
        <f t="shared" si="68"/>
        <v/>
      </c>
      <c r="BM609" s="497">
        <f t="shared" si="69"/>
        <v>0</v>
      </c>
    </row>
    <row r="610" spans="1:65">
      <c r="B610" t="s">
        <v>1060</v>
      </c>
      <c r="C610" t="s">
        <v>2977</v>
      </c>
      <c r="D610" t="s">
        <v>1763</v>
      </c>
      <c r="F610" s="503">
        <v>43340</v>
      </c>
      <c r="H610" t="s">
        <v>1063</v>
      </c>
      <c r="I610" t="s">
        <v>1753</v>
      </c>
      <c r="J610">
        <v>2000</v>
      </c>
      <c r="K610" t="s">
        <v>1756</v>
      </c>
      <c r="W610">
        <v>0.62</v>
      </c>
      <c r="X610">
        <v>0.62</v>
      </c>
      <c r="Y610">
        <v>0</v>
      </c>
      <c r="Z610">
        <v>0</v>
      </c>
      <c r="AA610">
        <v>0</v>
      </c>
      <c r="AE610" t="s">
        <v>1039</v>
      </c>
      <c r="AI610">
        <v>12</v>
      </c>
      <c r="AJ610" t="s">
        <v>2049</v>
      </c>
      <c r="AK610">
        <v>0</v>
      </c>
      <c r="AN610" t="s">
        <v>1098</v>
      </c>
      <c r="AO610" t="s">
        <v>2050</v>
      </c>
      <c r="AX610">
        <v>20180828</v>
      </c>
      <c r="AY610" t="s">
        <v>2051</v>
      </c>
      <c r="BG610" s="556" t="str">
        <f t="shared" si="63"/>
        <v>X</v>
      </c>
      <c r="BH610" s="556" t="str">
        <f t="shared" si="64"/>
        <v/>
      </c>
      <c r="BI610" s="556" t="str">
        <f t="shared" si="65"/>
        <v/>
      </c>
      <c r="BJ610" s="556" t="str">
        <f t="shared" si="66"/>
        <v>Z</v>
      </c>
      <c r="BK610" s="556">
        <f t="shared" si="67"/>
        <v>0</v>
      </c>
      <c r="BL610" s="556" t="str">
        <f t="shared" si="68"/>
        <v/>
      </c>
      <c r="BM610" s="497">
        <f t="shared" si="69"/>
        <v>0</v>
      </c>
    </row>
    <row r="611" spans="1:65">
      <c r="B611" t="s">
        <v>2831</v>
      </c>
      <c r="C611" t="s">
        <v>1056</v>
      </c>
      <c r="D611" t="s">
        <v>2047</v>
      </c>
      <c r="F611" s="503">
        <v>43803</v>
      </c>
      <c r="H611" t="s">
        <v>2832</v>
      </c>
      <c r="I611" t="s">
        <v>1753</v>
      </c>
      <c r="J611">
        <v>2000</v>
      </c>
      <c r="K611" t="s">
        <v>1756</v>
      </c>
      <c r="W611">
        <v>1.03</v>
      </c>
      <c r="X611">
        <v>1.03</v>
      </c>
      <c r="Y611">
        <v>0</v>
      </c>
      <c r="Z611">
        <v>0</v>
      </c>
      <c r="AA611">
        <v>0</v>
      </c>
      <c r="AE611" t="s">
        <v>1039</v>
      </c>
      <c r="AI611">
        <v>12</v>
      </c>
      <c r="AJ611" t="s">
        <v>2155</v>
      </c>
      <c r="AK611">
        <v>0</v>
      </c>
      <c r="AN611" t="s">
        <v>1098</v>
      </c>
      <c r="AO611" t="s">
        <v>2156</v>
      </c>
      <c r="AX611">
        <v>20191204</v>
      </c>
      <c r="AY611" t="s">
        <v>2051</v>
      </c>
      <c r="BG611" s="556" t="str">
        <f t="shared" si="63"/>
        <v>X</v>
      </c>
      <c r="BH611" s="556" t="str">
        <f t="shared" si="64"/>
        <v/>
      </c>
      <c r="BI611" s="556" t="str">
        <f t="shared" si="65"/>
        <v/>
      </c>
      <c r="BJ611" s="556" t="str">
        <f t="shared" si="66"/>
        <v>Z</v>
      </c>
      <c r="BK611" s="556">
        <f t="shared" si="67"/>
        <v>0</v>
      </c>
      <c r="BL611" s="556" t="str">
        <f t="shared" si="68"/>
        <v/>
      </c>
      <c r="BM611" s="497">
        <f t="shared" si="69"/>
        <v>0</v>
      </c>
    </row>
    <row r="612" spans="1:65">
      <c r="B612" t="s">
        <v>2833</v>
      </c>
      <c r="C612" t="s">
        <v>1056</v>
      </c>
      <c r="D612" t="s">
        <v>2047</v>
      </c>
      <c r="F612" s="503">
        <v>43803</v>
      </c>
      <c r="H612" t="s">
        <v>2834</v>
      </c>
      <c r="I612" t="s">
        <v>1753</v>
      </c>
      <c r="J612">
        <v>1000</v>
      </c>
      <c r="K612" t="s">
        <v>1756</v>
      </c>
      <c r="W612">
        <v>2.98</v>
      </c>
      <c r="X612">
        <v>2.69</v>
      </c>
      <c r="Y612">
        <v>0</v>
      </c>
      <c r="Z612">
        <v>0</v>
      </c>
      <c r="AA612">
        <v>0</v>
      </c>
      <c r="AE612" t="s">
        <v>1039</v>
      </c>
      <c r="AI612">
        <v>12</v>
      </c>
      <c r="AJ612" t="s">
        <v>2155</v>
      </c>
      <c r="AK612">
        <v>0</v>
      </c>
      <c r="AL612">
        <v>0</v>
      </c>
      <c r="AN612" t="s">
        <v>1098</v>
      </c>
      <c r="AO612" t="s">
        <v>2156</v>
      </c>
      <c r="AX612">
        <v>20191204</v>
      </c>
      <c r="AY612" t="s">
        <v>2051</v>
      </c>
      <c r="BG612" s="556" t="str">
        <f t="shared" si="63"/>
        <v>X</v>
      </c>
      <c r="BH612" s="556" t="str">
        <f t="shared" si="64"/>
        <v/>
      </c>
      <c r="BI612" s="556" t="str">
        <f t="shared" si="65"/>
        <v/>
      </c>
      <c r="BJ612" s="556" t="str">
        <f t="shared" si="66"/>
        <v>Z</v>
      </c>
      <c r="BK612" s="556">
        <f t="shared" si="67"/>
        <v>0</v>
      </c>
      <c r="BL612" s="556" t="str">
        <f t="shared" si="68"/>
        <v/>
      </c>
      <c r="BM612" s="497">
        <f t="shared" si="69"/>
        <v>0</v>
      </c>
    </row>
    <row r="613" spans="1:65">
      <c r="B613" t="s">
        <v>1125</v>
      </c>
      <c r="C613" t="s">
        <v>1056</v>
      </c>
      <c r="D613" t="s">
        <v>2047</v>
      </c>
      <c r="F613" s="503">
        <v>43803</v>
      </c>
      <c r="H613" t="s">
        <v>1127</v>
      </c>
      <c r="I613" t="s">
        <v>1753</v>
      </c>
      <c r="J613">
        <v>500</v>
      </c>
      <c r="K613" t="s">
        <v>1756</v>
      </c>
      <c r="W613">
        <v>5.94</v>
      </c>
      <c r="X613">
        <v>5.94</v>
      </c>
      <c r="Y613">
        <v>0</v>
      </c>
      <c r="Z613">
        <v>0</v>
      </c>
      <c r="AA613">
        <v>0</v>
      </c>
      <c r="AE613" t="s">
        <v>1039</v>
      </c>
      <c r="AI613">
        <v>12</v>
      </c>
      <c r="AJ613" t="s">
        <v>2155</v>
      </c>
      <c r="AK613">
        <v>0</v>
      </c>
      <c r="AL613">
        <v>0</v>
      </c>
      <c r="AN613" t="s">
        <v>1098</v>
      </c>
      <c r="AO613" t="s">
        <v>2156</v>
      </c>
      <c r="AX613">
        <v>20191204</v>
      </c>
      <c r="AY613" t="s">
        <v>2051</v>
      </c>
      <c r="BG613" s="556" t="str">
        <f t="shared" si="63"/>
        <v>X</v>
      </c>
      <c r="BH613" s="556" t="str">
        <f t="shared" si="64"/>
        <v/>
      </c>
      <c r="BI613" s="556" t="str">
        <f t="shared" si="65"/>
        <v/>
      </c>
      <c r="BJ613" s="556" t="str">
        <f t="shared" si="66"/>
        <v>Z</v>
      </c>
      <c r="BK613" s="556">
        <f t="shared" si="67"/>
        <v>0</v>
      </c>
      <c r="BL613" s="556" t="str">
        <f t="shared" si="68"/>
        <v/>
      </c>
      <c r="BM613" s="497">
        <f t="shared" si="69"/>
        <v>0</v>
      </c>
    </row>
    <row r="614" spans="1:65">
      <c r="B614" t="s">
        <v>1258</v>
      </c>
      <c r="C614" t="s">
        <v>1056</v>
      </c>
      <c r="D614" t="s">
        <v>2047</v>
      </c>
      <c r="F614" s="503">
        <v>43803</v>
      </c>
      <c r="H614" t="s">
        <v>2157</v>
      </c>
      <c r="I614" t="s">
        <v>1753</v>
      </c>
      <c r="J614">
        <v>300</v>
      </c>
      <c r="K614" t="s">
        <v>1756</v>
      </c>
      <c r="W614">
        <v>10.58</v>
      </c>
      <c r="X614">
        <v>10.58</v>
      </c>
      <c r="Y614">
        <v>0</v>
      </c>
      <c r="Z614">
        <v>0</v>
      </c>
      <c r="AA614">
        <v>0</v>
      </c>
      <c r="AE614" t="s">
        <v>1039</v>
      </c>
      <c r="AI614">
        <v>12</v>
      </c>
      <c r="AJ614" t="s">
        <v>2053</v>
      </c>
      <c r="AK614">
        <v>0</v>
      </c>
      <c r="AL614">
        <v>0</v>
      </c>
      <c r="AN614" t="s">
        <v>2054</v>
      </c>
      <c r="AO614" t="s">
        <v>1907</v>
      </c>
      <c r="AX614">
        <v>20191204</v>
      </c>
      <c r="AY614" t="s">
        <v>2051</v>
      </c>
      <c r="BG614" s="556" t="str">
        <f t="shared" si="63"/>
        <v>X</v>
      </c>
      <c r="BH614" s="556" t="str">
        <f t="shared" si="64"/>
        <v/>
      </c>
      <c r="BI614" s="556" t="str">
        <f t="shared" si="65"/>
        <v/>
      </c>
      <c r="BJ614" s="556" t="str">
        <f t="shared" si="66"/>
        <v>Z</v>
      </c>
      <c r="BK614" s="556">
        <f t="shared" si="67"/>
        <v>0</v>
      </c>
      <c r="BL614" s="556" t="str">
        <f t="shared" si="68"/>
        <v/>
      </c>
      <c r="BM614" s="497">
        <f t="shared" si="69"/>
        <v>0</v>
      </c>
    </row>
    <row r="615" spans="1:65">
      <c r="B615" t="s">
        <v>2158</v>
      </c>
      <c r="C615" t="s">
        <v>1056</v>
      </c>
      <c r="D615" t="s">
        <v>1782</v>
      </c>
      <c r="F615" s="503">
        <v>44491</v>
      </c>
      <c r="H615" t="s">
        <v>2159</v>
      </c>
      <c r="I615" t="s">
        <v>1753</v>
      </c>
      <c r="J615">
        <v>0</v>
      </c>
      <c r="K615" t="s">
        <v>1756</v>
      </c>
      <c r="W615">
        <v>6.96</v>
      </c>
      <c r="X615">
        <v>6.96</v>
      </c>
      <c r="Y615">
        <v>0</v>
      </c>
      <c r="Z615">
        <v>0</v>
      </c>
      <c r="AA615">
        <v>0</v>
      </c>
      <c r="AE615">
        <v>0</v>
      </c>
      <c r="AI615">
        <v>84</v>
      </c>
      <c r="AJ615" t="s">
        <v>2160</v>
      </c>
      <c r="AK615">
        <v>0</v>
      </c>
      <c r="AL615">
        <v>0</v>
      </c>
      <c r="AN615" t="s">
        <v>1098</v>
      </c>
      <c r="AO615" t="s">
        <v>1907</v>
      </c>
      <c r="AX615">
        <v>20211022</v>
      </c>
      <c r="AY615" t="s">
        <v>1786</v>
      </c>
      <c r="BG615" s="556" t="str">
        <f t="shared" si="63"/>
        <v>X</v>
      </c>
      <c r="BH615" s="556" t="str">
        <f t="shared" si="64"/>
        <v>Y</v>
      </c>
      <c r="BI615" s="556" t="str">
        <f t="shared" si="65"/>
        <v/>
      </c>
      <c r="BJ615" s="556" t="str">
        <f t="shared" si="66"/>
        <v>Z</v>
      </c>
      <c r="BK615" s="556">
        <f t="shared" si="67"/>
        <v>0</v>
      </c>
      <c r="BL615" s="556" t="str">
        <f t="shared" si="68"/>
        <v/>
      </c>
      <c r="BM615" s="497">
        <f t="shared" si="69"/>
        <v>0</v>
      </c>
    </row>
    <row r="616" spans="1:65">
      <c r="B616" t="s">
        <v>2978</v>
      </c>
      <c r="C616" t="s">
        <v>2979</v>
      </c>
      <c r="D616" t="s">
        <v>1774</v>
      </c>
      <c r="F616" s="503">
        <v>45555</v>
      </c>
      <c r="H616" t="s">
        <v>1229</v>
      </c>
      <c r="I616" t="s">
        <v>1753</v>
      </c>
      <c r="J616">
        <v>1000</v>
      </c>
      <c r="K616" t="s">
        <v>1756</v>
      </c>
      <c r="W616">
        <v>0</v>
      </c>
      <c r="X616">
        <v>3.12</v>
      </c>
      <c r="Y616">
        <v>0</v>
      </c>
      <c r="Z616">
        <v>0</v>
      </c>
      <c r="AA616">
        <v>0</v>
      </c>
      <c r="AE616" t="s">
        <v>1761</v>
      </c>
      <c r="AI616">
        <v>80</v>
      </c>
      <c r="AJ616" t="s">
        <v>2980</v>
      </c>
      <c r="AK616">
        <v>0</v>
      </c>
      <c r="AL616">
        <v>0</v>
      </c>
      <c r="AN616" t="s">
        <v>2981</v>
      </c>
      <c r="AO616">
        <v>0</v>
      </c>
      <c r="AX616">
        <v>20240920</v>
      </c>
      <c r="AY616" t="s">
        <v>1762</v>
      </c>
      <c r="BG616" s="556" t="str">
        <f t="shared" si="63"/>
        <v>X</v>
      </c>
      <c r="BH616" s="556" t="str">
        <f t="shared" si="64"/>
        <v/>
      </c>
      <c r="BI616" s="556" t="str">
        <f t="shared" si="65"/>
        <v/>
      </c>
      <c r="BJ616" s="556" t="str">
        <f t="shared" si="66"/>
        <v>Z</v>
      </c>
      <c r="BK616" s="556">
        <f t="shared" si="67"/>
        <v>0</v>
      </c>
      <c r="BL616" s="556" t="str">
        <f t="shared" si="68"/>
        <v/>
      </c>
      <c r="BM616" s="497">
        <f t="shared" si="69"/>
        <v>0</v>
      </c>
    </row>
    <row r="617" spans="1:65">
      <c r="B617" t="s">
        <v>1226</v>
      </c>
      <c r="C617" t="s">
        <v>1228</v>
      </c>
      <c r="D617" t="s">
        <v>2069</v>
      </c>
      <c r="F617" s="503">
        <v>43928</v>
      </c>
      <c r="H617" t="s">
        <v>1229</v>
      </c>
      <c r="I617" t="s">
        <v>1753</v>
      </c>
      <c r="J617">
        <v>1000</v>
      </c>
      <c r="K617" t="s">
        <v>1756</v>
      </c>
      <c r="W617">
        <v>0</v>
      </c>
      <c r="X617">
        <v>3.88</v>
      </c>
      <c r="Y617">
        <v>0</v>
      </c>
      <c r="Z617">
        <v>0</v>
      </c>
      <c r="AA617">
        <v>0</v>
      </c>
      <c r="AE617" t="s">
        <v>1039</v>
      </c>
      <c r="AI617">
        <v>12</v>
      </c>
      <c r="AJ617" t="s">
        <v>2161</v>
      </c>
      <c r="AK617">
        <v>0</v>
      </c>
      <c r="AN617" t="s">
        <v>1185</v>
      </c>
      <c r="AO617">
        <v>9</v>
      </c>
      <c r="AX617">
        <v>20200407</v>
      </c>
      <c r="AY617" t="s">
        <v>2051</v>
      </c>
      <c r="BG617" s="556" t="str">
        <f t="shared" si="63"/>
        <v>X</v>
      </c>
      <c r="BH617" s="556" t="str">
        <f t="shared" si="64"/>
        <v/>
      </c>
      <c r="BI617" s="556" t="str">
        <f t="shared" si="65"/>
        <v/>
      </c>
      <c r="BJ617" s="556" t="str">
        <f t="shared" si="66"/>
        <v>Z</v>
      </c>
      <c r="BK617" s="556">
        <f t="shared" si="67"/>
        <v>0</v>
      </c>
      <c r="BL617" s="556" t="str">
        <f t="shared" si="68"/>
        <v/>
      </c>
      <c r="BM617" s="497">
        <f t="shared" si="69"/>
        <v>0</v>
      </c>
    </row>
    <row r="618" spans="1:65">
      <c r="A618">
        <v>51700</v>
      </c>
      <c r="B618" t="s">
        <v>74</v>
      </c>
      <c r="C618" t="s">
        <v>75</v>
      </c>
      <c r="D618" t="s">
        <v>2162</v>
      </c>
      <c r="F618" s="503">
        <v>43607</v>
      </c>
      <c r="H618" t="s">
        <v>861</v>
      </c>
      <c r="I618" t="s">
        <v>1753</v>
      </c>
      <c r="J618">
        <v>1500</v>
      </c>
      <c r="K618">
        <v>7</v>
      </c>
      <c r="O618" t="s">
        <v>2303</v>
      </c>
      <c r="W618">
        <v>13.86</v>
      </c>
      <c r="X618">
        <v>12.6</v>
      </c>
      <c r="Y618">
        <v>0</v>
      </c>
      <c r="Z618">
        <v>0</v>
      </c>
      <c r="AA618">
        <v>0</v>
      </c>
      <c r="AE618" t="s">
        <v>1761</v>
      </c>
      <c r="AI618">
        <v>155</v>
      </c>
      <c r="AJ618">
        <v>3330625</v>
      </c>
      <c r="AK618">
        <v>0</v>
      </c>
      <c r="AN618" t="s">
        <v>2629</v>
      </c>
      <c r="AO618">
        <v>6.25</v>
      </c>
      <c r="AX618">
        <v>20190522</v>
      </c>
      <c r="AY618" t="s">
        <v>2163</v>
      </c>
      <c r="BG618" s="556" t="str">
        <f t="shared" si="63"/>
        <v>O</v>
      </c>
      <c r="BH618" s="556" t="str">
        <f t="shared" si="64"/>
        <v/>
      </c>
      <c r="BI618" s="556" t="str">
        <f t="shared" si="65"/>
        <v/>
      </c>
      <c r="BJ618" s="556">
        <f t="shared" si="66"/>
        <v>7</v>
      </c>
      <c r="BK618" s="556" t="str">
        <f t="shared" si="67"/>
        <v>M6</v>
      </c>
      <c r="BL618" s="556" t="str">
        <f t="shared" si="68"/>
        <v/>
      </c>
      <c r="BM618" s="497">
        <f t="shared" si="69"/>
        <v>51700</v>
      </c>
    </row>
    <row r="619" spans="1:65">
      <c r="A619">
        <v>20047</v>
      </c>
      <c r="B619" t="s">
        <v>98</v>
      </c>
      <c r="C619" t="s">
        <v>36</v>
      </c>
      <c r="D619" t="s">
        <v>1839</v>
      </c>
      <c r="F619" s="503">
        <v>43010</v>
      </c>
      <c r="H619" t="s">
        <v>99</v>
      </c>
      <c r="I619" t="s">
        <v>1753</v>
      </c>
      <c r="J619">
        <v>700</v>
      </c>
      <c r="K619">
        <v>1</v>
      </c>
      <c r="L619">
        <v>5</v>
      </c>
      <c r="O619" t="s">
        <v>2306</v>
      </c>
      <c r="P619" t="s">
        <v>2307</v>
      </c>
      <c r="W619">
        <v>24.57</v>
      </c>
      <c r="X619">
        <v>24.08</v>
      </c>
      <c r="Y619">
        <v>0</v>
      </c>
      <c r="Z619">
        <v>0</v>
      </c>
      <c r="AA619">
        <v>3</v>
      </c>
      <c r="AB619" t="s">
        <v>2164</v>
      </c>
      <c r="AE619" t="s">
        <v>1039</v>
      </c>
      <c r="AI619">
        <v>60</v>
      </c>
      <c r="AJ619">
        <v>4360545</v>
      </c>
      <c r="AK619">
        <v>0</v>
      </c>
      <c r="AL619">
        <v>0</v>
      </c>
      <c r="AN619" t="s">
        <v>134</v>
      </c>
      <c r="AO619">
        <v>5.45</v>
      </c>
      <c r="AX619">
        <v>20171002</v>
      </c>
      <c r="AY619" t="s">
        <v>1754</v>
      </c>
      <c r="BG619" s="556" t="str">
        <f t="shared" si="63"/>
        <v>O</v>
      </c>
      <c r="BH619" s="556" t="str">
        <f t="shared" si="64"/>
        <v/>
      </c>
      <c r="BI619" s="556" t="str">
        <f t="shared" si="65"/>
        <v/>
      </c>
      <c r="BJ619" s="556" t="str">
        <f t="shared" si="66"/>
        <v>1,5</v>
      </c>
      <c r="BK619" s="556" t="str">
        <f t="shared" si="67"/>
        <v>R2,R4</v>
      </c>
      <c r="BL619" s="556" t="str">
        <f t="shared" si="68"/>
        <v/>
      </c>
      <c r="BM619" s="497">
        <f t="shared" si="69"/>
        <v>20047</v>
      </c>
    </row>
    <row r="620" spans="1:65">
      <c r="A620">
        <v>20065</v>
      </c>
      <c r="B620" t="s">
        <v>206</v>
      </c>
      <c r="C620" t="s">
        <v>36</v>
      </c>
      <c r="D620" t="s">
        <v>1839</v>
      </c>
      <c r="F620" s="503">
        <v>43418</v>
      </c>
      <c r="H620" t="s">
        <v>207</v>
      </c>
      <c r="I620" t="s">
        <v>1753</v>
      </c>
      <c r="J620">
        <v>500</v>
      </c>
      <c r="K620">
        <v>1</v>
      </c>
      <c r="L620">
        <v>5</v>
      </c>
      <c r="O620" t="s">
        <v>2306</v>
      </c>
      <c r="P620" t="s">
        <v>2307</v>
      </c>
      <c r="W620">
        <v>26.4</v>
      </c>
      <c r="X620">
        <v>26.45</v>
      </c>
      <c r="Y620">
        <v>0</v>
      </c>
      <c r="Z620">
        <v>0</v>
      </c>
      <c r="AA620">
        <v>3</v>
      </c>
      <c r="AE620" t="s">
        <v>1039</v>
      </c>
      <c r="AI620">
        <v>60</v>
      </c>
      <c r="AJ620">
        <v>4360545</v>
      </c>
      <c r="AK620">
        <v>0</v>
      </c>
      <c r="AN620" t="s">
        <v>134</v>
      </c>
      <c r="AO620">
        <v>5.45</v>
      </c>
      <c r="AX620">
        <v>20181114</v>
      </c>
      <c r="AY620" t="s">
        <v>1754</v>
      </c>
      <c r="BG620" s="556" t="str">
        <f t="shared" si="63"/>
        <v>O</v>
      </c>
      <c r="BH620" s="556" t="str">
        <f t="shared" si="64"/>
        <v/>
      </c>
      <c r="BI620" s="556" t="str">
        <f t="shared" si="65"/>
        <v/>
      </c>
      <c r="BJ620" s="556" t="str">
        <f t="shared" si="66"/>
        <v>1,5</v>
      </c>
      <c r="BK620" s="556" t="str">
        <f t="shared" si="67"/>
        <v>R2,R4</v>
      </c>
      <c r="BL620" s="556" t="str">
        <f t="shared" si="68"/>
        <v/>
      </c>
      <c r="BM620" s="497">
        <f t="shared" si="69"/>
        <v>20065</v>
      </c>
    </row>
    <row r="621" spans="1:65">
      <c r="A621">
        <v>20080</v>
      </c>
      <c r="B621" t="s">
        <v>1712</v>
      </c>
      <c r="C621" t="s">
        <v>36</v>
      </c>
      <c r="D621" t="s">
        <v>1774</v>
      </c>
      <c r="F621" s="503">
        <v>44643</v>
      </c>
      <c r="H621" t="s">
        <v>2389</v>
      </c>
      <c r="I621" t="s">
        <v>1753</v>
      </c>
      <c r="J621">
        <v>600</v>
      </c>
      <c r="K621">
        <v>1</v>
      </c>
      <c r="O621" t="s">
        <v>2306</v>
      </c>
      <c r="P621" t="s">
        <v>2307</v>
      </c>
      <c r="W621">
        <v>27.32</v>
      </c>
      <c r="X621">
        <v>27.34</v>
      </c>
      <c r="Y621">
        <v>0</v>
      </c>
      <c r="Z621">
        <v>0</v>
      </c>
      <c r="AA621">
        <v>3</v>
      </c>
      <c r="AE621" t="s">
        <v>1039</v>
      </c>
      <c r="AI621">
        <v>60</v>
      </c>
      <c r="AJ621">
        <v>4360545</v>
      </c>
      <c r="AK621">
        <v>0</v>
      </c>
      <c r="AN621" t="s">
        <v>134</v>
      </c>
      <c r="AO621">
        <v>5.45</v>
      </c>
      <c r="AX621">
        <v>20220323</v>
      </c>
      <c r="AY621" t="s">
        <v>1754</v>
      </c>
      <c r="BG621" s="556" t="str">
        <f t="shared" si="63"/>
        <v>O</v>
      </c>
      <c r="BH621" s="556" t="str">
        <f t="shared" si="64"/>
        <v/>
      </c>
      <c r="BI621" s="556" t="str">
        <f t="shared" si="65"/>
        <v/>
      </c>
      <c r="BJ621" s="556">
        <f t="shared" si="66"/>
        <v>1</v>
      </c>
      <c r="BK621" s="556" t="str">
        <f t="shared" si="67"/>
        <v>R2,R4</v>
      </c>
      <c r="BL621" s="556" t="str">
        <f t="shared" si="68"/>
        <v/>
      </c>
      <c r="BM621" s="497">
        <f t="shared" si="69"/>
        <v>20080</v>
      </c>
    </row>
    <row r="622" spans="1:65">
      <c r="A622">
        <v>20074</v>
      </c>
      <c r="B622" t="s">
        <v>1724</v>
      </c>
      <c r="C622" t="s">
        <v>36</v>
      </c>
      <c r="D622" t="s">
        <v>1774</v>
      </c>
      <c r="F622" s="503">
        <v>44183</v>
      </c>
      <c r="H622" t="s">
        <v>2165</v>
      </c>
      <c r="I622" t="s">
        <v>1753</v>
      </c>
      <c r="J622">
        <v>400</v>
      </c>
      <c r="K622">
        <v>1</v>
      </c>
      <c r="L622">
        <v>5</v>
      </c>
      <c r="O622" t="s">
        <v>2306</v>
      </c>
      <c r="W622">
        <v>32.58</v>
      </c>
      <c r="X622">
        <v>32.6</v>
      </c>
      <c r="Y622">
        <v>0</v>
      </c>
      <c r="Z622">
        <v>0</v>
      </c>
      <c r="AA622">
        <v>3</v>
      </c>
      <c r="AE622" t="s">
        <v>1039</v>
      </c>
      <c r="AI622">
        <v>60</v>
      </c>
      <c r="AJ622">
        <v>4360545</v>
      </c>
      <c r="AK622">
        <v>0</v>
      </c>
      <c r="AN622" t="s">
        <v>134</v>
      </c>
      <c r="AO622">
        <v>5.45</v>
      </c>
      <c r="AX622">
        <v>20201218</v>
      </c>
      <c r="AY622" t="s">
        <v>1754</v>
      </c>
      <c r="BG622" s="556" t="str">
        <f t="shared" si="63"/>
        <v>O</v>
      </c>
      <c r="BH622" s="556" t="str">
        <f t="shared" si="64"/>
        <v/>
      </c>
      <c r="BI622" s="556" t="str">
        <f t="shared" si="65"/>
        <v/>
      </c>
      <c r="BJ622" s="556" t="str">
        <f t="shared" si="66"/>
        <v>1,5</v>
      </c>
      <c r="BK622" s="556" t="str">
        <f t="shared" si="67"/>
        <v>R2</v>
      </c>
      <c r="BL622" s="556" t="str">
        <f t="shared" si="68"/>
        <v/>
      </c>
      <c r="BM622" s="497">
        <f t="shared" si="69"/>
        <v>20074</v>
      </c>
    </row>
    <row r="623" spans="1:65">
      <c r="B623" t="s">
        <v>2166</v>
      </c>
      <c r="C623" t="s">
        <v>1042</v>
      </c>
      <c r="D623" t="s">
        <v>1782</v>
      </c>
      <c r="F623" s="503">
        <v>44288</v>
      </c>
      <c r="H623" t="s">
        <v>2167</v>
      </c>
      <c r="I623" t="s">
        <v>1753</v>
      </c>
      <c r="J623">
        <v>0</v>
      </c>
      <c r="K623" t="s">
        <v>1756</v>
      </c>
      <c r="W623">
        <v>1.73</v>
      </c>
      <c r="X623">
        <v>1.73</v>
      </c>
      <c r="Y623">
        <v>0</v>
      </c>
      <c r="Z623">
        <v>0</v>
      </c>
      <c r="AA623">
        <v>0</v>
      </c>
      <c r="AE623">
        <v>0</v>
      </c>
      <c r="AI623">
        <v>84</v>
      </c>
      <c r="AJ623" t="s">
        <v>2168</v>
      </c>
      <c r="AK623">
        <v>0</v>
      </c>
      <c r="AL623">
        <v>0</v>
      </c>
      <c r="AN623" t="s">
        <v>1790</v>
      </c>
      <c r="AO623" t="s">
        <v>1907</v>
      </c>
      <c r="AX623">
        <v>20210402</v>
      </c>
      <c r="AY623" t="s">
        <v>1786</v>
      </c>
      <c r="BG623" s="556" t="str">
        <f t="shared" si="63"/>
        <v>X</v>
      </c>
      <c r="BH623" s="556" t="str">
        <f t="shared" si="64"/>
        <v>Y</v>
      </c>
      <c r="BI623" s="556" t="str">
        <f t="shared" si="65"/>
        <v/>
      </c>
      <c r="BJ623" s="556" t="str">
        <f t="shared" si="66"/>
        <v>Z</v>
      </c>
      <c r="BK623" s="556">
        <f t="shared" si="67"/>
        <v>0</v>
      </c>
      <c r="BL623" s="556" t="str">
        <f t="shared" si="68"/>
        <v/>
      </c>
      <c r="BM623" s="497">
        <f t="shared" si="69"/>
        <v>0</v>
      </c>
    </row>
    <row r="624" spans="1:65">
      <c r="B624" t="s">
        <v>2169</v>
      </c>
      <c r="C624" t="s">
        <v>1056</v>
      </c>
      <c r="D624" t="s">
        <v>1782</v>
      </c>
      <c r="F624" s="503">
        <v>44288</v>
      </c>
      <c r="H624" t="s">
        <v>2170</v>
      </c>
      <c r="I624" t="s">
        <v>1753</v>
      </c>
      <c r="J624">
        <v>0</v>
      </c>
      <c r="K624" t="s">
        <v>1756</v>
      </c>
      <c r="W624">
        <v>3.82</v>
      </c>
      <c r="X624">
        <v>3.82</v>
      </c>
      <c r="Y624">
        <v>0</v>
      </c>
      <c r="Z624">
        <v>0</v>
      </c>
      <c r="AA624">
        <v>0</v>
      </c>
      <c r="AE624">
        <v>0</v>
      </c>
      <c r="AI624">
        <v>84</v>
      </c>
      <c r="AJ624" t="s">
        <v>2110</v>
      </c>
      <c r="AK624">
        <v>0</v>
      </c>
      <c r="AL624">
        <v>0</v>
      </c>
      <c r="AN624" t="s">
        <v>1098</v>
      </c>
      <c r="AO624" t="s">
        <v>2111</v>
      </c>
      <c r="AX624">
        <v>20210402</v>
      </c>
      <c r="AY624" t="s">
        <v>1786</v>
      </c>
      <c r="BG624" s="556" t="str">
        <f t="shared" si="63"/>
        <v>X</v>
      </c>
      <c r="BH624" s="556" t="str">
        <f t="shared" si="64"/>
        <v>Y</v>
      </c>
      <c r="BI624" s="556" t="str">
        <f t="shared" si="65"/>
        <v/>
      </c>
      <c r="BJ624" s="556" t="str">
        <f t="shared" si="66"/>
        <v>Z</v>
      </c>
      <c r="BK624" s="556">
        <f t="shared" si="67"/>
        <v>0</v>
      </c>
      <c r="BL624" s="556" t="str">
        <f t="shared" si="68"/>
        <v/>
      </c>
      <c r="BM624" s="497">
        <f t="shared" si="69"/>
        <v>0</v>
      </c>
    </row>
    <row r="625" spans="1:65">
      <c r="B625" t="s">
        <v>2171</v>
      </c>
      <c r="C625" t="s">
        <v>1042</v>
      </c>
      <c r="D625" t="s">
        <v>1782</v>
      </c>
      <c r="F625" s="503">
        <v>44491</v>
      </c>
      <c r="H625" t="s">
        <v>2172</v>
      </c>
      <c r="I625" t="s">
        <v>1753</v>
      </c>
      <c r="J625">
        <v>0</v>
      </c>
      <c r="K625" t="s">
        <v>1756</v>
      </c>
      <c r="W625">
        <v>1.74</v>
      </c>
      <c r="X625">
        <v>1.74</v>
      </c>
      <c r="Y625">
        <v>0</v>
      </c>
      <c r="Z625">
        <v>0</v>
      </c>
      <c r="AA625">
        <v>0</v>
      </c>
      <c r="AE625">
        <v>0</v>
      </c>
      <c r="AI625">
        <v>84</v>
      </c>
      <c r="AJ625" t="s">
        <v>2168</v>
      </c>
      <c r="AK625">
        <v>0</v>
      </c>
      <c r="AL625">
        <v>0</v>
      </c>
      <c r="AN625" t="s">
        <v>1790</v>
      </c>
      <c r="AO625" t="s">
        <v>1907</v>
      </c>
      <c r="AX625">
        <v>20211022</v>
      </c>
      <c r="AY625" t="s">
        <v>1786</v>
      </c>
      <c r="BG625" s="556" t="str">
        <f t="shared" si="63"/>
        <v>X</v>
      </c>
      <c r="BH625" s="556" t="str">
        <f t="shared" si="64"/>
        <v>Y</v>
      </c>
      <c r="BI625" s="556" t="str">
        <f t="shared" si="65"/>
        <v/>
      </c>
      <c r="BJ625" s="556" t="str">
        <f t="shared" si="66"/>
        <v>Z</v>
      </c>
      <c r="BK625" s="556">
        <f t="shared" si="67"/>
        <v>0</v>
      </c>
      <c r="BL625" s="556" t="str">
        <f t="shared" si="68"/>
        <v/>
      </c>
      <c r="BM625" s="497">
        <f t="shared" si="69"/>
        <v>0</v>
      </c>
    </row>
    <row r="626" spans="1:65">
      <c r="B626" t="s">
        <v>2320</v>
      </c>
      <c r="C626" t="s">
        <v>1082</v>
      </c>
      <c r="D626" t="s">
        <v>2173</v>
      </c>
      <c r="F626" s="503">
        <v>44925</v>
      </c>
      <c r="H626" t="s">
        <v>2321</v>
      </c>
      <c r="I626" t="s">
        <v>1753</v>
      </c>
      <c r="J626">
        <v>0</v>
      </c>
      <c r="K626" t="s">
        <v>1756</v>
      </c>
      <c r="W626">
        <v>0</v>
      </c>
      <c r="X626">
        <v>0.98</v>
      </c>
      <c r="Y626">
        <v>0</v>
      </c>
      <c r="Z626">
        <v>0</v>
      </c>
      <c r="AA626">
        <v>0</v>
      </c>
      <c r="AE626">
        <v>0</v>
      </c>
      <c r="AI626">
        <v>80</v>
      </c>
      <c r="AJ626" t="s">
        <v>2174</v>
      </c>
      <c r="AK626">
        <v>0</v>
      </c>
      <c r="AL626">
        <v>0</v>
      </c>
      <c r="AN626" t="s">
        <v>1084</v>
      </c>
      <c r="AO626">
        <v>0</v>
      </c>
      <c r="AX626">
        <v>20221230</v>
      </c>
      <c r="AY626" t="s">
        <v>1762</v>
      </c>
      <c r="BG626" s="556" t="str">
        <f t="shared" si="63"/>
        <v>X</v>
      </c>
      <c r="BH626" s="556" t="str">
        <f t="shared" si="64"/>
        <v/>
      </c>
      <c r="BI626" s="556" t="str">
        <f t="shared" si="65"/>
        <v/>
      </c>
      <c r="BJ626" s="556" t="str">
        <f t="shared" si="66"/>
        <v>Z</v>
      </c>
      <c r="BK626" s="556">
        <f t="shared" si="67"/>
        <v>0</v>
      </c>
      <c r="BL626" s="556" t="str">
        <f t="shared" si="68"/>
        <v/>
      </c>
      <c r="BM626" s="497">
        <f t="shared" si="69"/>
        <v>0</v>
      </c>
    </row>
    <row r="627" spans="1:65">
      <c r="A627">
        <v>99014</v>
      </c>
      <c r="B627" t="s">
        <v>2571</v>
      </c>
      <c r="C627" t="s">
        <v>2572</v>
      </c>
      <c r="D627" t="s">
        <v>358</v>
      </c>
      <c r="F627" s="503">
        <v>45034</v>
      </c>
      <c r="H627" t="s">
        <v>2573</v>
      </c>
      <c r="I627" t="s">
        <v>1753</v>
      </c>
      <c r="J627">
        <v>1200</v>
      </c>
      <c r="K627">
        <v>3</v>
      </c>
      <c r="O627" t="s">
        <v>2304</v>
      </c>
      <c r="W627">
        <v>14.84</v>
      </c>
      <c r="X627">
        <v>13.61</v>
      </c>
      <c r="Y627">
        <v>0</v>
      </c>
      <c r="Z627">
        <v>0</v>
      </c>
      <c r="AA627">
        <v>0</v>
      </c>
      <c r="AE627" t="s">
        <v>2079</v>
      </c>
      <c r="AI627">
        <v>90</v>
      </c>
      <c r="AJ627">
        <v>3020980</v>
      </c>
      <c r="AK627">
        <v>0</v>
      </c>
      <c r="AL627">
        <v>0</v>
      </c>
      <c r="AN627" t="s">
        <v>1730</v>
      </c>
      <c r="AO627">
        <v>9.8000000000000007</v>
      </c>
      <c r="AX627">
        <v>20230418</v>
      </c>
      <c r="AY627" t="s">
        <v>2176</v>
      </c>
      <c r="BG627" s="556" t="str">
        <f t="shared" si="63"/>
        <v>O</v>
      </c>
      <c r="BH627" s="556" t="str">
        <f t="shared" si="64"/>
        <v/>
      </c>
      <c r="BI627" s="556" t="str">
        <f t="shared" si="65"/>
        <v>Y</v>
      </c>
      <c r="BJ627" s="556">
        <f t="shared" si="66"/>
        <v>3</v>
      </c>
      <c r="BK627" s="556" t="str">
        <f t="shared" si="67"/>
        <v>S3</v>
      </c>
      <c r="BL627" s="556" t="str">
        <f t="shared" si="68"/>
        <v/>
      </c>
      <c r="BM627" s="497">
        <f t="shared" si="69"/>
        <v>99014</v>
      </c>
    </row>
    <row r="628" spans="1:65">
      <c r="A628">
        <v>20003</v>
      </c>
      <c r="B628" t="s">
        <v>154</v>
      </c>
      <c r="C628" t="s">
        <v>155</v>
      </c>
      <c r="D628" t="s">
        <v>1774</v>
      </c>
      <c r="F628" s="503">
        <v>42748</v>
      </c>
      <c r="H628" t="s">
        <v>870</v>
      </c>
      <c r="I628" t="s">
        <v>1753</v>
      </c>
      <c r="J628">
        <v>500</v>
      </c>
      <c r="K628">
        <v>3</v>
      </c>
      <c r="O628" t="s">
        <v>2304</v>
      </c>
      <c r="W628">
        <v>16.5</v>
      </c>
      <c r="X628">
        <v>16</v>
      </c>
      <c r="Y628">
        <v>0</v>
      </c>
      <c r="Z628">
        <v>0</v>
      </c>
      <c r="AA628">
        <v>0</v>
      </c>
      <c r="AE628" t="s">
        <v>2175</v>
      </c>
      <c r="AI628">
        <v>90</v>
      </c>
      <c r="AJ628">
        <v>3020980</v>
      </c>
      <c r="AK628" s="505">
        <v>14400</v>
      </c>
      <c r="AL628">
        <v>0</v>
      </c>
      <c r="AN628" t="s">
        <v>1730</v>
      </c>
      <c r="AO628">
        <v>9.8000000000000007</v>
      </c>
      <c r="AU628" t="s">
        <v>3228</v>
      </c>
      <c r="AX628">
        <v>20170113</v>
      </c>
      <c r="AY628" t="s">
        <v>2176</v>
      </c>
      <c r="BG628" s="556" t="str">
        <f t="shared" si="63"/>
        <v>O</v>
      </c>
      <c r="BH628" s="556" t="str">
        <f t="shared" si="64"/>
        <v/>
      </c>
      <c r="BI628" s="556" t="str">
        <f t="shared" si="65"/>
        <v>Y</v>
      </c>
      <c r="BJ628" s="556">
        <f t="shared" si="66"/>
        <v>3</v>
      </c>
      <c r="BK628" s="556" t="str">
        <f t="shared" si="67"/>
        <v>S3</v>
      </c>
      <c r="BL628" s="556" t="str">
        <f t="shared" si="68"/>
        <v/>
      </c>
      <c r="BM628" s="497">
        <f t="shared" si="69"/>
        <v>20003</v>
      </c>
    </row>
    <row r="629" spans="1:65">
      <c r="A629">
        <v>52501</v>
      </c>
      <c r="B629" t="s">
        <v>2177</v>
      </c>
      <c r="C629" t="s">
        <v>1232</v>
      </c>
      <c r="D629" t="s">
        <v>2047</v>
      </c>
      <c r="F629" s="503">
        <v>43930</v>
      </c>
      <c r="H629" t="s">
        <v>2178</v>
      </c>
      <c r="I629" t="s">
        <v>1753</v>
      </c>
      <c r="J629">
        <v>500</v>
      </c>
      <c r="K629">
        <v>10</v>
      </c>
      <c r="O629" t="s">
        <v>2303</v>
      </c>
      <c r="W629">
        <v>5.95</v>
      </c>
      <c r="X629">
        <v>5.97</v>
      </c>
      <c r="Y629">
        <v>0</v>
      </c>
      <c r="Z629">
        <v>0</v>
      </c>
      <c r="AA629">
        <v>0</v>
      </c>
      <c r="AE629" t="s">
        <v>1039</v>
      </c>
      <c r="AI629">
        <v>57</v>
      </c>
      <c r="AJ629">
        <v>1000790</v>
      </c>
      <c r="AK629">
        <v>0</v>
      </c>
      <c r="AN629" t="s">
        <v>133</v>
      </c>
      <c r="AO629">
        <v>7.9</v>
      </c>
      <c r="AX629">
        <v>20200409</v>
      </c>
      <c r="AY629" t="s">
        <v>1780</v>
      </c>
      <c r="BG629" s="556" t="str">
        <f t="shared" si="63"/>
        <v>O</v>
      </c>
      <c r="BH629" s="556" t="str">
        <f t="shared" si="64"/>
        <v/>
      </c>
      <c r="BI629" s="556" t="str">
        <f t="shared" si="65"/>
        <v/>
      </c>
      <c r="BJ629" s="556">
        <f t="shared" si="66"/>
        <v>10</v>
      </c>
      <c r="BK629" s="556" t="str">
        <f t="shared" si="67"/>
        <v>M6</v>
      </c>
      <c r="BL629" s="556" t="str">
        <f t="shared" si="68"/>
        <v/>
      </c>
      <c r="BM629" s="497">
        <f t="shared" si="69"/>
        <v>52501</v>
      </c>
    </row>
    <row r="630" spans="1:65">
      <c r="A630">
        <v>50912</v>
      </c>
      <c r="B630" t="s">
        <v>817</v>
      </c>
      <c r="C630" t="s">
        <v>477</v>
      </c>
      <c r="D630" t="s">
        <v>2061</v>
      </c>
      <c r="F630" s="503">
        <v>43774</v>
      </c>
      <c r="H630" t="s">
        <v>819</v>
      </c>
      <c r="I630" t="s">
        <v>1753</v>
      </c>
      <c r="J630">
        <v>300</v>
      </c>
      <c r="K630">
        <v>3</v>
      </c>
      <c r="O630" t="s">
        <v>2303</v>
      </c>
      <c r="W630">
        <v>12.6</v>
      </c>
      <c r="X630">
        <v>10.5</v>
      </c>
      <c r="Y630">
        <v>0</v>
      </c>
      <c r="Z630">
        <v>0</v>
      </c>
      <c r="AA630">
        <v>5</v>
      </c>
      <c r="AE630" t="s">
        <v>1039</v>
      </c>
      <c r="AI630">
        <v>60</v>
      </c>
      <c r="AJ630">
        <v>4510795</v>
      </c>
      <c r="AK630">
        <v>0</v>
      </c>
      <c r="AN630" t="s">
        <v>815</v>
      </c>
      <c r="AO630">
        <v>7.95</v>
      </c>
      <c r="AX630">
        <v>20191105</v>
      </c>
      <c r="AY630" t="s">
        <v>1754</v>
      </c>
      <c r="BG630" s="556" t="str">
        <f t="shared" si="63"/>
        <v>O</v>
      </c>
      <c r="BH630" s="556" t="str">
        <f t="shared" si="64"/>
        <v/>
      </c>
      <c r="BI630" s="556" t="str">
        <f t="shared" si="65"/>
        <v/>
      </c>
      <c r="BJ630" s="556">
        <f t="shared" si="66"/>
        <v>3</v>
      </c>
      <c r="BK630" s="556" t="str">
        <f t="shared" si="67"/>
        <v>M6</v>
      </c>
      <c r="BL630" s="556" t="str">
        <f t="shared" si="68"/>
        <v/>
      </c>
      <c r="BM630" s="497">
        <f t="shared" si="69"/>
        <v>50912</v>
      </c>
    </row>
    <row r="631" spans="1:65">
      <c r="A631">
        <v>52703</v>
      </c>
      <c r="B631" t="s">
        <v>229</v>
      </c>
      <c r="C631" t="s">
        <v>220</v>
      </c>
      <c r="D631" t="s">
        <v>2069</v>
      </c>
      <c r="F631" s="503">
        <v>44011</v>
      </c>
      <c r="H631" t="s">
        <v>819</v>
      </c>
      <c r="I631" t="s">
        <v>1753</v>
      </c>
      <c r="J631">
        <v>1500</v>
      </c>
      <c r="K631">
        <v>10</v>
      </c>
      <c r="O631" t="s">
        <v>2303</v>
      </c>
      <c r="W631">
        <v>8.19</v>
      </c>
      <c r="X631">
        <v>8.1999999999999993</v>
      </c>
      <c r="Y631">
        <v>0</v>
      </c>
      <c r="Z631">
        <v>0</v>
      </c>
      <c r="AA631">
        <v>1</v>
      </c>
      <c r="AE631" t="s">
        <v>1039</v>
      </c>
      <c r="AI631">
        <v>57</v>
      </c>
      <c r="AJ631">
        <v>1000705</v>
      </c>
      <c r="AK631">
        <v>0</v>
      </c>
      <c r="AL631">
        <v>0</v>
      </c>
      <c r="AN631" t="s">
        <v>133</v>
      </c>
      <c r="AO631">
        <v>7.05</v>
      </c>
      <c r="AX631">
        <v>20200629</v>
      </c>
      <c r="AY631" t="s">
        <v>1780</v>
      </c>
      <c r="BG631" s="556" t="str">
        <f t="shared" si="63"/>
        <v>O</v>
      </c>
      <c r="BH631" s="556" t="str">
        <f t="shared" si="64"/>
        <v/>
      </c>
      <c r="BI631" s="556" t="str">
        <f t="shared" si="65"/>
        <v/>
      </c>
      <c r="BJ631" s="556">
        <f t="shared" si="66"/>
        <v>10</v>
      </c>
      <c r="BK631" s="556" t="str">
        <f t="shared" si="67"/>
        <v>M6</v>
      </c>
      <c r="BL631" s="556" t="str">
        <f t="shared" si="68"/>
        <v/>
      </c>
      <c r="BM631" s="497">
        <f t="shared" si="69"/>
        <v>52703</v>
      </c>
    </row>
    <row r="632" spans="1:65">
      <c r="A632">
        <v>53605</v>
      </c>
      <c r="B632" t="s">
        <v>2417</v>
      </c>
      <c r="C632" t="s">
        <v>2398</v>
      </c>
      <c r="D632" t="s">
        <v>2191</v>
      </c>
      <c r="F632" s="503">
        <v>45010</v>
      </c>
      <c r="H632" t="s">
        <v>2418</v>
      </c>
      <c r="I632" t="s">
        <v>1753</v>
      </c>
      <c r="J632">
        <v>0</v>
      </c>
      <c r="K632">
        <v>10</v>
      </c>
      <c r="O632" t="s">
        <v>2303</v>
      </c>
      <c r="W632">
        <v>11.05</v>
      </c>
      <c r="X632">
        <v>11.05</v>
      </c>
      <c r="Y632">
        <v>0</v>
      </c>
      <c r="Z632">
        <v>0</v>
      </c>
      <c r="AA632">
        <v>0</v>
      </c>
      <c r="AE632" t="s">
        <v>2079</v>
      </c>
      <c r="AI632">
        <v>87</v>
      </c>
      <c r="AJ632">
        <v>3020702</v>
      </c>
      <c r="AK632">
        <v>0</v>
      </c>
      <c r="AN632" t="s">
        <v>2629</v>
      </c>
      <c r="AO632">
        <v>7.02</v>
      </c>
      <c r="AU632" t="s">
        <v>3225</v>
      </c>
      <c r="AX632">
        <v>20230325</v>
      </c>
      <c r="AY632" t="s">
        <v>2072</v>
      </c>
      <c r="BG632" s="556" t="str">
        <f t="shared" si="63"/>
        <v>O</v>
      </c>
      <c r="BH632" s="556" t="str">
        <f t="shared" si="64"/>
        <v/>
      </c>
      <c r="BI632" s="556" t="str">
        <f t="shared" si="65"/>
        <v>Y</v>
      </c>
      <c r="BJ632" s="556">
        <f t="shared" si="66"/>
        <v>10</v>
      </c>
      <c r="BK632" s="556" t="str">
        <f t="shared" si="67"/>
        <v>M6</v>
      </c>
      <c r="BL632" s="556" t="str">
        <f t="shared" si="68"/>
        <v/>
      </c>
      <c r="BM632" s="497">
        <f t="shared" si="69"/>
        <v>53605</v>
      </c>
    </row>
    <row r="633" spans="1:65">
      <c r="A633">
        <v>40400</v>
      </c>
      <c r="B633" t="s">
        <v>1732</v>
      </c>
      <c r="C633" t="s">
        <v>2179</v>
      </c>
      <c r="D633" t="s">
        <v>2180</v>
      </c>
      <c r="F633" s="503">
        <v>44753</v>
      </c>
      <c r="H633" t="s">
        <v>2181</v>
      </c>
      <c r="I633" t="s">
        <v>1753</v>
      </c>
      <c r="J633">
        <v>1500</v>
      </c>
      <c r="K633">
        <v>8</v>
      </c>
      <c r="O633" t="s">
        <v>2305</v>
      </c>
      <c r="W633">
        <v>11.75</v>
      </c>
      <c r="X633">
        <v>13.7</v>
      </c>
      <c r="Y633">
        <v>0</v>
      </c>
      <c r="Z633">
        <v>0</v>
      </c>
      <c r="AA633">
        <v>0</v>
      </c>
      <c r="AE633" t="s">
        <v>3155</v>
      </c>
      <c r="AI633">
        <v>82</v>
      </c>
      <c r="AJ633">
        <v>1000705</v>
      </c>
      <c r="AK633">
        <v>0</v>
      </c>
      <c r="AN633" t="s">
        <v>133</v>
      </c>
      <c r="AO633">
        <v>7.05</v>
      </c>
      <c r="AX633">
        <v>20220711</v>
      </c>
      <c r="AY633" t="s">
        <v>1800</v>
      </c>
      <c r="AZ633" t="s">
        <v>2166</v>
      </c>
      <c r="BG633" s="556" t="str">
        <f t="shared" si="63"/>
        <v>O</v>
      </c>
      <c r="BH633" s="556" t="str">
        <f t="shared" si="64"/>
        <v>Y</v>
      </c>
      <c r="BI633" s="556" t="str">
        <f t="shared" si="65"/>
        <v/>
      </c>
      <c r="BJ633" s="556">
        <f t="shared" si="66"/>
        <v>8</v>
      </c>
      <c r="BK633" s="556" t="str">
        <f t="shared" si="67"/>
        <v>S2</v>
      </c>
      <c r="BL633" s="556" t="str">
        <f t="shared" si="68"/>
        <v/>
      </c>
      <c r="BM633" s="497">
        <f t="shared" si="69"/>
        <v>40400</v>
      </c>
    </row>
    <row r="634" spans="1:65">
      <c r="A634">
        <v>31001</v>
      </c>
      <c r="B634" t="s">
        <v>790</v>
      </c>
      <c r="C634" t="s">
        <v>792</v>
      </c>
      <c r="D634" t="s">
        <v>1921</v>
      </c>
      <c r="F634" s="503">
        <v>43194</v>
      </c>
      <c r="H634" t="s">
        <v>793</v>
      </c>
      <c r="I634" t="s">
        <v>1753</v>
      </c>
      <c r="J634">
        <v>0</v>
      </c>
      <c r="K634">
        <v>8</v>
      </c>
      <c r="O634" t="s">
        <v>2305</v>
      </c>
      <c r="W634">
        <v>11.75</v>
      </c>
      <c r="X634">
        <v>23.36</v>
      </c>
      <c r="Y634">
        <v>0</v>
      </c>
      <c r="Z634">
        <v>38.6</v>
      </c>
      <c r="AA634">
        <v>0</v>
      </c>
      <c r="AE634" t="s">
        <v>1039</v>
      </c>
      <c r="AI634">
        <v>18</v>
      </c>
      <c r="AJ634">
        <v>1850705</v>
      </c>
      <c r="AK634">
        <v>0</v>
      </c>
      <c r="AN634" t="s">
        <v>1703</v>
      </c>
      <c r="AO634">
        <v>7.05</v>
      </c>
      <c r="AX634">
        <v>20180404</v>
      </c>
      <c r="AY634" t="s">
        <v>1800</v>
      </c>
      <c r="BG634" s="556" t="str">
        <f t="shared" si="63"/>
        <v>O</v>
      </c>
      <c r="BH634" s="556" t="str">
        <f t="shared" si="64"/>
        <v>Y</v>
      </c>
      <c r="BI634" s="556" t="str">
        <f t="shared" si="65"/>
        <v/>
      </c>
      <c r="BJ634" s="556">
        <f t="shared" si="66"/>
        <v>8</v>
      </c>
      <c r="BK634" s="556" t="str">
        <f t="shared" si="67"/>
        <v>S2</v>
      </c>
      <c r="BL634" s="556" t="str">
        <f t="shared" si="68"/>
        <v/>
      </c>
      <c r="BM634" s="497">
        <f t="shared" si="69"/>
        <v>31001</v>
      </c>
    </row>
    <row r="635" spans="1:65">
      <c r="A635">
        <v>20500</v>
      </c>
      <c r="B635" t="s">
        <v>241</v>
      </c>
      <c r="C635" t="s">
        <v>242</v>
      </c>
      <c r="D635" t="s">
        <v>1840</v>
      </c>
      <c r="F635" s="503">
        <v>42748</v>
      </c>
      <c r="H635" t="s">
        <v>465</v>
      </c>
      <c r="I635" t="s">
        <v>1753</v>
      </c>
      <c r="J635">
        <v>1500</v>
      </c>
      <c r="K635">
        <v>2</v>
      </c>
      <c r="L635">
        <v>8</v>
      </c>
      <c r="O635" t="s">
        <v>2303</v>
      </c>
      <c r="P635" t="s">
        <v>2307</v>
      </c>
      <c r="W635">
        <v>12.68</v>
      </c>
      <c r="X635">
        <v>12.6</v>
      </c>
      <c r="Y635">
        <v>0</v>
      </c>
      <c r="Z635">
        <v>0</v>
      </c>
      <c r="AA635">
        <v>0</v>
      </c>
      <c r="AE635" t="s">
        <v>1039</v>
      </c>
      <c r="AI635">
        <v>57</v>
      </c>
      <c r="AJ635">
        <v>1000780</v>
      </c>
      <c r="AK635">
        <v>0</v>
      </c>
      <c r="AL635">
        <v>0</v>
      </c>
      <c r="AN635" t="s">
        <v>133</v>
      </c>
      <c r="AO635">
        <v>7.8</v>
      </c>
      <c r="AX635">
        <v>20170113</v>
      </c>
      <c r="AY635" t="s">
        <v>1780</v>
      </c>
      <c r="BG635" s="556" t="str">
        <f t="shared" si="63"/>
        <v>O</v>
      </c>
      <c r="BH635" s="556" t="str">
        <f t="shared" si="64"/>
        <v/>
      </c>
      <c r="BI635" s="556" t="str">
        <f t="shared" si="65"/>
        <v/>
      </c>
      <c r="BJ635" s="556" t="str">
        <f t="shared" si="66"/>
        <v>2,8</v>
      </c>
      <c r="BK635" s="556" t="str">
        <f t="shared" si="67"/>
        <v>M6,R4</v>
      </c>
      <c r="BL635" s="556" t="str">
        <f t="shared" si="68"/>
        <v/>
      </c>
      <c r="BM635" s="497">
        <f t="shared" si="69"/>
        <v>20500</v>
      </c>
    </row>
    <row r="636" spans="1:65">
      <c r="A636">
        <v>40004</v>
      </c>
      <c r="B636" t="s">
        <v>971</v>
      </c>
      <c r="C636" t="s">
        <v>973</v>
      </c>
      <c r="D636" t="s">
        <v>1803</v>
      </c>
      <c r="F636" s="503">
        <v>43434</v>
      </c>
      <c r="H636" t="s">
        <v>974</v>
      </c>
      <c r="I636" t="s">
        <v>1753</v>
      </c>
      <c r="J636">
        <v>0</v>
      </c>
      <c r="K636">
        <v>8</v>
      </c>
      <c r="O636" t="s">
        <v>2303</v>
      </c>
      <c r="P636" t="s">
        <v>2307</v>
      </c>
      <c r="W636">
        <v>14.7</v>
      </c>
      <c r="X636">
        <v>14.73</v>
      </c>
      <c r="Y636">
        <v>0</v>
      </c>
      <c r="Z636">
        <v>0</v>
      </c>
      <c r="AA636">
        <v>0</v>
      </c>
      <c r="AE636" t="s">
        <v>2079</v>
      </c>
      <c r="AI636">
        <v>66</v>
      </c>
      <c r="AJ636">
        <v>3020702</v>
      </c>
      <c r="AK636">
        <v>0</v>
      </c>
      <c r="AN636" t="s">
        <v>2629</v>
      </c>
      <c r="AO636">
        <v>7.02</v>
      </c>
      <c r="AX636">
        <v>20181130</v>
      </c>
      <c r="AY636" t="s">
        <v>2182</v>
      </c>
      <c r="BG636" s="556" t="str">
        <f t="shared" si="63"/>
        <v>O</v>
      </c>
      <c r="BH636" s="556" t="str">
        <f t="shared" si="64"/>
        <v/>
      </c>
      <c r="BI636" s="556" t="str">
        <f t="shared" si="65"/>
        <v/>
      </c>
      <c r="BJ636" s="556">
        <f t="shared" si="66"/>
        <v>8</v>
      </c>
      <c r="BK636" s="556" t="str">
        <f t="shared" si="67"/>
        <v>M6,R4</v>
      </c>
      <c r="BL636" s="556" t="str">
        <f t="shared" si="68"/>
        <v/>
      </c>
      <c r="BM636" s="497">
        <f t="shared" si="69"/>
        <v>40004</v>
      </c>
    </row>
    <row r="637" spans="1:65">
      <c r="A637">
        <v>53613</v>
      </c>
      <c r="B637" t="s">
        <v>2574</v>
      </c>
      <c r="C637" t="s">
        <v>2575</v>
      </c>
      <c r="D637" t="s">
        <v>2191</v>
      </c>
      <c r="F637" s="503">
        <v>45034</v>
      </c>
      <c r="H637" t="s">
        <v>2576</v>
      </c>
      <c r="I637" t="s">
        <v>1753</v>
      </c>
      <c r="J637">
        <v>0</v>
      </c>
      <c r="K637">
        <v>8</v>
      </c>
      <c r="O637" t="s">
        <v>2303</v>
      </c>
      <c r="W637">
        <v>14.3</v>
      </c>
      <c r="X637">
        <v>14.3</v>
      </c>
      <c r="Y637">
        <v>0</v>
      </c>
      <c r="Z637">
        <v>0</v>
      </c>
      <c r="AA637">
        <v>304</v>
      </c>
      <c r="AE637" t="s">
        <v>2582</v>
      </c>
      <c r="AI637">
        <v>60</v>
      </c>
      <c r="AJ637">
        <v>4360705</v>
      </c>
      <c r="AK637">
        <v>0</v>
      </c>
      <c r="AL637">
        <v>0</v>
      </c>
      <c r="AN637" t="s">
        <v>134</v>
      </c>
      <c r="AO637">
        <v>7.05</v>
      </c>
      <c r="AX637">
        <v>20230418</v>
      </c>
      <c r="AY637" t="s">
        <v>1754</v>
      </c>
      <c r="BG637" s="556" t="str">
        <f t="shared" si="63"/>
        <v>O</v>
      </c>
      <c r="BH637" s="556" t="str">
        <f t="shared" si="64"/>
        <v/>
      </c>
      <c r="BI637" s="556" t="str">
        <f t="shared" si="65"/>
        <v/>
      </c>
      <c r="BJ637" s="556">
        <f t="shared" si="66"/>
        <v>8</v>
      </c>
      <c r="BK637" s="556" t="str">
        <f t="shared" si="67"/>
        <v>M6</v>
      </c>
      <c r="BL637" s="556" t="str">
        <f t="shared" si="68"/>
        <v/>
      </c>
      <c r="BM637" s="497">
        <f t="shared" si="69"/>
        <v>53613</v>
      </c>
    </row>
    <row r="638" spans="1:65">
      <c r="A638">
        <v>40001</v>
      </c>
      <c r="B638" t="s">
        <v>968</v>
      </c>
      <c r="C638" t="s">
        <v>152</v>
      </c>
      <c r="D638" t="s">
        <v>1803</v>
      </c>
      <c r="F638" s="503">
        <v>43434</v>
      </c>
      <c r="H638" t="s">
        <v>970</v>
      </c>
      <c r="I638" t="s">
        <v>1753</v>
      </c>
      <c r="J638">
        <v>200</v>
      </c>
      <c r="K638">
        <v>6</v>
      </c>
      <c r="L638">
        <v>8</v>
      </c>
      <c r="O638" t="s">
        <v>2303</v>
      </c>
      <c r="P638" t="s">
        <v>2307</v>
      </c>
      <c r="W638">
        <v>12.61</v>
      </c>
      <c r="X638">
        <v>12.51</v>
      </c>
      <c r="Y638">
        <v>0</v>
      </c>
      <c r="Z638">
        <v>0</v>
      </c>
      <c r="AA638">
        <v>0</v>
      </c>
      <c r="AE638" t="s">
        <v>2079</v>
      </c>
      <c r="AI638">
        <v>87</v>
      </c>
      <c r="AJ638">
        <v>3020702</v>
      </c>
      <c r="AK638">
        <v>0</v>
      </c>
      <c r="AN638" t="s">
        <v>2629</v>
      </c>
      <c r="AO638">
        <v>7.02</v>
      </c>
      <c r="AU638" t="s">
        <v>3225</v>
      </c>
      <c r="AX638">
        <v>20181130</v>
      </c>
      <c r="AY638" t="s">
        <v>2072</v>
      </c>
      <c r="BG638" s="556" t="str">
        <f t="shared" si="63"/>
        <v>O</v>
      </c>
      <c r="BH638" s="556" t="str">
        <f t="shared" si="64"/>
        <v/>
      </c>
      <c r="BI638" s="556" t="str">
        <f t="shared" si="65"/>
        <v>Y</v>
      </c>
      <c r="BJ638" s="556" t="str">
        <f t="shared" si="66"/>
        <v>6,8</v>
      </c>
      <c r="BK638" s="556" t="str">
        <f t="shared" si="67"/>
        <v>M6,R4</v>
      </c>
      <c r="BL638" s="556" t="str">
        <f t="shared" si="68"/>
        <v/>
      </c>
      <c r="BM638" s="497">
        <f t="shared" si="69"/>
        <v>40001</v>
      </c>
    </row>
    <row r="639" spans="1:65">
      <c r="A639">
        <v>20005</v>
      </c>
      <c r="B639" t="s">
        <v>2319</v>
      </c>
      <c r="C639" t="s">
        <v>39</v>
      </c>
      <c r="D639" t="s">
        <v>1774</v>
      </c>
      <c r="F639" s="503">
        <v>42748</v>
      </c>
      <c r="H639" t="s">
        <v>51</v>
      </c>
      <c r="I639" t="s">
        <v>1753</v>
      </c>
      <c r="J639">
        <v>1300</v>
      </c>
      <c r="K639">
        <v>3</v>
      </c>
      <c r="L639">
        <v>6</v>
      </c>
      <c r="M639">
        <v>8</v>
      </c>
      <c r="N639" t="s">
        <v>218</v>
      </c>
      <c r="O639" t="s">
        <v>2303</v>
      </c>
      <c r="P639" t="s">
        <v>2309</v>
      </c>
      <c r="Q639" t="s">
        <v>2307</v>
      </c>
      <c r="W639">
        <v>14.76</v>
      </c>
      <c r="X639">
        <v>14.9</v>
      </c>
      <c r="Y639">
        <v>0</v>
      </c>
      <c r="Z639">
        <v>0</v>
      </c>
      <c r="AA639">
        <v>0</v>
      </c>
      <c r="AE639" t="s">
        <v>2175</v>
      </c>
      <c r="AI639">
        <v>87</v>
      </c>
      <c r="AJ639">
        <v>4310702</v>
      </c>
      <c r="AK639">
        <v>0</v>
      </c>
      <c r="AL639">
        <v>0</v>
      </c>
      <c r="AN639" t="s">
        <v>137</v>
      </c>
      <c r="AO639">
        <v>7.02</v>
      </c>
      <c r="AU639" t="s">
        <v>3223</v>
      </c>
      <c r="AX639">
        <v>20170113</v>
      </c>
      <c r="AY639" t="s">
        <v>2072</v>
      </c>
      <c r="BG639" s="556" t="str">
        <f t="shared" si="63"/>
        <v>O</v>
      </c>
      <c r="BH639" s="556" t="str">
        <f t="shared" si="64"/>
        <v/>
      </c>
      <c r="BI639" s="556" t="str">
        <f t="shared" si="65"/>
        <v>Y</v>
      </c>
      <c r="BJ639" s="556" t="str">
        <f t="shared" si="66"/>
        <v>3,6,8,8A</v>
      </c>
      <c r="BK639" s="556" t="str">
        <f t="shared" si="67"/>
        <v>M6,R3,R4</v>
      </c>
      <c r="BL639" s="556" t="str">
        <f t="shared" si="68"/>
        <v/>
      </c>
      <c r="BM639" s="497">
        <f t="shared" si="69"/>
        <v>20005</v>
      </c>
    </row>
    <row r="640" spans="1:65">
      <c r="A640">
        <v>99009</v>
      </c>
      <c r="B640" t="s">
        <v>2184</v>
      </c>
      <c r="C640" t="s">
        <v>2185</v>
      </c>
      <c r="D640" t="s">
        <v>358</v>
      </c>
      <c r="F640" s="503">
        <v>44413</v>
      </c>
      <c r="H640" t="s">
        <v>2186</v>
      </c>
      <c r="I640" t="s">
        <v>1753</v>
      </c>
      <c r="J640">
        <v>2000</v>
      </c>
      <c r="K640">
        <v>3</v>
      </c>
      <c r="L640" t="s">
        <v>1713</v>
      </c>
      <c r="O640" t="s">
        <v>2303</v>
      </c>
      <c r="P640" t="s">
        <v>2307</v>
      </c>
      <c r="W640">
        <v>12.47</v>
      </c>
      <c r="X640">
        <v>12.48</v>
      </c>
      <c r="Y640">
        <v>0</v>
      </c>
      <c r="Z640">
        <v>0</v>
      </c>
      <c r="AA640">
        <v>0</v>
      </c>
      <c r="AE640" t="s">
        <v>1761</v>
      </c>
      <c r="AI640">
        <v>57</v>
      </c>
      <c r="AJ640">
        <v>3020702</v>
      </c>
      <c r="AK640">
        <v>0</v>
      </c>
      <c r="AN640" t="s">
        <v>2629</v>
      </c>
      <c r="AO640">
        <v>7.02</v>
      </c>
      <c r="AX640">
        <v>20210805</v>
      </c>
      <c r="AY640" t="s">
        <v>1780</v>
      </c>
      <c r="BG640" s="556" t="str">
        <f t="shared" si="63"/>
        <v>O</v>
      </c>
      <c r="BH640" s="556" t="str">
        <f t="shared" si="64"/>
        <v/>
      </c>
      <c r="BI640" s="556" t="str">
        <f t="shared" si="65"/>
        <v/>
      </c>
      <c r="BJ640" s="556" t="str">
        <f t="shared" si="66"/>
        <v>3,4A</v>
      </c>
      <c r="BK640" s="556" t="str">
        <f t="shared" si="67"/>
        <v>M6,R4</v>
      </c>
      <c r="BL640" s="556" t="str">
        <f t="shared" si="68"/>
        <v/>
      </c>
      <c r="BM640" s="497">
        <f t="shared" si="69"/>
        <v>99009</v>
      </c>
    </row>
    <row r="641" spans="1:65">
      <c r="A641">
        <v>40002</v>
      </c>
      <c r="B641" t="s">
        <v>151</v>
      </c>
      <c r="C641" t="s">
        <v>152</v>
      </c>
      <c r="D641" t="s">
        <v>1803</v>
      </c>
      <c r="F641" s="503">
        <v>43434</v>
      </c>
      <c r="H641" t="s">
        <v>966</v>
      </c>
      <c r="I641" t="s">
        <v>1753</v>
      </c>
      <c r="J641">
        <v>400</v>
      </c>
      <c r="K641">
        <v>3</v>
      </c>
      <c r="L641" t="s">
        <v>1713</v>
      </c>
      <c r="O641" t="s">
        <v>2303</v>
      </c>
      <c r="P641" t="s">
        <v>2307</v>
      </c>
      <c r="W641">
        <v>12.47</v>
      </c>
      <c r="X641">
        <v>12.5</v>
      </c>
      <c r="Y641">
        <v>0</v>
      </c>
      <c r="Z641">
        <v>0</v>
      </c>
      <c r="AA641">
        <v>0</v>
      </c>
      <c r="AB641">
        <v>40.1</v>
      </c>
      <c r="AE641" t="s">
        <v>2079</v>
      </c>
      <c r="AI641">
        <v>87</v>
      </c>
      <c r="AJ641">
        <v>3020702</v>
      </c>
      <c r="AK641">
        <v>0</v>
      </c>
      <c r="AN641" t="s">
        <v>2629</v>
      </c>
      <c r="AO641">
        <v>7.02</v>
      </c>
      <c r="AU641" t="s">
        <v>3225</v>
      </c>
      <c r="AX641">
        <v>20181130</v>
      </c>
      <c r="AY641" t="s">
        <v>2072</v>
      </c>
      <c r="BG641" s="556" t="str">
        <f t="shared" si="63"/>
        <v>O</v>
      </c>
      <c r="BH641" s="556" t="str">
        <f t="shared" si="64"/>
        <v/>
      </c>
      <c r="BI641" s="556" t="str">
        <f t="shared" si="65"/>
        <v>Y</v>
      </c>
      <c r="BJ641" s="556" t="str">
        <f t="shared" si="66"/>
        <v>3,4A</v>
      </c>
      <c r="BK641" s="556" t="str">
        <f t="shared" si="67"/>
        <v>M6,R4</v>
      </c>
      <c r="BL641" s="556" t="str">
        <f t="shared" si="68"/>
        <v/>
      </c>
      <c r="BM641" s="497">
        <f t="shared" si="69"/>
        <v>40002</v>
      </c>
    </row>
    <row r="642" spans="1:65">
      <c r="A642">
        <v>53614</v>
      </c>
      <c r="B642" t="s">
        <v>2577</v>
      </c>
      <c r="C642" t="s">
        <v>2190</v>
      </c>
      <c r="D642" t="s">
        <v>2191</v>
      </c>
      <c r="F642" s="503">
        <v>45034</v>
      </c>
      <c r="H642" t="s">
        <v>2578</v>
      </c>
      <c r="I642" t="s">
        <v>1753</v>
      </c>
      <c r="J642">
        <v>0</v>
      </c>
      <c r="K642">
        <v>3</v>
      </c>
      <c r="O642" t="s">
        <v>2303</v>
      </c>
      <c r="W642">
        <v>20.6</v>
      </c>
      <c r="X642">
        <v>20.6</v>
      </c>
      <c r="Y642">
        <v>0</v>
      </c>
      <c r="Z642">
        <v>0</v>
      </c>
      <c r="AA642">
        <v>3</v>
      </c>
      <c r="AE642" t="s">
        <v>2316</v>
      </c>
      <c r="AI642">
        <v>60</v>
      </c>
      <c r="AJ642">
        <v>4360780</v>
      </c>
      <c r="AK642">
        <v>0</v>
      </c>
      <c r="AL642">
        <v>0</v>
      </c>
      <c r="AN642" t="s">
        <v>134</v>
      </c>
      <c r="AO642">
        <v>7.8</v>
      </c>
      <c r="AX642">
        <v>20230418</v>
      </c>
      <c r="AY642" t="s">
        <v>1754</v>
      </c>
      <c r="BG642" s="556" t="str">
        <f t="shared" si="63"/>
        <v>O</v>
      </c>
      <c r="BH642" s="556" t="str">
        <f t="shared" si="64"/>
        <v/>
      </c>
      <c r="BI642" s="556" t="str">
        <f t="shared" si="65"/>
        <v/>
      </c>
      <c r="BJ642" s="556">
        <f t="shared" si="66"/>
        <v>3</v>
      </c>
      <c r="BK642" s="556" t="str">
        <f t="shared" si="67"/>
        <v>M6</v>
      </c>
      <c r="BL642" s="556" t="str">
        <f t="shared" si="68"/>
        <v/>
      </c>
      <c r="BM642" s="497">
        <f t="shared" si="69"/>
        <v>53614</v>
      </c>
    </row>
    <row r="643" spans="1:65">
      <c r="A643">
        <v>50910</v>
      </c>
      <c r="B643" t="s">
        <v>1021</v>
      </c>
      <c r="C643" t="s">
        <v>1022</v>
      </c>
      <c r="D643" t="s">
        <v>2061</v>
      </c>
      <c r="F643" s="503">
        <v>43508</v>
      </c>
      <c r="H643" t="s">
        <v>1023</v>
      </c>
      <c r="I643" t="s">
        <v>1753</v>
      </c>
      <c r="J643">
        <v>150</v>
      </c>
      <c r="K643">
        <v>3</v>
      </c>
      <c r="O643" t="s">
        <v>2305</v>
      </c>
      <c r="W643">
        <v>22.1</v>
      </c>
      <c r="X643">
        <v>22.97</v>
      </c>
      <c r="Y643">
        <v>0</v>
      </c>
      <c r="Z643">
        <v>0</v>
      </c>
      <c r="AA643">
        <v>0</v>
      </c>
      <c r="AE643" t="s">
        <v>2128</v>
      </c>
      <c r="AI643">
        <v>82</v>
      </c>
      <c r="AJ643">
        <v>2700702</v>
      </c>
      <c r="AK643">
        <v>0</v>
      </c>
      <c r="AN643" t="s">
        <v>2187</v>
      </c>
      <c r="AO643">
        <v>7.02</v>
      </c>
      <c r="AX643">
        <v>20190212</v>
      </c>
      <c r="AY643" t="s">
        <v>1800</v>
      </c>
      <c r="AZ643" t="s">
        <v>2188</v>
      </c>
      <c r="BA643" t="s">
        <v>2166</v>
      </c>
      <c r="BG643" s="556" t="str">
        <f t="shared" ref="BG643:BG706" si="70">IF(LEFT(AY643,2)="98","X","O")</f>
        <v>O</v>
      </c>
      <c r="BH643" s="556" t="str">
        <f t="shared" ref="BH643:BH706" si="71">IF(IFERROR(SEARCH("45",$AY643,1),0)&gt;0,"Y","")</f>
        <v>Y</v>
      </c>
      <c r="BI643" s="556" t="str">
        <f t="shared" ref="BI643:BI706" si="72">IF(IFERROR(SEARCH("86",$AY643,1),0)&gt;0,"Y","")</f>
        <v/>
      </c>
      <c r="BJ643" s="556">
        <f t="shared" ref="BJ643:BJ706" si="73">IF(L643="",K643,IF(M643="",K643&amp;","&amp;L643,IF(N643="",K643&amp;","&amp;L643&amp;","&amp;M643,K643&amp;","&amp;L643&amp;","&amp;M643&amp;","&amp;N643)))</f>
        <v>3</v>
      </c>
      <c r="BK643" s="556" t="str">
        <f t="shared" ref="BK643:BK706" si="74">IF(P643="",O643,IF(Q643="",O643&amp;","&amp;P643,IF(R643="",O643&amp;","&amp;P643&amp;","&amp;Q643,IO643&amp;","&amp;P643&amp;","&amp;Q643&amp;","&amp;R643)))</f>
        <v>S2</v>
      </c>
      <c r="BL643" s="556" t="str">
        <f t="shared" ref="BL643:BL706" si="75">IF(S643=0,"",S643)</f>
        <v/>
      </c>
      <c r="BM643" s="497">
        <f t="shared" ref="BM643:BM706" si="76">A643</f>
        <v>50910</v>
      </c>
    </row>
    <row r="644" spans="1:65">
      <c r="A644">
        <v>20503</v>
      </c>
      <c r="B644" t="s">
        <v>467</v>
      </c>
      <c r="C644" t="s">
        <v>469</v>
      </c>
      <c r="D644" t="s">
        <v>1840</v>
      </c>
      <c r="F644" s="503">
        <v>43487</v>
      </c>
      <c r="H644" t="s">
        <v>470</v>
      </c>
      <c r="I644" t="s">
        <v>1753</v>
      </c>
      <c r="J644">
        <v>1000</v>
      </c>
      <c r="K644">
        <v>8</v>
      </c>
      <c r="O644" t="s">
        <v>2303</v>
      </c>
      <c r="P644" t="s">
        <v>2307</v>
      </c>
      <c r="W644">
        <v>17.3</v>
      </c>
      <c r="X644">
        <v>17.399999999999999</v>
      </c>
      <c r="Y644">
        <v>0</v>
      </c>
      <c r="Z644">
        <v>0</v>
      </c>
      <c r="AA644">
        <v>0</v>
      </c>
      <c r="AE644" t="s">
        <v>1039</v>
      </c>
      <c r="AI644">
        <v>57</v>
      </c>
      <c r="AJ644">
        <v>1000780</v>
      </c>
      <c r="AK644">
        <v>0</v>
      </c>
      <c r="AN644" t="s">
        <v>133</v>
      </c>
      <c r="AO644">
        <v>7.8</v>
      </c>
      <c r="AX644">
        <v>20190122</v>
      </c>
      <c r="AY644" t="s">
        <v>1780</v>
      </c>
      <c r="BG644" s="556" t="str">
        <f t="shared" si="70"/>
        <v>O</v>
      </c>
      <c r="BH644" s="556" t="str">
        <f t="shared" si="71"/>
        <v/>
      </c>
      <c r="BI644" s="556" t="str">
        <f t="shared" si="72"/>
        <v/>
      </c>
      <c r="BJ644" s="556">
        <f t="shared" si="73"/>
        <v>8</v>
      </c>
      <c r="BK644" s="556" t="str">
        <f t="shared" si="74"/>
        <v>M6,R4</v>
      </c>
      <c r="BL644" s="556" t="str">
        <f t="shared" si="75"/>
        <v/>
      </c>
      <c r="BM644" s="497">
        <f t="shared" si="76"/>
        <v>20503</v>
      </c>
    </row>
    <row r="645" spans="1:65">
      <c r="A645">
        <v>40003</v>
      </c>
      <c r="B645" t="s">
        <v>458</v>
      </c>
      <c r="C645" t="s">
        <v>460</v>
      </c>
      <c r="D645" t="s">
        <v>1803</v>
      </c>
      <c r="F645" s="503">
        <v>43434</v>
      </c>
      <c r="H645" t="s">
        <v>461</v>
      </c>
      <c r="I645" t="s">
        <v>1753</v>
      </c>
      <c r="J645">
        <v>600</v>
      </c>
      <c r="K645">
        <v>7</v>
      </c>
      <c r="O645" t="s">
        <v>2305</v>
      </c>
      <c r="W645">
        <v>17.5</v>
      </c>
      <c r="X645">
        <v>23</v>
      </c>
      <c r="Y645">
        <v>0</v>
      </c>
      <c r="Z645">
        <v>0</v>
      </c>
      <c r="AA645">
        <v>0</v>
      </c>
      <c r="AE645">
        <v>101</v>
      </c>
      <c r="AI645">
        <v>18</v>
      </c>
      <c r="AJ645">
        <v>1000705</v>
      </c>
      <c r="AK645">
        <v>0</v>
      </c>
      <c r="AN645" t="s">
        <v>133</v>
      </c>
      <c r="AO645">
        <v>7.05</v>
      </c>
      <c r="AT645" t="s">
        <v>2189</v>
      </c>
      <c r="AX645">
        <v>20181130</v>
      </c>
      <c r="AY645" t="s">
        <v>1800</v>
      </c>
      <c r="AZ645" t="s">
        <v>2169</v>
      </c>
      <c r="BA645" t="s">
        <v>2166</v>
      </c>
      <c r="BG645" s="556" t="str">
        <f t="shared" si="70"/>
        <v>O</v>
      </c>
      <c r="BH645" s="556" t="str">
        <f t="shared" si="71"/>
        <v>Y</v>
      </c>
      <c r="BI645" s="556" t="str">
        <f t="shared" si="72"/>
        <v/>
      </c>
      <c r="BJ645" s="556">
        <f t="shared" si="73"/>
        <v>7</v>
      </c>
      <c r="BK645" s="556" t="str">
        <f t="shared" si="74"/>
        <v>S2</v>
      </c>
      <c r="BL645" s="556" t="str">
        <f t="shared" si="75"/>
        <v/>
      </c>
      <c r="BM645" s="497">
        <f t="shared" si="76"/>
        <v>40003</v>
      </c>
    </row>
    <row r="646" spans="1:65">
      <c r="A646">
        <v>53600</v>
      </c>
      <c r="B646" t="s">
        <v>2315</v>
      </c>
      <c r="C646" t="s">
        <v>2190</v>
      </c>
      <c r="D646" t="s">
        <v>2191</v>
      </c>
      <c r="F646" s="503">
        <v>44844</v>
      </c>
      <c r="H646" t="s">
        <v>2192</v>
      </c>
      <c r="I646" t="s">
        <v>1753</v>
      </c>
      <c r="J646">
        <v>800</v>
      </c>
      <c r="K646">
        <v>3</v>
      </c>
      <c r="O646" t="s">
        <v>2303</v>
      </c>
      <c r="P646" t="s">
        <v>2307</v>
      </c>
      <c r="W646">
        <v>24.3</v>
      </c>
      <c r="X646">
        <v>24.3</v>
      </c>
      <c r="Y646">
        <v>0</v>
      </c>
      <c r="Z646">
        <v>0</v>
      </c>
      <c r="AA646">
        <v>302</v>
      </c>
      <c r="AE646" t="s">
        <v>2316</v>
      </c>
      <c r="AI646">
        <v>60</v>
      </c>
      <c r="AJ646">
        <v>4360780</v>
      </c>
      <c r="AK646">
        <v>0</v>
      </c>
      <c r="AN646" t="s">
        <v>134</v>
      </c>
      <c r="AO646">
        <v>7.8</v>
      </c>
      <c r="AX646">
        <v>20221010</v>
      </c>
      <c r="AY646" t="s">
        <v>1754</v>
      </c>
      <c r="BG646" s="556" t="str">
        <f t="shared" si="70"/>
        <v>O</v>
      </c>
      <c r="BH646" s="556" t="str">
        <f t="shared" si="71"/>
        <v/>
      </c>
      <c r="BI646" s="556" t="str">
        <f t="shared" si="72"/>
        <v/>
      </c>
      <c r="BJ646" s="556">
        <f t="shared" si="73"/>
        <v>3</v>
      </c>
      <c r="BK646" s="556" t="str">
        <f t="shared" si="74"/>
        <v>M6,R4</v>
      </c>
      <c r="BL646" s="556" t="str">
        <f t="shared" si="75"/>
        <v/>
      </c>
      <c r="BM646" s="497">
        <f t="shared" si="76"/>
        <v>53600</v>
      </c>
    </row>
    <row r="647" spans="1:65">
      <c r="A647">
        <v>20006</v>
      </c>
      <c r="B647" t="s">
        <v>143</v>
      </c>
      <c r="C647" t="s">
        <v>38</v>
      </c>
      <c r="D647" t="s">
        <v>1774</v>
      </c>
      <c r="F647" s="503">
        <v>42748</v>
      </c>
      <c r="H647" t="s">
        <v>50</v>
      </c>
      <c r="I647" t="s">
        <v>1753</v>
      </c>
      <c r="J647">
        <v>500</v>
      </c>
      <c r="K647">
        <v>3</v>
      </c>
      <c r="L647">
        <v>4</v>
      </c>
      <c r="M647">
        <v>6</v>
      </c>
      <c r="N647">
        <v>8</v>
      </c>
      <c r="O647" t="s">
        <v>2305</v>
      </c>
      <c r="W647">
        <v>24.28</v>
      </c>
      <c r="X647">
        <v>39.049999999999997</v>
      </c>
      <c r="Y647">
        <v>0</v>
      </c>
      <c r="Z647">
        <v>0</v>
      </c>
      <c r="AA647">
        <v>1</v>
      </c>
      <c r="AE647" t="s">
        <v>1992</v>
      </c>
      <c r="AI647">
        <v>88</v>
      </c>
      <c r="AJ647">
        <v>1000705</v>
      </c>
      <c r="AK647">
        <v>0</v>
      </c>
      <c r="AL647">
        <v>0</v>
      </c>
      <c r="AN647" t="s">
        <v>133</v>
      </c>
      <c r="AO647">
        <v>7.05</v>
      </c>
      <c r="AU647" t="s">
        <v>3223</v>
      </c>
      <c r="AX647">
        <v>20170113</v>
      </c>
      <c r="AY647" t="s">
        <v>2193</v>
      </c>
      <c r="AZ647" t="s">
        <v>2194</v>
      </c>
      <c r="BG647" s="556" t="str">
        <f t="shared" si="70"/>
        <v>O</v>
      </c>
      <c r="BH647" s="556" t="str">
        <f t="shared" si="71"/>
        <v>Y</v>
      </c>
      <c r="BI647" s="556" t="str">
        <f t="shared" si="72"/>
        <v>Y</v>
      </c>
      <c r="BJ647" s="556" t="str">
        <f t="shared" si="73"/>
        <v>3,4,6,8</v>
      </c>
      <c r="BK647" s="556" t="str">
        <f t="shared" si="74"/>
        <v>S2</v>
      </c>
      <c r="BL647" s="556" t="str">
        <f t="shared" si="75"/>
        <v/>
      </c>
      <c r="BM647" s="497">
        <f t="shared" si="76"/>
        <v>20006</v>
      </c>
    </row>
    <row r="648" spans="1:65">
      <c r="A648">
        <v>20001</v>
      </c>
      <c r="B648" t="s">
        <v>496</v>
      </c>
      <c r="C648" t="s">
        <v>498</v>
      </c>
      <c r="D648" t="s">
        <v>1774</v>
      </c>
      <c r="F648" s="503">
        <v>42748</v>
      </c>
      <c r="H648" t="s">
        <v>499</v>
      </c>
      <c r="I648" t="s">
        <v>1753</v>
      </c>
      <c r="J648">
        <v>400</v>
      </c>
      <c r="K648">
        <v>2</v>
      </c>
      <c r="L648">
        <v>3</v>
      </c>
      <c r="M648">
        <v>4</v>
      </c>
      <c r="O648" t="s">
        <v>2308</v>
      </c>
      <c r="W648">
        <v>42.9</v>
      </c>
      <c r="X648">
        <v>56.6</v>
      </c>
      <c r="Y648">
        <v>0</v>
      </c>
      <c r="Z648">
        <v>0</v>
      </c>
      <c r="AA648">
        <v>0</v>
      </c>
      <c r="AE648" t="s">
        <v>1992</v>
      </c>
      <c r="AI648">
        <v>89</v>
      </c>
      <c r="AJ648">
        <v>1000996</v>
      </c>
      <c r="AK648">
        <v>0</v>
      </c>
      <c r="AL648">
        <v>0</v>
      </c>
      <c r="AN648" t="s">
        <v>133</v>
      </c>
      <c r="AO648">
        <v>9.9600000000000009</v>
      </c>
      <c r="AU648" t="s">
        <v>3223</v>
      </c>
      <c r="AX648">
        <v>20170113</v>
      </c>
      <c r="AY648" t="s">
        <v>2195</v>
      </c>
      <c r="AZ648" t="s">
        <v>2196</v>
      </c>
      <c r="BG648" s="556" t="str">
        <f t="shared" si="70"/>
        <v>O</v>
      </c>
      <c r="BH648" s="556" t="str">
        <f t="shared" si="71"/>
        <v>Y</v>
      </c>
      <c r="BI648" s="556" t="str">
        <f t="shared" si="72"/>
        <v>Y</v>
      </c>
      <c r="BJ648" s="556" t="str">
        <f t="shared" si="73"/>
        <v>2,3,4</v>
      </c>
      <c r="BK648" s="556" t="str">
        <f t="shared" si="74"/>
        <v>S1</v>
      </c>
      <c r="BL648" s="556" t="str">
        <f t="shared" si="75"/>
        <v/>
      </c>
      <c r="BM648" s="497">
        <f t="shared" si="76"/>
        <v>20001</v>
      </c>
    </row>
    <row r="649" spans="1:65">
      <c r="A649">
        <v>32005</v>
      </c>
      <c r="B649" t="s">
        <v>475</v>
      </c>
      <c r="C649" t="s">
        <v>477</v>
      </c>
      <c r="D649" t="s">
        <v>2061</v>
      </c>
      <c r="F649" s="503">
        <v>43487</v>
      </c>
      <c r="H649" t="s">
        <v>478</v>
      </c>
      <c r="I649" t="s">
        <v>1753</v>
      </c>
      <c r="J649">
        <v>500</v>
      </c>
      <c r="K649">
        <v>3</v>
      </c>
      <c r="O649" t="s">
        <v>2303</v>
      </c>
      <c r="P649" t="s">
        <v>2307</v>
      </c>
      <c r="W649">
        <v>46.1</v>
      </c>
      <c r="X649">
        <v>43.6</v>
      </c>
      <c r="Y649">
        <v>0</v>
      </c>
      <c r="Z649">
        <v>0</v>
      </c>
      <c r="AA649">
        <v>0</v>
      </c>
      <c r="AE649" t="s">
        <v>1039</v>
      </c>
      <c r="AI649">
        <v>57</v>
      </c>
      <c r="AJ649">
        <v>1000780</v>
      </c>
      <c r="AK649">
        <v>0</v>
      </c>
      <c r="AN649" t="s">
        <v>133</v>
      </c>
      <c r="AO649">
        <v>7.8</v>
      </c>
      <c r="AX649">
        <v>20190122</v>
      </c>
      <c r="AY649" t="s">
        <v>1780</v>
      </c>
      <c r="BG649" s="556" t="str">
        <f t="shared" si="70"/>
        <v>O</v>
      </c>
      <c r="BH649" s="556" t="str">
        <f t="shared" si="71"/>
        <v/>
      </c>
      <c r="BI649" s="556" t="str">
        <f t="shared" si="72"/>
        <v/>
      </c>
      <c r="BJ649" s="556">
        <f t="shared" si="73"/>
        <v>3</v>
      </c>
      <c r="BK649" s="556" t="str">
        <f t="shared" si="74"/>
        <v>M6,R4</v>
      </c>
      <c r="BL649" s="556" t="str">
        <f t="shared" si="75"/>
        <v/>
      </c>
      <c r="BM649" s="497">
        <f t="shared" si="76"/>
        <v>32005</v>
      </c>
    </row>
    <row r="650" spans="1:65">
      <c r="A650">
        <v>40007</v>
      </c>
      <c r="B650" t="s">
        <v>173</v>
      </c>
      <c r="C650" t="s">
        <v>174</v>
      </c>
      <c r="D650" t="s">
        <v>1803</v>
      </c>
      <c r="F650" s="503">
        <v>43623</v>
      </c>
      <c r="H650" t="s">
        <v>843</v>
      </c>
      <c r="I650" t="s">
        <v>1753</v>
      </c>
      <c r="J650">
        <v>400</v>
      </c>
      <c r="K650">
        <v>1</v>
      </c>
      <c r="L650">
        <v>5</v>
      </c>
      <c r="O650" t="s">
        <v>2309</v>
      </c>
      <c r="W650">
        <v>38</v>
      </c>
      <c r="X650">
        <v>39</v>
      </c>
      <c r="Y650">
        <v>0</v>
      </c>
      <c r="Z650">
        <v>0</v>
      </c>
      <c r="AA650">
        <v>3</v>
      </c>
      <c r="AE650">
        <v>101</v>
      </c>
      <c r="AI650">
        <v>60</v>
      </c>
      <c r="AJ650">
        <v>4360705</v>
      </c>
      <c r="AK650">
        <v>0</v>
      </c>
      <c r="AN650" t="s">
        <v>134</v>
      </c>
      <c r="AO650">
        <v>7.05</v>
      </c>
      <c r="AT650" t="s">
        <v>1837</v>
      </c>
      <c r="AX650">
        <v>20190607</v>
      </c>
      <c r="AY650" t="s">
        <v>1754</v>
      </c>
      <c r="BG650" s="556" t="str">
        <f t="shared" si="70"/>
        <v>O</v>
      </c>
      <c r="BH650" s="556" t="str">
        <f t="shared" si="71"/>
        <v/>
      </c>
      <c r="BI650" s="556" t="str">
        <f t="shared" si="72"/>
        <v/>
      </c>
      <c r="BJ650" s="556" t="str">
        <f t="shared" si="73"/>
        <v>1,5</v>
      </c>
      <c r="BK650" s="556" t="str">
        <f t="shared" si="74"/>
        <v>R3</v>
      </c>
      <c r="BL650" s="556" t="str">
        <f t="shared" si="75"/>
        <v/>
      </c>
      <c r="BM650" s="497">
        <f t="shared" si="76"/>
        <v>40007</v>
      </c>
    </row>
    <row r="651" spans="1:65">
      <c r="A651">
        <v>40008</v>
      </c>
      <c r="B651" t="s">
        <v>168</v>
      </c>
      <c r="C651" t="s">
        <v>169</v>
      </c>
      <c r="D651" t="s">
        <v>1803</v>
      </c>
      <c r="F651" s="503">
        <v>43623</v>
      </c>
      <c r="H651" t="s">
        <v>170</v>
      </c>
      <c r="I651" t="s">
        <v>1753</v>
      </c>
      <c r="J651">
        <v>300</v>
      </c>
      <c r="K651">
        <v>1</v>
      </c>
      <c r="L651">
        <v>5</v>
      </c>
      <c r="O651" t="s">
        <v>2309</v>
      </c>
      <c r="W651">
        <v>50.09</v>
      </c>
      <c r="X651">
        <v>50.1</v>
      </c>
      <c r="Y651">
        <v>0</v>
      </c>
      <c r="Z651">
        <v>0</v>
      </c>
      <c r="AA651">
        <v>3</v>
      </c>
      <c r="AE651">
        <v>101</v>
      </c>
      <c r="AI651">
        <v>60</v>
      </c>
      <c r="AJ651">
        <v>4360705</v>
      </c>
      <c r="AK651">
        <v>0</v>
      </c>
      <c r="AL651">
        <v>0</v>
      </c>
      <c r="AN651" t="s">
        <v>134</v>
      </c>
      <c r="AO651">
        <v>7.05</v>
      </c>
      <c r="AT651" t="s">
        <v>1859</v>
      </c>
      <c r="AX651">
        <v>20190607</v>
      </c>
      <c r="AY651" t="s">
        <v>1754</v>
      </c>
      <c r="BG651" s="556" t="str">
        <f t="shared" si="70"/>
        <v>O</v>
      </c>
      <c r="BH651" s="556" t="str">
        <f t="shared" si="71"/>
        <v/>
      </c>
      <c r="BI651" s="556" t="str">
        <f t="shared" si="72"/>
        <v/>
      </c>
      <c r="BJ651" s="556" t="str">
        <f t="shared" si="73"/>
        <v>1,5</v>
      </c>
      <c r="BK651" s="556" t="str">
        <f t="shared" si="74"/>
        <v>R3</v>
      </c>
      <c r="BL651" s="556" t="str">
        <f t="shared" si="75"/>
        <v/>
      </c>
      <c r="BM651" s="497">
        <f t="shared" si="76"/>
        <v>40008</v>
      </c>
    </row>
    <row r="652" spans="1:65">
      <c r="A652">
        <v>99011</v>
      </c>
      <c r="B652" t="s">
        <v>2197</v>
      </c>
      <c r="C652" t="s">
        <v>123</v>
      </c>
      <c r="D652" t="s">
        <v>358</v>
      </c>
      <c r="F652" s="503">
        <v>44443</v>
      </c>
      <c r="H652" t="s">
        <v>2198</v>
      </c>
      <c r="I652" t="s">
        <v>1753</v>
      </c>
      <c r="J652">
        <v>400</v>
      </c>
      <c r="K652">
        <v>5</v>
      </c>
      <c r="O652" t="s">
        <v>2309</v>
      </c>
      <c r="W652">
        <v>49.85</v>
      </c>
      <c r="X652">
        <v>50.02</v>
      </c>
      <c r="Y652">
        <v>0</v>
      </c>
      <c r="Z652">
        <v>0</v>
      </c>
      <c r="AA652">
        <v>2</v>
      </c>
      <c r="AE652" t="s">
        <v>1039</v>
      </c>
      <c r="AI652">
        <v>60</v>
      </c>
      <c r="AJ652">
        <v>1820695</v>
      </c>
      <c r="AK652">
        <v>0</v>
      </c>
      <c r="AL652">
        <v>0</v>
      </c>
      <c r="AN652" t="s">
        <v>1289</v>
      </c>
      <c r="AO652">
        <v>6.95</v>
      </c>
      <c r="AX652">
        <v>20210904</v>
      </c>
      <c r="AY652" t="s">
        <v>1754</v>
      </c>
      <c r="BG652" s="556" t="str">
        <f t="shared" si="70"/>
        <v>O</v>
      </c>
      <c r="BH652" s="556" t="str">
        <f t="shared" si="71"/>
        <v/>
      </c>
      <c r="BI652" s="556" t="str">
        <f t="shared" si="72"/>
        <v/>
      </c>
      <c r="BJ652" s="556">
        <f t="shared" si="73"/>
        <v>5</v>
      </c>
      <c r="BK652" s="556" t="str">
        <f t="shared" si="74"/>
        <v>R3</v>
      </c>
      <c r="BL652" s="556" t="str">
        <f t="shared" si="75"/>
        <v/>
      </c>
      <c r="BM652" s="497">
        <f t="shared" si="76"/>
        <v>99011</v>
      </c>
    </row>
    <row r="653" spans="1:65">
      <c r="B653" t="s">
        <v>1099</v>
      </c>
      <c r="C653" t="s">
        <v>1042</v>
      </c>
      <c r="D653" t="s">
        <v>2061</v>
      </c>
      <c r="F653" s="503">
        <v>43565</v>
      </c>
      <c r="H653" t="s">
        <v>1101</v>
      </c>
      <c r="I653" t="s">
        <v>1753</v>
      </c>
      <c r="J653">
        <v>2000</v>
      </c>
      <c r="K653" t="s">
        <v>1756</v>
      </c>
      <c r="W653">
        <v>1.68</v>
      </c>
      <c r="X653">
        <v>1.68</v>
      </c>
      <c r="Y653">
        <v>0</v>
      </c>
      <c r="Z653">
        <v>0</v>
      </c>
      <c r="AE653" t="s">
        <v>1761</v>
      </c>
      <c r="AI653">
        <v>12</v>
      </c>
      <c r="AJ653" t="s">
        <v>2199</v>
      </c>
      <c r="AK653">
        <v>0</v>
      </c>
      <c r="AL653">
        <v>0</v>
      </c>
      <c r="AN653" t="s">
        <v>2095</v>
      </c>
      <c r="AO653" t="s">
        <v>1907</v>
      </c>
      <c r="AX653">
        <v>20190410</v>
      </c>
      <c r="AY653" t="s">
        <v>2051</v>
      </c>
      <c r="BG653" s="556" t="str">
        <f t="shared" si="70"/>
        <v>X</v>
      </c>
      <c r="BH653" s="556" t="str">
        <f t="shared" si="71"/>
        <v/>
      </c>
      <c r="BI653" s="556" t="str">
        <f t="shared" si="72"/>
        <v/>
      </c>
      <c r="BJ653" s="556" t="str">
        <f t="shared" si="73"/>
        <v>Z</v>
      </c>
      <c r="BK653" s="556">
        <f t="shared" si="74"/>
        <v>0</v>
      </c>
      <c r="BL653" s="556" t="str">
        <f t="shared" si="75"/>
        <v/>
      </c>
      <c r="BM653" s="497">
        <f t="shared" si="76"/>
        <v>0</v>
      </c>
    </row>
    <row r="654" spans="1:65">
      <c r="B654" t="s">
        <v>1105</v>
      </c>
      <c r="C654" t="s">
        <v>1048</v>
      </c>
      <c r="D654" t="s">
        <v>2061</v>
      </c>
      <c r="F654" s="503">
        <v>43565</v>
      </c>
      <c r="H654" t="s">
        <v>1101</v>
      </c>
      <c r="I654" t="s">
        <v>1753</v>
      </c>
      <c r="J654">
        <v>2000</v>
      </c>
      <c r="K654" t="s">
        <v>1756</v>
      </c>
      <c r="W654">
        <v>1.87</v>
      </c>
      <c r="X654">
        <v>1.87</v>
      </c>
      <c r="Y654">
        <v>0</v>
      </c>
      <c r="Z654">
        <v>0</v>
      </c>
      <c r="AE654" t="s">
        <v>1039</v>
      </c>
      <c r="AI654">
        <v>12</v>
      </c>
      <c r="AJ654" t="s">
        <v>2200</v>
      </c>
      <c r="AK654">
        <v>0</v>
      </c>
      <c r="AL654">
        <v>0</v>
      </c>
      <c r="AN654" t="s">
        <v>2097</v>
      </c>
      <c r="AO654" t="s">
        <v>1907</v>
      </c>
      <c r="AX654">
        <v>20190410</v>
      </c>
      <c r="AY654" t="s">
        <v>2051</v>
      </c>
      <c r="BG654" s="556" t="str">
        <f t="shared" si="70"/>
        <v>X</v>
      </c>
      <c r="BH654" s="556" t="str">
        <f t="shared" si="71"/>
        <v/>
      </c>
      <c r="BI654" s="556" t="str">
        <f t="shared" si="72"/>
        <v/>
      </c>
      <c r="BJ654" s="556" t="str">
        <f t="shared" si="73"/>
        <v>Z</v>
      </c>
      <c r="BK654" s="556">
        <f t="shared" si="74"/>
        <v>0</v>
      </c>
      <c r="BL654" s="556" t="str">
        <f t="shared" si="75"/>
        <v/>
      </c>
      <c r="BM654" s="497">
        <f t="shared" si="76"/>
        <v>0</v>
      </c>
    </row>
    <row r="655" spans="1:65">
      <c r="B655" t="s">
        <v>1102</v>
      </c>
      <c r="C655" t="s">
        <v>1056</v>
      </c>
      <c r="D655" t="s">
        <v>2061</v>
      </c>
      <c r="F655" s="503">
        <v>43564</v>
      </c>
      <c r="H655" t="s">
        <v>1104</v>
      </c>
      <c r="I655" t="s">
        <v>1753</v>
      </c>
      <c r="J655">
        <v>1000</v>
      </c>
      <c r="K655" t="s">
        <v>1756</v>
      </c>
      <c r="W655">
        <v>2.1</v>
      </c>
      <c r="X655">
        <v>2.1</v>
      </c>
      <c r="Y655">
        <v>0</v>
      </c>
      <c r="Z655">
        <v>0</v>
      </c>
      <c r="AE655" t="s">
        <v>1761</v>
      </c>
      <c r="AI655">
        <v>12</v>
      </c>
      <c r="AJ655" t="s">
        <v>2201</v>
      </c>
      <c r="AK655">
        <v>0</v>
      </c>
      <c r="AL655">
        <v>0</v>
      </c>
      <c r="AN655" t="s">
        <v>1870</v>
      </c>
      <c r="AO655" t="s">
        <v>2156</v>
      </c>
      <c r="AX655">
        <v>20190409</v>
      </c>
      <c r="AY655" t="s">
        <v>2051</v>
      </c>
      <c r="BG655" s="556" t="str">
        <f t="shared" si="70"/>
        <v>X</v>
      </c>
      <c r="BH655" s="556" t="str">
        <f t="shared" si="71"/>
        <v/>
      </c>
      <c r="BI655" s="556" t="str">
        <f t="shared" si="72"/>
        <v/>
      </c>
      <c r="BJ655" s="556" t="str">
        <f t="shared" si="73"/>
        <v>Z</v>
      </c>
      <c r="BK655" s="556">
        <f t="shared" si="74"/>
        <v>0</v>
      </c>
      <c r="BL655" s="556" t="str">
        <f t="shared" si="75"/>
        <v/>
      </c>
      <c r="BM655" s="497">
        <f t="shared" si="76"/>
        <v>0</v>
      </c>
    </row>
    <row r="656" spans="1:65">
      <c r="B656" t="s">
        <v>1133</v>
      </c>
      <c r="C656" t="s">
        <v>1056</v>
      </c>
      <c r="D656" t="s">
        <v>2202</v>
      </c>
      <c r="F656" s="503">
        <v>43426</v>
      </c>
      <c r="H656" t="s">
        <v>2203</v>
      </c>
      <c r="I656" t="s">
        <v>1753</v>
      </c>
      <c r="J656">
        <v>2000</v>
      </c>
      <c r="K656" t="s">
        <v>1756</v>
      </c>
      <c r="W656">
        <v>9.66</v>
      </c>
      <c r="X656">
        <v>9.93</v>
      </c>
      <c r="Y656">
        <v>0</v>
      </c>
      <c r="Z656">
        <v>0</v>
      </c>
      <c r="AA656">
        <v>0</v>
      </c>
      <c r="AE656" t="s">
        <v>1039</v>
      </c>
      <c r="AI656">
        <v>12</v>
      </c>
      <c r="AJ656" t="s">
        <v>2104</v>
      </c>
      <c r="AK656">
        <v>0</v>
      </c>
      <c r="AN656" t="s">
        <v>2054</v>
      </c>
      <c r="AO656" t="s">
        <v>1907</v>
      </c>
      <c r="AX656">
        <v>20181122</v>
      </c>
      <c r="AY656" t="s">
        <v>2051</v>
      </c>
      <c r="BG656" s="556" t="str">
        <f t="shared" si="70"/>
        <v>X</v>
      </c>
      <c r="BH656" s="556" t="str">
        <f t="shared" si="71"/>
        <v/>
      </c>
      <c r="BI656" s="556" t="str">
        <f t="shared" si="72"/>
        <v/>
      </c>
      <c r="BJ656" s="556" t="str">
        <f t="shared" si="73"/>
        <v>Z</v>
      </c>
      <c r="BK656" s="556">
        <f t="shared" si="74"/>
        <v>0</v>
      </c>
      <c r="BL656" s="556" t="str">
        <f t="shared" si="75"/>
        <v/>
      </c>
      <c r="BM656" s="497">
        <f t="shared" si="76"/>
        <v>0</v>
      </c>
    </row>
    <row r="657" spans="1:65">
      <c r="B657" t="s">
        <v>2586</v>
      </c>
      <c r="C657" t="s">
        <v>2584</v>
      </c>
      <c r="D657" t="s">
        <v>1782</v>
      </c>
      <c r="F657" s="503">
        <v>45040</v>
      </c>
      <c r="H657" t="s">
        <v>2587</v>
      </c>
      <c r="I657" t="s">
        <v>1753</v>
      </c>
      <c r="J657">
        <v>500</v>
      </c>
      <c r="W657">
        <v>6.27</v>
      </c>
      <c r="X657">
        <v>6.27</v>
      </c>
      <c r="Y657">
        <v>0</v>
      </c>
      <c r="Z657">
        <v>0</v>
      </c>
      <c r="AE657" t="s">
        <v>1761</v>
      </c>
      <c r="AI657">
        <v>12</v>
      </c>
      <c r="AJ657" t="s">
        <v>2114</v>
      </c>
      <c r="AK657">
        <v>0</v>
      </c>
      <c r="AL657">
        <v>0</v>
      </c>
      <c r="AN657" t="s">
        <v>1870</v>
      </c>
      <c r="AO657" t="s">
        <v>1907</v>
      </c>
      <c r="AX657">
        <v>20230424</v>
      </c>
      <c r="AY657" t="s">
        <v>2051</v>
      </c>
      <c r="BG657" s="556" t="str">
        <f t="shared" si="70"/>
        <v>X</v>
      </c>
      <c r="BH657" s="556" t="str">
        <f t="shared" si="71"/>
        <v/>
      </c>
      <c r="BI657" s="556" t="str">
        <f t="shared" si="72"/>
        <v/>
      </c>
      <c r="BJ657" s="556">
        <f t="shared" si="73"/>
        <v>0</v>
      </c>
      <c r="BK657" s="556">
        <f t="shared" si="74"/>
        <v>0</v>
      </c>
      <c r="BL657" s="556" t="str">
        <f t="shared" si="75"/>
        <v/>
      </c>
      <c r="BM657" s="497">
        <f t="shared" si="76"/>
        <v>0</v>
      </c>
    </row>
    <row r="658" spans="1:65">
      <c r="B658" t="s">
        <v>1121</v>
      </c>
      <c r="C658" t="s">
        <v>1123</v>
      </c>
      <c r="D658" t="s">
        <v>1840</v>
      </c>
      <c r="F658" s="503">
        <v>42824</v>
      </c>
      <c r="H658" t="s">
        <v>1124</v>
      </c>
      <c r="I658" t="s">
        <v>1753</v>
      </c>
      <c r="J658">
        <v>500</v>
      </c>
      <c r="K658" t="s">
        <v>1756</v>
      </c>
      <c r="W658">
        <v>4.5599999999999996</v>
      </c>
      <c r="X658">
        <v>4.5599999999999996</v>
      </c>
      <c r="Y658">
        <v>0</v>
      </c>
      <c r="Z658">
        <v>0</v>
      </c>
      <c r="AA658">
        <v>0</v>
      </c>
      <c r="AE658" t="s">
        <v>1039</v>
      </c>
      <c r="AI658">
        <v>12</v>
      </c>
      <c r="AJ658" t="s">
        <v>2204</v>
      </c>
      <c r="AK658">
        <v>0</v>
      </c>
      <c r="AL658">
        <v>0</v>
      </c>
      <c r="AN658" t="s">
        <v>133</v>
      </c>
      <c r="AO658">
        <v>12.3</v>
      </c>
      <c r="AX658">
        <v>20170330</v>
      </c>
      <c r="AY658" t="s">
        <v>2051</v>
      </c>
      <c r="BG658" s="556" t="str">
        <f t="shared" si="70"/>
        <v>X</v>
      </c>
      <c r="BH658" s="556" t="str">
        <f t="shared" si="71"/>
        <v/>
      </c>
      <c r="BI658" s="556" t="str">
        <f t="shared" si="72"/>
        <v/>
      </c>
      <c r="BJ658" s="556" t="str">
        <f t="shared" si="73"/>
        <v>Z</v>
      </c>
      <c r="BK658" s="556">
        <f t="shared" si="74"/>
        <v>0</v>
      </c>
      <c r="BL658" s="556" t="str">
        <f t="shared" si="75"/>
        <v/>
      </c>
      <c r="BM658" s="497">
        <f t="shared" si="76"/>
        <v>0</v>
      </c>
    </row>
    <row r="659" spans="1:65">
      <c r="B659" t="s">
        <v>1177</v>
      </c>
      <c r="C659" t="s">
        <v>1179</v>
      </c>
      <c r="D659" t="s">
        <v>1973</v>
      </c>
      <c r="F659" s="503">
        <v>42748</v>
      </c>
      <c r="H659" t="s">
        <v>1120</v>
      </c>
      <c r="I659" t="s">
        <v>1753</v>
      </c>
      <c r="J659">
        <v>500</v>
      </c>
      <c r="K659" t="s">
        <v>1756</v>
      </c>
      <c r="W659">
        <v>0</v>
      </c>
      <c r="X659">
        <v>4.5999999999999996</v>
      </c>
      <c r="Y659">
        <v>0</v>
      </c>
      <c r="Z659">
        <v>0</v>
      </c>
      <c r="AA659">
        <v>0</v>
      </c>
      <c r="AE659" t="s">
        <v>1761</v>
      </c>
      <c r="AI659">
        <v>80</v>
      </c>
      <c r="AJ659">
        <v>3051200</v>
      </c>
      <c r="AK659" s="505">
        <v>4800</v>
      </c>
      <c r="AL659">
        <v>0</v>
      </c>
      <c r="AN659" t="s">
        <v>1180</v>
      </c>
      <c r="AO659">
        <v>12</v>
      </c>
      <c r="AX659">
        <v>20170113</v>
      </c>
      <c r="AY659" t="s">
        <v>1762</v>
      </c>
      <c r="BG659" s="556" t="str">
        <f t="shared" si="70"/>
        <v>X</v>
      </c>
      <c r="BH659" s="556" t="str">
        <f t="shared" si="71"/>
        <v/>
      </c>
      <c r="BI659" s="556" t="str">
        <f t="shared" si="72"/>
        <v/>
      </c>
      <c r="BJ659" s="556" t="str">
        <f t="shared" si="73"/>
        <v>Z</v>
      </c>
      <c r="BK659" s="556">
        <f t="shared" si="74"/>
        <v>0</v>
      </c>
      <c r="BL659" s="556" t="str">
        <f t="shared" si="75"/>
        <v/>
      </c>
      <c r="BM659" s="497">
        <f t="shared" si="76"/>
        <v>0</v>
      </c>
    </row>
    <row r="660" spans="1:65">
      <c r="B660" t="s">
        <v>1117</v>
      </c>
      <c r="C660" t="s">
        <v>1119</v>
      </c>
      <c r="D660" t="s">
        <v>1840</v>
      </c>
      <c r="E660" t="s">
        <v>1992</v>
      </c>
      <c r="F660" s="503">
        <v>42748</v>
      </c>
      <c r="H660" t="s">
        <v>1120</v>
      </c>
      <c r="I660" t="s">
        <v>1753</v>
      </c>
      <c r="J660">
        <v>500</v>
      </c>
      <c r="K660" t="s">
        <v>1756</v>
      </c>
      <c r="W660">
        <v>0</v>
      </c>
      <c r="X660">
        <v>3.5</v>
      </c>
      <c r="Y660">
        <v>0</v>
      </c>
      <c r="Z660">
        <v>0</v>
      </c>
      <c r="AA660">
        <v>0</v>
      </c>
      <c r="AE660" t="s">
        <v>1039</v>
      </c>
      <c r="AI660">
        <v>12</v>
      </c>
      <c r="AJ660" t="s">
        <v>2205</v>
      </c>
      <c r="AK660" s="505">
        <v>307200</v>
      </c>
      <c r="AL660">
        <v>0</v>
      </c>
      <c r="AN660" t="s">
        <v>133</v>
      </c>
      <c r="AO660">
        <v>11.3</v>
      </c>
      <c r="AX660">
        <v>20170113</v>
      </c>
      <c r="AY660" t="s">
        <v>2051</v>
      </c>
      <c r="BG660" s="556" t="str">
        <f t="shared" si="70"/>
        <v>X</v>
      </c>
      <c r="BH660" s="556" t="str">
        <f t="shared" si="71"/>
        <v/>
      </c>
      <c r="BI660" s="556" t="str">
        <f t="shared" si="72"/>
        <v/>
      </c>
      <c r="BJ660" s="556" t="str">
        <f t="shared" si="73"/>
        <v>Z</v>
      </c>
      <c r="BK660" s="556">
        <f t="shared" si="74"/>
        <v>0</v>
      </c>
      <c r="BL660" s="556" t="str">
        <f t="shared" si="75"/>
        <v/>
      </c>
      <c r="BM660" s="497">
        <f t="shared" si="76"/>
        <v>0</v>
      </c>
    </row>
    <row r="661" spans="1:65">
      <c r="B661" t="s">
        <v>1140</v>
      </c>
      <c r="C661" t="s">
        <v>1142</v>
      </c>
      <c r="D661" t="s">
        <v>1973</v>
      </c>
      <c r="F661" s="503">
        <v>42748</v>
      </c>
      <c r="H661" t="s">
        <v>1143</v>
      </c>
      <c r="I661" t="s">
        <v>1753</v>
      </c>
      <c r="J661">
        <v>1000</v>
      </c>
      <c r="K661" t="s">
        <v>1756</v>
      </c>
      <c r="W661">
        <v>0</v>
      </c>
      <c r="X661">
        <v>13.2</v>
      </c>
      <c r="Y661">
        <v>0</v>
      </c>
      <c r="Z661">
        <v>0</v>
      </c>
      <c r="AA661">
        <v>0</v>
      </c>
      <c r="AE661">
        <v>0</v>
      </c>
      <c r="AI661">
        <v>80</v>
      </c>
      <c r="AJ661" t="s">
        <v>2064</v>
      </c>
      <c r="AK661" s="505">
        <v>19200</v>
      </c>
      <c r="AL661">
        <v>0</v>
      </c>
      <c r="AN661" t="s">
        <v>133</v>
      </c>
      <c r="AO661">
        <v>0</v>
      </c>
      <c r="AX661">
        <v>20170113</v>
      </c>
      <c r="AY661" t="s">
        <v>1762</v>
      </c>
      <c r="BG661" s="556" t="str">
        <f t="shared" si="70"/>
        <v>X</v>
      </c>
      <c r="BH661" s="556" t="str">
        <f t="shared" si="71"/>
        <v/>
      </c>
      <c r="BI661" s="556" t="str">
        <f t="shared" si="72"/>
        <v/>
      </c>
      <c r="BJ661" s="556" t="str">
        <f t="shared" si="73"/>
        <v>Z</v>
      </c>
      <c r="BK661" s="556">
        <f t="shared" si="74"/>
        <v>0</v>
      </c>
      <c r="BL661" s="556" t="str">
        <f t="shared" si="75"/>
        <v/>
      </c>
      <c r="BM661" s="497">
        <f t="shared" si="76"/>
        <v>0</v>
      </c>
    </row>
    <row r="662" spans="1:65">
      <c r="B662" t="s">
        <v>1234</v>
      </c>
      <c r="C662" t="s">
        <v>1236</v>
      </c>
      <c r="D662" t="s">
        <v>2069</v>
      </c>
      <c r="F662" s="503">
        <v>43928</v>
      </c>
      <c r="H662" t="s">
        <v>1237</v>
      </c>
      <c r="I662" t="s">
        <v>1753</v>
      </c>
      <c r="J662">
        <v>300</v>
      </c>
      <c r="K662" t="s">
        <v>1756</v>
      </c>
      <c r="W662">
        <v>0</v>
      </c>
      <c r="X662">
        <v>5.9</v>
      </c>
      <c r="Y662">
        <v>0</v>
      </c>
      <c r="Z662">
        <v>0</v>
      </c>
      <c r="AA662">
        <v>0</v>
      </c>
      <c r="AE662" t="s">
        <v>1039</v>
      </c>
      <c r="AI662">
        <v>12</v>
      </c>
      <c r="AJ662" t="s">
        <v>2206</v>
      </c>
      <c r="AK662">
        <v>0</v>
      </c>
      <c r="AN662" t="s">
        <v>1185</v>
      </c>
      <c r="AO662">
        <v>11</v>
      </c>
      <c r="AX662">
        <v>20200407</v>
      </c>
      <c r="AY662" t="s">
        <v>2051</v>
      </c>
      <c r="BG662" s="556" t="str">
        <f t="shared" si="70"/>
        <v>X</v>
      </c>
      <c r="BH662" s="556" t="str">
        <f t="shared" si="71"/>
        <v/>
      </c>
      <c r="BI662" s="556" t="str">
        <f t="shared" si="72"/>
        <v/>
      </c>
      <c r="BJ662" s="556" t="str">
        <f t="shared" si="73"/>
        <v>Z</v>
      </c>
      <c r="BK662" s="556">
        <f t="shared" si="74"/>
        <v>0</v>
      </c>
      <c r="BL662" s="556" t="str">
        <f t="shared" si="75"/>
        <v/>
      </c>
      <c r="BM662" s="497">
        <f t="shared" si="76"/>
        <v>0</v>
      </c>
    </row>
    <row r="663" spans="1:65">
      <c r="A663">
        <v>31013</v>
      </c>
      <c r="B663" t="s">
        <v>92</v>
      </c>
      <c r="C663" t="s">
        <v>93</v>
      </c>
      <c r="D663" t="s">
        <v>1954</v>
      </c>
      <c r="F663" s="503">
        <v>43336</v>
      </c>
      <c r="H663" t="s">
        <v>94</v>
      </c>
      <c r="I663" t="s">
        <v>1753</v>
      </c>
      <c r="J663">
        <v>200</v>
      </c>
      <c r="K663">
        <v>2</v>
      </c>
      <c r="O663" t="s">
        <v>2307</v>
      </c>
      <c r="W663">
        <v>17.579999999999998</v>
      </c>
      <c r="X663">
        <v>17.579999999999998</v>
      </c>
      <c r="Y663">
        <v>0</v>
      </c>
      <c r="Z663">
        <v>0</v>
      </c>
      <c r="AA663">
        <v>0</v>
      </c>
      <c r="AE663" t="s">
        <v>1039</v>
      </c>
      <c r="AI663">
        <v>57</v>
      </c>
      <c r="AJ663">
        <v>1000885</v>
      </c>
      <c r="AK663">
        <v>0</v>
      </c>
      <c r="AN663" t="s">
        <v>133</v>
      </c>
      <c r="AO663">
        <v>8.85</v>
      </c>
      <c r="AX663">
        <v>20180824</v>
      </c>
      <c r="AY663" t="s">
        <v>1780</v>
      </c>
      <c r="BG663" s="556" t="str">
        <f t="shared" si="70"/>
        <v>O</v>
      </c>
      <c r="BH663" s="556" t="str">
        <f t="shared" si="71"/>
        <v/>
      </c>
      <c r="BI663" s="556" t="str">
        <f t="shared" si="72"/>
        <v/>
      </c>
      <c r="BJ663" s="556">
        <f t="shared" si="73"/>
        <v>2</v>
      </c>
      <c r="BK663" s="556" t="str">
        <f t="shared" si="74"/>
        <v>R4</v>
      </c>
      <c r="BL663" s="556" t="str">
        <f t="shared" si="75"/>
        <v/>
      </c>
      <c r="BM663" s="497">
        <f t="shared" si="76"/>
        <v>31013</v>
      </c>
    </row>
    <row r="664" spans="1:65">
      <c r="A664">
        <v>20402</v>
      </c>
      <c r="B664" t="s">
        <v>826</v>
      </c>
      <c r="C664" t="s">
        <v>828</v>
      </c>
      <c r="D664" t="s">
        <v>2075</v>
      </c>
      <c r="F664" s="503">
        <v>43607</v>
      </c>
      <c r="H664" t="s">
        <v>829</v>
      </c>
      <c r="I664" t="s">
        <v>1753</v>
      </c>
      <c r="J664">
        <v>1000</v>
      </c>
      <c r="K664">
        <v>3</v>
      </c>
      <c r="W664">
        <v>15</v>
      </c>
      <c r="X664">
        <v>15</v>
      </c>
      <c r="Y664">
        <v>0</v>
      </c>
      <c r="Z664">
        <v>0</v>
      </c>
      <c r="AA664">
        <v>0</v>
      </c>
      <c r="AE664">
        <v>0</v>
      </c>
      <c r="AI664">
        <v>79</v>
      </c>
      <c r="AJ664">
        <v>4510985</v>
      </c>
      <c r="AK664">
        <v>0</v>
      </c>
      <c r="AN664" t="s">
        <v>825</v>
      </c>
      <c r="AO664">
        <v>9.85</v>
      </c>
      <c r="AX664">
        <v>20190522</v>
      </c>
      <c r="AY664" t="s">
        <v>1972</v>
      </c>
      <c r="BG664" s="556" t="str">
        <f t="shared" si="70"/>
        <v>O</v>
      </c>
      <c r="BH664" s="556" t="str">
        <f t="shared" si="71"/>
        <v/>
      </c>
      <c r="BI664" s="556" t="str">
        <f t="shared" si="72"/>
        <v/>
      </c>
      <c r="BJ664" s="556">
        <f t="shared" si="73"/>
        <v>3</v>
      </c>
      <c r="BK664" s="556">
        <f t="shared" si="74"/>
        <v>0</v>
      </c>
      <c r="BL664" s="556" t="str">
        <f t="shared" si="75"/>
        <v/>
      </c>
      <c r="BM664" s="497">
        <f t="shared" si="76"/>
        <v>20402</v>
      </c>
    </row>
    <row r="665" spans="1:65">
      <c r="A665">
        <v>31014</v>
      </c>
      <c r="B665" t="s">
        <v>486</v>
      </c>
      <c r="C665" t="s">
        <v>487</v>
      </c>
      <c r="D665" t="s">
        <v>1954</v>
      </c>
      <c r="F665" s="503">
        <v>43336</v>
      </c>
      <c r="H665" t="s">
        <v>488</v>
      </c>
      <c r="I665" t="s">
        <v>1753</v>
      </c>
      <c r="J665">
        <v>200</v>
      </c>
      <c r="K665">
        <v>2</v>
      </c>
      <c r="O665" t="s">
        <v>2307</v>
      </c>
      <c r="W665">
        <v>21.48</v>
      </c>
      <c r="X665">
        <v>22</v>
      </c>
      <c r="Y665">
        <v>0</v>
      </c>
      <c r="Z665">
        <v>0</v>
      </c>
      <c r="AA665">
        <v>0</v>
      </c>
      <c r="AE665" t="s">
        <v>1039</v>
      </c>
      <c r="AI665">
        <v>57</v>
      </c>
      <c r="AJ665">
        <v>1000885</v>
      </c>
      <c r="AK665">
        <v>0</v>
      </c>
      <c r="AN665" t="s">
        <v>133</v>
      </c>
      <c r="AO665">
        <v>8.85</v>
      </c>
      <c r="AX665">
        <v>20180824</v>
      </c>
      <c r="AY665" t="s">
        <v>1780</v>
      </c>
      <c r="BG665" s="556" t="str">
        <f t="shared" si="70"/>
        <v>O</v>
      </c>
      <c r="BH665" s="556" t="str">
        <f t="shared" si="71"/>
        <v/>
      </c>
      <c r="BI665" s="556" t="str">
        <f t="shared" si="72"/>
        <v/>
      </c>
      <c r="BJ665" s="556">
        <f t="shared" si="73"/>
        <v>2</v>
      </c>
      <c r="BK665" s="556" t="str">
        <f t="shared" si="74"/>
        <v>R4</v>
      </c>
      <c r="BL665" s="556" t="str">
        <f t="shared" si="75"/>
        <v/>
      </c>
      <c r="BM665" s="497">
        <f t="shared" si="76"/>
        <v>31014</v>
      </c>
    </row>
    <row r="666" spans="1:65">
      <c r="A666">
        <v>32006</v>
      </c>
      <c r="B666" t="s">
        <v>803</v>
      </c>
      <c r="C666" t="s">
        <v>805</v>
      </c>
      <c r="D666" t="s">
        <v>2061</v>
      </c>
      <c r="F666" s="503">
        <v>43456</v>
      </c>
      <c r="H666" t="s">
        <v>375</v>
      </c>
      <c r="I666" t="s">
        <v>1753</v>
      </c>
      <c r="J666">
        <v>500</v>
      </c>
      <c r="K666" t="s">
        <v>2207</v>
      </c>
      <c r="W666">
        <v>0</v>
      </c>
      <c r="X666">
        <v>28.6</v>
      </c>
      <c r="Y666">
        <v>0</v>
      </c>
      <c r="Z666">
        <v>0</v>
      </c>
      <c r="AA666">
        <v>0</v>
      </c>
      <c r="AE666" t="s">
        <v>1039</v>
      </c>
      <c r="AI666">
        <v>80</v>
      </c>
      <c r="AJ666">
        <v>2510985</v>
      </c>
      <c r="AK666">
        <v>0</v>
      </c>
      <c r="AN666" t="s">
        <v>141</v>
      </c>
      <c r="AO666">
        <v>9.85</v>
      </c>
      <c r="AX666">
        <v>20181222</v>
      </c>
      <c r="AY666" t="s">
        <v>1762</v>
      </c>
      <c r="BG666" s="556" t="str">
        <f t="shared" si="70"/>
        <v>X</v>
      </c>
      <c r="BH666" s="556" t="str">
        <f t="shared" si="71"/>
        <v/>
      </c>
      <c r="BI666" s="556" t="str">
        <f t="shared" si="72"/>
        <v/>
      </c>
      <c r="BJ666" s="556" t="str">
        <f t="shared" si="73"/>
        <v>z</v>
      </c>
      <c r="BK666" s="556">
        <f t="shared" si="74"/>
        <v>0</v>
      </c>
      <c r="BL666" s="556" t="str">
        <f t="shared" si="75"/>
        <v/>
      </c>
      <c r="BM666" s="497">
        <f t="shared" si="76"/>
        <v>32006</v>
      </c>
    </row>
    <row r="667" spans="1:65">
      <c r="A667">
        <v>20205</v>
      </c>
      <c r="B667" t="s">
        <v>373</v>
      </c>
      <c r="C667" t="s">
        <v>37</v>
      </c>
      <c r="D667" t="s">
        <v>2202</v>
      </c>
      <c r="F667" s="503">
        <v>43487</v>
      </c>
      <c r="H667" t="s">
        <v>375</v>
      </c>
      <c r="I667" t="s">
        <v>1753</v>
      </c>
      <c r="J667">
        <v>500</v>
      </c>
      <c r="K667">
        <v>2</v>
      </c>
      <c r="O667" t="s">
        <v>2307</v>
      </c>
      <c r="W667">
        <v>29.5</v>
      </c>
      <c r="X667">
        <v>29.6</v>
      </c>
      <c r="Y667">
        <v>0</v>
      </c>
      <c r="Z667">
        <v>0</v>
      </c>
      <c r="AA667">
        <v>0</v>
      </c>
      <c r="AE667" t="s">
        <v>1039</v>
      </c>
      <c r="AI667">
        <v>57</v>
      </c>
      <c r="AJ667">
        <v>1001220</v>
      </c>
      <c r="AK667">
        <v>0</v>
      </c>
      <c r="AN667" t="s">
        <v>133</v>
      </c>
      <c r="AO667">
        <v>12.2</v>
      </c>
      <c r="AX667">
        <v>20190122</v>
      </c>
      <c r="AY667" t="s">
        <v>1780</v>
      </c>
      <c r="BG667" s="556" t="str">
        <f t="shared" si="70"/>
        <v>O</v>
      </c>
      <c r="BH667" s="556" t="str">
        <f t="shared" si="71"/>
        <v/>
      </c>
      <c r="BI667" s="556" t="str">
        <f t="shared" si="72"/>
        <v/>
      </c>
      <c r="BJ667" s="556">
        <f t="shared" si="73"/>
        <v>2</v>
      </c>
      <c r="BK667" s="556" t="str">
        <f t="shared" si="74"/>
        <v>R4</v>
      </c>
      <c r="BL667" s="556" t="str">
        <f t="shared" si="75"/>
        <v/>
      </c>
      <c r="BM667" s="497">
        <f t="shared" si="76"/>
        <v>20205</v>
      </c>
    </row>
    <row r="668" spans="1:65">
      <c r="A668">
        <v>20901</v>
      </c>
      <c r="B668" t="s">
        <v>1707</v>
      </c>
      <c r="C668" t="s">
        <v>216</v>
      </c>
      <c r="D668" t="s">
        <v>1765</v>
      </c>
      <c r="F668" s="503">
        <v>43286</v>
      </c>
      <c r="H668" t="s">
        <v>217</v>
      </c>
      <c r="I668" t="s">
        <v>1753</v>
      </c>
      <c r="J668">
        <v>1000</v>
      </c>
      <c r="K668">
        <v>2</v>
      </c>
      <c r="W668">
        <v>26.3</v>
      </c>
      <c r="X668">
        <v>25.5</v>
      </c>
      <c r="Y668">
        <v>0</v>
      </c>
      <c r="Z668">
        <v>0</v>
      </c>
      <c r="AA668">
        <v>0</v>
      </c>
      <c r="AE668" t="s">
        <v>1773</v>
      </c>
      <c r="AI668">
        <v>16</v>
      </c>
      <c r="AJ668">
        <v>1000988</v>
      </c>
      <c r="AK668">
        <v>0</v>
      </c>
      <c r="AN668" t="s">
        <v>133</v>
      </c>
      <c r="AO668">
        <v>9.8800000000000008</v>
      </c>
      <c r="AX668">
        <v>20180705</v>
      </c>
      <c r="AY668" t="s">
        <v>2040</v>
      </c>
      <c r="BG668" s="556" t="str">
        <f t="shared" si="70"/>
        <v>O</v>
      </c>
      <c r="BH668" s="556" t="str">
        <f t="shared" si="71"/>
        <v/>
      </c>
      <c r="BI668" s="556" t="str">
        <f t="shared" si="72"/>
        <v/>
      </c>
      <c r="BJ668" s="556">
        <f t="shared" si="73"/>
        <v>2</v>
      </c>
      <c r="BK668" s="556">
        <f t="shared" si="74"/>
        <v>0</v>
      </c>
      <c r="BL668" s="556" t="str">
        <f t="shared" si="75"/>
        <v/>
      </c>
      <c r="BM668" s="497">
        <f t="shared" si="76"/>
        <v>20901</v>
      </c>
    </row>
    <row r="669" spans="1:65">
      <c r="A669">
        <v>20000</v>
      </c>
      <c r="B669" t="s">
        <v>90</v>
      </c>
      <c r="C669" t="s">
        <v>91</v>
      </c>
      <c r="D669" t="s">
        <v>1774</v>
      </c>
      <c r="F669" s="503">
        <v>42748</v>
      </c>
      <c r="H669" t="s">
        <v>205</v>
      </c>
      <c r="I669" t="s">
        <v>1753</v>
      </c>
      <c r="J669">
        <v>800</v>
      </c>
      <c r="K669">
        <v>3</v>
      </c>
      <c r="L669">
        <v>4</v>
      </c>
      <c r="O669" t="s">
        <v>2309</v>
      </c>
      <c r="P669" t="s">
        <v>2307</v>
      </c>
      <c r="W669">
        <v>29.6</v>
      </c>
      <c r="X669">
        <v>29.48</v>
      </c>
      <c r="Y669">
        <v>0</v>
      </c>
      <c r="Z669">
        <v>0</v>
      </c>
      <c r="AA669">
        <v>1</v>
      </c>
      <c r="AE669" t="s">
        <v>1992</v>
      </c>
      <c r="AI669">
        <v>92</v>
      </c>
      <c r="AJ669">
        <v>1000996</v>
      </c>
      <c r="AK669">
        <v>0</v>
      </c>
      <c r="AL669">
        <v>0</v>
      </c>
      <c r="AN669" t="s">
        <v>133</v>
      </c>
      <c r="AO669">
        <v>9.9600000000000009</v>
      </c>
      <c r="AU669" t="s">
        <v>3223</v>
      </c>
      <c r="AX669">
        <v>20170113</v>
      </c>
      <c r="AY669" t="s">
        <v>2085</v>
      </c>
      <c r="BG669" s="556" t="str">
        <f t="shared" si="70"/>
        <v>O</v>
      </c>
      <c r="BH669" s="556" t="str">
        <f t="shared" si="71"/>
        <v/>
      </c>
      <c r="BI669" s="556" t="str">
        <f t="shared" si="72"/>
        <v>Y</v>
      </c>
      <c r="BJ669" s="556" t="str">
        <f t="shared" si="73"/>
        <v>3,4</v>
      </c>
      <c r="BK669" s="556" t="str">
        <f t="shared" si="74"/>
        <v>R3,R4</v>
      </c>
      <c r="BL669" s="556" t="str">
        <f t="shared" si="75"/>
        <v/>
      </c>
      <c r="BM669" s="497">
        <f t="shared" si="76"/>
        <v>20000</v>
      </c>
    </row>
    <row r="670" spans="1:65">
      <c r="A670">
        <v>50913</v>
      </c>
      <c r="B670" t="s">
        <v>830</v>
      </c>
      <c r="C670" t="s">
        <v>805</v>
      </c>
      <c r="D670" t="s">
        <v>2061</v>
      </c>
      <c r="F670" s="503">
        <v>43774</v>
      </c>
      <c r="H670" t="s">
        <v>832</v>
      </c>
      <c r="I670" t="s">
        <v>1753</v>
      </c>
      <c r="J670">
        <v>500</v>
      </c>
      <c r="K670">
        <v>3</v>
      </c>
      <c r="O670" t="s">
        <v>2307</v>
      </c>
      <c r="W670">
        <v>33.799999999999997</v>
      </c>
      <c r="X670">
        <v>28.55</v>
      </c>
      <c r="Y670">
        <v>0</v>
      </c>
      <c r="Z670">
        <v>0</v>
      </c>
      <c r="AA670">
        <v>5</v>
      </c>
      <c r="AE670" t="s">
        <v>1039</v>
      </c>
      <c r="AI670">
        <v>60</v>
      </c>
      <c r="AJ670">
        <v>4511055</v>
      </c>
      <c r="AK670">
        <v>0</v>
      </c>
      <c r="AN670" t="s">
        <v>815</v>
      </c>
      <c r="AO670">
        <v>10.55</v>
      </c>
      <c r="AX670">
        <v>20191105</v>
      </c>
      <c r="AY670" t="s">
        <v>1754</v>
      </c>
      <c r="BG670" s="556" t="str">
        <f t="shared" si="70"/>
        <v>O</v>
      </c>
      <c r="BH670" s="556" t="str">
        <f t="shared" si="71"/>
        <v/>
      </c>
      <c r="BI670" s="556" t="str">
        <f t="shared" si="72"/>
        <v/>
      </c>
      <c r="BJ670" s="556">
        <f t="shared" si="73"/>
        <v>3</v>
      </c>
      <c r="BK670" s="556" t="str">
        <f t="shared" si="74"/>
        <v>R4</v>
      </c>
      <c r="BL670" s="556" t="str">
        <f t="shared" si="75"/>
        <v/>
      </c>
      <c r="BM670" s="497">
        <f t="shared" si="76"/>
        <v>50913</v>
      </c>
    </row>
    <row r="671" spans="1:65">
      <c r="A671">
        <v>20204</v>
      </c>
      <c r="B671" t="s">
        <v>377</v>
      </c>
      <c r="C671" t="s">
        <v>37</v>
      </c>
      <c r="D671" t="s">
        <v>2202</v>
      </c>
      <c r="F671" s="503">
        <v>43487</v>
      </c>
      <c r="H671" t="s">
        <v>379</v>
      </c>
      <c r="I671" t="s">
        <v>1753</v>
      </c>
      <c r="J671">
        <v>500</v>
      </c>
      <c r="K671">
        <v>2</v>
      </c>
      <c r="O671" t="s">
        <v>2307</v>
      </c>
      <c r="W671">
        <v>33.1</v>
      </c>
      <c r="X671">
        <v>33.200000000000003</v>
      </c>
      <c r="Y671">
        <v>0</v>
      </c>
      <c r="Z671">
        <v>0</v>
      </c>
      <c r="AA671">
        <v>0</v>
      </c>
      <c r="AE671" t="s">
        <v>1039</v>
      </c>
      <c r="AI671">
        <v>57</v>
      </c>
      <c r="AJ671">
        <v>1001220</v>
      </c>
      <c r="AK671">
        <v>0</v>
      </c>
      <c r="AN671" t="s">
        <v>133</v>
      </c>
      <c r="AO671">
        <v>12.2</v>
      </c>
      <c r="AX671">
        <v>20190122</v>
      </c>
      <c r="AY671" t="s">
        <v>1780</v>
      </c>
      <c r="BG671" s="556" t="str">
        <f t="shared" si="70"/>
        <v>O</v>
      </c>
      <c r="BH671" s="556" t="str">
        <f t="shared" si="71"/>
        <v/>
      </c>
      <c r="BI671" s="556" t="str">
        <f t="shared" si="72"/>
        <v/>
      </c>
      <c r="BJ671" s="556">
        <f t="shared" si="73"/>
        <v>2</v>
      </c>
      <c r="BK671" s="556" t="str">
        <f t="shared" si="74"/>
        <v>R4</v>
      </c>
      <c r="BL671" s="556" t="str">
        <f t="shared" si="75"/>
        <v/>
      </c>
      <c r="BM671" s="497">
        <f t="shared" si="76"/>
        <v>20204</v>
      </c>
    </row>
    <row r="672" spans="1:65">
      <c r="A672">
        <v>20203</v>
      </c>
      <c r="B672" t="s">
        <v>24</v>
      </c>
      <c r="C672" t="s">
        <v>37</v>
      </c>
      <c r="D672" t="s">
        <v>2202</v>
      </c>
      <c r="F672" s="503">
        <v>43209</v>
      </c>
      <c r="H672" t="s">
        <v>49</v>
      </c>
      <c r="I672" t="s">
        <v>1753</v>
      </c>
      <c r="J672">
        <v>300</v>
      </c>
      <c r="K672">
        <v>1</v>
      </c>
      <c r="O672" t="s">
        <v>2306</v>
      </c>
      <c r="P672" t="s">
        <v>2307</v>
      </c>
      <c r="W672">
        <v>55.32</v>
      </c>
      <c r="X672">
        <v>52.6</v>
      </c>
      <c r="Y672">
        <v>0</v>
      </c>
      <c r="Z672">
        <v>58.2</v>
      </c>
      <c r="AA672">
        <v>0</v>
      </c>
      <c r="AE672" t="s">
        <v>1039</v>
      </c>
      <c r="AI672">
        <v>17</v>
      </c>
      <c r="AJ672">
        <v>1001220</v>
      </c>
      <c r="AK672">
        <v>0</v>
      </c>
      <c r="AN672" t="s">
        <v>133</v>
      </c>
      <c r="AO672">
        <v>12.2</v>
      </c>
      <c r="AX672">
        <v>20180419</v>
      </c>
      <c r="AY672" t="s">
        <v>2003</v>
      </c>
      <c r="BG672" s="556" t="str">
        <f t="shared" si="70"/>
        <v>O</v>
      </c>
      <c r="BH672" s="556" t="str">
        <f t="shared" si="71"/>
        <v/>
      </c>
      <c r="BI672" s="556" t="str">
        <f t="shared" si="72"/>
        <v/>
      </c>
      <c r="BJ672" s="556">
        <f t="shared" si="73"/>
        <v>1</v>
      </c>
      <c r="BK672" s="556" t="str">
        <f t="shared" si="74"/>
        <v>R2,R4</v>
      </c>
      <c r="BL672" s="556" t="str">
        <f t="shared" si="75"/>
        <v/>
      </c>
      <c r="BM672" s="497">
        <f t="shared" si="76"/>
        <v>20203</v>
      </c>
    </row>
    <row r="673" spans="1:65">
      <c r="A673">
        <v>20202</v>
      </c>
      <c r="B673" t="s">
        <v>845</v>
      </c>
      <c r="C673" t="s">
        <v>36</v>
      </c>
      <c r="D673" t="s">
        <v>2202</v>
      </c>
      <c r="F673" s="503">
        <v>42824</v>
      </c>
      <c r="H673" t="s">
        <v>847</v>
      </c>
      <c r="I673" t="s">
        <v>1753</v>
      </c>
      <c r="J673">
        <v>200</v>
      </c>
      <c r="K673">
        <v>1</v>
      </c>
      <c r="O673" t="s">
        <v>2306</v>
      </c>
      <c r="W673">
        <v>80.599999999999994</v>
      </c>
      <c r="X673">
        <v>80.599999999999994</v>
      </c>
      <c r="Y673">
        <v>0</v>
      </c>
      <c r="Z673">
        <v>0</v>
      </c>
      <c r="AA673">
        <v>3</v>
      </c>
      <c r="AE673" t="s">
        <v>1039</v>
      </c>
      <c r="AI673">
        <v>60</v>
      </c>
      <c r="AJ673">
        <v>4350930</v>
      </c>
      <c r="AK673">
        <v>0</v>
      </c>
      <c r="AL673">
        <v>0</v>
      </c>
      <c r="AN673" t="s">
        <v>184</v>
      </c>
      <c r="AO673">
        <v>9.3000000000000007</v>
      </c>
      <c r="AX673">
        <v>20170330</v>
      </c>
      <c r="AY673" t="s">
        <v>1754</v>
      </c>
      <c r="BG673" s="556" t="str">
        <f t="shared" si="70"/>
        <v>O</v>
      </c>
      <c r="BH673" s="556" t="str">
        <f t="shared" si="71"/>
        <v/>
      </c>
      <c r="BI673" s="556" t="str">
        <f t="shared" si="72"/>
        <v/>
      </c>
      <c r="BJ673" s="556">
        <f t="shared" si="73"/>
        <v>1</v>
      </c>
      <c r="BK673" s="556" t="str">
        <f t="shared" si="74"/>
        <v>R2</v>
      </c>
      <c r="BL673" s="556" t="str">
        <f t="shared" si="75"/>
        <v/>
      </c>
      <c r="BM673" s="497">
        <f t="shared" si="76"/>
        <v>20202</v>
      </c>
    </row>
    <row r="674" spans="1:65">
      <c r="A674">
        <v>20200</v>
      </c>
      <c r="B674" t="s">
        <v>23</v>
      </c>
      <c r="C674" t="s">
        <v>36</v>
      </c>
      <c r="D674" t="s">
        <v>2202</v>
      </c>
      <c r="F674" s="503">
        <v>42748</v>
      </c>
      <c r="H674" t="s">
        <v>48</v>
      </c>
      <c r="I674" t="s">
        <v>1753</v>
      </c>
      <c r="J674">
        <v>200</v>
      </c>
      <c r="K674">
        <v>1</v>
      </c>
      <c r="O674" t="s">
        <v>2306</v>
      </c>
      <c r="W674">
        <v>87.55</v>
      </c>
      <c r="X674">
        <v>87.6</v>
      </c>
      <c r="Y674">
        <v>0</v>
      </c>
      <c r="Z674">
        <v>0</v>
      </c>
      <c r="AA674">
        <v>3</v>
      </c>
      <c r="AE674" t="s">
        <v>1039</v>
      </c>
      <c r="AI674">
        <v>60</v>
      </c>
      <c r="AJ674">
        <v>4350930</v>
      </c>
      <c r="AK674">
        <v>0</v>
      </c>
      <c r="AL674">
        <v>0</v>
      </c>
      <c r="AN674" t="s">
        <v>184</v>
      </c>
      <c r="AO674">
        <v>9.3000000000000007</v>
      </c>
      <c r="AX674">
        <v>20170113</v>
      </c>
      <c r="AY674" t="s">
        <v>1754</v>
      </c>
      <c r="BG674" s="556" t="str">
        <f t="shared" si="70"/>
        <v>O</v>
      </c>
      <c r="BH674" s="556" t="str">
        <f t="shared" si="71"/>
        <v/>
      </c>
      <c r="BI674" s="556" t="str">
        <f t="shared" si="72"/>
        <v/>
      </c>
      <c r="BJ674" s="556">
        <f t="shared" si="73"/>
        <v>1</v>
      </c>
      <c r="BK674" s="556" t="str">
        <f t="shared" si="74"/>
        <v>R2</v>
      </c>
      <c r="BL674" s="556" t="str">
        <f t="shared" si="75"/>
        <v/>
      </c>
      <c r="BM674" s="497">
        <f t="shared" si="76"/>
        <v>20200</v>
      </c>
    </row>
    <row r="675" spans="1:65">
      <c r="A675">
        <v>20201</v>
      </c>
      <c r="B675" t="s">
        <v>850</v>
      </c>
      <c r="C675" t="s">
        <v>36</v>
      </c>
      <c r="D675" t="s">
        <v>2202</v>
      </c>
      <c r="F675" s="503">
        <v>42748</v>
      </c>
      <c r="H675" t="s">
        <v>852</v>
      </c>
      <c r="I675" t="s">
        <v>1753</v>
      </c>
      <c r="J675">
        <v>150</v>
      </c>
      <c r="K675">
        <v>1</v>
      </c>
      <c r="O675" t="s">
        <v>2306</v>
      </c>
      <c r="W675">
        <v>95.4</v>
      </c>
      <c r="X675">
        <v>95.4</v>
      </c>
      <c r="Y675">
        <v>0</v>
      </c>
      <c r="Z675">
        <v>0</v>
      </c>
      <c r="AA675">
        <v>3</v>
      </c>
      <c r="AE675" t="s">
        <v>1039</v>
      </c>
      <c r="AI675">
        <v>60</v>
      </c>
      <c r="AJ675">
        <v>4350930</v>
      </c>
      <c r="AK675">
        <v>0</v>
      </c>
      <c r="AL675">
        <v>0</v>
      </c>
      <c r="AN675" t="s">
        <v>184</v>
      </c>
      <c r="AO675">
        <v>9.3000000000000007</v>
      </c>
      <c r="AX675">
        <v>20170113</v>
      </c>
      <c r="AY675" t="s">
        <v>1754</v>
      </c>
      <c r="BG675" s="556" t="str">
        <f t="shared" si="70"/>
        <v>O</v>
      </c>
      <c r="BH675" s="556" t="str">
        <f t="shared" si="71"/>
        <v/>
      </c>
      <c r="BI675" s="556" t="str">
        <f t="shared" si="72"/>
        <v/>
      </c>
      <c r="BJ675" s="556">
        <f t="shared" si="73"/>
        <v>1</v>
      </c>
      <c r="BK675" s="556" t="str">
        <f t="shared" si="74"/>
        <v>R2</v>
      </c>
      <c r="BL675" s="556" t="str">
        <f t="shared" si="75"/>
        <v/>
      </c>
      <c r="BM675" s="497">
        <f t="shared" si="76"/>
        <v>20201</v>
      </c>
    </row>
    <row r="676" spans="1:65">
      <c r="B676" t="s">
        <v>853</v>
      </c>
      <c r="C676" t="s">
        <v>855</v>
      </c>
      <c r="D676" t="s">
        <v>1973</v>
      </c>
      <c r="F676" s="503">
        <v>42748</v>
      </c>
      <c r="H676" t="s">
        <v>856</v>
      </c>
      <c r="I676" t="s">
        <v>1753</v>
      </c>
      <c r="J676">
        <v>0</v>
      </c>
      <c r="K676">
        <v>1</v>
      </c>
      <c r="O676" t="s">
        <v>2306</v>
      </c>
      <c r="W676">
        <v>97.6</v>
      </c>
      <c r="X676">
        <v>97.6</v>
      </c>
      <c r="Y676">
        <v>0</v>
      </c>
      <c r="Z676">
        <v>0</v>
      </c>
      <c r="AA676">
        <v>3</v>
      </c>
      <c r="AE676" t="s">
        <v>1039</v>
      </c>
      <c r="AI676">
        <v>60</v>
      </c>
      <c r="AJ676">
        <v>4350930</v>
      </c>
      <c r="AK676">
        <v>0</v>
      </c>
      <c r="AL676">
        <v>0</v>
      </c>
      <c r="AN676" t="s">
        <v>184</v>
      </c>
      <c r="AO676">
        <v>9.3000000000000007</v>
      </c>
      <c r="AX676">
        <v>20170113</v>
      </c>
      <c r="AY676" t="s">
        <v>1754</v>
      </c>
      <c r="BG676" s="556" t="str">
        <f t="shared" si="70"/>
        <v>O</v>
      </c>
      <c r="BH676" s="556" t="str">
        <f t="shared" si="71"/>
        <v/>
      </c>
      <c r="BI676" s="556" t="str">
        <f t="shared" si="72"/>
        <v/>
      </c>
      <c r="BJ676" s="556">
        <f t="shared" si="73"/>
        <v>1</v>
      </c>
      <c r="BK676" s="556" t="str">
        <f t="shared" si="74"/>
        <v>R2</v>
      </c>
      <c r="BL676" s="556" t="str">
        <f t="shared" si="75"/>
        <v/>
      </c>
      <c r="BM676" s="497">
        <f t="shared" si="76"/>
        <v>0</v>
      </c>
    </row>
    <row r="677" spans="1:65">
      <c r="B677" t="s">
        <v>1114</v>
      </c>
      <c r="C677" t="s">
        <v>1042</v>
      </c>
      <c r="D677" t="s">
        <v>2061</v>
      </c>
      <c r="F677" s="503">
        <v>43565</v>
      </c>
      <c r="H677" t="s">
        <v>1116</v>
      </c>
      <c r="I677" t="s">
        <v>1753</v>
      </c>
      <c r="J677">
        <v>1000</v>
      </c>
      <c r="K677" t="s">
        <v>1756</v>
      </c>
      <c r="W677">
        <v>3.1</v>
      </c>
      <c r="X677">
        <v>3.1</v>
      </c>
      <c r="Y677">
        <v>0</v>
      </c>
      <c r="Z677">
        <v>0</v>
      </c>
      <c r="AE677" t="s">
        <v>1039</v>
      </c>
      <c r="AI677">
        <v>12</v>
      </c>
      <c r="AJ677" t="s">
        <v>2208</v>
      </c>
      <c r="AK677">
        <v>0</v>
      </c>
      <c r="AL677">
        <v>0</v>
      </c>
      <c r="AN677" t="s">
        <v>2097</v>
      </c>
      <c r="AO677" t="s">
        <v>2101</v>
      </c>
      <c r="AX677">
        <v>20190410</v>
      </c>
      <c r="AY677" t="s">
        <v>2051</v>
      </c>
      <c r="BG677" s="556" t="str">
        <f t="shared" si="70"/>
        <v>X</v>
      </c>
      <c r="BH677" s="556" t="str">
        <f t="shared" si="71"/>
        <v/>
      </c>
      <c r="BI677" s="556" t="str">
        <f t="shared" si="72"/>
        <v/>
      </c>
      <c r="BJ677" s="556" t="str">
        <f t="shared" si="73"/>
        <v>Z</v>
      </c>
      <c r="BK677" s="556">
        <f t="shared" si="74"/>
        <v>0</v>
      </c>
      <c r="BL677" s="556" t="str">
        <f t="shared" si="75"/>
        <v/>
      </c>
      <c r="BM677" s="497">
        <f t="shared" si="76"/>
        <v>0</v>
      </c>
    </row>
    <row r="678" spans="1:65">
      <c r="B678" t="s">
        <v>2196</v>
      </c>
      <c r="C678" t="s">
        <v>1056</v>
      </c>
      <c r="D678" t="s">
        <v>1782</v>
      </c>
      <c r="F678" s="503">
        <v>44288</v>
      </c>
      <c r="H678" t="s">
        <v>2209</v>
      </c>
      <c r="J678">
        <v>0</v>
      </c>
      <c r="K678" t="s">
        <v>1756</v>
      </c>
      <c r="W678">
        <v>13.78</v>
      </c>
      <c r="X678">
        <v>13.78</v>
      </c>
      <c r="Y678">
        <v>0</v>
      </c>
      <c r="Z678">
        <v>0</v>
      </c>
      <c r="AA678">
        <v>0</v>
      </c>
      <c r="AE678">
        <v>0</v>
      </c>
      <c r="AI678">
        <v>84</v>
      </c>
      <c r="AJ678" t="s">
        <v>2210</v>
      </c>
      <c r="AK678">
        <v>0</v>
      </c>
      <c r="AN678" t="s">
        <v>2054</v>
      </c>
      <c r="AO678" t="s">
        <v>2211</v>
      </c>
      <c r="AX678">
        <v>20210402</v>
      </c>
      <c r="AY678" t="s">
        <v>1786</v>
      </c>
      <c r="BG678" s="556" t="str">
        <f t="shared" si="70"/>
        <v>X</v>
      </c>
      <c r="BH678" s="556" t="str">
        <f t="shared" si="71"/>
        <v>Y</v>
      </c>
      <c r="BI678" s="556" t="str">
        <f t="shared" si="72"/>
        <v/>
      </c>
      <c r="BJ678" s="556" t="str">
        <f t="shared" si="73"/>
        <v>Z</v>
      </c>
      <c r="BK678" s="556">
        <f t="shared" si="74"/>
        <v>0</v>
      </c>
      <c r="BL678" s="556" t="str">
        <f t="shared" si="75"/>
        <v/>
      </c>
      <c r="BM678" s="497">
        <f t="shared" si="76"/>
        <v>0</v>
      </c>
    </row>
    <row r="679" spans="1:65">
      <c r="B679" t="s">
        <v>1128</v>
      </c>
      <c r="C679" t="s">
        <v>1130</v>
      </c>
      <c r="D679" t="s">
        <v>1973</v>
      </c>
      <c r="F679" s="503">
        <v>42748</v>
      </c>
      <c r="H679" t="s">
        <v>1131</v>
      </c>
      <c r="I679" t="s">
        <v>1753</v>
      </c>
      <c r="J679">
        <v>400</v>
      </c>
      <c r="K679" t="s">
        <v>1756</v>
      </c>
      <c r="W679">
        <v>0</v>
      </c>
      <c r="X679">
        <v>11.2</v>
      </c>
      <c r="Y679">
        <v>0</v>
      </c>
      <c r="Z679">
        <v>0</v>
      </c>
      <c r="AA679">
        <v>0</v>
      </c>
      <c r="AE679" t="s">
        <v>1039</v>
      </c>
      <c r="AI679">
        <v>12</v>
      </c>
      <c r="AJ679" t="s">
        <v>2212</v>
      </c>
      <c r="AK679" s="505">
        <v>4800</v>
      </c>
      <c r="AL679">
        <v>0</v>
      </c>
      <c r="AN679" t="s">
        <v>133</v>
      </c>
      <c r="AO679">
        <v>16</v>
      </c>
      <c r="AX679">
        <v>20170113</v>
      </c>
      <c r="AY679" t="s">
        <v>2051</v>
      </c>
      <c r="BG679" s="556" t="str">
        <f t="shared" si="70"/>
        <v>X</v>
      </c>
      <c r="BH679" s="556" t="str">
        <f t="shared" si="71"/>
        <v/>
      </c>
      <c r="BI679" s="556" t="str">
        <f t="shared" si="72"/>
        <v/>
      </c>
      <c r="BJ679" s="556" t="str">
        <f t="shared" si="73"/>
        <v>Z</v>
      </c>
      <c r="BK679" s="556">
        <f t="shared" si="74"/>
        <v>0</v>
      </c>
      <c r="BL679" s="556" t="str">
        <f t="shared" si="75"/>
        <v/>
      </c>
      <c r="BM679" s="497">
        <f t="shared" si="76"/>
        <v>0</v>
      </c>
    </row>
    <row r="680" spans="1:65">
      <c r="B680" t="s">
        <v>1181</v>
      </c>
      <c r="C680" t="s">
        <v>1183</v>
      </c>
      <c r="D680" t="s">
        <v>2001</v>
      </c>
      <c r="F680" s="503">
        <v>42824</v>
      </c>
      <c r="H680" t="s">
        <v>1184</v>
      </c>
      <c r="I680" t="s">
        <v>1753</v>
      </c>
      <c r="J680">
        <v>1400</v>
      </c>
      <c r="K680" t="s">
        <v>1756</v>
      </c>
      <c r="W680">
        <v>0</v>
      </c>
      <c r="X680">
        <v>12.5</v>
      </c>
      <c r="Y680">
        <v>0</v>
      </c>
      <c r="Z680">
        <v>0</v>
      </c>
      <c r="AA680">
        <v>0</v>
      </c>
      <c r="AE680" t="s">
        <v>1039</v>
      </c>
      <c r="AI680">
        <v>80</v>
      </c>
      <c r="AJ680" t="s">
        <v>2213</v>
      </c>
      <c r="AK680">
        <v>0</v>
      </c>
      <c r="AL680">
        <v>0</v>
      </c>
      <c r="AN680" t="s">
        <v>1185</v>
      </c>
      <c r="AO680">
        <v>12.55</v>
      </c>
      <c r="AX680">
        <v>20170330</v>
      </c>
      <c r="AY680" t="s">
        <v>1762</v>
      </c>
      <c r="BG680" s="556" t="str">
        <f t="shared" si="70"/>
        <v>X</v>
      </c>
      <c r="BH680" s="556" t="str">
        <f t="shared" si="71"/>
        <v/>
      </c>
      <c r="BI680" s="556" t="str">
        <f t="shared" si="72"/>
        <v/>
      </c>
      <c r="BJ680" s="556" t="str">
        <f t="shared" si="73"/>
        <v>Z</v>
      </c>
      <c r="BK680" s="556">
        <f t="shared" si="74"/>
        <v>0</v>
      </c>
      <c r="BL680" s="556" t="str">
        <f t="shared" si="75"/>
        <v/>
      </c>
      <c r="BM680" s="497">
        <f t="shared" si="76"/>
        <v>0</v>
      </c>
    </row>
    <row r="681" spans="1:65">
      <c r="B681" t="s">
        <v>2667</v>
      </c>
      <c r="C681" t="s">
        <v>1056</v>
      </c>
      <c r="D681" t="s">
        <v>2149</v>
      </c>
      <c r="F681" s="503">
        <v>45203</v>
      </c>
      <c r="H681" t="s">
        <v>2668</v>
      </c>
      <c r="I681" t="s">
        <v>1753</v>
      </c>
      <c r="J681">
        <v>0</v>
      </c>
      <c r="K681" t="s">
        <v>1756</v>
      </c>
      <c r="W681">
        <v>25.15</v>
      </c>
      <c r="X681">
        <v>25.15</v>
      </c>
      <c r="Y681">
        <v>0</v>
      </c>
      <c r="Z681">
        <v>0</v>
      </c>
      <c r="AA681">
        <v>0</v>
      </c>
      <c r="AE681">
        <v>0</v>
      </c>
      <c r="AI681">
        <v>84</v>
      </c>
      <c r="AJ681" t="s">
        <v>2210</v>
      </c>
      <c r="AK681">
        <v>0</v>
      </c>
      <c r="AL681">
        <v>0</v>
      </c>
      <c r="AN681" t="s">
        <v>2054</v>
      </c>
      <c r="AO681" t="s">
        <v>2211</v>
      </c>
      <c r="AX681">
        <v>20231004</v>
      </c>
      <c r="AY681" t="s">
        <v>1786</v>
      </c>
      <c r="BG681" s="556" t="str">
        <f t="shared" si="70"/>
        <v>X</v>
      </c>
      <c r="BH681" s="556" t="str">
        <f t="shared" si="71"/>
        <v>Y</v>
      </c>
      <c r="BI681" s="556" t="str">
        <f t="shared" si="72"/>
        <v/>
      </c>
      <c r="BJ681" s="556" t="str">
        <f t="shared" si="73"/>
        <v>Z</v>
      </c>
      <c r="BK681" s="556">
        <f t="shared" si="74"/>
        <v>0</v>
      </c>
      <c r="BL681" s="556" t="str">
        <f t="shared" si="75"/>
        <v/>
      </c>
      <c r="BM681" s="497">
        <f t="shared" si="76"/>
        <v>0</v>
      </c>
    </row>
    <row r="682" spans="1:65">
      <c r="B682" t="s">
        <v>2214</v>
      </c>
      <c r="C682" t="s">
        <v>1056</v>
      </c>
      <c r="D682" t="s">
        <v>1782</v>
      </c>
      <c r="F682" s="503">
        <v>44288</v>
      </c>
      <c r="H682" t="s">
        <v>2215</v>
      </c>
      <c r="I682" t="s">
        <v>1753</v>
      </c>
      <c r="J682">
        <v>0</v>
      </c>
      <c r="K682" t="s">
        <v>1756</v>
      </c>
      <c r="W682">
        <v>31.05</v>
      </c>
      <c r="X682">
        <v>31.05</v>
      </c>
      <c r="Y682">
        <v>0</v>
      </c>
      <c r="Z682">
        <v>0</v>
      </c>
      <c r="AA682">
        <v>0</v>
      </c>
      <c r="AE682">
        <v>0</v>
      </c>
      <c r="AI682">
        <v>84</v>
      </c>
      <c r="AJ682" t="s">
        <v>2216</v>
      </c>
      <c r="AK682">
        <v>0</v>
      </c>
      <c r="AN682" t="s">
        <v>2054</v>
      </c>
      <c r="AO682" t="s">
        <v>2217</v>
      </c>
      <c r="AX682">
        <v>20210402</v>
      </c>
      <c r="AY682" t="s">
        <v>1786</v>
      </c>
      <c r="BG682" s="556" t="str">
        <f t="shared" si="70"/>
        <v>X</v>
      </c>
      <c r="BH682" s="556" t="str">
        <f t="shared" si="71"/>
        <v>Y</v>
      </c>
      <c r="BI682" s="556" t="str">
        <f t="shared" si="72"/>
        <v/>
      </c>
      <c r="BJ682" s="556" t="str">
        <f t="shared" si="73"/>
        <v>Z</v>
      </c>
      <c r="BK682" s="556">
        <f t="shared" si="74"/>
        <v>0</v>
      </c>
      <c r="BL682" s="556" t="str">
        <f t="shared" si="75"/>
        <v/>
      </c>
      <c r="BM682" s="497">
        <f t="shared" si="76"/>
        <v>0</v>
      </c>
    </row>
    <row r="683" spans="1:65">
      <c r="B683" t="s">
        <v>1107</v>
      </c>
      <c r="C683" t="s">
        <v>1109</v>
      </c>
      <c r="D683" t="s">
        <v>1973</v>
      </c>
      <c r="F683" s="503">
        <v>42748</v>
      </c>
      <c r="H683" t="s">
        <v>1110</v>
      </c>
      <c r="I683" t="s">
        <v>1753</v>
      </c>
      <c r="J683">
        <v>1000</v>
      </c>
      <c r="K683" t="s">
        <v>1756</v>
      </c>
      <c r="W683">
        <v>0</v>
      </c>
      <c r="X683">
        <v>2.75</v>
      </c>
      <c r="Y683">
        <v>0</v>
      </c>
      <c r="Z683">
        <v>0</v>
      </c>
      <c r="AA683">
        <v>0</v>
      </c>
      <c r="AE683" t="s">
        <v>1756</v>
      </c>
      <c r="AI683">
        <v>12</v>
      </c>
      <c r="AJ683" t="s">
        <v>2174</v>
      </c>
      <c r="AK683" s="505">
        <v>4800</v>
      </c>
      <c r="AL683">
        <v>0</v>
      </c>
      <c r="AN683" t="s">
        <v>1084</v>
      </c>
      <c r="AO683">
        <v>0</v>
      </c>
      <c r="AX683">
        <v>20170113</v>
      </c>
      <c r="AY683" t="s">
        <v>2051</v>
      </c>
      <c r="BG683" s="556" t="str">
        <f t="shared" si="70"/>
        <v>X</v>
      </c>
      <c r="BH683" s="556" t="str">
        <f t="shared" si="71"/>
        <v/>
      </c>
      <c r="BI683" s="556" t="str">
        <f t="shared" si="72"/>
        <v/>
      </c>
      <c r="BJ683" s="556" t="str">
        <f t="shared" si="73"/>
        <v>Z</v>
      </c>
      <c r="BK683" s="556">
        <f t="shared" si="74"/>
        <v>0</v>
      </c>
      <c r="BL683" s="556" t="str">
        <f t="shared" si="75"/>
        <v/>
      </c>
      <c r="BM683" s="497">
        <f t="shared" si="76"/>
        <v>0</v>
      </c>
    </row>
    <row r="684" spans="1:65">
      <c r="B684" t="s">
        <v>2218</v>
      </c>
      <c r="C684" t="s">
        <v>1042</v>
      </c>
      <c r="D684" t="s">
        <v>1782</v>
      </c>
      <c r="F684" s="503">
        <v>44288</v>
      </c>
      <c r="H684" t="s">
        <v>2219</v>
      </c>
      <c r="I684" t="s">
        <v>1753</v>
      </c>
      <c r="J684">
        <v>0</v>
      </c>
      <c r="K684" t="s">
        <v>1756</v>
      </c>
      <c r="W684">
        <v>4.7699999999999996</v>
      </c>
      <c r="X684">
        <v>4.7699999999999996</v>
      </c>
      <c r="Y684">
        <v>0</v>
      </c>
      <c r="Z684">
        <v>0</v>
      </c>
      <c r="AA684">
        <v>0</v>
      </c>
      <c r="AE684">
        <v>0</v>
      </c>
      <c r="AI684">
        <v>84</v>
      </c>
      <c r="AJ684" t="s">
        <v>2220</v>
      </c>
      <c r="AK684">
        <v>0</v>
      </c>
      <c r="AL684">
        <v>0</v>
      </c>
      <c r="AN684" t="s">
        <v>1790</v>
      </c>
      <c r="AO684" t="s">
        <v>2211</v>
      </c>
      <c r="AX684">
        <v>20210402</v>
      </c>
      <c r="AY684" t="s">
        <v>1786</v>
      </c>
      <c r="BG684" s="556" t="str">
        <f t="shared" si="70"/>
        <v>X</v>
      </c>
      <c r="BH684" s="556" t="str">
        <f t="shared" si="71"/>
        <v>Y</v>
      </c>
      <c r="BI684" s="556" t="str">
        <f t="shared" si="72"/>
        <v/>
      </c>
      <c r="BJ684" s="556" t="str">
        <f t="shared" si="73"/>
        <v>Z</v>
      </c>
      <c r="BK684" s="556">
        <f t="shared" si="74"/>
        <v>0</v>
      </c>
      <c r="BL684" s="556" t="str">
        <f t="shared" si="75"/>
        <v/>
      </c>
      <c r="BM684" s="497">
        <f t="shared" si="76"/>
        <v>0</v>
      </c>
    </row>
    <row r="685" spans="1:65">
      <c r="B685" t="s">
        <v>2221</v>
      </c>
      <c r="C685" t="s">
        <v>1082</v>
      </c>
      <c r="D685" t="s">
        <v>1816</v>
      </c>
      <c r="F685" s="503">
        <v>44158</v>
      </c>
      <c r="H685" t="s">
        <v>2222</v>
      </c>
      <c r="I685" t="s">
        <v>1753</v>
      </c>
      <c r="J685">
        <v>1</v>
      </c>
      <c r="K685" t="s">
        <v>1756</v>
      </c>
      <c r="W685">
        <v>0</v>
      </c>
      <c r="X685">
        <v>1.5</v>
      </c>
      <c r="Y685">
        <v>0</v>
      </c>
      <c r="Z685">
        <v>0</v>
      </c>
      <c r="AA685">
        <v>0</v>
      </c>
      <c r="AE685">
        <v>0</v>
      </c>
      <c r="AI685">
        <v>80</v>
      </c>
      <c r="AJ685" t="s">
        <v>2174</v>
      </c>
      <c r="AK685">
        <v>0</v>
      </c>
      <c r="AN685" t="s">
        <v>1084</v>
      </c>
      <c r="AO685">
        <v>0</v>
      </c>
      <c r="AX685">
        <v>20201123</v>
      </c>
      <c r="AY685" t="s">
        <v>1762</v>
      </c>
      <c r="BG685" s="556" t="str">
        <f t="shared" si="70"/>
        <v>X</v>
      </c>
      <c r="BH685" s="556" t="str">
        <f t="shared" si="71"/>
        <v/>
      </c>
      <c r="BI685" s="556" t="str">
        <f t="shared" si="72"/>
        <v/>
      </c>
      <c r="BJ685" s="556" t="str">
        <f t="shared" si="73"/>
        <v>Z</v>
      </c>
      <c r="BK685" s="556">
        <f t="shared" si="74"/>
        <v>0</v>
      </c>
      <c r="BL685" s="556" t="str">
        <f t="shared" si="75"/>
        <v/>
      </c>
      <c r="BM685" s="497">
        <f t="shared" si="76"/>
        <v>0</v>
      </c>
    </row>
    <row r="686" spans="1:65">
      <c r="A686">
        <v>52502</v>
      </c>
      <c r="B686" t="s">
        <v>1238</v>
      </c>
      <c r="C686" t="s">
        <v>1232</v>
      </c>
      <c r="D686" t="s">
        <v>2047</v>
      </c>
      <c r="F686" s="503">
        <v>43930</v>
      </c>
      <c r="H686" t="s">
        <v>1240</v>
      </c>
      <c r="I686" t="s">
        <v>1753</v>
      </c>
      <c r="J686">
        <v>300</v>
      </c>
      <c r="K686">
        <v>2</v>
      </c>
      <c r="O686" t="s">
        <v>2307</v>
      </c>
      <c r="W686">
        <v>13.59</v>
      </c>
      <c r="X686">
        <v>12.57</v>
      </c>
      <c r="Y686">
        <v>0</v>
      </c>
      <c r="Z686">
        <v>0</v>
      </c>
      <c r="AA686">
        <v>0</v>
      </c>
      <c r="AE686" t="s">
        <v>1039</v>
      </c>
      <c r="AI686">
        <v>57</v>
      </c>
      <c r="AJ686">
        <v>1001190</v>
      </c>
      <c r="AK686">
        <v>0</v>
      </c>
      <c r="AN686" t="s">
        <v>133</v>
      </c>
      <c r="AO686">
        <v>11.9</v>
      </c>
      <c r="AX686">
        <v>20200409</v>
      </c>
      <c r="AY686" t="s">
        <v>1780</v>
      </c>
      <c r="BG686" s="556" t="str">
        <f t="shared" si="70"/>
        <v>O</v>
      </c>
      <c r="BH686" s="556" t="str">
        <f t="shared" si="71"/>
        <v/>
      </c>
      <c r="BI686" s="556" t="str">
        <f t="shared" si="72"/>
        <v/>
      </c>
      <c r="BJ686" s="556">
        <f t="shared" si="73"/>
        <v>2</v>
      </c>
      <c r="BK686" s="556" t="str">
        <f t="shared" si="74"/>
        <v>R4</v>
      </c>
      <c r="BL686" s="556" t="str">
        <f t="shared" si="75"/>
        <v/>
      </c>
      <c r="BM686" s="497">
        <f t="shared" si="76"/>
        <v>52502</v>
      </c>
    </row>
    <row r="687" spans="1:65">
      <c r="A687">
        <v>53607</v>
      </c>
      <c r="B687" t="s">
        <v>2769</v>
      </c>
      <c r="C687" t="s">
        <v>2593</v>
      </c>
      <c r="D687" t="s">
        <v>2191</v>
      </c>
      <c r="F687" s="503">
        <v>45054</v>
      </c>
      <c r="H687" t="s">
        <v>2594</v>
      </c>
      <c r="I687" t="s">
        <v>1753</v>
      </c>
      <c r="J687">
        <v>0</v>
      </c>
      <c r="K687">
        <v>6</v>
      </c>
      <c r="W687">
        <v>32.880000000000003</v>
      </c>
      <c r="X687">
        <v>32.880000000000003</v>
      </c>
      <c r="Y687">
        <v>0</v>
      </c>
      <c r="Z687">
        <v>0</v>
      </c>
      <c r="AA687">
        <v>0</v>
      </c>
      <c r="AE687" t="s">
        <v>1761</v>
      </c>
      <c r="AI687">
        <v>98</v>
      </c>
      <c r="AJ687">
        <v>3021262</v>
      </c>
      <c r="AK687">
        <v>0</v>
      </c>
      <c r="AL687">
        <v>0</v>
      </c>
      <c r="AN687" t="s">
        <v>2629</v>
      </c>
      <c r="AO687">
        <v>12.62</v>
      </c>
      <c r="AX687">
        <v>20230508</v>
      </c>
      <c r="AY687" t="s">
        <v>2040</v>
      </c>
      <c r="BG687" s="556" t="str">
        <f t="shared" si="70"/>
        <v>O</v>
      </c>
      <c r="BH687" s="556" t="str">
        <f t="shared" si="71"/>
        <v/>
      </c>
      <c r="BI687" s="556" t="str">
        <f t="shared" si="72"/>
        <v/>
      </c>
      <c r="BJ687" s="556">
        <f t="shared" si="73"/>
        <v>6</v>
      </c>
      <c r="BK687" s="556">
        <f t="shared" si="74"/>
        <v>0</v>
      </c>
      <c r="BL687" s="556" t="str">
        <f t="shared" si="75"/>
        <v/>
      </c>
      <c r="BM687" s="497">
        <f t="shared" si="76"/>
        <v>53607</v>
      </c>
    </row>
    <row r="688" spans="1:65">
      <c r="A688">
        <v>20002</v>
      </c>
      <c r="B688" t="s">
        <v>357</v>
      </c>
      <c r="C688" t="s">
        <v>360</v>
      </c>
      <c r="D688" t="s">
        <v>1774</v>
      </c>
      <c r="F688" s="503">
        <v>42748</v>
      </c>
      <c r="H688" t="s">
        <v>361</v>
      </c>
      <c r="I688" t="s">
        <v>1753</v>
      </c>
      <c r="J688">
        <v>300</v>
      </c>
      <c r="K688">
        <v>2</v>
      </c>
      <c r="L688">
        <v>6</v>
      </c>
      <c r="O688" t="s">
        <v>2308</v>
      </c>
      <c r="W688">
        <v>37.5</v>
      </c>
      <c r="X688">
        <v>65.680000000000007</v>
      </c>
      <c r="Y688">
        <v>0</v>
      </c>
      <c r="Z688">
        <v>0</v>
      </c>
      <c r="AA688">
        <v>0</v>
      </c>
      <c r="AE688" t="s">
        <v>1992</v>
      </c>
      <c r="AI688">
        <v>89</v>
      </c>
      <c r="AJ688">
        <v>1001072</v>
      </c>
      <c r="AK688">
        <v>0</v>
      </c>
      <c r="AL688">
        <v>0</v>
      </c>
      <c r="AN688" t="s">
        <v>133</v>
      </c>
      <c r="AO688">
        <v>10.72</v>
      </c>
      <c r="AU688" t="s">
        <v>3225</v>
      </c>
      <c r="AX688">
        <v>20170113</v>
      </c>
      <c r="AY688" t="s">
        <v>2195</v>
      </c>
      <c r="AZ688" t="s">
        <v>2218</v>
      </c>
      <c r="BA688" t="s">
        <v>2214</v>
      </c>
      <c r="BG688" s="556" t="str">
        <f t="shared" si="70"/>
        <v>O</v>
      </c>
      <c r="BH688" s="556" t="str">
        <f t="shared" si="71"/>
        <v>Y</v>
      </c>
      <c r="BI688" s="556" t="str">
        <f t="shared" si="72"/>
        <v>Y</v>
      </c>
      <c r="BJ688" s="556" t="str">
        <f t="shared" si="73"/>
        <v>2,6</v>
      </c>
      <c r="BK688" s="556" t="str">
        <f t="shared" si="74"/>
        <v>S1</v>
      </c>
      <c r="BL688" s="556" t="str">
        <f t="shared" si="75"/>
        <v/>
      </c>
      <c r="BM688" s="497">
        <f t="shared" si="76"/>
        <v>20002</v>
      </c>
    </row>
    <row r="689" spans="1:65">
      <c r="A689">
        <v>20045</v>
      </c>
      <c r="B689" t="s">
        <v>144</v>
      </c>
      <c r="C689" t="s">
        <v>145</v>
      </c>
      <c r="D689" t="s">
        <v>1774</v>
      </c>
      <c r="F689" s="503">
        <v>42892</v>
      </c>
      <c r="H689" t="s">
        <v>367</v>
      </c>
      <c r="I689" t="s">
        <v>1753</v>
      </c>
      <c r="J689">
        <v>300</v>
      </c>
      <c r="K689">
        <v>2</v>
      </c>
      <c r="L689">
        <v>6</v>
      </c>
      <c r="O689" t="s">
        <v>2308</v>
      </c>
      <c r="W689">
        <v>37.770000000000003</v>
      </c>
      <c r="X689">
        <v>73.8</v>
      </c>
      <c r="Y689">
        <v>0</v>
      </c>
      <c r="Z689">
        <v>0</v>
      </c>
      <c r="AA689">
        <v>0</v>
      </c>
      <c r="AE689" t="s">
        <v>1992</v>
      </c>
      <c r="AI689">
        <v>89</v>
      </c>
      <c r="AJ689">
        <v>1001072</v>
      </c>
      <c r="AK689">
        <v>0</v>
      </c>
      <c r="AL689">
        <v>0</v>
      </c>
      <c r="AN689" t="s">
        <v>133</v>
      </c>
      <c r="AO689">
        <v>10.72</v>
      </c>
      <c r="AU689" t="s">
        <v>3225</v>
      </c>
      <c r="AX689">
        <v>20170606</v>
      </c>
      <c r="AY689" t="s">
        <v>2195</v>
      </c>
      <c r="AZ689" t="s">
        <v>2214</v>
      </c>
      <c r="BA689" t="s">
        <v>2218</v>
      </c>
      <c r="BG689" s="556" t="str">
        <f t="shared" si="70"/>
        <v>O</v>
      </c>
      <c r="BH689" s="556" t="str">
        <f t="shared" si="71"/>
        <v>Y</v>
      </c>
      <c r="BI689" s="556" t="str">
        <f t="shared" si="72"/>
        <v>Y</v>
      </c>
      <c r="BJ689" s="556" t="str">
        <f t="shared" si="73"/>
        <v>2,6</v>
      </c>
      <c r="BK689" s="556" t="str">
        <f t="shared" si="74"/>
        <v>S1</v>
      </c>
      <c r="BL689" s="556" t="str">
        <f t="shared" si="75"/>
        <v/>
      </c>
      <c r="BM689" s="497">
        <f t="shared" si="76"/>
        <v>20045</v>
      </c>
    </row>
    <row r="690" spans="1:65">
      <c r="A690">
        <v>32007</v>
      </c>
      <c r="B690" t="s">
        <v>797</v>
      </c>
      <c r="C690" t="s">
        <v>477</v>
      </c>
      <c r="D690" t="s">
        <v>2061</v>
      </c>
      <c r="F690" s="503">
        <v>43456</v>
      </c>
      <c r="H690" t="s">
        <v>800</v>
      </c>
      <c r="I690" t="s">
        <v>1753</v>
      </c>
      <c r="J690">
        <v>800</v>
      </c>
      <c r="K690" t="s">
        <v>1756</v>
      </c>
      <c r="W690">
        <v>0</v>
      </c>
      <c r="X690">
        <v>43.8</v>
      </c>
      <c r="Y690">
        <v>0</v>
      </c>
      <c r="Z690">
        <v>0</v>
      </c>
      <c r="AA690">
        <v>0</v>
      </c>
      <c r="AE690" t="s">
        <v>1039</v>
      </c>
      <c r="AI690">
        <v>80</v>
      </c>
      <c r="AJ690">
        <v>2511185</v>
      </c>
      <c r="AK690">
        <v>0</v>
      </c>
      <c r="AN690" t="s">
        <v>141</v>
      </c>
      <c r="AO690">
        <v>11.85</v>
      </c>
      <c r="AX690">
        <v>20181222</v>
      </c>
      <c r="AY690" t="s">
        <v>1762</v>
      </c>
      <c r="BG690" s="556" t="str">
        <f t="shared" si="70"/>
        <v>X</v>
      </c>
      <c r="BH690" s="556" t="str">
        <f t="shared" si="71"/>
        <v/>
      </c>
      <c r="BI690" s="556" t="str">
        <f t="shared" si="72"/>
        <v/>
      </c>
      <c r="BJ690" s="556" t="str">
        <f t="shared" si="73"/>
        <v>Z</v>
      </c>
      <c r="BK690" s="556">
        <f t="shared" si="74"/>
        <v>0</v>
      </c>
      <c r="BL690" s="556" t="str">
        <f t="shared" si="75"/>
        <v/>
      </c>
      <c r="BM690" s="497">
        <f t="shared" si="76"/>
        <v>32007</v>
      </c>
    </row>
    <row r="691" spans="1:65">
      <c r="A691">
        <v>20087</v>
      </c>
      <c r="B691" t="s">
        <v>2662</v>
      </c>
      <c r="C691" t="s">
        <v>2665</v>
      </c>
      <c r="D691" t="s">
        <v>1774</v>
      </c>
      <c r="F691" s="503">
        <v>45191</v>
      </c>
      <c r="H691" t="s">
        <v>2666</v>
      </c>
      <c r="I691" t="s">
        <v>1753</v>
      </c>
      <c r="J691">
        <v>300</v>
      </c>
      <c r="K691">
        <v>6</v>
      </c>
      <c r="O691" t="s">
        <v>2308</v>
      </c>
      <c r="W691">
        <v>42.67</v>
      </c>
      <c r="X691">
        <v>72.92</v>
      </c>
      <c r="Y691">
        <v>0</v>
      </c>
      <c r="Z691">
        <v>0</v>
      </c>
      <c r="AA691">
        <v>0</v>
      </c>
      <c r="AE691" t="s">
        <v>1992</v>
      </c>
      <c r="AI691">
        <v>89</v>
      </c>
      <c r="AJ691">
        <v>1001072</v>
      </c>
      <c r="AK691">
        <v>0</v>
      </c>
      <c r="AL691">
        <v>0</v>
      </c>
      <c r="AN691" t="s">
        <v>133</v>
      </c>
      <c r="AO691">
        <v>10.72</v>
      </c>
      <c r="AU691" t="s">
        <v>3225</v>
      </c>
      <c r="AX691">
        <v>20230922</v>
      </c>
      <c r="AY691" t="s">
        <v>2195</v>
      </c>
      <c r="AZ691" t="s">
        <v>2218</v>
      </c>
      <c r="BA691" t="s">
        <v>2667</v>
      </c>
      <c r="BG691" s="556" t="str">
        <f t="shared" si="70"/>
        <v>O</v>
      </c>
      <c r="BH691" s="556" t="str">
        <f t="shared" si="71"/>
        <v>Y</v>
      </c>
      <c r="BI691" s="556" t="str">
        <f t="shared" si="72"/>
        <v>Y</v>
      </c>
      <c r="BJ691" s="556">
        <f t="shared" si="73"/>
        <v>6</v>
      </c>
      <c r="BK691" s="556" t="str">
        <f t="shared" si="74"/>
        <v>S1</v>
      </c>
      <c r="BL691" s="556" t="str">
        <f t="shared" si="75"/>
        <v/>
      </c>
      <c r="BM691" s="497">
        <f t="shared" si="76"/>
        <v>20087</v>
      </c>
    </row>
    <row r="692" spans="1:65">
      <c r="A692">
        <v>53615</v>
      </c>
      <c r="B692" t="s">
        <v>2610</v>
      </c>
      <c r="C692" t="s">
        <v>2611</v>
      </c>
      <c r="D692" t="s">
        <v>2191</v>
      </c>
      <c r="F692" s="503">
        <v>45063</v>
      </c>
      <c r="H692" t="s">
        <v>2612</v>
      </c>
      <c r="I692" t="s">
        <v>1753</v>
      </c>
      <c r="J692">
        <v>0</v>
      </c>
      <c r="K692">
        <v>6</v>
      </c>
      <c r="W692">
        <v>55.52</v>
      </c>
      <c r="X692">
        <v>55.52</v>
      </c>
      <c r="Y692">
        <v>0</v>
      </c>
      <c r="Z692">
        <v>0</v>
      </c>
      <c r="AA692">
        <v>0</v>
      </c>
      <c r="AE692" t="s">
        <v>1761</v>
      </c>
      <c r="AI692">
        <v>16</v>
      </c>
      <c r="AJ692">
        <v>3021262</v>
      </c>
      <c r="AK692">
        <v>0</v>
      </c>
      <c r="AL692">
        <v>0</v>
      </c>
      <c r="AN692" t="s">
        <v>2629</v>
      </c>
      <c r="AO692">
        <v>12.62</v>
      </c>
      <c r="AX692">
        <v>20230517</v>
      </c>
      <c r="AY692" t="s">
        <v>2040</v>
      </c>
      <c r="BG692" s="556" t="str">
        <f t="shared" si="70"/>
        <v>O</v>
      </c>
      <c r="BH692" s="556" t="str">
        <f t="shared" si="71"/>
        <v/>
      </c>
      <c r="BI692" s="556" t="str">
        <f t="shared" si="72"/>
        <v/>
      </c>
      <c r="BJ692" s="556">
        <f t="shared" si="73"/>
        <v>6</v>
      </c>
      <c r="BK692" s="556">
        <f t="shared" si="74"/>
        <v>0</v>
      </c>
      <c r="BL692" s="556" t="str">
        <f t="shared" si="75"/>
        <v/>
      </c>
      <c r="BM692" s="497">
        <f t="shared" si="76"/>
        <v>53615</v>
      </c>
    </row>
    <row r="693" spans="1:65">
      <c r="B693" t="s">
        <v>2223</v>
      </c>
      <c r="C693" t="s">
        <v>1056</v>
      </c>
      <c r="D693" t="s">
        <v>1782</v>
      </c>
      <c r="F693" s="503">
        <v>44288</v>
      </c>
      <c r="H693" t="s">
        <v>2224</v>
      </c>
      <c r="I693" t="s">
        <v>1753</v>
      </c>
      <c r="J693">
        <v>0</v>
      </c>
      <c r="K693" t="s">
        <v>1756</v>
      </c>
      <c r="W693">
        <v>41.21</v>
      </c>
      <c r="X693">
        <v>41.21</v>
      </c>
      <c r="Y693">
        <v>0</v>
      </c>
      <c r="Z693">
        <v>0</v>
      </c>
      <c r="AA693">
        <v>0</v>
      </c>
      <c r="AE693">
        <v>0</v>
      </c>
      <c r="AI693">
        <v>84</v>
      </c>
      <c r="AJ693" t="s">
        <v>2210</v>
      </c>
      <c r="AK693">
        <v>0</v>
      </c>
      <c r="AL693">
        <v>0</v>
      </c>
      <c r="AN693" t="s">
        <v>2054</v>
      </c>
      <c r="AO693" t="s">
        <v>2211</v>
      </c>
      <c r="AX693">
        <v>20210402</v>
      </c>
      <c r="AY693" t="s">
        <v>1786</v>
      </c>
      <c r="BG693" s="556" t="str">
        <f t="shared" si="70"/>
        <v>X</v>
      </c>
      <c r="BH693" s="556" t="str">
        <f t="shared" si="71"/>
        <v>Y</v>
      </c>
      <c r="BI693" s="556" t="str">
        <f t="shared" si="72"/>
        <v/>
      </c>
      <c r="BJ693" s="556" t="str">
        <f t="shared" si="73"/>
        <v>Z</v>
      </c>
      <c r="BK693" s="556">
        <f t="shared" si="74"/>
        <v>0</v>
      </c>
      <c r="BL693" s="556" t="str">
        <f t="shared" si="75"/>
        <v/>
      </c>
      <c r="BM693" s="497">
        <f t="shared" si="76"/>
        <v>0</v>
      </c>
    </row>
    <row r="694" spans="1:65">
      <c r="A694">
        <v>53606</v>
      </c>
      <c r="B694" t="s">
        <v>2595</v>
      </c>
      <c r="C694" t="s">
        <v>2593</v>
      </c>
      <c r="D694" t="s">
        <v>2191</v>
      </c>
      <c r="F694" s="503">
        <v>45054</v>
      </c>
      <c r="H694" t="s">
        <v>2596</v>
      </c>
      <c r="I694" t="s">
        <v>1753</v>
      </c>
      <c r="J694">
        <v>0</v>
      </c>
      <c r="K694">
        <v>6</v>
      </c>
      <c r="W694">
        <v>111</v>
      </c>
      <c r="X694">
        <v>111</v>
      </c>
      <c r="Y694">
        <v>0</v>
      </c>
      <c r="Z694">
        <v>0</v>
      </c>
      <c r="AA694">
        <v>0</v>
      </c>
      <c r="AE694" t="s">
        <v>1761</v>
      </c>
      <c r="AI694">
        <v>98</v>
      </c>
      <c r="AJ694">
        <v>3021262</v>
      </c>
      <c r="AK694">
        <v>0</v>
      </c>
      <c r="AN694" t="s">
        <v>2629</v>
      </c>
      <c r="AO694">
        <v>12.62</v>
      </c>
      <c r="AX694">
        <v>20230508</v>
      </c>
      <c r="AY694" t="s">
        <v>2040</v>
      </c>
      <c r="BG694" s="556" t="str">
        <f t="shared" si="70"/>
        <v>O</v>
      </c>
      <c r="BH694" s="556" t="str">
        <f t="shared" si="71"/>
        <v/>
      </c>
      <c r="BI694" s="556" t="str">
        <f t="shared" si="72"/>
        <v/>
      </c>
      <c r="BJ694" s="556">
        <f t="shared" si="73"/>
        <v>6</v>
      </c>
      <c r="BK694" s="556">
        <f t="shared" si="74"/>
        <v>0</v>
      </c>
      <c r="BL694" s="556" t="str">
        <f t="shared" si="75"/>
        <v/>
      </c>
      <c r="BM694" s="497">
        <f t="shared" si="76"/>
        <v>53606</v>
      </c>
    </row>
    <row r="695" spans="1:65">
      <c r="B695" t="s">
        <v>2225</v>
      </c>
      <c r="C695" t="s">
        <v>1042</v>
      </c>
      <c r="D695" t="s">
        <v>1782</v>
      </c>
      <c r="F695" s="503">
        <v>44288</v>
      </c>
      <c r="H695" t="s">
        <v>2226</v>
      </c>
      <c r="I695" t="s">
        <v>1753</v>
      </c>
      <c r="J695">
        <v>0</v>
      </c>
      <c r="K695" t="s">
        <v>1756</v>
      </c>
      <c r="W695">
        <v>5.09</v>
      </c>
      <c r="X695">
        <v>5.09</v>
      </c>
      <c r="Y695">
        <v>0</v>
      </c>
      <c r="Z695">
        <v>0</v>
      </c>
      <c r="AA695">
        <v>0</v>
      </c>
      <c r="AE695">
        <v>0</v>
      </c>
      <c r="AI695">
        <v>84</v>
      </c>
      <c r="AJ695" t="s">
        <v>2220</v>
      </c>
      <c r="AK695">
        <v>0</v>
      </c>
      <c r="AL695">
        <v>0</v>
      </c>
      <c r="AN695" t="s">
        <v>1790</v>
      </c>
      <c r="AO695" t="s">
        <v>2211</v>
      </c>
      <c r="AX695">
        <v>20210402</v>
      </c>
      <c r="AY695" t="s">
        <v>1786</v>
      </c>
      <c r="BG695" s="556" t="str">
        <f t="shared" si="70"/>
        <v>X</v>
      </c>
      <c r="BH695" s="556" t="str">
        <f t="shared" si="71"/>
        <v>Y</v>
      </c>
      <c r="BI695" s="556" t="str">
        <f t="shared" si="72"/>
        <v/>
      </c>
      <c r="BJ695" s="556" t="str">
        <f t="shared" si="73"/>
        <v>Z</v>
      </c>
      <c r="BK695" s="556">
        <f t="shared" si="74"/>
        <v>0</v>
      </c>
      <c r="BL695" s="556" t="str">
        <f t="shared" si="75"/>
        <v/>
      </c>
      <c r="BM695" s="497">
        <f t="shared" si="76"/>
        <v>0</v>
      </c>
    </row>
    <row r="696" spans="1:65">
      <c r="B696" t="s">
        <v>1137</v>
      </c>
      <c r="C696" t="s">
        <v>1042</v>
      </c>
      <c r="D696" t="s">
        <v>2061</v>
      </c>
      <c r="F696" s="503">
        <v>43565</v>
      </c>
      <c r="H696" t="s">
        <v>2227</v>
      </c>
      <c r="I696" t="s">
        <v>1753</v>
      </c>
      <c r="J696">
        <v>350</v>
      </c>
      <c r="K696" t="s">
        <v>1756</v>
      </c>
      <c r="W696">
        <v>11.19</v>
      </c>
      <c r="X696">
        <v>11.19</v>
      </c>
      <c r="Y696">
        <v>0</v>
      </c>
      <c r="Z696">
        <v>0</v>
      </c>
      <c r="AE696" t="s">
        <v>1039</v>
      </c>
      <c r="AI696">
        <v>12</v>
      </c>
      <c r="AJ696" t="s">
        <v>2228</v>
      </c>
      <c r="AK696">
        <v>0</v>
      </c>
      <c r="AL696">
        <v>0</v>
      </c>
      <c r="AN696" t="s">
        <v>2097</v>
      </c>
      <c r="AO696" t="s">
        <v>2217</v>
      </c>
      <c r="AX696">
        <v>20190410</v>
      </c>
      <c r="AY696" t="s">
        <v>2051</v>
      </c>
      <c r="BG696" s="556" t="str">
        <f t="shared" si="70"/>
        <v>X</v>
      </c>
      <c r="BH696" s="556" t="str">
        <f t="shared" si="71"/>
        <v/>
      </c>
      <c r="BI696" s="556" t="str">
        <f t="shared" si="72"/>
        <v/>
      </c>
      <c r="BJ696" s="556" t="str">
        <f t="shared" si="73"/>
        <v>Z</v>
      </c>
      <c r="BK696" s="556">
        <f t="shared" si="74"/>
        <v>0</v>
      </c>
      <c r="BL696" s="556" t="str">
        <f t="shared" si="75"/>
        <v/>
      </c>
      <c r="BM696" s="497">
        <f t="shared" si="76"/>
        <v>0</v>
      </c>
    </row>
    <row r="697" spans="1:65">
      <c r="B697" t="s">
        <v>1186</v>
      </c>
      <c r="C697" t="s">
        <v>1188</v>
      </c>
      <c r="D697" t="s">
        <v>1973</v>
      </c>
      <c r="F697" s="503">
        <v>42748</v>
      </c>
      <c r="H697" t="s">
        <v>1189</v>
      </c>
      <c r="I697" t="s">
        <v>1753</v>
      </c>
      <c r="J697">
        <v>500</v>
      </c>
      <c r="K697" t="s">
        <v>1756</v>
      </c>
      <c r="W697">
        <v>0</v>
      </c>
      <c r="X697">
        <v>19.72</v>
      </c>
      <c r="Y697">
        <v>0</v>
      </c>
      <c r="Z697">
        <v>0</v>
      </c>
      <c r="AA697">
        <v>0</v>
      </c>
      <c r="AE697">
        <v>0</v>
      </c>
      <c r="AI697">
        <v>80</v>
      </c>
      <c r="AJ697">
        <v>1001560</v>
      </c>
      <c r="AK697" s="505">
        <v>19200</v>
      </c>
      <c r="AL697">
        <v>0</v>
      </c>
      <c r="AN697" t="s">
        <v>133</v>
      </c>
      <c r="AO697">
        <v>15.6</v>
      </c>
      <c r="AX697">
        <v>20170113</v>
      </c>
      <c r="AY697" t="s">
        <v>1762</v>
      </c>
      <c r="BG697" s="556" t="str">
        <f t="shared" si="70"/>
        <v>X</v>
      </c>
      <c r="BH697" s="556" t="str">
        <f t="shared" si="71"/>
        <v/>
      </c>
      <c r="BI697" s="556" t="str">
        <f t="shared" si="72"/>
        <v/>
      </c>
      <c r="BJ697" s="556" t="str">
        <f t="shared" si="73"/>
        <v>Z</v>
      </c>
      <c r="BK697" s="556">
        <f t="shared" si="74"/>
        <v>0</v>
      </c>
      <c r="BL697" s="556" t="str">
        <f t="shared" si="75"/>
        <v/>
      </c>
      <c r="BM697" s="497">
        <f t="shared" si="76"/>
        <v>0</v>
      </c>
    </row>
    <row r="698" spans="1:65">
      <c r="B698" t="s">
        <v>1244</v>
      </c>
      <c r="C698" t="s">
        <v>1042</v>
      </c>
      <c r="D698" t="s">
        <v>2061</v>
      </c>
      <c r="F698" s="503">
        <v>43943</v>
      </c>
      <c r="H698" t="s">
        <v>2229</v>
      </c>
      <c r="I698" t="s">
        <v>1753</v>
      </c>
      <c r="J698">
        <v>600</v>
      </c>
      <c r="K698" t="s">
        <v>1756</v>
      </c>
      <c r="W698">
        <v>0</v>
      </c>
      <c r="X698">
        <v>19.899999999999999</v>
      </c>
      <c r="Y698">
        <v>0</v>
      </c>
      <c r="Z698">
        <v>0</v>
      </c>
      <c r="AA698">
        <v>0</v>
      </c>
      <c r="AE698" t="s">
        <v>1039</v>
      </c>
      <c r="AI698">
        <v>12</v>
      </c>
      <c r="AJ698" t="s">
        <v>2230</v>
      </c>
      <c r="AK698">
        <v>0</v>
      </c>
      <c r="AN698" t="s">
        <v>2097</v>
      </c>
      <c r="AO698" t="s">
        <v>2231</v>
      </c>
      <c r="AX698">
        <v>20200422</v>
      </c>
      <c r="AY698" t="s">
        <v>2051</v>
      </c>
      <c r="BG698" s="556" t="str">
        <f t="shared" si="70"/>
        <v>X</v>
      </c>
      <c r="BH698" s="556" t="str">
        <f t="shared" si="71"/>
        <v/>
      </c>
      <c r="BI698" s="556" t="str">
        <f t="shared" si="72"/>
        <v/>
      </c>
      <c r="BJ698" s="556" t="str">
        <f t="shared" si="73"/>
        <v>Z</v>
      </c>
      <c r="BK698" s="556">
        <f t="shared" si="74"/>
        <v>0</v>
      </c>
      <c r="BL698" s="556" t="str">
        <f t="shared" si="75"/>
        <v/>
      </c>
      <c r="BM698" s="497">
        <f t="shared" si="76"/>
        <v>0</v>
      </c>
    </row>
    <row r="699" spans="1:65">
      <c r="B699" t="s">
        <v>1144</v>
      </c>
      <c r="C699" t="s">
        <v>1056</v>
      </c>
      <c r="D699" t="s">
        <v>2061</v>
      </c>
      <c r="F699" s="503">
        <v>43564</v>
      </c>
      <c r="H699" t="s">
        <v>1146</v>
      </c>
      <c r="I699" t="s">
        <v>1753</v>
      </c>
      <c r="J699">
        <v>30</v>
      </c>
      <c r="K699" t="s">
        <v>1756</v>
      </c>
      <c r="W699">
        <v>111.5</v>
      </c>
      <c r="X699">
        <v>111.5</v>
      </c>
      <c r="Y699">
        <v>0</v>
      </c>
      <c r="Z699">
        <v>0</v>
      </c>
      <c r="AE699" t="s">
        <v>1039</v>
      </c>
      <c r="AI699">
        <v>12</v>
      </c>
      <c r="AJ699" t="s">
        <v>2232</v>
      </c>
      <c r="AK699">
        <v>0</v>
      </c>
      <c r="AL699">
        <v>0</v>
      </c>
      <c r="AN699" t="s">
        <v>1147</v>
      </c>
      <c r="AO699" t="s">
        <v>2233</v>
      </c>
      <c r="AX699">
        <v>20190409</v>
      </c>
      <c r="AY699" t="s">
        <v>2051</v>
      </c>
      <c r="BG699" s="556" t="str">
        <f t="shared" si="70"/>
        <v>X</v>
      </c>
      <c r="BH699" s="556" t="str">
        <f t="shared" si="71"/>
        <v/>
      </c>
      <c r="BI699" s="556" t="str">
        <f t="shared" si="72"/>
        <v/>
      </c>
      <c r="BJ699" s="556" t="str">
        <f t="shared" si="73"/>
        <v>Z</v>
      </c>
      <c r="BK699" s="556">
        <f t="shared" si="74"/>
        <v>0</v>
      </c>
      <c r="BL699" s="556" t="str">
        <f t="shared" si="75"/>
        <v/>
      </c>
      <c r="BM699" s="497">
        <f t="shared" si="76"/>
        <v>0</v>
      </c>
    </row>
    <row r="700" spans="1:65">
      <c r="A700">
        <v>55501</v>
      </c>
      <c r="B700" t="s">
        <v>2626</v>
      </c>
      <c r="C700" t="s">
        <v>2627</v>
      </c>
      <c r="D700" t="s">
        <v>2396</v>
      </c>
      <c r="F700" s="503">
        <v>45010</v>
      </c>
      <c r="H700" t="s">
        <v>2628</v>
      </c>
      <c r="I700" t="s">
        <v>1753</v>
      </c>
      <c r="J700">
        <v>4000</v>
      </c>
      <c r="K700" t="s">
        <v>1675</v>
      </c>
      <c r="O700" t="s">
        <v>1675</v>
      </c>
      <c r="W700">
        <v>0.27</v>
      </c>
      <c r="X700">
        <v>0.27</v>
      </c>
      <c r="Y700">
        <v>0</v>
      </c>
      <c r="Z700">
        <v>0</v>
      </c>
      <c r="AA700">
        <v>0</v>
      </c>
      <c r="AE700" t="s">
        <v>1761</v>
      </c>
      <c r="AI700">
        <v>57</v>
      </c>
      <c r="AJ700">
        <v>3020185</v>
      </c>
      <c r="AK700">
        <v>0</v>
      </c>
      <c r="AN700" t="s">
        <v>135</v>
      </c>
      <c r="AO700">
        <v>1.85</v>
      </c>
      <c r="AX700">
        <v>20230325</v>
      </c>
      <c r="AY700" t="s">
        <v>1780</v>
      </c>
      <c r="BG700" s="556" t="str">
        <f t="shared" si="70"/>
        <v>O</v>
      </c>
      <c r="BH700" s="556" t="str">
        <f t="shared" si="71"/>
        <v/>
      </c>
      <c r="BI700" s="556" t="str">
        <f t="shared" si="72"/>
        <v/>
      </c>
      <c r="BJ700" s="556" t="str">
        <f t="shared" si="73"/>
        <v>M3</v>
      </c>
      <c r="BK700" s="556" t="str">
        <f t="shared" si="74"/>
        <v>M3</v>
      </c>
      <c r="BL700" s="556" t="str">
        <f t="shared" si="75"/>
        <v/>
      </c>
      <c r="BM700" s="497">
        <f t="shared" si="76"/>
        <v>55501</v>
      </c>
    </row>
    <row r="701" spans="1:65">
      <c r="A701">
        <v>52100</v>
      </c>
      <c r="B701" t="s">
        <v>1029</v>
      </c>
      <c r="C701" t="s">
        <v>220</v>
      </c>
      <c r="D701" t="s">
        <v>1796</v>
      </c>
      <c r="F701" s="503">
        <v>43774</v>
      </c>
      <c r="H701" t="s">
        <v>1032</v>
      </c>
      <c r="I701" t="s">
        <v>1753</v>
      </c>
      <c r="J701">
        <v>5000</v>
      </c>
      <c r="K701" t="s">
        <v>1756</v>
      </c>
      <c r="W701">
        <v>0</v>
      </c>
      <c r="X701">
        <v>0.3</v>
      </c>
      <c r="Y701">
        <v>0</v>
      </c>
      <c r="Z701">
        <v>0</v>
      </c>
      <c r="AA701">
        <v>0</v>
      </c>
      <c r="AE701" t="s">
        <v>1221</v>
      </c>
      <c r="AI701">
        <v>80</v>
      </c>
      <c r="AJ701" t="s">
        <v>2064</v>
      </c>
      <c r="AK701">
        <v>0</v>
      </c>
      <c r="AN701" t="s">
        <v>133</v>
      </c>
      <c r="AO701">
        <v>0</v>
      </c>
      <c r="AX701">
        <v>20191105</v>
      </c>
      <c r="AY701" t="s">
        <v>1762</v>
      </c>
      <c r="BG701" s="556" t="str">
        <f t="shared" si="70"/>
        <v>X</v>
      </c>
      <c r="BH701" s="556" t="str">
        <f t="shared" si="71"/>
        <v/>
      </c>
      <c r="BI701" s="556" t="str">
        <f t="shared" si="72"/>
        <v/>
      </c>
      <c r="BJ701" s="556" t="str">
        <f t="shared" si="73"/>
        <v>Z</v>
      </c>
      <c r="BK701" s="556">
        <f t="shared" si="74"/>
        <v>0</v>
      </c>
      <c r="BL701" s="556" t="str">
        <f t="shared" si="75"/>
        <v/>
      </c>
      <c r="BM701" s="497">
        <f t="shared" si="76"/>
        <v>52100</v>
      </c>
    </row>
    <row r="702" spans="1:65">
      <c r="B702" t="s">
        <v>2790</v>
      </c>
      <c r="C702" t="s">
        <v>1042</v>
      </c>
      <c r="D702" t="s">
        <v>1774</v>
      </c>
      <c r="F702" s="503">
        <v>45406</v>
      </c>
      <c r="H702" t="s">
        <v>2791</v>
      </c>
      <c r="I702" t="s">
        <v>1753</v>
      </c>
      <c r="J702">
        <v>0</v>
      </c>
      <c r="W702">
        <v>0.06</v>
      </c>
      <c r="X702">
        <v>0.06</v>
      </c>
      <c r="Y702">
        <v>0</v>
      </c>
      <c r="Z702">
        <v>0</v>
      </c>
      <c r="AA702">
        <v>0</v>
      </c>
      <c r="AE702">
        <v>0</v>
      </c>
      <c r="AI702">
        <v>84</v>
      </c>
      <c r="AJ702" t="s">
        <v>2782</v>
      </c>
      <c r="AK702">
        <v>0</v>
      </c>
      <c r="AL702">
        <v>0</v>
      </c>
      <c r="AN702" t="s">
        <v>1790</v>
      </c>
      <c r="AO702" t="s">
        <v>1795</v>
      </c>
      <c r="AX702">
        <v>20240424</v>
      </c>
      <c r="AY702" t="s">
        <v>1786</v>
      </c>
      <c r="BG702" s="556" t="str">
        <f t="shared" si="70"/>
        <v>X</v>
      </c>
      <c r="BH702" s="556" t="str">
        <f t="shared" si="71"/>
        <v>Y</v>
      </c>
      <c r="BI702" s="556" t="str">
        <f t="shared" si="72"/>
        <v/>
      </c>
      <c r="BJ702" s="556">
        <f t="shared" si="73"/>
        <v>0</v>
      </c>
      <c r="BK702" s="556">
        <f t="shared" si="74"/>
        <v>0</v>
      </c>
      <c r="BL702" s="556" t="str">
        <f t="shared" si="75"/>
        <v/>
      </c>
      <c r="BM702" s="497">
        <f t="shared" si="76"/>
        <v>0</v>
      </c>
    </row>
    <row r="703" spans="1:65">
      <c r="B703" t="s">
        <v>1170</v>
      </c>
      <c r="C703" t="s">
        <v>1172</v>
      </c>
      <c r="D703" t="s">
        <v>1799</v>
      </c>
      <c r="F703" s="503">
        <v>43512</v>
      </c>
      <c r="H703" t="s">
        <v>2234</v>
      </c>
      <c r="I703" t="s">
        <v>1753</v>
      </c>
      <c r="J703">
        <v>5000</v>
      </c>
      <c r="K703" t="s">
        <v>1756</v>
      </c>
      <c r="W703">
        <v>0</v>
      </c>
      <c r="X703">
        <v>0.24</v>
      </c>
      <c r="Y703">
        <v>0</v>
      </c>
      <c r="Z703">
        <v>0</v>
      </c>
      <c r="AA703">
        <v>0</v>
      </c>
      <c r="AE703" t="s">
        <v>1039</v>
      </c>
      <c r="AI703">
        <v>80</v>
      </c>
      <c r="AJ703">
        <v>1810160</v>
      </c>
      <c r="AK703">
        <v>0</v>
      </c>
      <c r="AN703" t="s">
        <v>136</v>
      </c>
      <c r="AO703">
        <v>1.6</v>
      </c>
      <c r="AV703" s="504">
        <v>46027</v>
      </c>
      <c r="AX703">
        <v>20190216</v>
      </c>
      <c r="AY703" t="s">
        <v>1762</v>
      </c>
      <c r="BG703" s="556" t="str">
        <f t="shared" si="70"/>
        <v>X</v>
      </c>
      <c r="BH703" s="556" t="str">
        <f t="shared" si="71"/>
        <v/>
      </c>
      <c r="BI703" s="556" t="str">
        <f t="shared" si="72"/>
        <v/>
      </c>
      <c r="BJ703" s="556" t="str">
        <f t="shared" si="73"/>
        <v>Z</v>
      </c>
      <c r="BK703" s="556">
        <f t="shared" si="74"/>
        <v>0</v>
      </c>
      <c r="BL703" s="556" t="str">
        <f t="shared" si="75"/>
        <v/>
      </c>
      <c r="BM703" s="497">
        <f t="shared" si="76"/>
        <v>0</v>
      </c>
    </row>
    <row r="704" spans="1:65">
      <c r="A704">
        <v>40224</v>
      </c>
      <c r="B704" t="s">
        <v>2872</v>
      </c>
      <c r="C704" t="s">
        <v>2873</v>
      </c>
      <c r="D704" t="s">
        <v>1771</v>
      </c>
      <c r="F704" s="503">
        <v>45470</v>
      </c>
      <c r="H704" t="s">
        <v>2874</v>
      </c>
      <c r="I704" t="s">
        <v>1753</v>
      </c>
      <c r="J704">
        <v>0</v>
      </c>
      <c r="K704" t="s">
        <v>1675</v>
      </c>
      <c r="O704" t="s">
        <v>1675</v>
      </c>
      <c r="W704">
        <v>0.3</v>
      </c>
      <c r="X704">
        <v>0.3</v>
      </c>
      <c r="Y704">
        <v>0</v>
      </c>
      <c r="Z704">
        <v>0</v>
      </c>
      <c r="AA704">
        <v>2</v>
      </c>
      <c r="AE704" t="s">
        <v>1992</v>
      </c>
      <c r="AI704">
        <v>73</v>
      </c>
      <c r="AJ704">
        <v>1850215</v>
      </c>
      <c r="AK704">
        <v>0</v>
      </c>
      <c r="AL704">
        <v>0</v>
      </c>
      <c r="AN704" t="s">
        <v>1703</v>
      </c>
      <c r="AO704">
        <v>2.15</v>
      </c>
      <c r="AT704" t="s">
        <v>3224</v>
      </c>
      <c r="AX704">
        <v>20240627</v>
      </c>
      <c r="AY704" t="s">
        <v>1978</v>
      </c>
      <c r="BG704" s="556" t="str">
        <f t="shared" si="70"/>
        <v>O</v>
      </c>
      <c r="BH704" s="556" t="str">
        <f t="shared" si="71"/>
        <v/>
      </c>
      <c r="BI704" s="556" t="str">
        <f t="shared" si="72"/>
        <v/>
      </c>
      <c r="BJ704" s="556" t="str">
        <f t="shared" si="73"/>
        <v>M3</v>
      </c>
      <c r="BK704" s="556" t="str">
        <f t="shared" si="74"/>
        <v>M3</v>
      </c>
      <c r="BL704" s="556" t="str">
        <f t="shared" si="75"/>
        <v/>
      </c>
      <c r="BM704" s="497">
        <f t="shared" si="76"/>
        <v>40224</v>
      </c>
    </row>
    <row r="705" spans="1:65">
      <c r="A705">
        <v>55502</v>
      </c>
      <c r="B705" t="s">
        <v>2633</v>
      </c>
      <c r="C705" t="s">
        <v>2419</v>
      </c>
      <c r="D705" t="s">
        <v>2396</v>
      </c>
      <c r="F705" s="503">
        <v>45010</v>
      </c>
      <c r="H705" t="s">
        <v>2420</v>
      </c>
      <c r="I705" t="s">
        <v>1753</v>
      </c>
      <c r="J705">
        <v>2000</v>
      </c>
      <c r="K705" t="s">
        <v>1068</v>
      </c>
      <c r="O705" t="s">
        <v>1068</v>
      </c>
      <c r="W705">
        <v>0.8</v>
      </c>
      <c r="X705">
        <v>0.8</v>
      </c>
      <c r="Y705">
        <v>0</v>
      </c>
      <c r="Z705">
        <v>0</v>
      </c>
      <c r="AA705">
        <v>0</v>
      </c>
      <c r="AE705" t="s">
        <v>1039</v>
      </c>
      <c r="AI705">
        <v>57</v>
      </c>
      <c r="AJ705" t="s">
        <v>2657</v>
      </c>
      <c r="AK705">
        <v>0</v>
      </c>
      <c r="AN705" t="s">
        <v>2631</v>
      </c>
      <c r="AO705">
        <v>2.15</v>
      </c>
      <c r="AX705">
        <v>20230325</v>
      </c>
      <c r="AY705" t="s">
        <v>1780</v>
      </c>
      <c r="BG705" s="556" t="str">
        <f t="shared" si="70"/>
        <v>O</v>
      </c>
      <c r="BH705" s="556" t="str">
        <f t="shared" si="71"/>
        <v/>
      </c>
      <c r="BI705" s="556" t="str">
        <f t="shared" si="72"/>
        <v/>
      </c>
      <c r="BJ705" s="556" t="str">
        <f t="shared" si="73"/>
        <v>M4</v>
      </c>
      <c r="BK705" s="556" t="str">
        <f t="shared" si="74"/>
        <v>M4</v>
      </c>
      <c r="BL705" s="556" t="str">
        <f t="shared" si="75"/>
        <v/>
      </c>
      <c r="BM705" s="497">
        <f t="shared" si="76"/>
        <v>55502</v>
      </c>
    </row>
    <row r="706" spans="1:65">
      <c r="A706">
        <v>21101</v>
      </c>
      <c r="B706" t="s">
        <v>2235</v>
      </c>
      <c r="C706" t="s">
        <v>220</v>
      </c>
      <c r="D706" t="s">
        <v>1937</v>
      </c>
      <c r="F706" s="503">
        <v>44148</v>
      </c>
      <c r="I706" t="s">
        <v>1753</v>
      </c>
      <c r="J706">
        <v>10000</v>
      </c>
      <c r="K706" t="s">
        <v>1675</v>
      </c>
      <c r="O706" t="s">
        <v>1675</v>
      </c>
      <c r="W706">
        <v>0.22</v>
      </c>
      <c r="X706">
        <v>0.26</v>
      </c>
      <c r="Y706">
        <v>0</v>
      </c>
      <c r="Z706">
        <v>0</v>
      </c>
      <c r="AA706">
        <v>0</v>
      </c>
      <c r="AE706" t="s">
        <v>1221</v>
      </c>
      <c r="AI706">
        <v>57</v>
      </c>
      <c r="AJ706">
        <v>1000225</v>
      </c>
      <c r="AK706">
        <v>0</v>
      </c>
      <c r="AL706">
        <v>0</v>
      </c>
      <c r="AN706" t="s">
        <v>133</v>
      </c>
      <c r="AO706">
        <v>2.25</v>
      </c>
      <c r="AX706">
        <v>20201113</v>
      </c>
      <c r="AY706" t="s">
        <v>1780</v>
      </c>
      <c r="BG706" s="556" t="str">
        <f t="shared" si="70"/>
        <v>O</v>
      </c>
      <c r="BH706" s="556" t="str">
        <f t="shared" si="71"/>
        <v/>
      </c>
      <c r="BI706" s="556" t="str">
        <f t="shared" si="72"/>
        <v/>
      </c>
      <c r="BJ706" s="556" t="str">
        <f t="shared" si="73"/>
        <v>M3</v>
      </c>
      <c r="BK706" s="556" t="str">
        <f t="shared" si="74"/>
        <v>M3</v>
      </c>
      <c r="BL706" s="556" t="str">
        <f t="shared" si="75"/>
        <v/>
      </c>
      <c r="BM706" s="497">
        <f t="shared" si="76"/>
        <v>21101</v>
      </c>
    </row>
    <row r="707" spans="1:65">
      <c r="A707">
        <v>50309</v>
      </c>
      <c r="B707" t="s">
        <v>2236</v>
      </c>
      <c r="C707" t="s">
        <v>1193</v>
      </c>
      <c r="D707" t="s">
        <v>1799</v>
      </c>
      <c r="F707" s="503">
        <v>43552</v>
      </c>
      <c r="H707" t="s">
        <v>1194</v>
      </c>
      <c r="I707" t="s">
        <v>1913</v>
      </c>
      <c r="J707">
        <v>5000</v>
      </c>
      <c r="K707">
        <v>9</v>
      </c>
      <c r="O707" t="s">
        <v>1675</v>
      </c>
      <c r="W707">
        <v>0.49</v>
      </c>
      <c r="X707">
        <v>0.47</v>
      </c>
      <c r="Y707">
        <v>0</v>
      </c>
      <c r="Z707">
        <v>0</v>
      </c>
      <c r="AA707">
        <v>201</v>
      </c>
      <c r="AE707" t="s">
        <v>1039</v>
      </c>
      <c r="AI707">
        <v>60</v>
      </c>
      <c r="AJ707">
        <v>1850375</v>
      </c>
      <c r="AK707">
        <v>0</v>
      </c>
      <c r="AN707" t="s">
        <v>1703</v>
      </c>
      <c r="AO707">
        <v>3.75</v>
      </c>
      <c r="AV707" s="504">
        <v>46087</v>
      </c>
      <c r="AX707">
        <v>20190328</v>
      </c>
      <c r="AY707" t="s">
        <v>1754</v>
      </c>
      <c r="BG707" s="556" t="str">
        <f t="shared" ref="BG707:BG770" si="77">IF(LEFT(AY707,2)="98","X","O")</f>
        <v>O</v>
      </c>
      <c r="BH707" s="556" t="str">
        <f t="shared" ref="BH707:BH770" si="78">IF(IFERROR(SEARCH("45",$AY707,1),0)&gt;0,"Y","")</f>
        <v/>
      </c>
      <c r="BI707" s="556" t="str">
        <f t="shared" ref="BI707:BI770" si="79">IF(IFERROR(SEARCH("86",$AY707,1),0)&gt;0,"Y","")</f>
        <v/>
      </c>
      <c r="BJ707" s="556">
        <f t="shared" ref="BJ707:BJ770" si="80">IF(L707="",K707,IF(M707="",K707&amp;","&amp;L707,IF(N707="",K707&amp;","&amp;L707&amp;","&amp;M707,K707&amp;","&amp;L707&amp;","&amp;M707&amp;","&amp;N707)))</f>
        <v>9</v>
      </c>
      <c r="BK707" s="556" t="str">
        <f t="shared" ref="BK707:BK770" si="81">IF(P707="",O707,IF(Q707="",O707&amp;","&amp;P707,IF(R707="",O707&amp;","&amp;P707&amp;","&amp;Q707,IO707&amp;","&amp;P707&amp;","&amp;Q707&amp;","&amp;R707)))</f>
        <v>M3</v>
      </c>
      <c r="BL707" s="556" t="str">
        <f t="shared" ref="BL707:BL770" si="82">IF(S707=0,"",S707)</f>
        <v/>
      </c>
      <c r="BM707" s="497">
        <f t="shared" ref="BM707:BM770" si="83">A707</f>
        <v>50309</v>
      </c>
    </row>
    <row r="708" spans="1:65">
      <c r="A708">
        <v>40025</v>
      </c>
      <c r="B708" t="s">
        <v>1723</v>
      </c>
      <c r="C708" t="s">
        <v>220</v>
      </c>
      <c r="D708" t="s">
        <v>1803</v>
      </c>
      <c r="F708" s="503">
        <v>44709</v>
      </c>
      <c r="H708" t="s">
        <v>2237</v>
      </c>
      <c r="I708" t="s">
        <v>1753</v>
      </c>
      <c r="J708">
        <v>10000</v>
      </c>
      <c r="K708" t="s">
        <v>1675</v>
      </c>
      <c r="O708" t="s">
        <v>1675</v>
      </c>
      <c r="W708">
        <v>0.25</v>
      </c>
      <c r="X708">
        <v>0.3</v>
      </c>
      <c r="Y708">
        <v>0</v>
      </c>
      <c r="Z708">
        <v>0</v>
      </c>
      <c r="AA708">
        <v>0</v>
      </c>
      <c r="AE708" t="s">
        <v>1992</v>
      </c>
      <c r="AI708">
        <v>87</v>
      </c>
      <c r="AJ708">
        <v>1000225</v>
      </c>
      <c r="AK708">
        <v>0</v>
      </c>
      <c r="AL708">
        <v>0</v>
      </c>
      <c r="AN708" t="s">
        <v>133</v>
      </c>
      <c r="AO708">
        <v>2.25</v>
      </c>
      <c r="AU708" t="s">
        <v>3223</v>
      </c>
      <c r="AX708">
        <v>20220528</v>
      </c>
      <c r="AY708" t="s">
        <v>2072</v>
      </c>
      <c r="BG708" s="556" t="str">
        <f t="shared" si="77"/>
        <v>O</v>
      </c>
      <c r="BH708" s="556" t="str">
        <f t="shared" si="78"/>
        <v/>
      </c>
      <c r="BI708" s="556" t="str">
        <f t="shared" si="79"/>
        <v>Y</v>
      </c>
      <c r="BJ708" s="556" t="str">
        <f t="shared" si="80"/>
        <v>M3</v>
      </c>
      <c r="BK708" s="556" t="str">
        <f t="shared" si="81"/>
        <v>M3</v>
      </c>
      <c r="BL708" s="556" t="str">
        <f t="shared" si="82"/>
        <v/>
      </c>
      <c r="BM708" s="497">
        <f t="shared" si="83"/>
        <v>40025</v>
      </c>
    </row>
    <row r="709" spans="1:65">
      <c r="A709">
        <v>52101</v>
      </c>
      <c r="B709" t="s">
        <v>1051</v>
      </c>
      <c r="C709" t="s">
        <v>324</v>
      </c>
      <c r="D709" t="s">
        <v>1796</v>
      </c>
      <c r="F709" s="503">
        <v>43774</v>
      </c>
      <c r="H709" t="s">
        <v>1053</v>
      </c>
      <c r="I709" t="s">
        <v>1753</v>
      </c>
      <c r="J709">
        <v>0</v>
      </c>
      <c r="K709" t="s">
        <v>1756</v>
      </c>
      <c r="W709">
        <v>0</v>
      </c>
      <c r="X709">
        <v>0.43</v>
      </c>
      <c r="Y709">
        <v>0</v>
      </c>
      <c r="Z709">
        <v>0</v>
      </c>
      <c r="AA709">
        <v>0</v>
      </c>
      <c r="AE709" t="s">
        <v>1221</v>
      </c>
      <c r="AI709">
        <v>80</v>
      </c>
      <c r="AJ709" t="s">
        <v>2064</v>
      </c>
      <c r="AK709">
        <v>0</v>
      </c>
      <c r="AL709">
        <v>0</v>
      </c>
      <c r="AN709" t="s">
        <v>133</v>
      </c>
      <c r="AO709">
        <v>0</v>
      </c>
      <c r="AX709">
        <v>20191105</v>
      </c>
      <c r="AY709" t="s">
        <v>1762</v>
      </c>
      <c r="BG709" s="556" t="str">
        <f t="shared" si="77"/>
        <v>X</v>
      </c>
      <c r="BH709" s="556" t="str">
        <f t="shared" si="78"/>
        <v/>
      </c>
      <c r="BI709" s="556" t="str">
        <f t="shared" si="79"/>
        <v/>
      </c>
      <c r="BJ709" s="556" t="str">
        <f t="shared" si="80"/>
        <v>Z</v>
      </c>
      <c r="BK709" s="556">
        <f t="shared" si="81"/>
        <v>0</v>
      </c>
      <c r="BL709" s="556" t="str">
        <f t="shared" si="82"/>
        <v/>
      </c>
      <c r="BM709" s="497">
        <f t="shared" si="83"/>
        <v>52101</v>
      </c>
    </row>
    <row r="710" spans="1:65">
      <c r="A710">
        <v>40218</v>
      </c>
      <c r="B710" t="s">
        <v>2739</v>
      </c>
      <c r="C710" t="s">
        <v>167</v>
      </c>
      <c r="D710" t="s">
        <v>1771</v>
      </c>
      <c r="F710" s="503">
        <v>45359</v>
      </c>
      <c r="H710" t="s">
        <v>1053</v>
      </c>
      <c r="I710" t="s">
        <v>1753</v>
      </c>
      <c r="J710">
        <v>10000</v>
      </c>
      <c r="K710" t="s">
        <v>1675</v>
      </c>
      <c r="O710" t="s">
        <v>1675</v>
      </c>
      <c r="W710">
        <v>0.28000000000000003</v>
      </c>
      <c r="X710">
        <v>0.28000000000000003</v>
      </c>
      <c r="Y710">
        <v>0</v>
      </c>
      <c r="Z710">
        <v>0</v>
      </c>
      <c r="AA710">
        <v>2</v>
      </c>
      <c r="AE710" t="s">
        <v>1039</v>
      </c>
      <c r="AI710">
        <v>60</v>
      </c>
      <c r="AJ710">
        <v>1850218</v>
      </c>
      <c r="AK710">
        <v>0</v>
      </c>
      <c r="AL710">
        <v>0</v>
      </c>
      <c r="AN710" t="s">
        <v>1703</v>
      </c>
      <c r="AO710">
        <v>2.1800000000000002</v>
      </c>
      <c r="AX710">
        <v>20240308</v>
      </c>
      <c r="AY710" t="s">
        <v>1754</v>
      </c>
      <c r="BG710" s="556" t="str">
        <f t="shared" si="77"/>
        <v>O</v>
      </c>
      <c r="BH710" s="556" t="str">
        <f t="shared" si="78"/>
        <v/>
      </c>
      <c r="BI710" s="556" t="str">
        <f t="shared" si="79"/>
        <v/>
      </c>
      <c r="BJ710" s="556" t="str">
        <f t="shared" si="80"/>
        <v>M3</v>
      </c>
      <c r="BK710" s="556" t="str">
        <f t="shared" si="81"/>
        <v>M3</v>
      </c>
      <c r="BL710" s="556" t="str">
        <f t="shared" si="82"/>
        <v/>
      </c>
      <c r="BM710" s="497">
        <f t="shared" si="83"/>
        <v>40218</v>
      </c>
    </row>
    <row r="711" spans="1:65">
      <c r="A711">
        <v>20091</v>
      </c>
      <c r="B711" t="s">
        <v>2785</v>
      </c>
      <c r="C711" t="s">
        <v>113</v>
      </c>
      <c r="D711" t="s">
        <v>1774</v>
      </c>
      <c r="F711" s="503">
        <v>45406</v>
      </c>
      <c r="H711" t="s">
        <v>2792</v>
      </c>
      <c r="I711" t="s">
        <v>1753</v>
      </c>
      <c r="J711">
        <v>5000</v>
      </c>
      <c r="K711" t="s">
        <v>1675</v>
      </c>
      <c r="O711" t="s">
        <v>1675</v>
      </c>
      <c r="W711">
        <v>0.39</v>
      </c>
      <c r="X711">
        <v>0.43</v>
      </c>
      <c r="Y711">
        <v>0</v>
      </c>
      <c r="Z711">
        <v>0</v>
      </c>
      <c r="AA711">
        <v>0</v>
      </c>
      <c r="AE711" t="s">
        <v>1992</v>
      </c>
      <c r="AI711">
        <v>89</v>
      </c>
      <c r="AJ711">
        <v>1850225</v>
      </c>
      <c r="AK711">
        <v>0</v>
      </c>
      <c r="AL711">
        <v>0</v>
      </c>
      <c r="AN711" t="s">
        <v>1703</v>
      </c>
      <c r="AO711">
        <v>2.25</v>
      </c>
      <c r="AU711" t="s">
        <v>3223</v>
      </c>
      <c r="AX711">
        <v>20240424</v>
      </c>
      <c r="AY711" t="s">
        <v>2195</v>
      </c>
      <c r="AZ711" t="s">
        <v>2790</v>
      </c>
      <c r="BG711" s="556" t="str">
        <f t="shared" si="77"/>
        <v>O</v>
      </c>
      <c r="BH711" s="556" t="str">
        <f t="shared" si="78"/>
        <v>Y</v>
      </c>
      <c r="BI711" s="556" t="str">
        <f t="shared" si="79"/>
        <v>Y</v>
      </c>
      <c r="BJ711" s="556" t="str">
        <f t="shared" si="80"/>
        <v>M3</v>
      </c>
      <c r="BK711" s="556" t="str">
        <f t="shared" si="81"/>
        <v>M3</v>
      </c>
      <c r="BL711" s="556" t="str">
        <f t="shared" si="82"/>
        <v/>
      </c>
      <c r="BM711" s="497">
        <f t="shared" si="83"/>
        <v>20091</v>
      </c>
    </row>
    <row r="712" spans="1:65">
      <c r="A712">
        <v>99015</v>
      </c>
      <c r="B712" t="s">
        <v>3207</v>
      </c>
      <c r="C712" t="s">
        <v>167</v>
      </c>
      <c r="D712" t="s">
        <v>358</v>
      </c>
      <c r="F712" s="503">
        <v>45910</v>
      </c>
      <c r="H712" t="s">
        <v>3210</v>
      </c>
      <c r="I712" t="s">
        <v>1753</v>
      </c>
      <c r="J712">
        <v>10000</v>
      </c>
      <c r="K712" t="s">
        <v>1675</v>
      </c>
      <c r="O712" t="s">
        <v>1675</v>
      </c>
      <c r="W712">
        <v>0.32</v>
      </c>
      <c r="X712">
        <v>0.34</v>
      </c>
      <c r="Y712">
        <v>0</v>
      </c>
      <c r="Z712">
        <v>0</v>
      </c>
      <c r="AA712">
        <v>1</v>
      </c>
      <c r="AE712" t="s">
        <v>3211</v>
      </c>
      <c r="AI712">
        <v>60</v>
      </c>
      <c r="AJ712">
        <v>1000218</v>
      </c>
      <c r="AK712">
        <v>0</v>
      </c>
      <c r="AN712" t="s">
        <v>133</v>
      </c>
      <c r="AO712">
        <v>2.1800000000000002</v>
      </c>
      <c r="AX712">
        <v>20250910</v>
      </c>
      <c r="AY712" t="s">
        <v>1754</v>
      </c>
      <c r="BG712" s="556" t="str">
        <f t="shared" si="77"/>
        <v>O</v>
      </c>
      <c r="BH712" s="556" t="str">
        <f t="shared" si="78"/>
        <v/>
      </c>
      <c r="BI712" s="556" t="str">
        <f t="shared" si="79"/>
        <v/>
      </c>
      <c r="BJ712" s="556" t="str">
        <f t="shared" si="80"/>
        <v>M3</v>
      </c>
      <c r="BK712" s="556" t="str">
        <f t="shared" si="81"/>
        <v>M3</v>
      </c>
      <c r="BL712" s="556" t="str">
        <f t="shared" si="82"/>
        <v/>
      </c>
      <c r="BM712" s="497">
        <f t="shared" si="83"/>
        <v>99015</v>
      </c>
    </row>
    <row r="713" spans="1:65">
      <c r="A713">
        <v>45010</v>
      </c>
      <c r="B713" t="s">
        <v>3309</v>
      </c>
      <c r="C713" t="s">
        <v>201</v>
      </c>
      <c r="D713" t="s">
        <v>3305</v>
      </c>
      <c r="F713" s="503">
        <v>45990</v>
      </c>
      <c r="H713" t="s">
        <v>3310</v>
      </c>
      <c r="I713" t="s">
        <v>1753</v>
      </c>
      <c r="J713">
        <v>5000</v>
      </c>
      <c r="K713" t="s">
        <v>1675</v>
      </c>
      <c r="O713" t="s">
        <v>1675</v>
      </c>
      <c r="W713">
        <v>0.56000000000000005</v>
      </c>
      <c r="X713">
        <v>0.56000000000000005</v>
      </c>
      <c r="Y713">
        <v>0</v>
      </c>
      <c r="Z713">
        <v>0</v>
      </c>
      <c r="AA713">
        <v>2</v>
      </c>
      <c r="AE713" t="s">
        <v>1773</v>
      </c>
      <c r="AI713">
        <v>60</v>
      </c>
      <c r="AJ713">
        <v>1850212</v>
      </c>
      <c r="AK713">
        <v>0</v>
      </c>
      <c r="AN713" t="s">
        <v>1703</v>
      </c>
      <c r="AO713">
        <v>2.12</v>
      </c>
      <c r="AX713">
        <v>20251129</v>
      </c>
      <c r="AY713" t="s">
        <v>1754</v>
      </c>
      <c r="BG713" s="556" t="str">
        <f t="shared" si="77"/>
        <v>O</v>
      </c>
      <c r="BH713" s="556" t="str">
        <f t="shared" si="78"/>
        <v/>
      </c>
      <c r="BI713" s="556" t="str">
        <f t="shared" si="79"/>
        <v/>
      </c>
      <c r="BJ713" s="556" t="str">
        <f t="shared" si="80"/>
        <v>M3</v>
      </c>
      <c r="BK713" s="556" t="str">
        <f t="shared" si="81"/>
        <v>M3</v>
      </c>
      <c r="BL713" s="556" t="str">
        <f t="shared" si="82"/>
        <v/>
      </c>
      <c r="BM713" s="497">
        <f t="shared" si="83"/>
        <v>45010</v>
      </c>
    </row>
    <row r="714" spans="1:65">
      <c r="A714">
        <v>99016</v>
      </c>
      <c r="B714" t="s">
        <v>2758</v>
      </c>
      <c r="C714" t="s">
        <v>2759</v>
      </c>
      <c r="D714" t="s">
        <v>358</v>
      </c>
      <c r="F714" s="503">
        <v>45366</v>
      </c>
      <c r="H714" t="s">
        <v>2760</v>
      </c>
      <c r="I714" t="s">
        <v>1753</v>
      </c>
      <c r="J714">
        <v>0</v>
      </c>
      <c r="K714" t="s">
        <v>2761</v>
      </c>
      <c r="O714" t="s">
        <v>1675</v>
      </c>
      <c r="W714">
        <v>0.75</v>
      </c>
      <c r="X714">
        <v>0.75</v>
      </c>
      <c r="Y714">
        <v>0</v>
      </c>
      <c r="Z714">
        <v>0</v>
      </c>
      <c r="AA714">
        <v>1</v>
      </c>
      <c r="AE714" t="s">
        <v>3192</v>
      </c>
      <c r="AI714">
        <v>92</v>
      </c>
      <c r="AJ714">
        <v>1000225</v>
      </c>
      <c r="AK714">
        <v>0</v>
      </c>
      <c r="AL714">
        <v>0</v>
      </c>
      <c r="AN714" t="s">
        <v>133</v>
      </c>
      <c r="AO714">
        <v>2.25</v>
      </c>
      <c r="AU714" t="s">
        <v>3225</v>
      </c>
      <c r="AX714">
        <v>20240315</v>
      </c>
      <c r="AY714" t="s">
        <v>2085</v>
      </c>
      <c r="BG714" s="556" t="str">
        <f t="shared" si="77"/>
        <v>O</v>
      </c>
      <c r="BH714" s="556" t="str">
        <f t="shared" si="78"/>
        <v/>
      </c>
      <c r="BI714" s="556" t="str">
        <f t="shared" si="79"/>
        <v>Y</v>
      </c>
      <c r="BJ714" s="556" t="str">
        <f t="shared" si="80"/>
        <v>4S</v>
      </c>
      <c r="BK714" s="556" t="str">
        <f t="shared" si="81"/>
        <v>M3</v>
      </c>
      <c r="BL714" s="556" t="str">
        <f t="shared" si="82"/>
        <v/>
      </c>
      <c r="BM714" s="497">
        <f t="shared" si="83"/>
        <v>99016</v>
      </c>
    </row>
    <row r="715" spans="1:65">
      <c r="A715">
        <v>55008</v>
      </c>
      <c r="B715" t="s">
        <v>2368</v>
      </c>
      <c r="C715" t="s">
        <v>2383</v>
      </c>
      <c r="D715" t="s">
        <v>2375</v>
      </c>
      <c r="F715" s="503">
        <v>44998</v>
      </c>
      <c r="H715" t="s">
        <v>2384</v>
      </c>
      <c r="I715" t="s">
        <v>1753</v>
      </c>
      <c r="J715">
        <v>10000</v>
      </c>
      <c r="K715" t="s">
        <v>1675</v>
      </c>
      <c r="O715" t="s">
        <v>1675</v>
      </c>
      <c r="W715">
        <v>0.39</v>
      </c>
      <c r="X715">
        <v>0.36</v>
      </c>
      <c r="Y715">
        <v>0</v>
      </c>
      <c r="Z715">
        <v>0</v>
      </c>
      <c r="AA715">
        <v>2</v>
      </c>
      <c r="AE715" t="s">
        <v>2698</v>
      </c>
      <c r="AI715">
        <v>60</v>
      </c>
      <c r="AJ715">
        <v>1850212</v>
      </c>
      <c r="AK715">
        <v>0</v>
      </c>
      <c r="AL715">
        <v>0</v>
      </c>
      <c r="AN715" t="s">
        <v>1703</v>
      </c>
      <c r="AO715">
        <v>2.12</v>
      </c>
      <c r="AX715">
        <v>20230313</v>
      </c>
      <c r="AY715" t="s">
        <v>1754</v>
      </c>
      <c r="BG715" s="556" t="str">
        <f t="shared" si="77"/>
        <v>O</v>
      </c>
      <c r="BH715" s="556" t="str">
        <f t="shared" si="78"/>
        <v/>
      </c>
      <c r="BI715" s="556" t="str">
        <f t="shared" si="79"/>
        <v/>
      </c>
      <c r="BJ715" s="556" t="str">
        <f t="shared" si="80"/>
        <v>M3</v>
      </c>
      <c r="BK715" s="556" t="str">
        <f t="shared" si="81"/>
        <v>M3</v>
      </c>
      <c r="BL715" s="556" t="str">
        <f t="shared" si="82"/>
        <v/>
      </c>
      <c r="BM715" s="497">
        <f t="shared" si="83"/>
        <v>55008</v>
      </c>
    </row>
    <row r="716" spans="1:65">
      <c r="B716" t="s">
        <v>2238</v>
      </c>
      <c r="C716" t="s">
        <v>1056</v>
      </c>
      <c r="D716" t="s">
        <v>1796</v>
      </c>
      <c r="F716" s="503">
        <v>44091</v>
      </c>
      <c r="H716" t="s">
        <v>2239</v>
      </c>
      <c r="I716" t="s">
        <v>1753</v>
      </c>
      <c r="J716">
        <v>0</v>
      </c>
      <c r="K716" t="s">
        <v>1756</v>
      </c>
      <c r="W716">
        <v>0</v>
      </c>
      <c r="X716">
        <v>0.28999999999999998</v>
      </c>
      <c r="Y716">
        <v>0</v>
      </c>
      <c r="Z716">
        <v>0</v>
      </c>
      <c r="AA716">
        <v>0</v>
      </c>
      <c r="AE716">
        <v>0</v>
      </c>
      <c r="AI716">
        <v>78</v>
      </c>
      <c r="AJ716" t="s">
        <v>1878</v>
      </c>
      <c r="AK716">
        <v>0</v>
      </c>
      <c r="AN716" t="s">
        <v>1098</v>
      </c>
      <c r="AO716" t="s">
        <v>1879</v>
      </c>
      <c r="AX716">
        <v>20200917</v>
      </c>
      <c r="AY716" t="s">
        <v>2080</v>
      </c>
      <c r="BG716" s="556" t="str">
        <f t="shared" si="77"/>
        <v>X</v>
      </c>
      <c r="BH716" s="556" t="str">
        <f t="shared" si="78"/>
        <v>Y</v>
      </c>
      <c r="BI716" s="556" t="str">
        <f t="shared" si="79"/>
        <v/>
      </c>
      <c r="BJ716" s="556" t="str">
        <f t="shared" si="80"/>
        <v>Z</v>
      </c>
      <c r="BK716" s="556">
        <f t="shared" si="81"/>
        <v>0</v>
      </c>
      <c r="BL716" s="556" t="str">
        <f t="shared" si="82"/>
        <v/>
      </c>
      <c r="BM716" s="497">
        <f t="shared" si="83"/>
        <v>0</v>
      </c>
    </row>
    <row r="717" spans="1:65">
      <c r="A717">
        <v>55023</v>
      </c>
      <c r="B717" t="s">
        <v>2897</v>
      </c>
      <c r="C717" t="s">
        <v>77</v>
      </c>
      <c r="D717" t="s">
        <v>2375</v>
      </c>
      <c r="F717" s="503">
        <v>45483</v>
      </c>
      <c r="H717" t="s">
        <v>2898</v>
      </c>
      <c r="I717" t="s">
        <v>1753</v>
      </c>
      <c r="J717">
        <v>4000</v>
      </c>
      <c r="K717" t="s">
        <v>1068</v>
      </c>
      <c r="O717" t="s">
        <v>1675</v>
      </c>
      <c r="W717">
        <v>0.85</v>
      </c>
      <c r="X717">
        <v>0.87</v>
      </c>
      <c r="Y717">
        <v>0</v>
      </c>
      <c r="Z717">
        <v>0</v>
      </c>
      <c r="AA717">
        <v>2</v>
      </c>
      <c r="AE717" t="s">
        <v>1039</v>
      </c>
      <c r="AI717">
        <v>60</v>
      </c>
      <c r="AJ717">
        <v>1850230</v>
      </c>
      <c r="AK717">
        <v>0</v>
      </c>
      <c r="AL717">
        <v>0</v>
      </c>
      <c r="AN717" t="s">
        <v>1703</v>
      </c>
      <c r="AO717">
        <v>2.2999999999999998</v>
      </c>
      <c r="AX717">
        <v>20240710</v>
      </c>
      <c r="AY717" t="s">
        <v>1754</v>
      </c>
      <c r="BG717" s="556" t="str">
        <f t="shared" si="77"/>
        <v>O</v>
      </c>
      <c r="BH717" s="556" t="str">
        <f t="shared" si="78"/>
        <v/>
      </c>
      <c r="BI717" s="556" t="str">
        <f t="shared" si="79"/>
        <v/>
      </c>
      <c r="BJ717" s="556" t="str">
        <f t="shared" si="80"/>
        <v>M4</v>
      </c>
      <c r="BK717" s="556" t="str">
        <f t="shared" si="81"/>
        <v>M3</v>
      </c>
      <c r="BL717" s="556" t="str">
        <f t="shared" si="82"/>
        <v/>
      </c>
      <c r="BM717" s="497">
        <f t="shared" si="83"/>
        <v>55023</v>
      </c>
    </row>
    <row r="718" spans="1:65">
      <c r="B718" t="s">
        <v>1151</v>
      </c>
      <c r="C718" t="s">
        <v>2240</v>
      </c>
      <c r="D718" t="s">
        <v>1774</v>
      </c>
      <c r="F718" s="503">
        <v>42748</v>
      </c>
      <c r="H718" t="s">
        <v>1154</v>
      </c>
      <c r="I718" t="s">
        <v>1753</v>
      </c>
      <c r="J718">
        <v>2000</v>
      </c>
      <c r="K718" t="s">
        <v>1756</v>
      </c>
      <c r="W718">
        <v>0</v>
      </c>
      <c r="X718">
        <v>0.98</v>
      </c>
      <c r="Y718">
        <v>0</v>
      </c>
      <c r="Z718">
        <v>0</v>
      </c>
      <c r="AA718">
        <v>0</v>
      </c>
      <c r="AE718" t="s">
        <v>1761</v>
      </c>
      <c r="AI718">
        <v>80</v>
      </c>
      <c r="AJ718" t="s">
        <v>2241</v>
      </c>
      <c r="AK718">
        <v>0</v>
      </c>
      <c r="AL718">
        <v>0</v>
      </c>
      <c r="AN718" t="s">
        <v>2242</v>
      </c>
      <c r="AO718">
        <v>0</v>
      </c>
      <c r="AX718">
        <v>20170113</v>
      </c>
      <c r="AY718" t="s">
        <v>1762</v>
      </c>
      <c r="BG718" s="556" t="str">
        <f t="shared" si="77"/>
        <v>X</v>
      </c>
      <c r="BH718" s="556" t="str">
        <f t="shared" si="78"/>
        <v/>
      </c>
      <c r="BI718" s="556" t="str">
        <f t="shared" si="79"/>
        <v/>
      </c>
      <c r="BJ718" s="556" t="str">
        <f t="shared" si="80"/>
        <v>Z</v>
      </c>
      <c r="BK718" s="556">
        <f t="shared" si="81"/>
        <v>0</v>
      </c>
      <c r="BL718" s="556" t="str">
        <f t="shared" si="82"/>
        <v/>
      </c>
      <c r="BM718" s="497">
        <f t="shared" si="83"/>
        <v>0</v>
      </c>
    </row>
    <row r="719" spans="1:65">
      <c r="A719">
        <v>52905</v>
      </c>
      <c r="B719" t="s">
        <v>2243</v>
      </c>
      <c r="C719" t="s">
        <v>2244</v>
      </c>
      <c r="D719" t="s">
        <v>1858</v>
      </c>
      <c r="F719" s="503">
        <v>44305</v>
      </c>
      <c r="H719" t="s">
        <v>2245</v>
      </c>
      <c r="I719" t="s">
        <v>1753</v>
      </c>
      <c r="J719">
        <v>0</v>
      </c>
      <c r="K719" t="s">
        <v>1675</v>
      </c>
      <c r="W719">
        <v>0.72</v>
      </c>
      <c r="X719">
        <v>0.75</v>
      </c>
      <c r="Y719">
        <v>0</v>
      </c>
      <c r="Z719">
        <v>0</v>
      </c>
      <c r="AA719">
        <v>0</v>
      </c>
      <c r="AE719" t="s">
        <v>1756</v>
      </c>
      <c r="AI719">
        <v>85</v>
      </c>
      <c r="AJ719">
        <v>1000300</v>
      </c>
      <c r="AK719">
        <v>0</v>
      </c>
      <c r="AN719" t="s">
        <v>133</v>
      </c>
      <c r="AO719">
        <v>3</v>
      </c>
      <c r="AX719">
        <v>20210419</v>
      </c>
      <c r="AY719" t="s">
        <v>1828</v>
      </c>
      <c r="BG719" s="556" t="str">
        <f t="shared" si="77"/>
        <v>O</v>
      </c>
      <c r="BH719" s="556" t="str">
        <f t="shared" si="78"/>
        <v/>
      </c>
      <c r="BI719" s="556" t="str">
        <f t="shared" si="79"/>
        <v/>
      </c>
      <c r="BJ719" s="556" t="str">
        <f t="shared" si="80"/>
        <v>M3</v>
      </c>
      <c r="BK719" s="556">
        <f t="shared" si="81"/>
        <v>0</v>
      </c>
      <c r="BL719" s="556" t="str">
        <f t="shared" si="82"/>
        <v/>
      </c>
      <c r="BM719" s="497">
        <f t="shared" si="83"/>
        <v>52905</v>
      </c>
    </row>
    <row r="720" spans="1:65">
      <c r="A720">
        <v>52503</v>
      </c>
      <c r="B720" t="s">
        <v>1247</v>
      </c>
      <c r="C720" t="s">
        <v>1249</v>
      </c>
      <c r="D720" t="s">
        <v>2047</v>
      </c>
      <c r="F720" s="503">
        <v>43939</v>
      </c>
      <c r="H720" t="s">
        <v>1250</v>
      </c>
      <c r="I720" t="s">
        <v>1753</v>
      </c>
      <c r="J720">
        <v>5000</v>
      </c>
      <c r="K720" t="s">
        <v>1675</v>
      </c>
      <c r="O720" t="s">
        <v>1675</v>
      </c>
      <c r="W720">
        <v>0.68</v>
      </c>
      <c r="X720">
        <v>0.7</v>
      </c>
      <c r="Y720">
        <v>0</v>
      </c>
      <c r="Z720">
        <v>0</v>
      </c>
      <c r="AA720">
        <v>0</v>
      </c>
      <c r="AE720" t="s">
        <v>1761</v>
      </c>
      <c r="AI720">
        <v>57</v>
      </c>
      <c r="AJ720">
        <v>3330295</v>
      </c>
      <c r="AK720">
        <v>0</v>
      </c>
      <c r="AN720" t="s">
        <v>1865</v>
      </c>
      <c r="AO720">
        <v>2.95</v>
      </c>
      <c r="AX720">
        <v>20200418</v>
      </c>
      <c r="AY720" t="s">
        <v>1780</v>
      </c>
      <c r="BG720" s="556" t="str">
        <f t="shared" si="77"/>
        <v>O</v>
      </c>
      <c r="BH720" s="556" t="str">
        <f t="shared" si="78"/>
        <v/>
      </c>
      <c r="BI720" s="556" t="str">
        <f t="shared" si="79"/>
        <v/>
      </c>
      <c r="BJ720" s="556" t="str">
        <f t="shared" si="80"/>
        <v>M3</v>
      </c>
      <c r="BK720" s="556" t="str">
        <f t="shared" si="81"/>
        <v>M3</v>
      </c>
      <c r="BL720" s="556" t="str">
        <f t="shared" si="82"/>
        <v/>
      </c>
      <c r="BM720" s="497">
        <f t="shared" si="83"/>
        <v>52503</v>
      </c>
    </row>
    <row r="721" spans="1:65">
      <c r="A721">
        <v>45007</v>
      </c>
      <c r="B721" t="s">
        <v>3266</v>
      </c>
      <c r="C721" t="s">
        <v>3281</v>
      </c>
      <c r="D721" t="s">
        <v>3279</v>
      </c>
      <c r="F721" s="503">
        <v>45966</v>
      </c>
      <c r="H721" t="s">
        <v>3267</v>
      </c>
      <c r="I721" t="s">
        <v>1753</v>
      </c>
      <c r="J721">
        <v>0</v>
      </c>
      <c r="K721" t="s">
        <v>1068</v>
      </c>
      <c r="O721" t="s">
        <v>1068</v>
      </c>
      <c r="W721">
        <v>1.4</v>
      </c>
      <c r="X721">
        <v>1.4</v>
      </c>
      <c r="Y721">
        <v>0</v>
      </c>
      <c r="Z721">
        <v>0</v>
      </c>
      <c r="AA721">
        <v>0</v>
      </c>
      <c r="AE721" t="s">
        <v>3474</v>
      </c>
      <c r="AI721">
        <v>57</v>
      </c>
      <c r="AJ721">
        <v>800302</v>
      </c>
      <c r="AK721">
        <v>0</v>
      </c>
      <c r="AL721">
        <v>0</v>
      </c>
      <c r="AN721" t="s">
        <v>3285</v>
      </c>
      <c r="AO721">
        <v>3.02</v>
      </c>
      <c r="AX721">
        <v>20251105</v>
      </c>
      <c r="AY721" t="s">
        <v>1780</v>
      </c>
      <c r="BG721" s="556" t="str">
        <f t="shared" si="77"/>
        <v>O</v>
      </c>
      <c r="BH721" s="556" t="str">
        <f t="shared" si="78"/>
        <v/>
      </c>
      <c r="BI721" s="556" t="str">
        <f t="shared" si="79"/>
        <v/>
      </c>
      <c r="BJ721" s="556" t="str">
        <f t="shared" si="80"/>
        <v>M4</v>
      </c>
      <c r="BK721" s="556" t="str">
        <f t="shared" si="81"/>
        <v>M4</v>
      </c>
      <c r="BL721" s="556" t="str">
        <f t="shared" si="82"/>
        <v/>
      </c>
      <c r="BM721" s="497">
        <f t="shared" si="83"/>
        <v>45007</v>
      </c>
    </row>
    <row r="722" spans="1:65">
      <c r="A722">
        <v>54009</v>
      </c>
      <c r="B722" t="s">
        <v>2246</v>
      </c>
      <c r="C722" t="s">
        <v>2247</v>
      </c>
      <c r="D722" t="s">
        <v>1807</v>
      </c>
      <c r="F722" s="503">
        <v>44792</v>
      </c>
      <c r="H722" t="s">
        <v>2248</v>
      </c>
      <c r="I722" t="s">
        <v>1753</v>
      </c>
      <c r="J722">
        <v>5000</v>
      </c>
      <c r="K722" t="s">
        <v>1068</v>
      </c>
      <c r="O722" t="s">
        <v>1675</v>
      </c>
      <c r="W722">
        <v>0.52</v>
      </c>
      <c r="X722">
        <v>0.52</v>
      </c>
      <c r="Y722">
        <v>0</v>
      </c>
      <c r="Z722">
        <v>0</v>
      </c>
      <c r="AA722">
        <v>3</v>
      </c>
      <c r="AE722" t="s">
        <v>1773</v>
      </c>
      <c r="AI722">
        <v>60</v>
      </c>
      <c r="AJ722">
        <v>4350253</v>
      </c>
      <c r="AK722">
        <v>0</v>
      </c>
      <c r="AN722" t="s">
        <v>184</v>
      </c>
      <c r="AO722">
        <v>2.5299999999999998</v>
      </c>
      <c r="AX722">
        <v>20220819</v>
      </c>
      <c r="AY722" t="s">
        <v>1754</v>
      </c>
      <c r="BG722" s="556" t="str">
        <f t="shared" si="77"/>
        <v>O</v>
      </c>
      <c r="BH722" s="556" t="str">
        <f t="shared" si="78"/>
        <v/>
      </c>
      <c r="BI722" s="556" t="str">
        <f t="shared" si="79"/>
        <v/>
      </c>
      <c r="BJ722" s="556" t="str">
        <f t="shared" si="80"/>
        <v>M4</v>
      </c>
      <c r="BK722" s="556" t="str">
        <f t="shared" si="81"/>
        <v>M3</v>
      </c>
      <c r="BL722" s="556" t="str">
        <f t="shared" si="82"/>
        <v/>
      </c>
      <c r="BM722" s="497">
        <f t="shared" si="83"/>
        <v>54009</v>
      </c>
    </row>
    <row r="723" spans="1:65">
      <c r="A723">
        <v>40021</v>
      </c>
      <c r="B723" t="s">
        <v>2249</v>
      </c>
      <c r="C723" t="s">
        <v>2250</v>
      </c>
      <c r="D723" t="s">
        <v>1803</v>
      </c>
      <c r="F723" s="503">
        <v>44180</v>
      </c>
      <c r="H723" t="s">
        <v>2251</v>
      </c>
      <c r="I723" t="s">
        <v>1753</v>
      </c>
      <c r="J723">
        <v>0</v>
      </c>
      <c r="K723" t="s">
        <v>1675</v>
      </c>
      <c r="O723" t="s">
        <v>1675</v>
      </c>
      <c r="W723">
        <v>0.83</v>
      </c>
      <c r="X723">
        <v>0.82</v>
      </c>
      <c r="Y723">
        <v>0</v>
      </c>
      <c r="Z723">
        <v>0</v>
      </c>
      <c r="AA723">
        <v>2</v>
      </c>
      <c r="AE723" t="s">
        <v>1773</v>
      </c>
      <c r="AI723">
        <v>60</v>
      </c>
      <c r="AJ723">
        <v>1810287</v>
      </c>
      <c r="AK723">
        <v>0</v>
      </c>
      <c r="AL723">
        <v>0</v>
      </c>
      <c r="AN723" t="s">
        <v>136</v>
      </c>
      <c r="AO723">
        <v>2.87</v>
      </c>
      <c r="AX723">
        <v>20201215</v>
      </c>
      <c r="AY723" t="s">
        <v>1754</v>
      </c>
      <c r="BG723" s="556" t="str">
        <f t="shared" si="77"/>
        <v>O</v>
      </c>
      <c r="BH723" s="556" t="str">
        <f t="shared" si="78"/>
        <v/>
      </c>
      <c r="BI723" s="556" t="str">
        <f t="shared" si="79"/>
        <v/>
      </c>
      <c r="BJ723" s="556" t="str">
        <f t="shared" si="80"/>
        <v>M3</v>
      </c>
      <c r="BK723" s="556" t="str">
        <f t="shared" si="81"/>
        <v>M3</v>
      </c>
      <c r="BL723" s="556" t="str">
        <f t="shared" si="82"/>
        <v/>
      </c>
      <c r="BM723" s="497">
        <f t="shared" si="83"/>
        <v>40021</v>
      </c>
    </row>
    <row r="724" spans="1:65">
      <c r="A724">
        <v>54010</v>
      </c>
      <c r="B724" t="s">
        <v>2252</v>
      </c>
      <c r="C724" t="s">
        <v>2247</v>
      </c>
      <c r="D724" t="s">
        <v>1807</v>
      </c>
      <c r="F724" s="503">
        <v>44792</v>
      </c>
      <c r="H724" t="s">
        <v>2253</v>
      </c>
      <c r="I724" t="s">
        <v>1753</v>
      </c>
      <c r="J724">
        <v>4000</v>
      </c>
      <c r="K724" t="s">
        <v>1068</v>
      </c>
      <c r="O724" t="s">
        <v>1675</v>
      </c>
      <c r="W724">
        <v>0.85</v>
      </c>
      <c r="X724">
        <v>0.85</v>
      </c>
      <c r="Y724">
        <v>0</v>
      </c>
      <c r="Z724">
        <v>0</v>
      </c>
      <c r="AA724">
        <v>3</v>
      </c>
      <c r="AE724" t="s">
        <v>1773</v>
      </c>
      <c r="AI724">
        <v>60</v>
      </c>
      <c r="AJ724">
        <v>4350253</v>
      </c>
      <c r="AK724">
        <v>0</v>
      </c>
      <c r="AN724" t="s">
        <v>184</v>
      </c>
      <c r="AO724">
        <v>2.5299999999999998</v>
      </c>
      <c r="AX724">
        <v>20220819</v>
      </c>
      <c r="AY724" t="s">
        <v>1754</v>
      </c>
      <c r="BG724" s="556" t="str">
        <f t="shared" si="77"/>
        <v>O</v>
      </c>
      <c r="BH724" s="556" t="str">
        <f t="shared" si="78"/>
        <v/>
      </c>
      <c r="BI724" s="556" t="str">
        <f t="shared" si="79"/>
        <v/>
      </c>
      <c r="BJ724" s="556" t="str">
        <f t="shared" si="80"/>
        <v>M4</v>
      </c>
      <c r="BK724" s="556" t="str">
        <f t="shared" si="81"/>
        <v>M3</v>
      </c>
      <c r="BL724" s="556" t="str">
        <f t="shared" si="82"/>
        <v/>
      </c>
      <c r="BM724" s="497">
        <f t="shared" si="83"/>
        <v>54010</v>
      </c>
    </row>
    <row r="725" spans="1:65">
      <c r="A725">
        <v>52903</v>
      </c>
      <c r="B725" t="s">
        <v>2254</v>
      </c>
      <c r="C725" t="s">
        <v>2255</v>
      </c>
      <c r="D725" t="s">
        <v>1858</v>
      </c>
      <c r="F725" s="503">
        <v>44304</v>
      </c>
      <c r="H725" t="s">
        <v>2256</v>
      </c>
      <c r="I725" t="s">
        <v>1753</v>
      </c>
      <c r="J725">
        <v>1000</v>
      </c>
      <c r="K725" t="s">
        <v>1068</v>
      </c>
      <c r="W725">
        <v>2.11</v>
      </c>
      <c r="X725">
        <v>2.13</v>
      </c>
      <c r="Y725">
        <v>0</v>
      </c>
      <c r="Z725">
        <v>0</v>
      </c>
      <c r="AA725">
        <v>0</v>
      </c>
      <c r="AE725" t="s">
        <v>1761</v>
      </c>
      <c r="AI725">
        <v>85</v>
      </c>
      <c r="AJ725">
        <v>3020345</v>
      </c>
      <c r="AK725">
        <v>0</v>
      </c>
      <c r="AN725" t="s">
        <v>2629</v>
      </c>
      <c r="AO725">
        <v>3.45</v>
      </c>
      <c r="AX725">
        <v>20210418</v>
      </c>
      <c r="AY725" t="s">
        <v>1828</v>
      </c>
      <c r="BG725" s="556" t="str">
        <f t="shared" si="77"/>
        <v>O</v>
      </c>
      <c r="BH725" s="556" t="str">
        <f t="shared" si="78"/>
        <v/>
      </c>
      <c r="BI725" s="556" t="str">
        <f t="shared" si="79"/>
        <v/>
      </c>
      <c r="BJ725" s="556" t="str">
        <f t="shared" si="80"/>
        <v>M4</v>
      </c>
      <c r="BK725" s="556">
        <f t="shared" si="81"/>
        <v>0</v>
      </c>
      <c r="BL725" s="556" t="str">
        <f t="shared" si="82"/>
        <v/>
      </c>
      <c r="BM725" s="497">
        <f t="shared" si="83"/>
        <v>52903</v>
      </c>
    </row>
    <row r="726" spans="1:65">
      <c r="A726">
        <v>55007</v>
      </c>
      <c r="B726" t="s">
        <v>2369</v>
      </c>
      <c r="C726" t="s">
        <v>2385</v>
      </c>
      <c r="D726" t="s">
        <v>2375</v>
      </c>
      <c r="F726" s="503">
        <v>44998</v>
      </c>
      <c r="H726" t="s">
        <v>2386</v>
      </c>
      <c r="I726" t="s">
        <v>1753</v>
      </c>
      <c r="J726">
        <v>2000</v>
      </c>
      <c r="K726" t="s">
        <v>1068</v>
      </c>
      <c r="O726" t="s">
        <v>1068</v>
      </c>
      <c r="W726">
        <v>1.2</v>
      </c>
      <c r="X726">
        <v>1.32</v>
      </c>
      <c r="Y726">
        <v>0</v>
      </c>
      <c r="Z726">
        <v>0</v>
      </c>
      <c r="AA726">
        <v>2</v>
      </c>
      <c r="AE726" t="s">
        <v>2698</v>
      </c>
      <c r="AI726">
        <v>60</v>
      </c>
      <c r="AJ726">
        <v>1850282</v>
      </c>
      <c r="AK726">
        <v>0</v>
      </c>
      <c r="AL726">
        <v>0</v>
      </c>
      <c r="AN726" t="s">
        <v>1703</v>
      </c>
      <c r="AO726">
        <v>2.82</v>
      </c>
      <c r="AX726">
        <v>20230313</v>
      </c>
      <c r="AY726" t="s">
        <v>1754</v>
      </c>
      <c r="BG726" s="556" t="str">
        <f t="shared" si="77"/>
        <v>O</v>
      </c>
      <c r="BH726" s="556" t="str">
        <f t="shared" si="78"/>
        <v/>
      </c>
      <c r="BI726" s="556" t="str">
        <f t="shared" si="79"/>
        <v/>
      </c>
      <c r="BJ726" s="556" t="str">
        <f t="shared" si="80"/>
        <v>M4</v>
      </c>
      <c r="BK726" s="556" t="str">
        <f t="shared" si="81"/>
        <v>M4</v>
      </c>
      <c r="BL726" s="556" t="str">
        <f t="shared" si="82"/>
        <v/>
      </c>
      <c r="BM726" s="497">
        <f t="shared" si="83"/>
        <v>55007</v>
      </c>
    </row>
    <row r="727" spans="1:65">
      <c r="B727" t="s">
        <v>1950</v>
      </c>
      <c r="C727" t="s">
        <v>2257</v>
      </c>
      <c r="D727" t="s">
        <v>1782</v>
      </c>
      <c r="F727" s="503">
        <v>44288</v>
      </c>
      <c r="H727" t="s">
        <v>2258</v>
      </c>
      <c r="I727" t="s">
        <v>1753</v>
      </c>
      <c r="J727">
        <v>0</v>
      </c>
      <c r="K727" t="s">
        <v>1756</v>
      </c>
      <c r="W727">
        <v>0</v>
      </c>
      <c r="X727">
        <v>0</v>
      </c>
      <c r="Y727">
        <v>0</v>
      </c>
      <c r="Z727">
        <v>0</v>
      </c>
      <c r="AA727">
        <v>0</v>
      </c>
      <c r="AE727">
        <v>0</v>
      </c>
      <c r="AI727">
        <v>84</v>
      </c>
      <c r="AJ727" t="s">
        <v>2259</v>
      </c>
      <c r="AK727">
        <v>0</v>
      </c>
      <c r="AL727">
        <v>0</v>
      </c>
      <c r="AN727" t="s">
        <v>2260</v>
      </c>
      <c r="AO727" t="s">
        <v>1884</v>
      </c>
      <c r="AX727">
        <v>20210402</v>
      </c>
      <c r="AY727" t="s">
        <v>1786</v>
      </c>
      <c r="BG727" s="556" t="str">
        <f t="shared" si="77"/>
        <v>X</v>
      </c>
      <c r="BH727" s="556" t="str">
        <f t="shared" si="78"/>
        <v>Y</v>
      </c>
      <c r="BI727" s="556" t="str">
        <f t="shared" si="79"/>
        <v/>
      </c>
      <c r="BJ727" s="556" t="str">
        <f t="shared" si="80"/>
        <v>Z</v>
      </c>
      <c r="BK727" s="556">
        <f t="shared" si="81"/>
        <v>0</v>
      </c>
      <c r="BL727" s="556" t="str">
        <f t="shared" si="82"/>
        <v/>
      </c>
      <c r="BM727" s="497">
        <f t="shared" si="83"/>
        <v>0</v>
      </c>
    </row>
    <row r="728" spans="1:65">
      <c r="B728" t="s">
        <v>1997</v>
      </c>
      <c r="C728" t="s">
        <v>1902</v>
      </c>
      <c r="D728" t="s">
        <v>1782</v>
      </c>
      <c r="F728" s="503">
        <v>44288</v>
      </c>
      <c r="H728" t="s">
        <v>2261</v>
      </c>
      <c r="I728" t="s">
        <v>1753</v>
      </c>
      <c r="J728">
        <v>0</v>
      </c>
      <c r="K728" t="s">
        <v>1756</v>
      </c>
      <c r="W728">
        <v>0</v>
      </c>
      <c r="X728">
        <v>0.15</v>
      </c>
      <c r="Y728">
        <v>0</v>
      </c>
      <c r="Z728">
        <v>0</v>
      </c>
      <c r="AA728">
        <v>0</v>
      </c>
      <c r="AE728">
        <v>0</v>
      </c>
      <c r="AI728">
        <v>84</v>
      </c>
      <c r="AJ728" t="s">
        <v>1904</v>
      </c>
      <c r="AK728">
        <v>0</v>
      </c>
      <c r="AL728">
        <v>0</v>
      </c>
      <c r="AN728" t="s">
        <v>1905</v>
      </c>
      <c r="AO728" t="s">
        <v>1884</v>
      </c>
      <c r="AX728">
        <v>20210402</v>
      </c>
      <c r="AY728" t="s">
        <v>1786</v>
      </c>
      <c r="BG728" s="556" t="str">
        <f t="shared" si="77"/>
        <v>X</v>
      </c>
      <c r="BH728" s="556" t="str">
        <f t="shared" si="78"/>
        <v>Y</v>
      </c>
      <c r="BI728" s="556" t="str">
        <f t="shared" si="79"/>
        <v/>
      </c>
      <c r="BJ728" s="556" t="str">
        <f t="shared" si="80"/>
        <v>Z</v>
      </c>
      <c r="BK728" s="556">
        <f t="shared" si="81"/>
        <v>0</v>
      </c>
      <c r="BL728" s="556" t="str">
        <f t="shared" si="82"/>
        <v/>
      </c>
      <c r="BM728" s="497">
        <f t="shared" si="83"/>
        <v>0</v>
      </c>
    </row>
    <row r="729" spans="1:65">
      <c r="A729">
        <v>52902</v>
      </c>
      <c r="B729" t="s">
        <v>2262</v>
      </c>
      <c r="C729" t="s">
        <v>2263</v>
      </c>
      <c r="D729" t="s">
        <v>1858</v>
      </c>
      <c r="F729" s="503">
        <v>44304</v>
      </c>
      <c r="H729" t="s">
        <v>2264</v>
      </c>
      <c r="I729" t="s">
        <v>1753</v>
      </c>
      <c r="J729">
        <v>1000</v>
      </c>
      <c r="K729" t="s">
        <v>1068</v>
      </c>
      <c r="W729">
        <v>2.76</v>
      </c>
      <c r="X729">
        <v>2.78</v>
      </c>
      <c r="Y729">
        <v>0</v>
      </c>
      <c r="Z729">
        <v>0</v>
      </c>
      <c r="AA729">
        <v>0</v>
      </c>
      <c r="AE729" t="s">
        <v>1761</v>
      </c>
      <c r="AI729">
        <v>85</v>
      </c>
      <c r="AJ729">
        <v>3020365</v>
      </c>
      <c r="AK729">
        <v>0</v>
      </c>
      <c r="AN729" t="s">
        <v>135</v>
      </c>
      <c r="AO729">
        <v>3.65</v>
      </c>
      <c r="AX729">
        <v>20210418</v>
      </c>
      <c r="AY729" t="s">
        <v>1828</v>
      </c>
      <c r="BG729" s="556" t="str">
        <f t="shared" si="77"/>
        <v>O</v>
      </c>
      <c r="BH729" s="556" t="str">
        <f t="shared" si="78"/>
        <v/>
      </c>
      <c r="BI729" s="556" t="str">
        <f t="shared" si="79"/>
        <v/>
      </c>
      <c r="BJ729" s="556" t="str">
        <f t="shared" si="80"/>
        <v>M4</v>
      </c>
      <c r="BK729" s="556">
        <f t="shared" si="81"/>
        <v>0</v>
      </c>
      <c r="BL729" s="556" t="str">
        <f t="shared" si="82"/>
        <v/>
      </c>
      <c r="BM729" s="497">
        <f t="shared" si="83"/>
        <v>52902</v>
      </c>
    </row>
    <row r="730" spans="1:65">
      <c r="A730">
        <v>55010</v>
      </c>
      <c r="B730" t="s">
        <v>2370</v>
      </c>
      <c r="C730" t="s">
        <v>2387</v>
      </c>
      <c r="D730" t="s">
        <v>2375</v>
      </c>
      <c r="F730" s="503">
        <v>44999</v>
      </c>
      <c r="H730" t="s">
        <v>2388</v>
      </c>
      <c r="I730" t="s">
        <v>1753</v>
      </c>
      <c r="J730">
        <v>3000</v>
      </c>
      <c r="K730" t="s">
        <v>1068</v>
      </c>
      <c r="O730" t="s">
        <v>1068</v>
      </c>
      <c r="W730">
        <v>1.07</v>
      </c>
      <c r="X730">
        <v>1.07</v>
      </c>
      <c r="Y730">
        <v>0</v>
      </c>
      <c r="Z730">
        <v>0</v>
      </c>
      <c r="AA730">
        <v>2</v>
      </c>
      <c r="AE730" t="s">
        <v>2698</v>
      </c>
      <c r="AI730">
        <v>60</v>
      </c>
      <c r="AJ730">
        <v>1850312</v>
      </c>
      <c r="AK730">
        <v>0</v>
      </c>
      <c r="AL730">
        <v>0</v>
      </c>
      <c r="AN730" t="s">
        <v>1703</v>
      </c>
      <c r="AO730">
        <v>3.12</v>
      </c>
      <c r="AX730">
        <v>20230314</v>
      </c>
      <c r="AY730" t="s">
        <v>1754</v>
      </c>
      <c r="BG730" s="556" t="str">
        <f t="shared" si="77"/>
        <v>O</v>
      </c>
      <c r="BH730" s="556" t="str">
        <f t="shared" si="78"/>
        <v/>
      </c>
      <c r="BI730" s="556" t="str">
        <f t="shared" si="79"/>
        <v/>
      </c>
      <c r="BJ730" s="556" t="str">
        <f t="shared" si="80"/>
        <v>M4</v>
      </c>
      <c r="BK730" s="556" t="str">
        <f t="shared" si="81"/>
        <v>M4</v>
      </c>
      <c r="BL730" s="556" t="str">
        <f t="shared" si="82"/>
        <v/>
      </c>
      <c r="BM730" s="497">
        <f t="shared" si="83"/>
        <v>55010</v>
      </c>
    </row>
    <row r="731" spans="1:65">
      <c r="A731">
        <v>55014</v>
      </c>
      <c r="B731" t="s">
        <v>2588</v>
      </c>
      <c r="C731" t="s">
        <v>2589</v>
      </c>
      <c r="D731" t="s">
        <v>2375</v>
      </c>
      <c r="F731" s="503">
        <v>45036</v>
      </c>
      <c r="H731" t="s">
        <v>2590</v>
      </c>
      <c r="I731" t="s">
        <v>1753</v>
      </c>
      <c r="J731">
        <v>0</v>
      </c>
      <c r="K731" t="s">
        <v>1068</v>
      </c>
      <c r="O731" t="s">
        <v>2299</v>
      </c>
      <c r="W731">
        <v>1.06</v>
      </c>
      <c r="X731">
        <v>1.06</v>
      </c>
      <c r="Y731">
        <v>0</v>
      </c>
      <c r="Z731">
        <v>0</v>
      </c>
      <c r="AA731">
        <v>2</v>
      </c>
      <c r="AE731" t="s">
        <v>2591</v>
      </c>
      <c r="AI731">
        <v>60</v>
      </c>
      <c r="AJ731">
        <v>1850312</v>
      </c>
      <c r="AK731">
        <v>0</v>
      </c>
      <c r="AL731">
        <v>0</v>
      </c>
      <c r="AN731" t="s">
        <v>1703</v>
      </c>
      <c r="AO731">
        <v>3.12</v>
      </c>
      <c r="AX731">
        <v>20230420</v>
      </c>
      <c r="AY731" t="s">
        <v>1754</v>
      </c>
      <c r="BG731" s="556" t="str">
        <f t="shared" si="77"/>
        <v>O</v>
      </c>
      <c r="BH731" s="556" t="str">
        <f t="shared" si="78"/>
        <v/>
      </c>
      <c r="BI731" s="556" t="str">
        <f t="shared" si="79"/>
        <v/>
      </c>
      <c r="BJ731" s="556" t="str">
        <f t="shared" si="80"/>
        <v>M4</v>
      </c>
      <c r="BK731" s="556" t="str">
        <f t="shared" si="81"/>
        <v>TS1</v>
      </c>
      <c r="BL731" s="556" t="str">
        <f t="shared" si="82"/>
        <v/>
      </c>
      <c r="BM731" s="497">
        <f t="shared" si="83"/>
        <v>55014</v>
      </c>
    </row>
    <row r="732" spans="1:65">
      <c r="B732" t="s">
        <v>2358</v>
      </c>
      <c r="C732" t="s">
        <v>1268</v>
      </c>
      <c r="D732" t="s">
        <v>1755</v>
      </c>
      <c r="F732" s="503">
        <v>44958</v>
      </c>
      <c r="H732" t="s">
        <v>2344</v>
      </c>
      <c r="I732" t="s">
        <v>1753</v>
      </c>
      <c r="J732">
        <v>3000</v>
      </c>
      <c r="W732">
        <v>0.98</v>
      </c>
      <c r="X732">
        <v>0.98</v>
      </c>
      <c r="Y732">
        <v>0</v>
      </c>
      <c r="Z732">
        <v>0</v>
      </c>
      <c r="AA732" t="s">
        <v>1757</v>
      </c>
      <c r="AE732" t="s">
        <v>1756</v>
      </c>
      <c r="AI732">
        <v>15</v>
      </c>
      <c r="AJ732" t="s">
        <v>1758</v>
      </c>
      <c r="AK732">
        <v>0</v>
      </c>
      <c r="AL732">
        <v>0</v>
      </c>
      <c r="AN732" t="s">
        <v>1199</v>
      </c>
      <c r="AO732">
        <v>0</v>
      </c>
      <c r="AX732">
        <v>20230201</v>
      </c>
      <c r="AY732" t="s">
        <v>1759</v>
      </c>
      <c r="BG732" s="556" t="str">
        <f t="shared" si="77"/>
        <v>X</v>
      </c>
      <c r="BH732" s="556" t="str">
        <f t="shared" si="78"/>
        <v/>
      </c>
      <c r="BI732" s="556" t="str">
        <f t="shared" si="79"/>
        <v/>
      </c>
      <c r="BJ732" s="556">
        <f t="shared" si="80"/>
        <v>0</v>
      </c>
      <c r="BK732" s="556">
        <f t="shared" si="81"/>
        <v>0</v>
      </c>
      <c r="BL732" s="556" t="str">
        <f t="shared" si="82"/>
        <v/>
      </c>
      <c r="BM732" s="497">
        <f t="shared" si="83"/>
        <v>0</v>
      </c>
    </row>
    <row r="733" spans="1:65">
      <c r="A733">
        <v>45009</v>
      </c>
      <c r="B733" t="s">
        <v>3282</v>
      </c>
      <c r="C733" t="s">
        <v>3283</v>
      </c>
      <c r="D733" t="s">
        <v>3279</v>
      </c>
      <c r="F733" s="503">
        <v>45966</v>
      </c>
      <c r="H733" t="s">
        <v>3284</v>
      </c>
      <c r="I733" t="s">
        <v>1753</v>
      </c>
      <c r="J733">
        <v>0</v>
      </c>
      <c r="K733" t="s">
        <v>1068</v>
      </c>
      <c r="O733" t="s">
        <v>1068</v>
      </c>
      <c r="W733">
        <v>1.57</v>
      </c>
      <c r="X733">
        <v>1.57</v>
      </c>
      <c r="Y733">
        <v>0</v>
      </c>
      <c r="Z733">
        <v>0</v>
      </c>
      <c r="AA733">
        <v>2</v>
      </c>
      <c r="AE733" t="s">
        <v>3474</v>
      </c>
      <c r="AI733">
        <v>57</v>
      </c>
      <c r="AJ733">
        <v>1860391</v>
      </c>
      <c r="AK733">
        <v>0</v>
      </c>
      <c r="AL733">
        <v>0</v>
      </c>
      <c r="AN733" t="s">
        <v>1704</v>
      </c>
      <c r="AO733">
        <v>3.91</v>
      </c>
      <c r="AX733">
        <v>20251105</v>
      </c>
      <c r="AY733" t="s">
        <v>1780</v>
      </c>
      <c r="BG733" s="556" t="str">
        <f t="shared" si="77"/>
        <v>O</v>
      </c>
      <c r="BH733" s="556" t="str">
        <f t="shared" si="78"/>
        <v/>
      </c>
      <c r="BI733" s="556" t="str">
        <f t="shared" si="79"/>
        <v/>
      </c>
      <c r="BJ733" s="556" t="str">
        <f t="shared" si="80"/>
        <v>M4</v>
      </c>
      <c r="BK733" s="556" t="str">
        <f t="shared" si="81"/>
        <v>M4</v>
      </c>
      <c r="BL733" s="556" t="str">
        <f t="shared" si="82"/>
        <v/>
      </c>
      <c r="BM733" s="497">
        <f t="shared" si="83"/>
        <v>45009</v>
      </c>
    </row>
    <row r="734" spans="1:65">
      <c r="A734">
        <v>45023</v>
      </c>
      <c r="B734" t="s">
        <v>3358</v>
      </c>
      <c r="C734" t="s">
        <v>3355</v>
      </c>
      <c r="D734" t="s">
        <v>3280</v>
      </c>
      <c r="F734" s="503">
        <v>46007</v>
      </c>
      <c r="H734" t="s">
        <v>3356</v>
      </c>
      <c r="I734" t="s">
        <v>1753</v>
      </c>
      <c r="J734">
        <v>2000</v>
      </c>
      <c r="K734" t="s">
        <v>1068</v>
      </c>
      <c r="O734" t="s">
        <v>1068</v>
      </c>
      <c r="W734">
        <v>1.34</v>
      </c>
      <c r="X734">
        <v>1.34</v>
      </c>
      <c r="Y734">
        <v>0</v>
      </c>
      <c r="Z734">
        <v>0</v>
      </c>
      <c r="AA734">
        <v>0</v>
      </c>
      <c r="AE734" t="s">
        <v>1761</v>
      </c>
      <c r="AI734">
        <v>57</v>
      </c>
      <c r="AJ734">
        <v>3020355</v>
      </c>
      <c r="AK734">
        <v>0</v>
      </c>
      <c r="AL734">
        <v>0</v>
      </c>
      <c r="AN734" t="s">
        <v>135</v>
      </c>
      <c r="AO734">
        <v>3.55</v>
      </c>
      <c r="AX734">
        <v>20251216</v>
      </c>
      <c r="AY734" t="s">
        <v>1780</v>
      </c>
      <c r="BG734" s="556" t="str">
        <f t="shared" si="77"/>
        <v>O</v>
      </c>
      <c r="BH734" s="556" t="str">
        <f t="shared" si="78"/>
        <v/>
      </c>
      <c r="BI734" s="556" t="str">
        <f t="shared" si="79"/>
        <v/>
      </c>
      <c r="BJ734" s="556" t="str">
        <f t="shared" si="80"/>
        <v>M4</v>
      </c>
      <c r="BK734" s="556" t="str">
        <f t="shared" si="81"/>
        <v>M4</v>
      </c>
      <c r="BL734" s="556" t="str">
        <f t="shared" si="82"/>
        <v/>
      </c>
      <c r="BM734" s="497">
        <f t="shared" si="83"/>
        <v>45023</v>
      </c>
    </row>
    <row r="735" spans="1:65">
      <c r="A735">
        <v>40067</v>
      </c>
      <c r="B735" t="s">
        <v>3386</v>
      </c>
      <c r="C735" t="s">
        <v>999</v>
      </c>
      <c r="D735" t="s">
        <v>1803</v>
      </c>
      <c r="F735" s="503">
        <v>46036</v>
      </c>
      <c r="H735" t="s">
        <v>3394</v>
      </c>
      <c r="I735" t="s">
        <v>1753</v>
      </c>
      <c r="J735">
        <v>0</v>
      </c>
      <c r="K735" t="s">
        <v>1068</v>
      </c>
      <c r="O735" t="s">
        <v>1068</v>
      </c>
      <c r="W735">
        <v>1.6</v>
      </c>
      <c r="X735">
        <v>1.6</v>
      </c>
      <c r="Y735">
        <v>0</v>
      </c>
      <c r="Z735">
        <v>0</v>
      </c>
      <c r="AA735">
        <v>2</v>
      </c>
      <c r="AE735" t="s">
        <v>1039</v>
      </c>
      <c r="AI735">
        <v>60</v>
      </c>
      <c r="AJ735">
        <v>1850360</v>
      </c>
      <c r="AK735">
        <v>0</v>
      </c>
      <c r="AN735" t="s">
        <v>1703</v>
      </c>
      <c r="AO735">
        <v>3.6</v>
      </c>
      <c r="AX735">
        <v>20260114</v>
      </c>
      <c r="AY735" t="s">
        <v>1754</v>
      </c>
      <c r="BG735" s="556" t="str">
        <f t="shared" si="77"/>
        <v>O</v>
      </c>
      <c r="BH735" s="556" t="str">
        <f t="shared" si="78"/>
        <v/>
      </c>
      <c r="BI735" s="556" t="str">
        <f t="shared" si="79"/>
        <v/>
      </c>
      <c r="BJ735" s="556" t="str">
        <f t="shared" si="80"/>
        <v>M4</v>
      </c>
      <c r="BK735" s="556" t="str">
        <f t="shared" si="81"/>
        <v>M4</v>
      </c>
      <c r="BL735" s="556" t="str">
        <f t="shared" si="82"/>
        <v/>
      </c>
      <c r="BM735" s="497">
        <f t="shared" si="83"/>
        <v>40067</v>
      </c>
    </row>
    <row r="736" spans="1:65">
      <c r="A736">
        <v>20900</v>
      </c>
      <c r="B736" t="s">
        <v>863</v>
      </c>
      <c r="C736" t="s">
        <v>865</v>
      </c>
      <c r="D736" t="s">
        <v>1765</v>
      </c>
      <c r="F736" s="503">
        <v>43242</v>
      </c>
      <c r="H736" t="s">
        <v>866</v>
      </c>
      <c r="I736" t="s">
        <v>1753</v>
      </c>
      <c r="J736">
        <v>2000</v>
      </c>
      <c r="K736">
        <v>10</v>
      </c>
      <c r="L736" t="s">
        <v>1681</v>
      </c>
      <c r="W736">
        <v>2.82</v>
      </c>
      <c r="X736">
        <v>2.82</v>
      </c>
      <c r="Y736">
        <v>0</v>
      </c>
      <c r="Z736">
        <v>0</v>
      </c>
      <c r="AA736">
        <v>0</v>
      </c>
      <c r="AE736" t="s">
        <v>1761</v>
      </c>
      <c r="AI736">
        <v>86</v>
      </c>
      <c r="AJ736">
        <v>3330450</v>
      </c>
      <c r="AK736">
        <v>0</v>
      </c>
      <c r="AN736" t="s">
        <v>1776</v>
      </c>
      <c r="AO736">
        <v>4.5</v>
      </c>
      <c r="AR736" t="s">
        <v>3079</v>
      </c>
      <c r="AT736" t="s">
        <v>3079</v>
      </c>
      <c r="AX736">
        <v>20180522</v>
      </c>
      <c r="AY736" t="s">
        <v>1777</v>
      </c>
      <c r="BG736" s="556" t="str">
        <f t="shared" si="77"/>
        <v>O</v>
      </c>
      <c r="BH736" s="556" t="str">
        <f t="shared" si="78"/>
        <v/>
      </c>
      <c r="BI736" s="556" t="str">
        <f t="shared" si="79"/>
        <v/>
      </c>
      <c r="BJ736" s="556" t="str">
        <f t="shared" si="80"/>
        <v>10,6S</v>
      </c>
      <c r="BK736" s="556">
        <f t="shared" si="81"/>
        <v>0</v>
      </c>
      <c r="BL736" s="556" t="str">
        <f t="shared" si="82"/>
        <v/>
      </c>
      <c r="BM736" s="497">
        <f t="shared" si="83"/>
        <v>20900</v>
      </c>
    </row>
    <row r="737" spans="1:65">
      <c r="B737" t="s">
        <v>2845</v>
      </c>
      <c r="C737" t="s">
        <v>1056</v>
      </c>
      <c r="D737" t="s">
        <v>2061</v>
      </c>
      <c r="F737" s="503">
        <v>44288</v>
      </c>
      <c r="H737" t="s">
        <v>2846</v>
      </c>
      <c r="I737" t="s">
        <v>1753</v>
      </c>
      <c r="J737">
        <v>0</v>
      </c>
      <c r="K737" t="s">
        <v>1756</v>
      </c>
      <c r="W737">
        <v>0.62</v>
      </c>
      <c r="X737">
        <v>0.62</v>
      </c>
      <c r="Y737">
        <v>0</v>
      </c>
      <c r="Z737">
        <v>0</v>
      </c>
      <c r="AA737">
        <v>0</v>
      </c>
      <c r="AE737">
        <v>0</v>
      </c>
      <c r="AI737">
        <v>84</v>
      </c>
      <c r="AJ737" t="s">
        <v>2062</v>
      </c>
      <c r="AK737">
        <v>0</v>
      </c>
      <c r="AL737">
        <v>0</v>
      </c>
      <c r="AN737" t="s">
        <v>2063</v>
      </c>
      <c r="AO737" t="s">
        <v>1879</v>
      </c>
      <c r="AX737">
        <v>20210402</v>
      </c>
      <c r="AY737" t="s">
        <v>1786</v>
      </c>
      <c r="BG737" s="556" t="str">
        <f t="shared" si="77"/>
        <v>X</v>
      </c>
      <c r="BH737" s="556" t="str">
        <f t="shared" si="78"/>
        <v>Y</v>
      </c>
      <c r="BI737" s="556" t="str">
        <f t="shared" si="79"/>
        <v/>
      </c>
      <c r="BJ737" s="556" t="str">
        <f t="shared" si="80"/>
        <v>Z</v>
      </c>
      <c r="BK737" s="556">
        <f t="shared" si="81"/>
        <v>0</v>
      </c>
      <c r="BL737" s="556" t="str">
        <f t="shared" si="82"/>
        <v/>
      </c>
      <c r="BM737" s="497">
        <f t="shared" si="83"/>
        <v>0</v>
      </c>
    </row>
    <row r="738" spans="1:65">
      <c r="A738">
        <v>55700</v>
      </c>
      <c r="B738" t="s">
        <v>2601</v>
      </c>
      <c r="C738" t="s">
        <v>2613</v>
      </c>
      <c r="D738" t="s">
        <v>2604</v>
      </c>
      <c r="F738" s="503">
        <v>45063</v>
      </c>
      <c r="H738" t="s">
        <v>2614</v>
      </c>
      <c r="I738" t="s">
        <v>1753</v>
      </c>
      <c r="J738">
        <v>2000</v>
      </c>
      <c r="K738" t="s">
        <v>1068</v>
      </c>
      <c r="O738" t="s">
        <v>2299</v>
      </c>
      <c r="W738">
        <v>1.87</v>
      </c>
      <c r="X738">
        <v>1.97</v>
      </c>
      <c r="Y738">
        <v>0</v>
      </c>
      <c r="Z738">
        <v>0</v>
      </c>
      <c r="AA738">
        <v>2</v>
      </c>
      <c r="AE738" t="s">
        <v>2636</v>
      </c>
      <c r="AI738">
        <v>60</v>
      </c>
      <c r="AJ738">
        <v>1850355</v>
      </c>
      <c r="AK738">
        <v>0</v>
      </c>
      <c r="AL738">
        <v>0</v>
      </c>
      <c r="AN738" t="s">
        <v>1703</v>
      </c>
      <c r="AO738">
        <v>3.55</v>
      </c>
      <c r="AX738">
        <v>20230517</v>
      </c>
      <c r="AY738" t="s">
        <v>1754</v>
      </c>
      <c r="BG738" s="556" t="str">
        <f t="shared" si="77"/>
        <v>O</v>
      </c>
      <c r="BH738" s="556" t="str">
        <f t="shared" si="78"/>
        <v/>
      </c>
      <c r="BI738" s="556" t="str">
        <f t="shared" si="79"/>
        <v/>
      </c>
      <c r="BJ738" s="556" t="str">
        <f t="shared" si="80"/>
        <v>M4</v>
      </c>
      <c r="BK738" s="556" t="str">
        <f t="shared" si="81"/>
        <v>TS1</v>
      </c>
      <c r="BL738" s="556" t="str">
        <f t="shared" si="82"/>
        <v/>
      </c>
      <c r="BM738" s="497">
        <f t="shared" si="83"/>
        <v>55700</v>
      </c>
    </row>
    <row r="739" spans="1:65">
      <c r="A739">
        <v>52904</v>
      </c>
      <c r="B739" t="s">
        <v>1678</v>
      </c>
      <c r="C739" t="s">
        <v>2265</v>
      </c>
      <c r="D739" t="s">
        <v>1858</v>
      </c>
      <c r="F739" s="503">
        <v>44330</v>
      </c>
      <c r="H739" t="s">
        <v>2266</v>
      </c>
      <c r="I739" t="s">
        <v>1753</v>
      </c>
      <c r="J739">
        <v>0</v>
      </c>
      <c r="K739" t="s">
        <v>1681</v>
      </c>
      <c r="W739">
        <v>2.06</v>
      </c>
      <c r="X739">
        <v>2.08</v>
      </c>
      <c r="Y739">
        <v>0</v>
      </c>
      <c r="Z739">
        <v>0</v>
      </c>
      <c r="AA739">
        <v>0</v>
      </c>
      <c r="AE739" t="s">
        <v>1756</v>
      </c>
      <c r="AI739">
        <v>85</v>
      </c>
      <c r="AJ739">
        <v>1000467</v>
      </c>
      <c r="AK739">
        <v>0</v>
      </c>
      <c r="AN739" t="s">
        <v>133</v>
      </c>
      <c r="AO739">
        <v>4.67</v>
      </c>
      <c r="AX739">
        <v>20210514</v>
      </c>
      <c r="AY739" t="s">
        <v>1828</v>
      </c>
      <c r="BG739" s="556" t="str">
        <f t="shared" si="77"/>
        <v>O</v>
      </c>
      <c r="BH739" s="556" t="str">
        <f t="shared" si="78"/>
        <v/>
      </c>
      <c r="BI739" s="556" t="str">
        <f t="shared" si="79"/>
        <v/>
      </c>
      <c r="BJ739" s="556" t="str">
        <f t="shared" si="80"/>
        <v>6S</v>
      </c>
      <c r="BK739" s="556">
        <f t="shared" si="81"/>
        <v>0</v>
      </c>
      <c r="BL739" s="556" t="str">
        <f t="shared" si="82"/>
        <v/>
      </c>
      <c r="BM739" s="497">
        <f t="shared" si="83"/>
        <v>52904</v>
      </c>
    </row>
    <row r="740" spans="1:65">
      <c r="A740">
        <v>40023</v>
      </c>
      <c r="B740" t="s">
        <v>2267</v>
      </c>
      <c r="C740" t="s">
        <v>2268</v>
      </c>
      <c r="D740" t="s">
        <v>1803</v>
      </c>
      <c r="F740" s="503">
        <v>44236</v>
      </c>
      <c r="I740" t="s">
        <v>1753</v>
      </c>
      <c r="J740">
        <v>1000</v>
      </c>
      <c r="K740" t="s">
        <v>1681</v>
      </c>
      <c r="O740" t="s">
        <v>2303</v>
      </c>
      <c r="W740">
        <v>3.4</v>
      </c>
      <c r="X740">
        <v>3.45</v>
      </c>
      <c r="Y740">
        <v>0</v>
      </c>
      <c r="Z740">
        <v>0</v>
      </c>
      <c r="AA740">
        <v>0</v>
      </c>
      <c r="AE740" t="s">
        <v>1761</v>
      </c>
      <c r="AI740">
        <v>57</v>
      </c>
      <c r="AJ740">
        <v>3020407</v>
      </c>
      <c r="AK740">
        <v>0</v>
      </c>
      <c r="AN740" t="s">
        <v>135</v>
      </c>
      <c r="AO740">
        <v>4.07</v>
      </c>
      <c r="AX740">
        <v>20210209</v>
      </c>
      <c r="AY740" t="s">
        <v>1780</v>
      </c>
      <c r="BG740" s="556" t="str">
        <f t="shared" si="77"/>
        <v>O</v>
      </c>
      <c r="BH740" s="556" t="str">
        <f t="shared" si="78"/>
        <v/>
      </c>
      <c r="BI740" s="556" t="str">
        <f t="shared" si="79"/>
        <v/>
      </c>
      <c r="BJ740" s="556" t="str">
        <f t="shared" si="80"/>
        <v>6S</v>
      </c>
      <c r="BK740" s="556" t="str">
        <f t="shared" si="81"/>
        <v>M6</v>
      </c>
      <c r="BL740" s="556" t="str">
        <f t="shared" si="82"/>
        <v/>
      </c>
      <c r="BM740" s="497">
        <f t="shared" si="83"/>
        <v>40023</v>
      </c>
    </row>
    <row r="741" spans="1:65">
      <c r="A741">
        <v>40022</v>
      </c>
      <c r="B741" t="s">
        <v>2269</v>
      </c>
      <c r="C741" t="s">
        <v>2268</v>
      </c>
      <c r="D741" t="s">
        <v>1803</v>
      </c>
      <c r="F741" s="503">
        <v>44236</v>
      </c>
      <c r="H741" t="s">
        <v>2270</v>
      </c>
      <c r="I741" t="s">
        <v>1753</v>
      </c>
      <c r="J741">
        <v>1000</v>
      </c>
      <c r="K741" t="s">
        <v>1681</v>
      </c>
      <c r="O741" t="s">
        <v>2303</v>
      </c>
      <c r="W741">
        <v>3.82</v>
      </c>
      <c r="X741">
        <v>3.85</v>
      </c>
      <c r="Y741">
        <v>0</v>
      </c>
      <c r="Z741">
        <v>0</v>
      </c>
      <c r="AA741">
        <v>0</v>
      </c>
      <c r="AE741" t="s">
        <v>1761</v>
      </c>
      <c r="AI741">
        <v>57</v>
      </c>
      <c r="AJ741">
        <v>3020407</v>
      </c>
      <c r="AK741">
        <v>0</v>
      </c>
      <c r="AN741" t="s">
        <v>135</v>
      </c>
      <c r="AO741">
        <v>4.07</v>
      </c>
      <c r="AX741">
        <v>20210209</v>
      </c>
      <c r="AY741" t="s">
        <v>1780</v>
      </c>
      <c r="BG741" s="556" t="str">
        <f t="shared" si="77"/>
        <v>O</v>
      </c>
      <c r="BH741" s="556" t="str">
        <f t="shared" si="78"/>
        <v/>
      </c>
      <c r="BI741" s="556" t="str">
        <f t="shared" si="79"/>
        <v/>
      </c>
      <c r="BJ741" s="556" t="str">
        <f t="shared" si="80"/>
        <v>6S</v>
      </c>
      <c r="BK741" s="556" t="str">
        <f t="shared" si="81"/>
        <v>M6</v>
      </c>
      <c r="BL741" s="556" t="str">
        <f t="shared" si="82"/>
        <v/>
      </c>
      <c r="BM741" s="497">
        <f t="shared" si="83"/>
        <v>40022</v>
      </c>
    </row>
    <row r="742" spans="1:65">
      <c r="B742" t="s">
        <v>3008</v>
      </c>
      <c r="C742" t="s">
        <v>1056</v>
      </c>
      <c r="D742" t="s">
        <v>1782</v>
      </c>
      <c r="F742" s="503">
        <v>44288</v>
      </c>
      <c r="H742" t="s">
        <v>3009</v>
      </c>
      <c r="I742" t="s">
        <v>1753</v>
      </c>
      <c r="J742">
        <v>0</v>
      </c>
      <c r="K742" t="s">
        <v>1756</v>
      </c>
      <c r="W742">
        <v>0</v>
      </c>
      <c r="X742">
        <v>0.86</v>
      </c>
      <c r="Y742">
        <v>0</v>
      </c>
      <c r="Z742">
        <v>0</v>
      </c>
      <c r="AA742">
        <v>0</v>
      </c>
      <c r="AE742">
        <v>0</v>
      </c>
      <c r="AI742">
        <v>84</v>
      </c>
      <c r="AJ742" t="s">
        <v>2271</v>
      </c>
      <c r="AK742">
        <v>0</v>
      </c>
      <c r="AL742">
        <v>0</v>
      </c>
      <c r="AN742" t="s">
        <v>2063</v>
      </c>
      <c r="AO742" t="s">
        <v>1884</v>
      </c>
      <c r="AX742">
        <v>20210402</v>
      </c>
      <c r="AY742" t="s">
        <v>1786</v>
      </c>
      <c r="BG742" s="556" t="str">
        <f t="shared" si="77"/>
        <v>X</v>
      </c>
      <c r="BH742" s="556" t="str">
        <f t="shared" si="78"/>
        <v>Y</v>
      </c>
      <c r="BI742" s="556" t="str">
        <f t="shared" si="79"/>
        <v/>
      </c>
      <c r="BJ742" s="556" t="str">
        <f t="shared" si="80"/>
        <v>Z</v>
      </c>
      <c r="BK742" s="556">
        <f t="shared" si="81"/>
        <v>0</v>
      </c>
      <c r="BL742" s="556" t="str">
        <f t="shared" si="82"/>
        <v/>
      </c>
      <c r="BM742" s="497">
        <f t="shared" si="83"/>
        <v>0</v>
      </c>
    </row>
    <row r="743" spans="1:65">
      <c r="A743">
        <v>20015</v>
      </c>
      <c r="B743" t="s">
        <v>28</v>
      </c>
      <c r="C743" t="s">
        <v>41</v>
      </c>
      <c r="D743" t="s">
        <v>1774</v>
      </c>
      <c r="F743" s="503">
        <v>42748</v>
      </c>
      <c r="H743" t="s">
        <v>53</v>
      </c>
      <c r="I743" t="s">
        <v>1753</v>
      </c>
      <c r="J743">
        <v>1000</v>
      </c>
      <c r="K743">
        <v>9</v>
      </c>
      <c r="L743">
        <v>10</v>
      </c>
      <c r="M743" t="s">
        <v>1681</v>
      </c>
      <c r="O743" t="s">
        <v>1068</v>
      </c>
      <c r="P743" t="s">
        <v>2303</v>
      </c>
      <c r="W743">
        <v>3.19</v>
      </c>
      <c r="X743">
        <v>3.18</v>
      </c>
      <c r="Y743">
        <v>0</v>
      </c>
      <c r="Z743">
        <v>0</v>
      </c>
      <c r="AA743">
        <v>0</v>
      </c>
      <c r="AE743" t="s">
        <v>1761</v>
      </c>
      <c r="AI743">
        <v>57</v>
      </c>
      <c r="AJ743">
        <v>4310430</v>
      </c>
      <c r="AK743">
        <v>0</v>
      </c>
      <c r="AL743">
        <v>0</v>
      </c>
      <c r="AN743" t="s">
        <v>137</v>
      </c>
      <c r="AO743">
        <v>4.3</v>
      </c>
      <c r="AX743">
        <v>20170113</v>
      </c>
      <c r="AY743" t="s">
        <v>1780</v>
      </c>
      <c r="BG743" s="556" t="str">
        <f t="shared" si="77"/>
        <v>O</v>
      </c>
      <c r="BH743" s="556" t="str">
        <f t="shared" si="78"/>
        <v/>
      </c>
      <c r="BI743" s="556" t="str">
        <f t="shared" si="79"/>
        <v/>
      </c>
      <c r="BJ743" s="556" t="str">
        <f t="shared" si="80"/>
        <v>9,10,6S</v>
      </c>
      <c r="BK743" s="556" t="str">
        <f t="shared" si="81"/>
        <v>M4,M6</v>
      </c>
      <c r="BL743" s="556" t="str">
        <f t="shared" si="82"/>
        <v/>
      </c>
      <c r="BM743" s="497">
        <f t="shared" si="83"/>
        <v>20015</v>
      </c>
    </row>
    <row r="744" spans="1:65">
      <c r="A744">
        <v>50645</v>
      </c>
      <c r="B744" t="s">
        <v>1705</v>
      </c>
      <c r="C744" t="s">
        <v>123</v>
      </c>
      <c r="D744" t="s">
        <v>1921</v>
      </c>
      <c r="F744" s="503">
        <v>44210</v>
      </c>
      <c r="H744" t="s">
        <v>2272</v>
      </c>
      <c r="I744" t="s">
        <v>1753</v>
      </c>
      <c r="J744">
        <v>0</v>
      </c>
      <c r="K744" t="s">
        <v>1681</v>
      </c>
      <c r="O744" t="s">
        <v>2303</v>
      </c>
      <c r="W744">
        <v>4.12</v>
      </c>
      <c r="X744">
        <v>4.25</v>
      </c>
      <c r="Y744">
        <v>0</v>
      </c>
      <c r="Z744">
        <v>0</v>
      </c>
      <c r="AA744">
        <v>0</v>
      </c>
      <c r="AE744" t="s">
        <v>1761</v>
      </c>
      <c r="AI744">
        <v>57</v>
      </c>
      <c r="AJ744">
        <v>3020405</v>
      </c>
      <c r="AK744">
        <v>0</v>
      </c>
      <c r="AN744" t="s">
        <v>135</v>
      </c>
      <c r="AO744">
        <v>4.05</v>
      </c>
      <c r="AX744">
        <v>20210114</v>
      </c>
      <c r="AY744" t="s">
        <v>1780</v>
      </c>
      <c r="BG744" s="556" t="str">
        <f t="shared" si="77"/>
        <v>O</v>
      </c>
      <c r="BH744" s="556" t="str">
        <f t="shared" si="78"/>
        <v/>
      </c>
      <c r="BI744" s="556" t="str">
        <f t="shared" si="79"/>
        <v/>
      </c>
      <c r="BJ744" s="556" t="str">
        <f t="shared" si="80"/>
        <v>6S</v>
      </c>
      <c r="BK744" s="556" t="str">
        <f t="shared" si="81"/>
        <v>M6</v>
      </c>
      <c r="BL744" s="556" t="str">
        <f t="shared" si="82"/>
        <v/>
      </c>
      <c r="BM744" s="497">
        <f t="shared" si="83"/>
        <v>50645</v>
      </c>
    </row>
    <row r="745" spans="1:65">
      <c r="A745">
        <v>20700</v>
      </c>
      <c r="B745" t="s">
        <v>187</v>
      </c>
      <c r="C745" t="s">
        <v>188</v>
      </c>
      <c r="D745" t="s">
        <v>2043</v>
      </c>
      <c r="F745" s="503">
        <v>43194</v>
      </c>
      <c r="H745" t="s">
        <v>448</v>
      </c>
      <c r="I745" t="s">
        <v>1753</v>
      </c>
      <c r="J745">
        <v>2000</v>
      </c>
      <c r="K745">
        <v>8</v>
      </c>
      <c r="O745" t="s">
        <v>2303</v>
      </c>
      <c r="W745">
        <v>6</v>
      </c>
      <c r="X745">
        <v>5.96</v>
      </c>
      <c r="Y745">
        <v>0</v>
      </c>
      <c r="Z745">
        <v>27.6</v>
      </c>
      <c r="AA745">
        <v>0</v>
      </c>
      <c r="AE745" t="s">
        <v>1039</v>
      </c>
      <c r="AI745">
        <v>57</v>
      </c>
      <c r="AJ745">
        <v>1000605</v>
      </c>
      <c r="AK745">
        <v>0</v>
      </c>
      <c r="AL745">
        <v>0</v>
      </c>
      <c r="AN745" t="s">
        <v>133</v>
      </c>
      <c r="AO745">
        <v>6.05</v>
      </c>
      <c r="AX745">
        <v>20180404</v>
      </c>
      <c r="AY745" t="s">
        <v>1780</v>
      </c>
      <c r="BG745" s="556" t="str">
        <f t="shared" si="77"/>
        <v>O</v>
      </c>
      <c r="BH745" s="556" t="str">
        <f t="shared" si="78"/>
        <v/>
      </c>
      <c r="BI745" s="556" t="str">
        <f t="shared" si="79"/>
        <v/>
      </c>
      <c r="BJ745" s="556">
        <f t="shared" si="80"/>
        <v>8</v>
      </c>
      <c r="BK745" s="556" t="str">
        <f t="shared" si="81"/>
        <v>M6</v>
      </c>
      <c r="BL745" s="556" t="str">
        <f t="shared" si="82"/>
        <v/>
      </c>
      <c r="BM745" s="497">
        <f t="shared" si="83"/>
        <v>20700</v>
      </c>
    </row>
    <row r="746" spans="1:65">
      <c r="A746">
        <v>20709</v>
      </c>
      <c r="B746" t="s">
        <v>450</v>
      </c>
      <c r="C746" t="s">
        <v>188</v>
      </c>
      <c r="D746" t="s">
        <v>2043</v>
      </c>
      <c r="F746" s="503">
        <v>43523</v>
      </c>
      <c r="H746" t="s">
        <v>452</v>
      </c>
      <c r="I746" t="s">
        <v>1753</v>
      </c>
      <c r="J746">
        <v>2000</v>
      </c>
      <c r="K746">
        <v>8</v>
      </c>
      <c r="L746" t="s">
        <v>218</v>
      </c>
      <c r="O746" t="s">
        <v>2303</v>
      </c>
      <c r="W746">
        <v>6.68</v>
      </c>
      <c r="X746">
        <v>6.53</v>
      </c>
      <c r="Y746">
        <v>0</v>
      </c>
      <c r="Z746">
        <v>0</v>
      </c>
      <c r="AA746">
        <v>0</v>
      </c>
      <c r="AE746" t="s">
        <v>1039</v>
      </c>
      <c r="AI746">
        <v>58</v>
      </c>
      <c r="AJ746">
        <v>1000605</v>
      </c>
      <c r="AK746">
        <v>0</v>
      </c>
      <c r="AN746" t="s">
        <v>133</v>
      </c>
      <c r="AO746">
        <v>6.05</v>
      </c>
      <c r="AR746" t="s">
        <v>2952</v>
      </c>
      <c r="AX746">
        <v>20190227</v>
      </c>
      <c r="AY746" t="s">
        <v>2003</v>
      </c>
      <c r="BG746" s="556" t="str">
        <f t="shared" si="77"/>
        <v>O</v>
      </c>
      <c r="BH746" s="556" t="str">
        <f t="shared" si="78"/>
        <v/>
      </c>
      <c r="BI746" s="556" t="str">
        <f t="shared" si="79"/>
        <v/>
      </c>
      <c r="BJ746" s="556" t="str">
        <f t="shared" si="80"/>
        <v>8,8A</v>
      </c>
      <c r="BK746" s="556" t="str">
        <f t="shared" si="81"/>
        <v>M6</v>
      </c>
      <c r="BL746" s="556" t="str">
        <f t="shared" si="82"/>
        <v/>
      </c>
      <c r="BM746" s="497">
        <f t="shared" si="83"/>
        <v>20709</v>
      </c>
    </row>
    <row r="747" spans="1:65">
      <c r="A747">
        <v>51808</v>
      </c>
      <c r="B747" t="s">
        <v>1450</v>
      </c>
      <c r="C747" t="s">
        <v>732</v>
      </c>
      <c r="D747" t="s">
        <v>1772</v>
      </c>
      <c r="F747" s="503">
        <v>43902</v>
      </c>
      <c r="H747" t="s">
        <v>733</v>
      </c>
      <c r="I747" t="s">
        <v>1753</v>
      </c>
      <c r="J747">
        <v>8000</v>
      </c>
      <c r="K747" t="s">
        <v>1681</v>
      </c>
      <c r="W747">
        <v>1.44</v>
      </c>
      <c r="X747">
        <v>1.55</v>
      </c>
      <c r="Y747">
        <v>0</v>
      </c>
      <c r="Z747">
        <v>0</v>
      </c>
      <c r="AA747">
        <v>0</v>
      </c>
      <c r="AE747" t="s">
        <v>1039</v>
      </c>
      <c r="AI747">
        <v>14</v>
      </c>
      <c r="AJ747">
        <v>1000406</v>
      </c>
      <c r="AK747">
        <v>0</v>
      </c>
      <c r="AL747">
        <v>0</v>
      </c>
      <c r="AN747" t="s">
        <v>133</v>
      </c>
      <c r="AO747">
        <v>4.0599999999999996</v>
      </c>
      <c r="AX747">
        <v>20200312</v>
      </c>
      <c r="AY747" t="s">
        <v>1828</v>
      </c>
      <c r="BG747" s="556" t="str">
        <f t="shared" si="77"/>
        <v>O</v>
      </c>
      <c r="BH747" s="556" t="str">
        <f t="shared" si="78"/>
        <v/>
      </c>
      <c r="BI747" s="556" t="str">
        <f t="shared" si="79"/>
        <v/>
      </c>
      <c r="BJ747" s="556" t="str">
        <f t="shared" si="80"/>
        <v>6S</v>
      </c>
      <c r="BK747" s="556">
        <f t="shared" si="81"/>
        <v>0</v>
      </c>
      <c r="BL747" s="556" t="str">
        <f t="shared" si="82"/>
        <v/>
      </c>
      <c r="BM747" s="497">
        <f t="shared" si="83"/>
        <v>51808</v>
      </c>
    </row>
    <row r="748" spans="1:65">
      <c r="A748">
        <v>51838</v>
      </c>
      <c r="B748" t="s">
        <v>2637</v>
      </c>
      <c r="C748" t="s">
        <v>2638</v>
      </c>
      <c r="D748" t="s">
        <v>1772</v>
      </c>
      <c r="F748" s="503">
        <v>45117</v>
      </c>
      <c r="H748" t="s">
        <v>2639</v>
      </c>
      <c r="I748" t="s">
        <v>1753</v>
      </c>
      <c r="J748">
        <v>5000</v>
      </c>
      <c r="K748" t="s">
        <v>1681</v>
      </c>
      <c r="W748">
        <v>2.57</v>
      </c>
      <c r="X748">
        <v>2.57</v>
      </c>
      <c r="Y748">
        <v>0</v>
      </c>
      <c r="Z748">
        <v>0</v>
      </c>
      <c r="AE748" t="s">
        <v>1039</v>
      </c>
      <c r="AI748">
        <v>14</v>
      </c>
      <c r="AJ748">
        <v>1000426</v>
      </c>
      <c r="AK748">
        <v>0</v>
      </c>
      <c r="AN748" t="s">
        <v>133</v>
      </c>
      <c r="AO748">
        <v>4.26</v>
      </c>
      <c r="AX748">
        <v>20230710</v>
      </c>
      <c r="AY748" t="s">
        <v>1828</v>
      </c>
      <c r="BG748" s="556" t="str">
        <f t="shared" si="77"/>
        <v>O</v>
      </c>
      <c r="BH748" s="556" t="str">
        <f t="shared" si="78"/>
        <v/>
      </c>
      <c r="BI748" s="556" t="str">
        <f t="shared" si="79"/>
        <v/>
      </c>
      <c r="BJ748" s="556" t="str">
        <f t="shared" si="80"/>
        <v>6S</v>
      </c>
      <c r="BK748" s="556">
        <f t="shared" si="81"/>
        <v>0</v>
      </c>
      <c r="BL748" s="556" t="str">
        <f t="shared" si="82"/>
        <v/>
      </c>
      <c r="BM748" s="497">
        <f t="shared" si="83"/>
        <v>51838</v>
      </c>
    </row>
    <row r="749" spans="1:65">
      <c r="A749">
        <v>51806</v>
      </c>
      <c r="B749" t="s">
        <v>1702</v>
      </c>
      <c r="C749" t="s">
        <v>726</v>
      </c>
      <c r="D749" t="s">
        <v>1772</v>
      </c>
      <c r="F749" s="503">
        <v>43819</v>
      </c>
      <c r="H749" t="s">
        <v>2273</v>
      </c>
      <c r="I749" t="s">
        <v>1753</v>
      </c>
      <c r="J749">
        <v>8000</v>
      </c>
      <c r="K749" t="s">
        <v>1681</v>
      </c>
      <c r="W749">
        <v>1.7</v>
      </c>
      <c r="X749">
        <v>1.72</v>
      </c>
      <c r="Y749">
        <v>0</v>
      </c>
      <c r="Z749">
        <v>0</v>
      </c>
      <c r="AA749">
        <v>0</v>
      </c>
      <c r="AE749" t="s">
        <v>1039</v>
      </c>
      <c r="AI749">
        <v>14</v>
      </c>
      <c r="AJ749">
        <v>1000406</v>
      </c>
      <c r="AK749">
        <v>0</v>
      </c>
      <c r="AL749">
        <v>0</v>
      </c>
      <c r="AN749" t="s">
        <v>133</v>
      </c>
      <c r="AO749">
        <v>4.0599999999999996</v>
      </c>
      <c r="AX749">
        <v>20191220</v>
      </c>
      <c r="AY749" t="s">
        <v>1828</v>
      </c>
      <c r="BG749" s="556" t="str">
        <f t="shared" si="77"/>
        <v>O</v>
      </c>
      <c r="BH749" s="556" t="str">
        <f t="shared" si="78"/>
        <v/>
      </c>
      <c r="BI749" s="556" t="str">
        <f t="shared" si="79"/>
        <v/>
      </c>
      <c r="BJ749" s="556" t="str">
        <f t="shared" si="80"/>
        <v>6S</v>
      </c>
      <c r="BK749" s="556">
        <f t="shared" si="81"/>
        <v>0</v>
      </c>
      <c r="BL749" s="556" t="str">
        <f t="shared" si="82"/>
        <v/>
      </c>
      <c r="BM749" s="497">
        <f t="shared" si="83"/>
        <v>51806</v>
      </c>
    </row>
    <row r="750" spans="1:65">
      <c r="A750">
        <v>51837</v>
      </c>
      <c r="B750" t="s">
        <v>2640</v>
      </c>
      <c r="C750" t="s">
        <v>726</v>
      </c>
      <c r="D750" t="s">
        <v>1772</v>
      </c>
      <c r="F750" s="503">
        <v>45117</v>
      </c>
      <c r="H750" t="s">
        <v>2641</v>
      </c>
      <c r="I750" t="s">
        <v>1753</v>
      </c>
      <c r="J750">
        <v>5000</v>
      </c>
      <c r="K750" t="s">
        <v>1681</v>
      </c>
      <c r="W750">
        <v>2.9</v>
      </c>
      <c r="X750">
        <v>2.9</v>
      </c>
      <c r="Y750">
        <v>0</v>
      </c>
      <c r="Z750">
        <v>0</v>
      </c>
      <c r="AE750" t="s">
        <v>1039</v>
      </c>
      <c r="AI750">
        <v>14</v>
      </c>
      <c r="AJ750">
        <v>1000426</v>
      </c>
      <c r="AK750">
        <v>0</v>
      </c>
      <c r="AN750" t="s">
        <v>133</v>
      </c>
      <c r="AO750">
        <v>4.26</v>
      </c>
      <c r="AX750">
        <v>20230710</v>
      </c>
      <c r="AY750" t="s">
        <v>1828</v>
      </c>
      <c r="BG750" s="556" t="str">
        <f t="shared" si="77"/>
        <v>O</v>
      </c>
      <c r="BH750" s="556" t="str">
        <f t="shared" si="78"/>
        <v/>
      </c>
      <c r="BI750" s="556" t="str">
        <f t="shared" si="79"/>
        <v/>
      </c>
      <c r="BJ750" s="556" t="str">
        <f t="shared" si="80"/>
        <v>6S</v>
      </c>
      <c r="BK750" s="556">
        <f t="shared" si="81"/>
        <v>0</v>
      </c>
      <c r="BL750" s="556" t="str">
        <f t="shared" si="82"/>
        <v/>
      </c>
      <c r="BM750" s="497">
        <f t="shared" si="83"/>
        <v>51837</v>
      </c>
    </row>
    <row r="751" spans="1:65">
      <c r="A751" t="s">
        <v>2274</v>
      </c>
      <c r="B751" t="s">
        <v>1070</v>
      </c>
      <c r="C751" t="s">
        <v>1056</v>
      </c>
      <c r="D751" t="s">
        <v>1771</v>
      </c>
      <c r="F751" s="503">
        <v>43827</v>
      </c>
      <c r="H751" t="s">
        <v>2275</v>
      </c>
      <c r="I751" t="s">
        <v>1753</v>
      </c>
      <c r="J751">
        <v>400</v>
      </c>
      <c r="K751" t="s">
        <v>1756</v>
      </c>
      <c r="W751">
        <v>8.33</v>
      </c>
      <c r="X751">
        <v>8.33</v>
      </c>
      <c r="Y751">
        <v>0</v>
      </c>
      <c r="Z751">
        <v>0</v>
      </c>
      <c r="AA751">
        <v>0</v>
      </c>
      <c r="AE751" t="s">
        <v>1039</v>
      </c>
      <c r="AI751">
        <v>12</v>
      </c>
      <c r="AJ751" t="s">
        <v>2104</v>
      </c>
      <c r="AK751">
        <v>0</v>
      </c>
      <c r="AL751">
        <v>0</v>
      </c>
      <c r="AN751" t="s">
        <v>2054</v>
      </c>
      <c r="AO751" t="s">
        <v>1907</v>
      </c>
      <c r="AX751">
        <v>20191228</v>
      </c>
      <c r="AY751" t="s">
        <v>2051</v>
      </c>
      <c r="BG751" s="556" t="str">
        <f t="shared" si="77"/>
        <v>X</v>
      </c>
      <c r="BH751" s="556" t="str">
        <f t="shared" si="78"/>
        <v/>
      </c>
      <c r="BI751" s="556" t="str">
        <f t="shared" si="79"/>
        <v/>
      </c>
      <c r="BJ751" s="556" t="str">
        <f t="shared" si="80"/>
        <v>Z</v>
      </c>
      <c r="BK751" s="556">
        <f t="shared" si="81"/>
        <v>0</v>
      </c>
      <c r="BL751" s="556" t="str">
        <f t="shared" si="82"/>
        <v/>
      </c>
      <c r="BM751" s="497" t="str">
        <f t="shared" si="83"/>
        <v>PUR</v>
      </c>
    </row>
    <row r="752" spans="1:65">
      <c r="A752">
        <v>40023</v>
      </c>
      <c r="B752" t="s">
        <v>2276</v>
      </c>
      <c r="C752" t="s">
        <v>2277</v>
      </c>
      <c r="D752" t="s">
        <v>1803</v>
      </c>
      <c r="F752" s="503">
        <v>44252</v>
      </c>
      <c r="H752" t="s">
        <v>2278</v>
      </c>
      <c r="I752" t="s">
        <v>1753</v>
      </c>
      <c r="J752">
        <v>0</v>
      </c>
      <c r="K752">
        <v>7</v>
      </c>
      <c r="L752" t="s">
        <v>66</v>
      </c>
      <c r="M752" t="s">
        <v>1481</v>
      </c>
      <c r="O752" t="s">
        <v>2303</v>
      </c>
      <c r="W752">
        <v>7.7</v>
      </c>
      <c r="X752">
        <v>7.72</v>
      </c>
      <c r="Y752">
        <v>0</v>
      </c>
      <c r="Z752">
        <v>0</v>
      </c>
      <c r="AA752">
        <v>2</v>
      </c>
      <c r="AE752" t="s">
        <v>1967</v>
      </c>
      <c r="AI752">
        <v>60</v>
      </c>
      <c r="AJ752">
        <v>1850525</v>
      </c>
      <c r="AK752">
        <v>0</v>
      </c>
      <c r="AN752" t="s">
        <v>1703</v>
      </c>
      <c r="AO752">
        <v>5.25</v>
      </c>
      <c r="AX752">
        <v>20210225</v>
      </c>
      <c r="AY752" t="s">
        <v>1754</v>
      </c>
      <c r="BG752" s="556" t="str">
        <f t="shared" si="77"/>
        <v>O</v>
      </c>
      <c r="BH752" s="556" t="str">
        <f t="shared" si="78"/>
        <v/>
      </c>
      <c r="BI752" s="556" t="str">
        <f t="shared" si="79"/>
        <v/>
      </c>
      <c r="BJ752" s="556" t="str">
        <f t="shared" si="80"/>
        <v>7,7A,9A</v>
      </c>
      <c r="BK752" s="556" t="str">
        <f t="shared" si="81"/>
        <v>M6</v>
      </c>
      <c r="BL752" s="556" t="str">
        <f t="shared" si="82"/>
        <v/>
      </c>
      <c r="BM752" s="497">
        <f t="shared" si="83"/>
        <v>40023</v>
      </c>
    </row>
    <row r="753" spans="1:65">
      <c r="A753">
        <v>99007</v>
      </c>
      <c r="B753" t="s">
        <v>1685</v>
      </c>
      <c r="C753" t="s">
        <v>2277</v>
      </c>
      <c r="D753" t="s">
        <v>358</v>
      </c>
      <c r="F753" s="503">
        <v>44413</v>
      </c>
      <c r="H753" t="s">
        <v>2278</v>
      </c>
      <c r="I753" t="s">
        <v>1753</v>
      </c>
      <c r="J753">
        <v>2000</v>
      </c>
      <c r="K753">
        <v>7</v>
      </c>
      <c r="L753" t="s">
        <v>66</v>
      </c>
      <c r="O753" t="s">
        <v>2303</v>
      </c>
      <c r="W753">
        <v>8.85</v>
      </c>
      <c r="X753">
        <v>8.76</v>
      </c>
      <c r="Y753">
        <v>0</v>
      </c>
      <c r="Z753">
        <v>0</v>
      </c>
      <c r="AA753">
        <v>2</v>
      </c>
      <c r="AE753" t="s">
        <v>3192</v>
      </c>
      <c r="AI753">
        <v>60</v>
      </c>
      <c r="AJ753">
        <v>1860545</v>
      </c>
      <c r="AK753">
        <v>0</v>
      </c>
      <c r="AL753">
        <v>0</v>
      </c>
      <c r="AN753" t="s">
        <v>1704</v>
      </c>
      <c r="AO753">
        <v>5.45</v>
      </c>
      <c r="AT753" t="s">
        <v>3246</v>
      </c>
      <c r="AX753">
        <v>20210805</v>
      </c>
      <c r="AY753" t="s">
        <v>1754</v>
      </c>
      <c r="BG753" s="556" t="str">
        <f t="shared" si="77"/>
        <v>O</v>
      </c>
      <c r="BH753" s="556" t="str">
        <f t="shared" si="78"/>
        <v/>
      </c>
      <c r="BI753" s="556" t="str">
        <f t="shared" si="79"/>
        <v/>
      </c>
      <c r="BJ753" s="556" t="str">
        <f t="shared" si="80"/>
        <v>7,7A</v>
      </c>
      <c r="BK753" s="556" t="str">
        <f t="shared" si="81"/>
        <v>M6</v>
      </c>
      <c r="BL753" s="556" t="str">
        <f t="shared" si="82"/>
        <v/>
      </c>
      <c r="BM753" s="497">
        <f t="shared" si="83"/>
        <v>99007</v>
      </c>
    </row>
    <row r="754" spans="1:65">
      <c r="A754">
        <v>45026</v>
      </c>
      <c r="B754" t="s">
        <v>3530</v>
      </c>
      <c r="C754" t="s">
        <v>3531</v>
      </c>
      <c r="D754" t="s">
        <v>3280</v>
      </c>
      <c r="F754" s="503">
        <v>46128</v>
      </c>
      <c r="H754" t="s">
        <v>3532</v>
      </c>
      <c r="I754" t="s">
        <v>1753</v>
      </c>
      <c r="J754">
        <v>0</v>
      </c>
      <c r="K754">
        <v>7</v>
      </c>
      <c r="L754" t="s">
        <v>66</v>
      </c>
      <c r="W754">
        <v>8.69</v>
      </c>
      <c r="X754">
        <v>8.69</v>
      </c>
      <c r="Y754">
        <v>0</v>
      </c>
      <c r="Z754">
        <v>0</v>
      </c>
      <c r="AA754">
        <v>206</v>
      </c>
      <c r="AE754" t="s">
        <v>3533</v>
      </c>
      <c r="AI754">
        <v>60</v>
      </c>
      <c r="AJ754">
        <v>1860545</v>
      </c>
      <c r="AK754">
        <v>0</v>
      </c>
      <c r="AN754" t="s">
        <v>1704</v>
      </c>
      <c r="AO754">
        <v>5.45</v>
      </c>
      <c r="AX754">
        <v>20260416</v>
      </c>
      <c r="AY754" t="s">
        <v>1754</v>
      </c>
      <c r="BG754" s="556" t="str">
        <f t="shared" si="77"/>
        <v>O</v>
      </c>
      <c r="BH754" s="556" t="str">
        <f t="shared" si="78"/>
        <v/>
      </c>
      <c r="BI754" s="556" t="str">
        <f t="shared" si="79"/>
        <v/>
      </c>
      <c r="BJ754" s="556" t="str">
        <f t="shared" si="80"/>
        <v>7,7A</v>
      </c>
      <c r="BK754" s="556">
        <f t="shared" si="81"/>
        <v>0</v>
      </c>
      <c r="BL754" s="556" t="str">
        <f t="shared" si="82"/>
        <v/>
      </c>
      <c r="BM754" s="497">
        <f t="shared" si="83"/>
        <v>45026</v>
      </c>
    </row>
    <row r="755" spans="1:65">
      <c r="A755">
        <v>20004</v>
      </c>
      <c r="B755" t="s">
        <v>27</v>
      </c>
      <c r="C755" t="s">
        <v>40</v>
      </c>
      <c r="D755" t="s">
        <v>1774</v>
      </c>
      <c r="E755" t="s">
        <v>1992</v>
      </c>
      <c r="F755" s="503">
        <v>42748</v>
      </c>
      <c r="H755" t="s">
        <v>52</v>
      </c>
      <c r="I755" t="s">
        <v>1753</v>
      </c>
      <c r="J755">
        <v>2000</v>
      </c>
      <c r="K755">
        <v>7</v>
      </c>
      <c r="L755" t="s">
        <v>66</v>
      </c>
      <c r="M755" t="s">
        <v>1481</v>
      </c>
      <c r="O755" t="s">
        <v>2303</v>
      </c>
      <c r="W755">
        <v>9.5299999999999994</v>
      </c>
      <c r="X755">
        <v>9.4</v>
      </c>
      <c r="Y755">
        <v>0</v>
      </c>
      <c r="Z755">
        <v>0</v>
      </c>
      <c r="AA755">
        <v>2</v>
      </c>
      <c r="AE755" t="s">
        <v>1039</v>
      </c>
      <c r="AI755">
        <v>60</v>
      </c>
      <c r="AJ755">
        <v>1860545</v>
      </c>
      <c r="AK755">
        <v>0</v>
      </c>
      <c r="AL755">
        <v>0</v>
      </c>
      <c r="AN755" t="s">
        <v>1704</v>
      </c>
      <c r="AO755">
        <v>5.45</v>
      </c>
      <c r="AX755">
        <v>20170113</v>
      </c>
      <c r="AY755" t="s">
        <v>1754</v>
      </c>
      <c r="BG755" s="556" t="str">
        <f t="shared" si="77"/>
        <v>O</v>
      </c>
      <c r="BH755" s="556" t="str">
        <f t="shared" si="78"/>
        <v/>
      </c>
      <c r="BI755" s="556" t="str">
        <f t="shared" si="79"/>
        <v/>
      </c>
      <c r="BJ755" s="556" t="str">
        <f t="shared" si="80"/>
        <v>7,7A,9A</v>
      </c>
      <c r="BK755" s="556" t="str">
        <f t="shared" si="81"/>
        <v>M6</v>
      </c>
      <c r="BL755" s="556" t="str">
        <f t="shared" si="82"/>
        <v/>
      </c>
      <c r="BM755" s="497">
        <f t="shared" si="83"/>
        <v>20004</v>
      </c>
    </row>
    <row r="756" spans="1:65">
      <c r="A756">
        <v>99010</v>
      </c>
      <c r="B756" t="s">
        <v>2279</v>
      </c>
      <c r="C756" t="s">
        <v>2280</v>
      </c>
      <c r="D756" t="s">
        <v>358</v>
      </c>
      <c r="F756" s="503">
        <v>44443</v>
      </c>
      <c r="H756" t="s">
        <v>2281</v>
      </c>
      <c r="I756" t="s">
        <v>1753</v>
      </c>
      <c r="J756">
        <v>2000</v>
      </c>
      <c r="K756" t="s">
        <v>1481</v>
      </c>
      <c r="W756">
        <v>11.4</v>
      </c>
      <c r="X756">
        <v>11.42</v>
      </c>
      <c r="Y756">
        <v>0</v>
      </c>
      <c r="Z756">
        <v>0</v>
      </c>
      <c r="AA756">
        <v>0</v>
      </c>
      <c r="AE756">
        <v>0</v>
      </c>
      <c r="AI756">
        <v>79</v>
      </c>
      <c r="AJ756">
        <v>1860630</v>
      </c>
      <c r="AK756">
        <v>0</v>
      </c>
      <c r="AN756" t="s">
        <v>1704</v>
      </c>
      <c r="AO756">
        <v>6.3</v>
      </c>
      <c r="AX756">
        <v>20210904</v>
      </c>
      <c r="AY756" t="s">
        <v>1972</v>
      </c>
      <c r="BG756" s="556" t="str">
        <f t="shared" si="77"/>
        <v>O</v>
      </c>
      <c r="BH756" s="556" t="str">
        <f t="shared" si="78"/>
        <v/>
      </c>
      <c r="BI756" s="556" t="str">
        <f t="shared" si="79"/>
        <v/>
      </c>
      <c r="BJ756" s="556" t="str">
        <f t="shared" si="80"/>
        <v>9A</v>
      </c>
      <c r="BK756" s="556">
        <f t="shared" si="81"/>
        <v>0</v>
      </c>
      <c r="BL756" s="556" t="str">
        <f t="shared" si="82"/>
        <v/>
      </c>
      <c r="BM756" s="497">
        <f t="shared" si="83"/>
        <v>99010</v>
      </c>
    </row>
    <row r="757" spans="1:65">
      <c r="A757">
        <v>99008</v>
      </c>
      <c r="B757" t="s">
        <v>1686</v>
      </c>
      <c r="C757" t="s">
        <v>2282</v>
      </c>
      <c r="D757" t="s">
        <v>358</v>
      </c>
      <c r="F757" s="503">
        <v>44413</v>
      </c>
      <c r="H757" t="s">
        <v>2281</v>
      </c>
      <c r="I757" t="s">
        <v>1753</v>
      </c>
      <c r="J757">
        <v>1000</v>
      </c>
      <c r="K757" t="s">
        <v>1481</v>
      </c>
      <c r="O757" t="s">
        <v>2305</v>
      </c>
      <c r="W757">
        <v>11.4</v>
      </c>
      <c r="X757">
        <v>18.96</v>
      </c>
      <c r="Y757">
        <v>0</v>
      </c>
      <c r="Z757">
        <v>0</v>
      </c>
      <c r="AA757">
        <v>0</v>
      </c>
      <c r="AE757" t="s">
        <v>1967</v>
      </c>
      <c r="AI757">
        <v>82</v>
      </c>
      <c r="AJ757">
        <v>1810630</v>
      </c>
      <c r="AK757">
        <v>0</v>
      </c>
      <c r="AN757" t="s">
        <v>1727</v>
      </c>
      <c r="AO757">
        <v>6.3</v>
      </c>
      <c r="AX757">
        <v>20210805</v>
      </c>
      <c r="AY757" t="s">
        <v>1800</v>
      </c>
      <c r="AZ757" t="s">
        <v>2158</v>
      </c>
      <c r="BA757" t="s">
        <v>2166</v>
      </c>
      <c r="BG757" s="556" t="str">
        <f t="shared" si="77"/>
        <v>O</v>
      </c>
      <c r="BH757" s="556" t="str">
        <f t="shared" si="78"/>
        <v>Y</v>
      </c>
      <c r="BI757" s="556" t="str">
        <f t="shared" si="79"/>
        <v/>
      </c>
      <c r="BJ757" s="556" t="str">
        <f t="shared" si="80"/>
        <v>9A</v>
      </c>
      <c r="BK757" s="556" t="str">
        <f t="shared" si="81"/>
        <v>S2</v>
      </c>
      <c r="BL757" s="556" t="str">
        <f t="shared" si="82"/>
        <v/>
      </c>
      <c r="BM757" s="497">
        <f t="shared" si="83"/>
        <v>99008</v>
      </c>
    </row>
    <row r="758" spans="1:65">
      <c r="A758" t="s">
        <v>2274</v>
      </c>
      <c r="B758" t="s">
        <v>2188</v>
      </c>
      <c r="C758" t="s">
        <v>1056</v>
      </c>
      <c r="D758" t="s">
        <v>1782</v>
      </c>
      <c r="F758" s="503">
        <v>44288</v>
      </c>
      <c r="H758" t="s">
        <v>2283</v>
      </c>
      <c r="I758" t="s">
        <v>1753</v>
      </c>
      <c r="J758">
        <v>0</v>
      </c>
      <c r="K758" t="s">
        <v>1756</v>
      </c>
      <c r="W758">
        <v>0</v>
      </c>
      <c r="X758">
        <v>2.67</v>
      </c>
      <c r="Y758">
        <v>0</v>
      </c>
      <c r="Z758">
        <v>0</v>
      </c>
      <c r="AA758">
        <v>0</v>
      </c>
      <c r="AE758">
        <v>0</v>
      </c>
      <c r="AI758">
        <v>84</v>
      </c>
      <c r="AJ758" t="s">
        <v>2284</v>
      </c>
      <c r="AK758">
        <v>0</v>
      </c>
      <c r="AL758">
        <v>0</v>
      </c>
      <c r="AN758" t="s">
        <v>2063</v>
      </c>
      <c r="AO758" t="s">
        <v>2156</v>
      </c>
      <c r="AX758">
        <v>20210402</v>
      </c>
      <c r="AY758" t="s">
        <v>1786</v>
      </c>
      <c r="BG758" s="556" t="str">
        <f t="shared" si="77"/>
        <v>X</v>
      </c>
      <c r="BH758" s="556" t="str">
        <f t="shared" si="78"/>
        <v>Y</v>
      </c>
      <c r="BI758" s="556" t="str">
        <f t="shared" si="79"/>
        <v/>
      </c>
      <c r="BJ758" s="556" t="str">
        <f t="shared" si="80"/>
        <v>Z</v>
      </c>
      <c r="BK758" s="556">
        <f t="shared" si="81"/>
        <v>0</v>
      </c>
      <c r="BL758" s="556" t="str">
        <f t="shared" si="82"/>
        <v/>
      </c>
      <c r="BM758" s="497" t="str">
        <f t="shared" si="83"/>
        <v>PUR</v>
      </c>
    </row>
    <row r="759" spans="1:65">
      <c r="A759" t="s">
        <v>2274</v>
      </c>
      <c r="B759" t="s">
        <v>2194</v>
      </c>
      <c r="C759" t="s">
        <v>1056</v>
      </c>
      <c r="D759" t="s">
        <v>1782</v>
      </c>
      <c r="F759" s="503">
        <v>44288</v>
      </c>
      <c r="H759" t="s">
        <v>2285</v>
      </c>
      <c r="I759" t="s">
        <v>1753</v>
      </c>
      <c r="J759">
        <v>0</v>
      </c>
      <c r="K759" t="s">
        <v>1756</v>
      </c>
      <c r="W759">
        <v>14.98</v>
      </c>
      <c r="X759">
        <v>14.98</v>
      </c>
      <c r="Y759">
        <v>0</v>
      </c>
      <c r="Z759">
        <v>0</v>
      </c>
      <c r="AA759">
        <v>0</v>
      </c>
      <c r="AE759">
        <v>0</v>
      </c>
      <c r="AI759">
        <v>84</v>
      </c>
      <c r="AJ759" t="s">
        <v>2210</v>
      </c>
      <c r="AK759">
        <v>0</v>
      </c>
      <c r="AL759">
        <v>0</v>
      </c>
      <c r="AN759" t="s">
        <v>2054</v>
      </c>
      <c r="AO759" t="s">
        <v>2211</v>
      </c>
      <c r="AX759">
        <v>20210402</v>
      </c>
      <c r="AY759" t="s">
        <v>1786</v>
      </c>
      <c r="BG759" s="556" t="str">
        <f t="shared" si="77"/>
        <v>X</v>
      </c>
      <c r="BH759" s="556" t="str">
        <f t="shared" si="78"/>
        <v>Y</v>
      </c>
      <c r="BI759" s="556" t="str">
        <f t="shared" si="79"/>
        <v/>
      </c>
      <c r="BJ759" s="556" t="str">
        <f t="shared" si="80"/>
        <v>Z</v>
      </c>
      <c r="BK759" s="556">
        <f t="shared" si="81"/>
        <v>0</v>
      </c>
      <c r="BL759" s="556" t="str">
        <f t="shared" si="82"/>
        <v/>
      </c>
      <c r="BM759" s="497" t="str">
        <f t="shared" si="83"/>
        <v>PUR</v>
      </c>
    </row>
    <row r="760" spans="1:65">
      <c r="A760">
        <v>20046</v>
      </c>
      <c r="B760" t="s">
        <v>171</v>
      </c>
      <c r="C760" t="s">
        <v>172</v>
      </c>
      <c r="D760" t="s">
        <v>1839</v>
      </c>
      <c r="F760" s="503">
        <v>42956</v>
      </c>
      <c r="H760" t="s">
        <v>177</v>
      </c>
      <c r="I760" t="s">
        <v>1753</v>
      </c>
      <c r="J760">
        <v>700</v>
      </c>
      <c r="K760">
        <v>7</v>
      </c>
      <c r="L760" t="s">
        <v>66</v>
      </c>
      <c r="O760" t="s">
        <v>2305</v>
      </c>
      <c r="W760">
        <v>12.8</v>
      </c>
      <c r="X760">
        <v>21.76</v>
      </c>
      <c r="Y760">
        <v>0</v>
      </c>
      <c r="Z760">
        <v>0</v>
      </c>
      <c r="AA760">
        <v>3</v>
      </c>
      <c r="AB760" t="s">
        <v>2286</v>
      </c>
      <c r="AE760" t="s">
        <v>1039</v>
      </c>
      <c r="AI760">
        <v>70</v>
      </c>
      <c r="AJ760">
        <v>4360565</v>
      </c>
      <c r="AK760">
        <v>0</v>
      </c>
      <c r="AL760">
        <v>0</v>
      </c>
      <c r="AN760" t="s">
        <v>134</v>
      </c>
      <c r="AO760">
        <v>5.65</v>
      </c>
      <c r="AX760">
        <v>20170809</v>
      </c>
      <c r="AY760" t="s">
        <v>1939</v>
      </c>
      <c r="AZ760" t="s">
        <v>2141</v>
      </c>
      <c r="BG760" s="556" t="str">
        <f t="shared" si="77"/>
        <v>O</v>
      </c>
      <c r="BH760" s="556" t="str">
        <f t="shared" si="78"/>
        <v>Y</v>
      </c>
      <c r="BI760" s="556" t="str">
        <f t="shared" si="79"/>
        <v/>
      </c>
      <c r="BJ760" s="556" t="str">
        <f t="shared" si="80"/>
        <v>7,7A</v>
      </c>
      <c r="BK760" s="556" t="str">
        <f t="shared" si="81"/>
        <v>S2</v>
      </c>
      <c r="BL760" s="556" t="str">
        <f t="shared" si="82"/>
        <v/>
      </c>
      <c r="BM760" s="497">
        <f t="shared" si="83"/>
        <v>20046</v>
      </c>
    </row>
    <row r="761" spans="1:65">
      <c r="A761">
        <v>20058</v>
      </c>
      <c r="B761" t="s">
        <v>489</v>
      </c>
      <c r="C761" t="s">
        <v>491</v>
      </c>
      <c r="D761" t="s">
        <v>1763</v>
      </c>
      <c r="F761" s="503">
        <v>43286</v>
      </c>
      <c r="H761" t="s">
        <v>492</v>
      </c>
      <c r="I761" t="s">
        <v>1753</v>
      </c>
      <c r="J761">
        <v>1000</v>
      </c>
      <c r="K761">
        <v>8</v>
      </c>
      <c r="W761">
        <v>12.36</v>
      </c>
      <c r="X761">
        <v>12.13</v>
      </c>
      <c r="Y761">
        <v>0</v>
      </c>
      <c r="Z761">
        <v>0</v>
      </c>
      <c r="AA761">
        <v>0</v>
      </c>
      <c r="AE761">
        <v>0</v>
      </c>
      <c r="AI761">
        <v>79</v>
      </c>
      <c r="AJ761">
        <v>1000965</v>
      </c>
      <c r="AK761">
        <v>0</v>
      </c>
      <c r="AN761" t="s">
        <v>133</v>
      </c>
      <c r="AO761">
        <v>9.65</v>
      </c>
      <c r="AX761">
        <v>20180705</v>
      </c>
      <c r="AY761" t="s">
        <v>1972</v>
      </c>
      <c r="BG761" s="556" t="str">
        <f t="shared" si="77"/>
        <v>O</v>
      </c>
      <c r="BH761" s="556" t="str">
        <f t="shared" si="78"/>
        <v/>
      </c>
      <c r="BI761" s="556" t="str">
        <f t="shared" si="79"/>
        <v/>
      </c>
      <c r="BJ761" s="556">
        <f t="shared" si="80"/>
        <v>8</v>
      </c>
      <c r="BK761" s="556">
        <f t="shared" si="81"/>
        <v>0</v>
      </c>
      <c r="BL761" s="556" t="str">
        <f t="shared" si="82"/>
        <v/>
      </c>
      <c r="BM761" s="497">
        <f t="shared" si="83"/>
        <v>20058</v>
      </c>
    </row>
    <row r="762" spans="1:65">
      <c r="A762">
        <v>20059</v>
      </c>
      <c r="B762" t="s">
        <v>471</v>
      </c>
      <c r="C762" t="s">
        <v>473</v>
      </c>
      <c r="D762" t="s">
        <v>1763</v>
      </c>
      <c r="F762" s="503">
        <v>43286</v>
      </c>
      <c r="H762" t="s">
        <v>474</v>
      </c>
      <c r="I762" t="s">
        <v>1753</v>
      </c>
      <c r="J762">
        <v>800</v>
      </c>
      <c r="K762">
        <v>8</v>
      </c>
      <c r="W762">
        <v>20.68</v>
      </c>
      <c r="X762">
        <v>20.3</v>
      </c>
      <c r="Y762">
        <v>0</v>
      </c>
      <c r="Z762">
        <v>0</v>
      </c>
      <c r="AA762">
        <v>0</v>
      </c>
      <c r="AE762">
        <v>0</v>
      </c>
      <c r="AI762">
        <v>79</v>
      </c>
      <c r="AJ762">
        <v>1000780</v>
      </c>
      <c r="AK762">
        <v>0</v>
      </c>
      <c r="AN762" t="s">
        <v>133</v>
      </c>
      <c r="AO762">
        <v>7.8</v>
      </c>
      <c r="AX762">
        <v>20180705</v>
      </c>
      <c r="AY762" t="s">
        <v>1972</v>
      </c>
      <c r="BG762" s="556" t="str">
        <f t="shared" si="77"/>
        <v>O</v>
      </c>
      <c r="BH762" s="556" t="str">
        <f t="shared" si="78"/>
        <v/>
      </c>
      <c r="BI762" s="556" t="str">
        <f t="shared" si="79"/>
        <v/>
      </c>
      <c r="BJ762" s="556">
        <f t="shared" si="80"/>
        <v>8</v>
      </c>
      <c r="BK762" s="556">
        <f t="shared" si="81"/>
        <v>0</v>
      </c>
      <c r="BL762" s="556" t="str">
        <f t="shared" si="82"/>
        <v/>
      </c>
      <c r="BM762" s="497">
        <f t="shared" si="83"/>
        <v>20059</v>
      </c>
    </row>
    <row r="763" spans="1:65">
      <c r="A763">
        <v>45027</v>
      </c>
      <c r="B763" t="s">
        <v>3534</v>
      </c>
      <c r="C763" t="s">
        <v>3531</v>
      </c>
      <c r="D763" t="s">
        <v>3280</v>
      </c>
      <c r="F763" s="503">
        <v>46128</v>
      </c>
      <c r="H763" t="s">
        <v>3535</v>
      </c>
      <c r="I763" t="s">
        <v>1753</v>
      </c>
      <c r="J763">
        <v>0</v>
      </c>
      <c r="K763">
        <v>3</v>
      </c>
      <c r="W763">
        <v>24.4</v>
      </c>
      <c r="X763">
        <v>24.4</v>
      </c>
      <c r="Y763">
        <v>0</v>
      </c>
      <c r="Z763">
        <v>0</v>
      </c>
      <c r="AA763">
        <v>206</v>
      </c>
      <c r="AE763" t="s">
        <v>3533</v>
      </c>
      <c r="AI763">
        <v>70</v>
      </c>
      <c r="AJ763">
        <v>1850705</v>
      </c>
      <c r="AK763">
        <v>0</v>
      </c>
      <c r="AL763">
        <v>0</v>
      </c>
      <c r="AN763" t="s">
        <v>1703</v>
      </c>
      <c r="AO763">
        <v>7.05</v>
      </c>
      <c r="AX763">
        <v>20260416</v>
      </c>
      <c r="AY763" t="s">
        <v>1939</v>
      </c>
      <c r="BG763" s="556" t="str">
        <f t="shared" si="77"/>
        <v>O</v>
      </c>
      <c r="BH763" s="556" t="str">
        <f t="shared" si="78"/>
        <v>Y</v>
      </c>
      <c r="BI763" s="556" t="str">
        <f t="shared" si="79"/>
        <v/>
      </c>
      <c r="BJ763" s="556">
        <f t="shared" si="80"/>
        <v>3</v>
      </c>
      <c r="BK763" s="556">
        <f t="shared" si="81"/>
        <v>0</v>
      </c>
      <c r="BL763" s="556" t="str">
        <f t="shared" si="82"/>
        <v/>
      </c>
      <c r="BM763" s="497">
        <f t="shared" si="83"/>
        <v>45027</v>
      </c>
    </row>
    <row r="764" spans="1:65">
      <c r="B764" t="s">
        <v>2183</v>
      </c>
      <c r="C764" t="s">
        <v>2287</v>
      </c>
      <c r="D764" t="s">
        <v>1782</v>
      </c>
      <c r="F764" s="503">
        <v>44869</v>
      </c>
      <c r="I764" t="s">
        <v>1753</v>
      </c>
      <c r="J764">
        <v>0</v>
      </c>
      <c r="K764" t="s">
        <v>1756</v>
      </c>
      <c r="W764">
        <v>1</v>
      </c>
      <c r="X764">
        <v>1</v>
      </c>
      <c r="Y764">
        <v>0</v>
      </c>
      <c r="Z764">
        <v>0</v>
      </c>
      <c r="AA764">
        <v>0</v>
      </c>
      <c r="AE764">
        <v>0</v>
      </c>
      <c r="AI764">
        <v>95</v>
      </c>
      <c r="AJ764" t="s">
        <v>2288</v>
      </c>
      <c r="AK764">
        <v>0</v>
      </c>
      <c r="AN764">
        <v>0</v>
      </c>
      <c r="AO764">
        <v>0</v>
      </c>
      <c r="AX764">
        <v>20221104</v>
      </c>
      <c r="AY764" t="s">
        <v>2289</v>
      </c>
      <c r="BG764" s="556" t="str">
        <f t="shared" si="77"/>
        <v>X</v>
      </c>
      <c r="BH764" s="556" t="str">
        <f t="shared" si="78"/>
        <v/>
      </c>
      <c r="BI764" s="556" t="str">
        <f t="shared" si="79"/>
        <v>Y</v>
      </c>
      <c r="BJ764" s="556" t="str">
        <f t="shared" si="80"/>
        <v>Z</v>
      </c>
      <c r="BK764" s="556">
        <f t="shared" si="81"/>
        <v>0</v>
      </c>
      <c r="BL764" s="556" t="str">
        <f t="shared" si="82"/>
        <v/>
      </c>
      <c r="BM764" s="497">
        <f t="shared" si="83"/>
        <v>0</v>
      </c>
    </row>
    <row r="765" spans="1:65">
      <c r="A765">
        <v>40065</v>
      </c>
      <c r="B765" t="s">
        <v>3409</v>
      </c>
      <c r="C765" t="s">
        <v>3410</v>
      </c>
      <c r="D765" t="s">
        <v>1803</v>
      </c>
      <c r="F765" s="503">
        <v>46043</v>
      </c>
      <c r="H765" t="s">
        <v>3411</v>
      </c>
      <c r="I765" t="s">
        <v>1753</v>
      </c>
      <c r="J765">
        <v>0</v>
      </c>
      <c r="K765" t="s">
        <v>1481</v>
      </c>
      <c r="O765" t="s">
        <v>1068</v>
      </c>
      <c r="W765">
        <v>0.9</v>
      </c>
      <c r="X765">
        <v>0.9</v>
      </c>
      <c r="Y765">
        <v>0</v>
      </c>
      <c r="Z765">
        <v>0</v>
      </c>
      <c r="AA765">
        <v>0</v>
      </c>
      <c r="AE765" t="s">
        <v>1761</v>
      </c>
      <c r="AI765">
        <v>57</v>
      </c>
      <c r="AJ765">
        <v>3020417</v>
      </c>
      <c r="AK765">
        <v>0</v>
      </c>
      <c r="AL765">
        <v>0</v>
      </c>
      <c r="AN765" t="s">
        <v>135</v>
      </c>
      <c r="AO765">
        <v>4.17</v>
      </c>
      <c r="AX765">
        <v>20260121</v>
      </c>
      <c r="AY765" t="s">
        <v>1780</v>
      </c>
      <c r="BG765" s="556" t="str">
        <f t="shared" si="77"/>
        <v>O</v>
      </c>
      <c r="BH765" s="556" t="str">
        <f t="shared" si="78"/>
        <v/>
      </c>
      <c r="BI765" s="556" t="str">
        <f t="shared" si="79"/>
        <v/>
      </c>
      <c r="BJ765" s="556" t="str">
        <f t="shared" si="80"/>
        <v>9A</v>
      </c>
      <c r="BK765" s="556" t="str">
        <f t="shared" si="81"/>
        <v>M4</v>
      </c>
      <c r="BL765" s="556" t="str">
        <f t="shared" si="82"/>
        <v/>
      </c>
      <c r="BM765" s="497">
        <f t="shared" si="83"/>
        <v>40065</v>
      </c>
    </row>
    <row r="766" spans="1:65">
      <c r="B766" t="s">
        <v>2869</v>
      </c>
      <c r="C766" t="s">
        <v>2292</v>
      </c>
      <c r="D766" t="s">
        <v>358</v>
      </c>
      <c r="F766" s="503">
        <v>44345</v>
      </c>
      <c r="I766" t="s">
        <v>1753</v>
      </c>
      <c r="J766">
        <v>0</v>
      </c>
      <c r="W766">
        <v>1</v>
      </c>
      <c r="X766">
        <v>1</v>
      </c>
      <c r="Y766">
        <v>0</v>
      </c>
      <c r="Z766">
        <v>0</v>
      </c>
      <c r="AA766">
        <v>0</v>
      </c>
      <c r="AE766" t="s">
        <v>325</v>
      </c>
      <c r="AI766">
        <v>84</v>
      </c>
      <c r="AJ766" t="s">
        <v>2288</v>
      </c>
      <c r="AK766">
        <v>0</v>
      </c>
      <c r="AL766">
        <v>0</v>
      </c>
      <c r="AN766">
        <v>0</v>
      </c>
      <c r="AO766">
        <v>0</v>
      </c>
      <c r="AX766">
        <v>20210529</v>
      </c>
      <c r="AY766" t="s">
        <v>1786</v>
      </c>
      <c r="BG766" s="556" t="str">
        <f t="shared" si="77"/>
        <v>X</v>
      </c>
      <c r="BH766" s="556" t="str">
        <f t="shared" si="78"/>
        <v>Y</v>
      </c>
      <c r="BI766" s="556" t="str">
        <f t="shared" si="79"/>
        <v/>
      </c>
      <c r="BJ766" s="556">
        <f t="shared" si="80"/>
        <v>0</v>
      </c>
      <c r="BK766" s="556">
        <f t="shared" si="81"/>
        <v>0</v>
      </c>
      <c r="BL766" s="556" t="str">
        <f t="shared" si="82"/>
        <v/>
      </c>
      <c r="BM766" s="497">
        <f t="shared" si="83"/>
        <v>0</v>
      </c>
    </row>
    <row r="767" spans="1:65">
      <c r="B767" t="s">
        <v>1204</v>
      </c>
      <c r="C767" t="s">
        <v>720</v>
      </c>
      <c r="D767" t="s">
        <v>1816</v>
      </c>
      <c r="F767" s="503">
        <v>43748</v>
      </c>
      <c r="H767" t="s">
        <v>236</v>
      </c>
      <c r="I767" t="s">
        <v>2293</v>
      </c>
      <c r="J767">
        <v>50</v>
      </c>
      <c r="W767">
        <v>16.96</v>
      </c>
      <c r="X767">
        <v>16.96</v>
      </c>
      <c r="Y767">
        <v>0</v>
      </c>
      <c r="Z767">
        <v>0</v>
      </c>
      <c r="AA767">
        <v>0</v>
      </c>
      <c r="AE767">
        <v>0</v>
      </c>
      <c r="AI767">
        <v>50</v>
      </c>
      <c r="AJ767" t="s">
        <v>2288</v>
      </c>
      <c r="AK767">
        <v>0</v>
      </c>
      <c r="AL767">
        <v>0</v>
      </c>
      <c r="AN767">
        <v>0</v>
      </c>
      <c r="AO767">
        <v>0</v>
      </c>
      <c r="AX767">
        <v>20191010</v>
      </c>
      <c r="AY767" t="s">
        <v>2294</v>
      </c>
      <c r="AZ767" t="s">
        <v>234</v>
      </c>
      <c r="BA767" t="s">
        <v>1085</v>
      </c>
      <c r="BB767" t="s">
        <v>2320</v>
      </c>
      <c r="BG767" s="556" t="str">
        <f t="shared" si="77"/>
        <v>O</v>
      </c>
      <c r="BH767" s="556" t="str">
        <f t="shared" si="78"/>
        <v/>
      </c>
      <c r="BI767" s="556" t="str">
        <f t="shared" si="79"/>
        <v/>
      </c>
      <c r="BJ767" s="556">
        <f t="shared" si="80"/>
        <v>0</v>
      </c>
      <c r="BK767" s="556">
        <f t="shared" si="81"/>
        <v>0</v>
      </c>
      <c r="BL767" s="556" t="str">
        <f t="shared" si="82"/>
        <v/>
      </c>
      <c r="BM767" s="497">
        <f t="shared" si="83"/>
        <v>0</v>
      </c>
    </row>
    <row r="768" spans="1:65">
      <c r="B768" t="s">
        <v>718</v>
      </c>
      <c r="C768" t="s">
        <v>720</v>
      </c>
      <c r="D768" t="s">
        <v>1813</v>
      </c>
      <c r="F768" s="503">
        <v>44008</v>
      </c>
      <c r="H768" t="s">
        <v>59</v>
      </c>
      <c r="I768" t="s">
        <v>2295</v>
      </c>
      <c r="J768">
        <v>200</v>
      </c>
      <c r="W768">
        <v>1.9</v>
      </c>
      <c r="X768">
        <v>1.9</v>
      </c>
      <c r="Y768">
        <v>0</v>
      </c>
      <c r="Z768">
        <v>0</v>
      </c>
      <c r="AA768">
        <v>0</v>
      </c>
      <c r="AE768" t="s">
        <v>1773</v>
      </c>
      <c r="AI768">
        <v>83</v>
      </c>
      <c r="AJ768" t="s">
        <v>2288</v>
      </c>
      <c r="AK768">
        <v>0</v>
      </c>
      <c r="AL768">
        <v>0</v>
      </c>
      <c r="AN768">
        <v>0</v>
      </c>
      <c r="AO768">
        <v>0</v>
      </c>
      <c r="AV768" s="504">
        <v>46088</v>
      </c>
      <c r="AX768">
        <v>20200626</v>
      </c>
      <c r="AY768" t="s">
        <v>2296</v>
      </c>
      <c r="AZ768" t="s">
        <v>195</v>
      </c>
      <c r="BA768" t="s">
        <v>2320</v>
      </c>
      <c r="BG768" s="556" t="str">
        <f t="shared" si="77"/>
        <v>O</v>
      </c>
      <c r="BH768" s="556" t="str">
        <f t="shared" si="78"/>
        <v/>
      </c>
      <c r="BI768" s="556" t="str">
        <f t="shared" si="79"/>
        <v/>
      </c>
      <c r="BJ768" s="556">
        <f t="shared" si="80"/>
        <v>0</v>
      </c>
      <c r="BK768" s="556">
        <f t="shared" si="81"/>
        <v>0</v>
      </c>
      <c r="BL768" s="556" t="str">
        <f t="shared" si="82"/>
        <v/>
      </c>
      <c r="BM768" s="497">
        <f t="shared" si="83"/>
        <v>0</v>
      </c>
    </row>
    <row r="769" spans="1:65">
      <c r="B769" t="s">
        <v>2297</v>
      </c>
      <c r="C769" t="s">
        <v>720</v>
      </c>
      <c r="D769" t="s">
        <v>1816</v>
      </c>
      <c r="F769" s="503">
        <v>44158</v>
      </c>
      <c r="H769" t="s">
        <v>236</v>
      </c>
      <c r="I769" t="s">
        <v>1753</v>
      </c>
      <c r="J769">
        <v>50</v>
      </c>
      <c r="W769">
        <v>17.5</v>
      </c>
      <c r="X769">
        <v>17.5</v>
      </c>
      <c r="Y769">
        <v>0</v>
      </c>
      <c r="Z769">
        <v>0</v>
      </c>
      <c r="AA769">
        <v>0</v>
      </c>
      <c r="AE769">
        <v>0</v>
      </c>
      <c r="AI769">
        <v>50</v>
      </c>
      <c r="AJ769" t="s">
        <v>2288</v>
      </c>
      <c r="AK769">
        <v>0</v>
      </c>
      <c r="AL769">
        <v>0</v>
      </c>
      <c r="AN769">
        <v>0</v>
      </c>
      <c r="AO769">
        <v>0</v>
      </c>
      <c r="AX769">
        <v>20201123</v>
      </c>
      <c r="AY769" t="s">
        <v>2294</v>
      </c>
      <c r="AZ769" t="s">
        <v>234</v>
      </c>
      <c r="BA769" t="s">
        <v>1085</v>
      </c>
      <c r="BB769" t="s">
        <v>2221</v>
      </c>
      <c r="BG769" s="556" t="str">
        <f t="shared" si="77"/>
        <v>O</v>
      </c>
      <c r="BH769" s="556" t="str">
        <f t="shared" si="78"/>
        <v/>
      </c>
      <c r="BI769" s="556" t="str">
        <f t="shared" si="79"/>
        <v/>
      </c>
      <c r="BJ769" s="556">
        <f t="shared" si="80"/>
        <v>0</v>
      </c>
      <c r="BK769" s="556">
        <f t="shared" si="81"/>
        <v>0</v>
      </c>
      <c r="BL769" s="556" t="str">
        <f t="shared" si="82"/>
        <v/>
      </c>
      <c r="BM769" s="497">
        <f t="shared" si="83"/>
        <v>0</v>
      </c>
    </row>
    <row r="770" spans="1:65">
      <c r="B770" t="s">
        <v>2298</v>
      </c>
      <c r="C770" t="s">
        <v>720</v>
      </c>
      <c r="D770" t="s">
        <v>1816</v>
      </c>
      <c r="F770" s="503">
        <v>44158</v>
      </c>
      <c r="H770" t="s">
        <v>59</v>
      </c>
      <c r="I770" t="s">
        <v>1753</v>
      </c>
      <c r="J770">
        <v>200</v>
      </c>
      <c r="W770">
        <v>2.44</v>
      </c>
      <c r="X770">
        <v>2.44</v>
      </c>
      <c r="Y770">
        <v>0</v>
      </c>
      <c r="Z770">
        <v>0</v>
      </c>
      <c r="AA770">
        <v>0</v>
      </c>
      <c r="AE770" t="s">
        <v>1773</v>
      </c>
      <c r="AI770">
        <v>50</v>
      </c>
      <c r="AJ770" t="s">
        <v>2288</v>
      </c>
      <c r="AK770">
        <v>0</v>
      </c>
      <c r="AL770">
        <v>0</v>
      </c>
      <c r="AN770">
        <v>0</v>
      </c>
      <c r="AO770">
        <v>0</v>
      </c>
      <c r="AX770">
        <v>20201123</v>
      </c>
      <c r="AY770" t="s">
        <v>2294</v>
      </c>
      <c r="AZ770" t="s">
        <v>195</v>
      </c>
      <c r="BA770" t="s">
        <v>2221</v>
      </c>
      <c r="BG770" s="556" t="str">
        <f t="shared" si="77"/>
        <v>O</v>
      </c>
      <c r="BH770" s="556" t="str">
        <f t="shared" si="78"/>
        <v/>
      </c>
      <c r="BI770" s="556" t="str">
        <f t="shared" si="79"/>
        <v/>
      </c>
      <c r="BJ770" s="556">
        <f t="shared" si="80"/>
        <v>0</v>
      </c>
      <c r="BK770" s="556">
        <f t="shared" si="81"/>
        <v>0</v>
      </c>
      <c r="BL770" s="556" t="str">
        <f t="shared" si="82"/>
        <v/>
      </c>
      <c r="BM770" s="497">
        <f t="shared" si="83"/>
        <v>0</v>
      </c>
    </row>
    <row r="771" spans="1:65">
      <c r="A771">
        <v>52013</v>
      </c>
      <c r="B771" t="s">
        <v>1682</v>
      </c>
      <c r="C771" t="s">
        <v>43</v>
      </c>
      <c r="D771" t="s">
        <v>1755</v>
      </c>
      <c r="F771" s="503">
        <v>43711</v>
      </c>
      <c r="H771" t="s">
        <v>371</v>
      </c>
      <c r="I771" t="s">
        <v>1753</v>
      </c>
      <c r="J771">
        <v>150</v>
      </c>
      <c r="K771">
        <v>2</v>
      </c>
      <c r="O771" t="s">
        <v>2308</v>
      </c>
      <c r="W771">
        <v>56.7</v>
      </c>
      <c r="X771">
        <v>104.5</v>
      </c>
      <c r="Y771">
        <v>0</v>
      </c>
      <c r="Z771">
        <v>0</v>
      </c>
      <c r="AA771">
        <v>0</v>
      </c>
      <c r="AE771" t="s">
        <v>1039</v>
      </c>
      <c r="AI771">
        <v>18</v>
      </c>
      <c r="AJ771">
        <v>1001135</v>
      </c>
      <c r="AK771">
        <v>0</v>
      </c>
      <c r="AN771" t="s">
        <v>133</v>
      </c>
      <c r="AO771">
        <v>11.35</v>
      </c>
      <c r="AX771">
        <v>20190903</v>
      </c>
      <c r="AY771" t="s">
        <v>1800</v>
      </c>
      <c r="AZ771" t="s">
        <v>2225</v>
      </c>
      <c r="BA771" t="s">
        <v>2223</v>
      </c>
      <c r="BG771" s="556" t="str">
        <f t="shared" ref="BG771:BG834" si="84">IF(LEFT(AY771,2)="98","X","O")</f>
        <v>O</v>
      </c>
      <c r="BH771" s="556" t="str">
        <f t="shared" ref="BH771:BH834" si="85">IF(IFERROR(SEARCH("45",$AY771,1),0)&gt;0,"Y","")</f>
        <v>Y</v>
      </c>
      <c r="BI771" s="556" t="str">
        <f t="shared" ref="BI771:BI834" si="86">IF(IFERROR(SEARCH("86",$AY771,1),0)&gt;0,"Y","")</f>
        <v/>
      </c>
      <c r="BJ771" s="556">
        <f t="shared" ref="BJ771:BJ834" si="87">IF(L771="",K771,IF(M771="",K771&amp;","&amp;L771,IF(N771="",K771&amp;","&amp;L771&amp;","&amp;M771,K771&amp;","&amp;L771&amp;","&amp;M771&amp;","&amp;N771)))</f>
        <v>2</v>
      </c>
      <c r="BK771" s="556" t="str">
        <f t="shared" ref="BK771:BK834" si="88">IF(P771="",O771,IF(Q771="",O771&amp;","&amp;P771,IF(R771="",O771&amp;","&amp;P771&amp;","&amp;Q771,IO771&amp;","&amp;P771&amp;","&amp;Q771&amp;","&amp;R771)))</f>
        <v>S1</v>
      </c>
      <c r="BL771" s="556" t="str">
        <f t="shared" ref="BL771:BL834" si="89">IF(S771=0,"",S771)</f>
        <v/>
      </c>
      <c r="BM771" s="497">
        <f t="shared" ref="BM771:BM834" si="90">A771</f>
        <v>52013</v>
      </c>
    </row>
    <row r="772" spans="1:65">
      <c r="BG772" s="556" t="str">
        <f t="shared" si="84"/>
        <v>O</v>
      </c>
      <c r="BH772" s="556" t="str">
        <f t="shared" si="85"/>
        <v/>
      </c>
      <c r="BI772" s="556" t="str">
        <f t="shared" si="86"/>
        <v/>
      </c>
      <c r="BJ772" s="556">
        <f t="shared" si="87"/>
        <v>0</v>
      </c>
      <c r="BK772" s="556">
        <f t="shared" si="88"/>
        <v>0</v>
      </c>
      <c r="BL772" s="556" t="str">
        <f t="shared" si="89"/>
        <v/>
      </c>
      <c r="BM772" s="497">
        <f t="shared" si="90"/>
        <v>0</v>
      </c>
    </row>
    <row r="773" spans="1:65">
      <c r="BG773" s="556" t="str">
        <f t="shared" si="84"/>
        <v>O</v>
      </c>
      <c r="BH773" s="556" t="str">
        <f t="shared" si="85"/>
        <v/>
      </c>
      <c r="BI773" s="556" t="str">
        <f t="shared" si="86"/>
        <v/>
      </c>
      <c r="BJ773" s="556">
        <f t="shared" si="87"/>
        <v>0</v>
      </c>
      <c r="BK773" s="556">
        <f t="shared" si="88"/>
        <v>0</v>
      </c>
      <c r="BL773" s="556" t="str">
        <f t="shared" si="89"/>
        <v/>
      </c>
      <c r="BM773" s="497">
        <f t="shared" si="90"/>
        <v>0</v>
      </c>
    </row>
    <row r="774" spans="1:65">
      <c r="BG774" s="556" t="str">
        <f t="shared" si="84"/>
        <v>O</v>
      </c>
      <c r="BH774" s="556" t="str">
        <f t="shared" si="85"/>
        <v/>
      </c>
      <c r="BI774" s="556" t="str">
        <f t="shared" si="86"/>
        <v/>
      </c>
      <c r="BJ774" s="556">
        <f t="shared" si="87"/>
        <v>0</v>
      </c>
      <c r="BK774" s="556">
        <f t="shared" si="88"/>
        <v>0</v>
      </c>
      <c r="BL774" s="556" t="str">
        <f t="shared" si="89"/>
        <v/>
      </c>
      <c r="BM774" s="497">
        <f t="shared" si="90"/>
        <v>0</v>
      </c>
    </row>
    <row r="775" spans="1:65">
      <c r="BG775" s="556" t="str">
        <f t="shared" si="84"/>
        <v>O</v>
      </c>
      <c r="BH775" s="556" t="str">
        <f t="shared" si="85"/>
        <v/>
      </c>
      <c r="BI775" s="556" t="str">
        <f t="shared" si="86"/>
        <v/>
      </c>
      <c r="BJ775" s="556">
        <f t="shared" si="87"/>
        <v>0</v>
      </c>
      <c r="BK775" s="556">
        <f t="shared" si="88"/>
        <v>0</v>
      </c>
      <c r="BL775" s="556" t="str">
        <f t="shared" si="89"/>
        <v/>
      </c>
      <c r="BM775" s="497">
        <f t="shared" si="90"/>
        <v>0</v>
      </c>
    </row>
    <row r="776" spans="1:65">
      <c r="BG776" s="556" t="str">
        <f t="shared" si="84"/>
        <v>O</v>
      </c>
      <c r="BH776" s="556" t="str">
        <f t="shared" si="85"/>
        <v/>
      </c>
      <c r="BI776" s="556" t="str">
        <f t="shared" si="86"/>
        <v/>
      </c>
      <c r="BJ776" s="556">
        <f t="shared" si="87"/>
        <v>0</v>
      </c>
      <c r="BK776" s="556">
        <f t="shared" si="88"/>
        <v>0</v>
      </c>
      <c r="BL776" s="556" t="str">
        <f t="shared" si="89"/>
        <v/>
      </c>
      <c r="BM776" s="497">
        <f t="shared" si="90"/>
        <v>0</v>
      </c>
    </row>
    <row r="777" spans="1:65">
      <c r="BG777" s="556" t="str">
        <f t="shared" si="84"/>
        <v>O</v>
      </c>
      <c r="BH777" s="556" t="str">
        <f t="shared" si="85"/>
        <v/>
      </c>
      <c r="BI777" s="556" t="str">
        <f t="shared" si="86"/>
        <v/>
      </c>
      <c r="BJ777" s="556">
        <f t="shared" si="87"/>
        <v>0</v>
      </c>
      <c r="BK777" s="556">
        <f t="shared" si="88"/>
        <v>0</v>
      </c>
      <c r="BL777" s="556" t="str">
        <f t="shared" si="89"/>
        <v/>
      </c>
      <c r="BM777" s="497">
        <f t="shared" si="90"/>
        <v>0</v>
      </c>
    </row>
    <row r="778" spans="1:65">
      <c r="BG778" s="556" t="str">
        <f t="shared" si="84"/>
        <v>O</v>
      </c>
      <c r="BH778" s="556" t="str">
        <f t="shared" si="85"/>
        <v/>
      </c>
      <c r="BI778" s="556" t="str">
        <f t="shared" si="86"/>
        <v/>
      </c>
      <c r="BJ778" s="556">
        <f t="shared" si="87"/>
        <v>0</v>
      </c>
      <c r="BK778" s="556">
        <f t="shared" si="88"/>
        <v>0</v>
      </c>
      <c r="BL778" s="556" t="str">
        <f t="shared" si="89"/>
        <v/>
      </c>
      <c r="BM778" s="497">
        <f t="shared" si="90"/>
        <v>0</v>
      </c>
    </row>
    <row r="779" spans="1:65">
      <c r="BG779" s="556" t="str">
        <f t="shared" si="84"/>
        <v>O</v>
      </c>
      <c r="BH779" s="556" t="str">
        <f t="shared" si="85"/>
        <v/>
      </c>
      <c r="BI779" s="556" t="str">
        <f t="shared" si="86"/>
        <v/>
      </c>
      <c r="BJ779" s="556">
        <f t="shared" si="87"/>
        <v>0</v>
      </c>
      <c r="BK779" s="556">
        <f t="shared" si="88"/>
        <v>0</v>
      </c>
      <c r="BL779" s="556" t="str">
        <f t="shared" si="89"/>
        <v/>
      </c>
      <c r="BM779" s="497">
        <f t="shared" si="90"/>
        <v>0</v>
      </c>
    </row>
    <row r="780" spans="1:65">
      <c r="BG780" s="556" t="str">
        <f t="shared" si="84"/>
        <v>O</v>
      </c>
      <c r="BH780" s="556" t="str">
        <f t="shared" si="85"/>
        <v/>
      </c>
      <c r="BI780" s="556" t="str">
        <f t="shared" si="86"/>
        <v/>
      </c>
      <c r="BJ780" s="556">
        <f t="shared" si="87"/>
        <v>0</v>
      </c>
      <c r="BK780" s="556">
        <f t="shared" si="88"/>
        <v>0</v>
      </c>
      <c r="BL780" s="556" t="str">
        <f t="shared" si="89"/>
        <v/>
      </c>
      <c r="BM780" s="497">
        <f t="shared" si="90"/>
        <v>0</v>
      </c>
    </row>
    <row r="781" spans="1:65">
      <c r="BG781" s="556" t="str">
        <f t="shared" si="84"/>
        <v>O</v>
      </c>
      <c r="BH781" s="556" t="str">
        <f t="shared" si="85"/>
        <v/>
      </c>
      <c r="BI781" s="556" t="str">
        <f t="shared" si="86"/>
        <v/>
      </c>
      <c r="BJ781" s="556">
        <f t="shared" si="87"/>
        <v>0</v>
      </c>
      <c r="BK781" s="556">
        <f t="shared" si="88"/>
        <v>0</v>
      </c>
      <c r="BL781" s="556" t="str">
        <f t="shared" si="89"/>
        <v/>
      </c>
      <c r="BM781" s="497">
        <f t="shared" si="90"/>
        <v>0</v>
      </c>
    </row>
    <row r="782" spans="1:65">
      <c r="BG782" s="556" t="str">
        <f t="shared" si="84"/>
        <v>O</v>
      </c>
      <c r="BH782" s="556" t="str">
        <f t="shared" si="85"/>
        <v/>
      </c>
      <c r="BI782" s="556" t="str">
        <f t="shared" si="86"/>
        <v/>
      </c>
      <c r="BJ782" s="556">
        <f t="shared" si="87"/>
        <v>0</v>
      </c>
      <c r="BK782" s="556">
        <f t="shared" si="88"/>
        <v>0</v>
      </c>
      <c r="BL782" s="556" t="str">
        <f t="shared" si="89"/>
        <v/>
      </c>
      <c r="BM782" s="497">
        <f t="shared" si="90"/>
        <v>0</v>
      </c>
    </row>
    <row r="783" spans="1:65">
      <c r="BG783" s="556" t="str">
        <f t="shared" si="84"/>
        <v>O</v>
      </c>
      <c r="BH783" s="556" t="str">
        <f t="shared" si="85"/>
        <v/>
      </c>
      <c r="BI783" s="556" t="str">
        <f t="shared" si="86"/>
        <v/>
      </c>
      <c r="BJ783" s="556">
        <f t="shared" si="87"/>
        <v>0</v>
      </c>
      <c r="BK783" s="556">
        <f t="shared" si="88"/>
        <v>0</v>
      </c>
      <c r="BL783" s="556" t="str">
        <f t="shared" si="89"/>
        <v/>
      </c>
      <c r="BM783" s="497">
        <f t="shared" si="90"/>
        <v>0</v>
      </c>
    </row>
    <row r="784" spans="1:65">
      <c r="BG784" s="556" t="str">
        <f t="shared" si="84"/>
        <v>O</v>
      </c>
      <c r="BH784" s="556" t="str">
        <f t="shared" si="85"/>
        <v/>
      </c>
      <c r="BI784" s="556" t="str">
        <f t="shared" si="86"/>
        <v/>
      </c>
      <c r="BJ784" s="556">
        <f t="shared" si="87"/>
        <v>0</v>
      </c>
      <c r="BK784" s="556">
        <f t="shared" si="88"/>
        <v>0</v>
      </c>
      <c r="BL784" s="556" t="str">
        <f t="shared" si="89"/>
        <v/>
      </c>
      <c r="BM784" s="497">
        <f t="shared" si="90"/>
        <v>0</v>
      </c>
    </row>
    <row r="785" spans="59:65">
      <c r="BG785" s="556" t="str">
        <f t="shared" si="84"/>
        <v>O</v>
      </c>
      <c r="BH785" s="556" t="str">
        <f t="shared" si="85"/>
        <v/>
      </c>
      <c r="BI785" s="556" t="str">
        <f t="shared" si="86"/>
        <v/>
      </c>
      <c r="BJ785" s="556">
        <f t="shared" si="87"/>
        <v>0</v>
      </c>
      <c r="BK785" s="556">
        <f t="shared" si="88"/>
        <v>0</v>
      </c>
      <c r="BL785" s="556" t="str">
        <f t="shared" si="89"/>
        <v/>
      </c>
      <c r="BM785" s="497">
        <f t="shared" si="90"/>
        <v>0</v>
      </c>
    </row>
    <row r="786" spans="59:65">
      <c r="BG786" s="556" t="str">
        <f t="shared" si="84"/>
        <v>O</v>
      </c>
      <c r="BH786" s="556" t="str">
        <f t="shared" si="85"/>
        <v/>
      </c>
      <c r="BI786" s="556" t="str">
        <f t="shared" si="86"/>
        <v/>
      </c>
      <c r="BJ786" s="556">
        <f t="shared" si="87"/>
        <v>0</v>
      </c>
      <c r="BK786" s="556">
        <f t="shared" si="88"/>
        <v>0</v>
      </c>
      <c r="BL786" s="556" t="str">
        <f t="shared" si="89"/>
        <v/>
      </c>
      <c r="BM786" s="497">
        <f t="shared" si="90"/>
        <v>0</v>
      </c>
    </row>
    <row r="787" spans="59:65">
      <c r="BG787" s="556" t="str">
        <f t="shared" si="84"/>
        <v>O</v>
      </c>
      <c r="BH787" s="556" t="str">
        <f t="shared" si="85"/>
        <v/>
      </c>
      <c r="BI787" s="556" t="str">
        <f t="shared" si="86"/>
        <v/>
      </c>
      <c r="BJ787" s="556">
        <f t="shared" si="87"/>
        <v>0</v>
      </c>
      <c r="BK787" s="556">
        <f t="shared" si="88"/>
        <v>0</v>
      </c>
      <c r="BL787" s="556" t="str">
        <f t="shared" si="89"/>
        <v/>
      </c>
      <c r="BM787" s="497">
        <f t="shared" si="90"/>
        <v>0</v>
      </c>
    </row>
    <row r="788" spans="59:65">
      <c r="BG788" s="556" t="str">
        <f t="shared" si="84"/>
        <v>O</v>
      </c>
      <c r="BH788" s="556" t="str">
        <f t="shared" si="85"/>
        <v/>
      </c>
      <c r="BI788" s="556" t="str">
        <f t="shared" si="86"/>
        <v/>
      </c>
      <c r="BJ788" s="556">
        <f t="shared" si="87"/>
        <v>0</v>
      </c>
      <c r="BK788" s="556">
        <f t="shared" si="88"/>
        <v>0</v>
      </c>
      <c r="BL788" s="556" t="str">
        <f t="shared" si="89"/>
        <v/>
      </c>
      <c r="BM788" s="497">
        <f t="shared" si="90"/>
        <v>0</v>
      </c>
    </row>
    <row r="789" spans="59:65">
      <c r="BG789" s="556" t="str">
        <f t="shared" si="84"/>
        <v>O</v>
      </c>
      <c r="BH789" s="556" t="str">
        <f t="shared" si="85"/>
        <v/>
      </c>
      <c r="BI789" s="556" t="str">
        <f t="shared" si="86"/>
        <v/>
      </c>
      <c r="BJ789" s="556">
        <f t="shared" si="87"/>
        <v>0</v>
      </c>
      <c r="BK789" s="556">
        <f t="shared" si="88"/>
        <v>0</v>
      </c>
      <c r="BL789" s="556" t="str">
        <f t="shared" si="89"/>
        <v/>
      </c>
      <c r="BM789" s="497">
        <f t="shared" si="90"/>
        <v>0</v>
      </c>
    </row>
    <row r="790" spans="59:65">
      <c r="BG790" s="556" t="str">
        <f t="shared" si="84"/>
        <v>O</v>
      </c>
      <c r="BH790" s="556" t="str">
        <f t="shared" si="85"/>
        <v/>
      </c>
      <c r="BI790" s="556" t="str">
        <f t="shared" si="86"/>
        <v/>
      </c>
      <c r="BJ790" s="556">
        <f t="shared" si="87"/>
        <v>0</v>
      </c>
      <c r="BK790" s="556">
        <f t="shared" si="88"/>
        <v>0</v>
      </c>
      <c r="BL790" s="556" t="str">
        <f t="shared" si="89"/>
        <v/>
      </c>
      <c r="BM790" s="497">
        <f t="shared" si="90"/>
        <v>0</v>
      </c>
    </row>
    <row r="791" spans="59:65">
      <c r="BG791" s="556" t="str">
        <f t="shared" si="84"/>
        <v>O</v>
      </c>
      <c r="BH791" s="556" t="str">
        <f t="shared" si="85"/>
        <v/>
      </c>
      <c r="BI791" s="556" t="str">
        <f t="shared" si="86"/>
        <v/>
      </c>
      <c r="BJ791" s="556">
        <f t="shared" si="87"/>
        <v>0</v>
      </c>
      <c r="BK791" s="556">
        <f t="shared" si="88"/>
        <v>0</v>
      </c>
      <c r="BL791" s="556" t="str">
        <f t="shared" si="89"/>
        <v/>
      </c>
      <c r="BM791" s="497">
        <f t="shared" si="90"/>
        <v>0</v>
      </c>
    </row>
    <row r="792" spans="59:65">
      <c r="BG792" s="556" t="str">
        <f t="shared" si="84"/>
        <v>O</v>
      </c>
      <c r="BH792" s="556" t="str">
        <f t="shared" si="85"/>
        <v/>
      </c>
      <c r="BI792" s="556" t="str">
        <f t="shared" si="86"/>
        <v/>
      </c>
      <c r="BJ792" s="556">
        <f t="shared" si="87"/>
        <v>0</v>
      </c>
      <c r="BK792" s="556">
        <f t="shared" si="88"/>
        <v>0</v>
      </c>
      <c r="BL792" s="556" t="str">
        <f t="shared" si="89"/>
        <v/>
      </c>
      <c r="BM792" s="497">
        <f t="shared" si="90"/>
        <v>0</v>
      </c>
    </row>
    <row r="793" spans="59:65">
      <c r="BG793" s="556" t="str">
        <f t="shared" si="84"/>
        <v>O</v>
      </c>
      <c r="BH793" s="556" t="str">
        <f t="shared" si="85"/>
        <v/>
      </c>
      <c r="BI793" s="556" t="str">
        <f t="shared" si="86"/>
        <v/>
      </c>
      <c r="BJ793" s="556">
        <f t="shared" si="87"/>
        <v>0</v>
      </c>
      <c r="BK793" s="556">
        <f t="shared" si="88"/>
        <v>0</v>
      </c>
      <c r="BL793" s="556" t="str">
        <f t="shared" si="89"/>
        <v/>
      </c>
      <c r="BM793" s="497">
        <f t="shared" si="90"/>
        <v>0</v>
      </c>
    </row>
    <row r="794" spans="59:65">
      <c r="BG794" s="556" t="str">
        <f t="shared" si="84"/>
        <v>O</v>
      </c>
      <c r="BH794" s="556" t="str">
        <f t="shared" si="85"/>
        <v/>
      </c>
      <c r="BI794" s="556" t="str">
        <f t="shared" si="86"/>
        <v/>
      </c>
      <c r="BJ794" s="556">
        <f t="shared" si="87"/>
        <v>0</v>
      </c>
      <c r="BK794" s="556">
        <f t="shared" si="88"/>
        <v>0</v>
      </c>
      <c r="BL794" s="556" t="str">
        <f t="shared" si="89"/>
        <v/>
      </c>
      <c r="BM794" s="497">
        <f t="shared" si="90"/>
        <v>0</v>
      </c>
    </row>
    <row r="795" spans="59:65">
      <c r="BG795" s="556" t="str">
        <f t="shared" si="84"/>
        <v>O</v>
      </c>
      <c r="BH795" s="556" t="str">
        <f t="shared" si="85"/>
        <v/>
      </c>
      <c r="BI795" s="556" t="str">
        <f t="shared" si="86"/>
        <v/>
      </c>
      <c r="BJ795" s="556">
        <f t="shared" si="87"/>
        <v>0</v>
      </c>
      <c r="BK795" s="556">
        <f t="shared" si="88"/>
        <v>0</v>
      </c>
      <c r="BL795" s="556" t="str">
        <f t="shared" si="89"/>
        <v/>
      </c>
      <c r="BM795" s="497">
        <f t="shared" si="90"/>
        <v>0</v>
      </c>
    </row>
    <row r="796" spans="59:65">
      <c r="BG796" s="556" t="str">
        <f t="shared" si="84"/>
        <v>O</v>
      </c>
      <c r="BH796" s="556" t="str">
        <f t="shared" si="85"/>
        <v/>
      </c>
      <c r="BI796" s="556" t="str">
        <f t="shared" si="86"/>
        <v/>
      </c>
      <c r="BJ796" s="556">
        <f t="shared" si="87"/>
        <v>0</v>
      </c>
      <c r="BK796" s="556">
        <f t="shared" si="88"/>
        <v>0</v>
      </c>
      <c r="BL796" s="556" t="str">
        <f t="shared" si="89"/>
        <v/>
      </c>
      <c r="BM796" s="497">
        <f t="shared" si="90"/>
        <v>0</v>
      </c>
    </row>
    <row r="797" spans="59:65">
      <c r="BG797" s="556" t="str">
        <f t="shared" si="84"/>
        <v>O</v>
      </c>
      <c r="BH797" s="556" t="str">
        <f t="shared" si="85"/>
        <v/>
      </c>
      <c r="BI797" s="556" t="str">
        <f t="shared" si="86"/>
        <v/>
      </c>
      <c r="BJ797" s="556">
        <f t="shared" si="87"/>
        <v>0</v>
      </c>
      <c r="BK797" s="556">
        <f t="shared" si="88"/>
        <v>0</v>
      </c>
      <c r="BL797" s="556" t="str">
        <f t="shared" si="89"/>
        <v/>
      </c>
      <c r="BM797" s="497">
        <f t="shared" si="90"/>
        <v>0</v>
      </c>
    </row>
    <row r="798" spans="59:65">
      <c r="BG798" s="556" t="str">
        <f t="shared" si="84"/>
        <v>O</v>
      </c>
      <c r="BH798" s="556" t="str">
        <f t="shared" si="85"/>
        <v/>
      </c>
      <c r="BI798" s="556" t="str">
        <f t="shared" si="86"/>
        <v/>
      </c>
      <c r="BJ798" s="556">
        <f t="shared" si="87"/>
        <v>0</v>
      </c>
      <c r="BK798" s="556">
        <f t="shared" si="88"/>
        <v>0</v>
      </c>
      <c r="BL798" s="556" t="str">
        <f t="shared" si="89"/>
        <v/>
      </c>
      <c r="BM798" s="497">
        <f t="shared" si="90"/>
        <v>0</v>
      </c>
    </row>
    <row r="799" spans="59:65">
      <c r="BG799" s="556" t="str">
        <f t="shared" si="84"/>
        <v>O</v>
      </c>
      <c r="BH799" s="556" t="str">
        <f t="shared" si="85"/>
        <v/>
      </c>
      <c r="BI799" s="556" t="str">
        <f t="shared" si="86"/>
        <v/>
      </c>
      <c r="BJ799" s="556">
        <f t="shared" si="87"/>
        <v>0</v>
      </c>
      <c r="BK799" s="556">
        <f t="shared" si="88"/>
        <v>0</v>
      </c>
      <c r="BL799" s="556" t="str">
        <f t="shared" si="89"/>
        <v/>
      </c>
      <c r="BM799" s="497">
        <f t="shared" si="90"/>
        <v>0</v>
      </c>
    </row>
    <row r="800" spans="59:65">
      <c r="BG800" s="556" t="str">
        <f t="shared" si="84"/>
        <v>O</v>
      </c>
      <c r="BH800" s="556" t="str">
        <f t="shared" si="85"/>
        <v/>
      </c>
      <c r="BI800" s="556" t="str">
        <f t="shared" si="86"/>
        <v/>
      </c>
      <c r="BJ800" s="556">
        <f t="shared" si="87"/>
        <v>0</v>
      </c>
      <c r="BK800" s="556">
        <f t="shared" si="88"/>
        <v>0</v>
      </c>
      <c r="BL800" s="556" t="str">
        <f t="shared" si="89"/>
        <v/>
      </c>
      <c r="BM800" s="497">
        <f t="shared" si="90"/>
        <v>0</v>
      </c>
    </row>
    <row r="801" spans="59:65">
      <c r="BG801" s="556" t="str">
        <f t="shared" si="84"/>
        <v>O</v>
      </c>
      <c r="BH801" s="556" t="str">
        <f t="shared" si="85"/>
        <v/>
      </c>
      <c r="BI801" s="556" t="str">
        <f t="shared" si="86"/>
        <v/>
      </c>
      <c r="BJ801" s="556">
        <f t="shared" si="87"/>
        <v>0</v>
      </c>
      <c r="BK801" s="556">
        <f t="shared" si="88"/>
        <v>0</v>
      </c>
      <c r="BL801" s="556" t="str">
        <f t="shared" si="89"/>
        <v/>
      </c>
      <c r="BM801" s="497">
        <f t="shared" si="90"/>
        <v>0</v>
      </c>
    </row>
    <row r="802" spans="59:65">
      <c r="BG802" s="556" t="str">
        <f t="shared" si="84"/>
        <v>O</v>
      </c>
      <c r="BH802" s="556" t="str">
        <f t="shared" si="85"/>
        <v/>
      </c>
      <c r="BI802" s="556" t="str">
        <f t="shared" si="86"/>
        <v/>
      </c>
      <c r="BJ802" s="556">
        <f t="shared" si="87"/>
        <v>0</v>
      </c>
      <c r="BK802" s="556">
        <f t="shared" si="88"/>
        <v>0</v>
      </c>
      <c r="BL802" s="556" t="str">
        <f t="shared" si="89"/>
        <v/>
      </c>
      <c r="BM802" s="497">
        <f t="shared" si="90"/>
        <v>0</v>
      </c>
    </row>
    <row r="803" spans="59:65">
      <c r="BG803" s="556" t="str">
        <f t="shared" si="84"/>
        <v>O</v>
      </c>
      <c r="BH803" s="556" t="str">
        <f t="shared" si="85"/>
        <v/>
      </c>
      <c r="BI803" s="556" t="str">
        <f t="shared" si="86"/>
        <v/>
      </c>
      <c r="BJ803" s="556">
        <f t="shared" si="87"/>
        <v>0</v>
      </c>
      <c r="BK803" s="556">
        <f t="shared" si="88"/>
        <v>0</v>
      </c>
      <c r="BL803" s="556" t="str">
        <f t="shared" si="89"/>
        <v/>
      </c>
      <c r="BM803" s="497">
        <f t="shared" si="90"/>
        <v>0</v>
      </c>
    </row>
    <row r="804" spans="59:65">
      <c r="BG804" s="556" t="str">
        <f t="shared" si="84"/>
        <v>O</v>
      </c>
      <c r="BH804" s="556" t="str">
        <f t="shared" si="85"/>
        <v/>
      </c>
      <c r="BI804" s="556" t="str">
        <f t="shared" si="86"/>
        <v/>
      </c>
      <c r="BJ804" s="556">
        <f t="shared" si="87"/>
        <v>0</v>
      </c>
      <c r="BK804" s="556">
        <f t="shared" si="88"/>
        <v>0</v>
      </c>
      <c r="BL804" s="556" t="str">
        <f t="shared" si="89"/>
        <v/>
      </c>
      <c r="BM804" s="497">
        <f t="shared" si="90"/>
        <v>0</v>
      </c>
    </row>
    <row r="805" spans="59:65">
      <c r="BG805" s="556" t="str">
        <f t="shared" si="84"/>
        <v>O</v>
      </c>
      <c r="BH805" s="556" t="str">
        <f t="shared" si="85"/>
        <v/>
      </c>
      <c r="BI805" s="556" t="str">
        <f t="shared" si="86"/>
        <v/>
      </c>
      <c r="BJ805" s="556">
        <f t="shared" si="87"/>
        <v>0</v>
      </c>
      <c r="BK805" s="556">
        <f t="shared" si="88"/>
        <v>0</v>
      </c>
      <c r="BL805" s="556" t="str">
        <f t="shared" si="89"/>
        <v/>
      </c>
      <c r="BM805" s="497">
        <f t="shared" si="90"/>
        <v>0</v>
      </c>
    </row>
    <row r="806" spans="59:65">
      <c r="BG806" s="556" t="str">
        <f t="shared" si="84"/>
        <v>O</v>
      </c>
      <c r="BH806" s="556" t="str">
        <f t="shared" si="85"/>
        <v/>
      </c>
      <c r="BI806" s="556" t="str">
        <f t="shared" si="86"/>
        <v/>
      </c>
      <c r="BJ806" s="556">
        <f t="shared" si="87"/>
        <v>0</v>
      </c>
      <c r="BK806" s="556">
        <f t="shared" si="88"/>
        <v>0</v>
      </c>
      <c r="BL806" s="556" t="str">
        <f t="shared" si="89"/>
        <v/>
      </c>
      <c r="BM806" s="497">
        <f t="shared" si="90"/>
        <v>0</v>
      </c>
    </row>
    <row r="807" spans="59:65">
      <c r="BG807" s="556" t="str">
        <f t="shared" si="84"/>
        <v>O</v>
      </c>
      <c r="BH807" s="556" t="str">
        <f t="shared" si="85"/>
        <v/>
      </c>
      <c r="BI807" s="556" t="str">
        <f t="shared" si="86"/>
        <v/>
      </c>
      <c r="BJ807" s="556">
        <f t="shared" si="87"/>
        <v>0</v>
      </c>
      <c r="BK807" s="556">
        <f t="shared" si="88"/>
        <v>0</v>
      </c>
      <c r="BL807" s="556" t="str">
        <f t="shared" si="89"/>
        <v/>
      </c>
      <c r="BM807" s="497">
        <f t="shared" si="90"/>
        <v>0</v>
      </c>
    </row>
    <row r="808" spans="59:65">
      <c r="BG808" s="556" t="str">
        <f t="shared" si="84"/>
        <v>O</v>
      </c>
      <c r="BH808" s="556" t="str">
        <f t="shared" si="85"/>
        <v/>
      </c>
      <c r="BI808" s="556" t="str">
        <f t="shared" si="86"/>
        <v/>
      </c>
      <c r="BJ808" s="556">
        <f t="shared" si="87"/>
        <v>0</v>
      </c>
      <c r="BK808" s="556">
        <f t="shared" si="88"/>
        <v>0</v>
      </c>
      <c r="BL808" s="556" t="str">
        <f t="shared" si="89"/>
        <v/>
      </c>
      <c r="BM808" s="497">
        <f t="shared" si="90"/>
        <v>0</v>
      </c>
    </row>
    <row r="809" spans="59:65">
      <c r="BG809" s="556" t="str">
        <f t="shared" si="84"/>
        <v>O</v>
      </c>
      <c r="BH809" s="556" t="str">
        <f t="shared" si="85"/>
        <v/>
      </c>
      <c r="BI809" s="556" t="str">
        <f t="shared" si="86"/>
        <v/>
      </c>
      <c r="BJ809" s="556">
        <f t="shared" si="87"/>
        <v>0</v>
      </c>
      <c r="BK809" s="556">
        <f t="shared" si="88"/>
        <v>0</v>
      </c>
      <c r="BL809" s="556" t="str">
        <f t="shared" si="89"/>
        <v/>
      </c>
      <c r="BM809" s="497">
        <f t="shared" si="90"/>
        <v>0</v>
      </c>
    </row>
    <row r="810" spans="59:65">
      <c r="BG810" s="556" t="str">
        <f t="shared" si="84"/>
        <v>O</v>
      </c>
      <c r="BH810" s="556" t="str">
        <f t="shared" si="85"/>
        <v/>
      </c>
      <c r="BI810" s="556" t="str">
        <f t="shared" si="86"/>
        <v/>
      </c>
      <c r="BJ810" s="556">
        <f t="shared" si="87"/>
        <v>0</v>
      </c>
      <c r="BK810" s="556">
        <f t="shared" si="88"/>
        <v>0</v>
      </c>
      <c r="BL810" s="556" t="str">
        <f t="shared" si="89"/>
        <v/>
      </c>
      <c r="BM810" s="497">
        <f t="shared" si="90"/>
        <v>0</v>
      </c>
    </row>
    <row r="811" spans="59:65">
      <c r="BG811" s="556" t="str">
        <f t="shared" si="84"/>
        <v>O</v>
      </c>
      <c r="BH811" s="556" t="str">
        <f t="shared" si="85"/>
        <v/>
      </c>
      <c r="BI811" s="556" t="str">
        <f t="shared" si="86"/>
        <v/>
      </c>
      <c r="BJ811" s="556">
        <f t="shared" si="87"/>
        <v>0</v>
      </c>
      <c r="BK811" s="556">
        <f t="shared" si="88"/>
        <v>0</v>
      </c>
      <c r="BL811" s="556" t="str">
        <f t="shared" si="89"/>
        <v/>
      </c>
      <c r="BM811" s="497">
        <f t="shared" si="90"/>
        <v>0</v>
      </c>
    </row>
    <row r="812" spans="59:65">
      <c r="BG812" s="556" t="str">
        <f t="shared" si="84"/>
        <v>O</v>
      </c>
      <c r="BH812" s="556" t="str">
        <f t="shared" si="85"/>
        <v/>
      </c>
      <c r="BI812" s="556" t="str">
        <f t="shared" si="86"/>
        <v/>
      </c>
      <c r="BJ812" s="556">
        <f t="shared" si="87"/>
        <v>0</v>
      </c>
      <c r="BK812" s="556">
        <f t="shared" si="88"/>
        <v>0</v>
      </c>
      <c r="BL812" s="556" t="str">
        <f t="shared" si="89"/>
        <v/>
      </c>
      <c r="BM812" s="497">
        <f t="shared" si="90"/>
        <v>0</v>
      </c>
    </row>
    <row r="813" spans="59:65">
      <c r="BG813" s="556" t="str">
        <f t="shared" si="84"/>
        <v>O</v>
      </c>
      <c r="BH813" s="556" t="str">
        <f t="shared" si="85"/>
        <v/>
      </c>
      <c r="BI813" s="556" t="str">
        <f t="shared" si="86"/>
        <v/>
      </c>
      <c r="BJ813" s="556">
        <f t="shared" si="87"/>
        <v>0</v>
      </c>
      <c r="BK813" s="556">
        <f t="shared" si="88"/>
        <v>0</v>
      </c>
      <c r="BL813" s="556" t="str">
        <f t="shared" si="89"/>
        <v/>
      </c>
      <c r="BM813" s="497">
        <f t="shared" si="90"/>
        <v>0</v>
      </c>
    </row>
    <row r="814" spans="59:65">
      <c r="BG814" s="556" t="str">
        <f t="shared" si="84"/>
        <v>O</v>
      </c>
      <c r="BH814" s="556" t="str">
        <f t="shared" si="85"/>
        <v/>
      </c>
      <c r="BI814" s="556" t="str">
        <f t="shared" si="86"/>
        <v/>
      </c>
      <c r="BJ814" s="556">
        <f t="shared" si="87"/>
        <v>0</v>
      </c>
      <c r="BK814" s="556">
        <f t="shared" si="88"/>
        <v>0</v>
      </c>
      <c r="BL814" s="556" t="str">
        <f t="shared" si="89"/>
        <v/>
      </c>
      <c r="BM814" s="497">
        <f t="shared" si="90"/>
        <v>0</v>
      </c>
    </row>
    <row r="815" spans="59:65">
      <c r="BG815" s="556" t="str">
        <f t="shared" si="84"/>
        <v>O</v>
      </c>
      <c r="BH815" s="556" t="str">
        <f t="shared" si="85"/>
        <v/>
      </c>
      <c r="BI815" s="556" t="str">
        <f t="shared" si="86"/>
        <v/>
      </c>
      <c r="BJ815" s="556">
        <f t="shared" si="87"/>
        <v>0</v>
      </c>
      <c r="BK815" s="556">
        <f t="shared" si="88"/>
        <v>0</v>
      </c>
      <c r="BL815" s="556" t="str">
        <f t="shared" si="89"/>
        <v/>
      </c>
      <c r="BM815" s="497">
        <f t="shared" si="90"/>
        <v>0</v>
      </c>
    </row>
    <row r="816" spans="59:65">
      <c r="BG816" s="556" t="str">
        <f t="shared" si="84"/>
        <v>O</v>
      </c>
      <c r="BH816" s="556" t="str">
        <f t="shared" si="85"/>
        <v/>
      </c>
      <c r="BI816" s="556" t="str">
        <f t="shared" si="86"/>
        <v/>
      </c>
      <c r="BJ816" s="556">
        <f t="shared" si="87"/>
        <v>0</v>
      </c>
      <c r="BK816" s="556">
        <f t="shared" si="88"/>
        <v>0</v>
      </c>
      <c r="BL816" s="556" t="str">
        <f t="shared" si="89"/>
        <v/>
      </c>
      <c r="BM816" s="497">
        <f t="shared" si="90"/>
        <v>0</v>
      </c>
    </row>
    <row r="817" spans="59:65">
      <c r="BG817" s="556" t="str">
        <f t="shared" si="84"/>
        <v>O</v>
      </c>
      <c r="BH817" s="556" t="str">
        <f t="shared" si="85"/>
        <v/>
      </c>
      <c r="BI817" s="556" t="str">
        <f t="shared" si="86"/>
        <v/>
      </c>
      <c r="BJ817" s="556">
        <f t="shared" si="87"/>
        <v>0</v>
      </c>
      <c r="BK817" s="556">
        <f t="shared" si="88"/>
        <v>0</v>
      </c>
      <c r="BL817" s="556" t="str">
        <f t="shared" si="89"/>
        <v/>
      </c>
      <c r="BM817" s="497">
        <f t="shared" si="90"/>
        <v>0</v>
      </c>
    </row>
    <row r="818" spans="59:65">
      <c r="BG818" s="556" t="str">
        <f t="shared" si="84"/>
        <v>O</v>
      </c>
      <c r="BH818" s="556" t="str">
        <f t="shared" si="85"/>
        <v/>
      </c>
      <c r="BI818" s="556" t="str">
        <f t="shared" si="86"/>
        <v/>
      </c>
      <c r="BJ818" s="556">
        <f t="shared" si="87"/>
        <v>0</v>
      </c>
      <c r="BK818" s="556">
        <f t="shared" si="88"/>
        <v>0</v>
      </c>
      <c r="BL818" s="556" t="str">
        <f t="shared" si="89"/>
        <v/>
      </c>
      <c r="BM818" s="497">
        <f t="shared" si="90"/>
        <v>0</v>
      </c>
    </row>
    <row r="819" spans="59:65">
      <c r="BG819" s="556" t="str">
        <f t="shared" si="84"/>
        <v>O</v>
      </c>
      <c r="BH819" s="556" t="str">
        <f t="shared" si="85"/>
        <v/>
      </c>
      <c r="BI819" s="556" t="str">
        <f t="shared" si="86"/>
        <v/>
      </c>
      <c r="BJ819" s="556">
        <f t="shared" si="87"/>
        <v>0</v>
      </c>
      <c r="BK819" s="556">
        <f t="shared" si="88"/>
        <v>0</v>
      </c>
      <c r="BL819" s="556" t="str">
        <f t="shared" si="89"/>
        <v/>
      </c>
      <c r="BM819" s="497">
        <f t="shared" si="90"/>
        <v>0</v>
      </c>
    </row>
    <row r="820" spans="59:65">
      <c r="BG820" s="556" t="str">
        <f t="shared" si="84"/>
        <v>O</v>
      </c>
      <c r="BH820" s="556" t="str">
        <f t="shared" si="85"/>
        <v/>
      </c>
      <c r="BI820" s="556" t="str">
        <f t="shared" si="86"/>
        <v/>
      </c>
      <c r="BJ820" s="556">
        <f t="shared" si="87"/>
        <v>0</v>
      </c>
      <c r="BK820" s="556">
        <f t="shared" si="88"/>
        <v>0</v>
      </c>
      <c r="BL820" s="556" t="str">
        <f t="shared" si="89"/>
        <v/>
      </c>
      <c r="BM820" s="497">
        <f t="shared" si="90"/>
        <v>0</v>
      </c>
    </row>
    <row r="821" spans="59:65">
      <c r="BG821" s="556" t="str">
        <f t="shared" si="84"/>
        <v>O</v>
      </c>
      <c r="BH821" s="556" t="str">
        <f t="shared" si="85"/>
        <v/>
      </c>
      <c r="BI821" s="556" t="str">
        <f t="shared" si="86"/>
        <v/>
      </c>
      <c r="BJ821" s="556">
        <f t="shared" si="87"/>
        <v>0</v>
      </c>
      <c r="BK821" s="556">
        <f t="shared" si="88"/>
        <v>0</v>
      </c>
      <c r="BL821" s="556" t="str">
        <f t="shared" si="89"/>
        <v/>
      </c>
      <c r="BM821" s="497">
        <f t="shared" si="90"/>
        <v>0</v>
      </c>
    </row>
    <row r="822" spans="59:65">
      <c r="BG822" s="556" t="str">
        <f t="shared" si="84"/>
        <v>O</v>
      </c>
      <c r="BH822" s="556" t="str">
        <f t="shared" si="85"/>
        <v/>
      </c>
      <c r="BI822" s="556" t="str">
        <f t="shared" si="86"/>
        <v/>
      </c>
      <c r="BJ822" s="556">
        <f t="shared" si="87"/>
        <v>0</v>
      </c>
      <c r="BK822" s="556">
        <f t="shared" si="88"/>
        <v>0</v>
      </c>
      <c r="BL822" s="556" t="str">
        <f t="shared" si="89"/>
        <v/>
      </c>
      <c r="BM822" s="497">
        <f t="shared" si="90"/>
        <v>0</v>
      </c>
    </row>
    <row r="823" spans="59:65">
      <c r="BG823" s="556" t="str">
        <f t="shared" si="84"/>
        <v>O</v>
      </c>
      <c r="BH823" s="556" t="str">
        <f t="shared" si="85"/>
        <v/>
      </c>
      <c r="BI823" s="556" t="str">
        <f t="shared" si="86"/>
        <v/>
      </c>
      <c r="BJ823" s="556">
        <f t="shared" si="87"/>
        <v>0</v>
      </c>
      <c r="BK823" s="556">
        <f t="shared" si="88"/>
        <v>0</v>
      </c>
      <c r="BL823" s="556" t="str">
        <f t="shared" si="89"/>
        <v/>
      </c>
      <c r="BM823" s="497">
        <f t="shared" si="90"/>
        <v>0</v>
      </c>
    </row>
    <row r="824" spans="59:65">
      <c r="BG824" s="556" t="str">
        <f t="shared" si="84"/>
        <v>O</v>
      </c>
      <c r="BH824" s="556" t="str">
        <f t="shared" si="85"/>
        <v/>
      </c>
      <c r="BI824" s="556" t="str">
        <f t="shared" si="86"/>
        <v/>
      </c>
      <c r="BJ824" s="556">
        <f t="shared" si="87"/>
        <v>0</v>
      </c>
      <c r="BK824" s="556">
        <f t="shared" si="88"/>
        <v>0</v>
      </c>
      <c r="BL824" s="556" t="str">
        <f t="shared" si="89"/>
        <v/>
      </c>
      <c r="BM824" s="497">
        <f t="shared" si="90"/>
        <v>0</v>
      </c>
    </row>
    <row r="825" spans="59:65">
      <c r="BG825" s="556" t="str">
        <f t="shared" si="84"/>
        <v>O</v>
      </c>
      <c r="BH825" s="556" t="str">
        <f t="shared" si="85"/>
        <v/>
      </c>
      <c r="BI825" s="556" t="str">
        <f t="shared" si="86"/>
        <v/>
      </c>
      <c r="BJ825" s="556">
        <f t="shared" si="87"/>
        <v>0</v>
      </c>
      <c r="BK825" s="556">
        <f t="shared" si="88"/>
        <v>0</v>
      </c>
      <c r="BL825" s="556" t="str">
        <f t="shared" si="89"/>
        <v/>
      </c>
      <c r="BM825" s="497">
        <f t="shared" si="90"/>
        <v>0</v>
      </c>
    </row>
    <row r="826" spans="59:65">
      <c r="BG826" s="556" t="str">
        <f t="shared" si="84"/>
        <v>O</v>
      </c>
      <c r="BH826" s="556" t="str">
        <f t="shared" si="85"/>
        <v/>
      </c>
      <c r="BI826" s="556" t="str">
        <f t="shared" si="86"/>
        <v/>
      </c>
      <c r="BJ826" s="556">
        <f t="shared" si="87"/>
        <v>0</v>
      </c>
      <c r="BK826" s="556">
        <f t="shared" si="88"/>
        <v>0</v>
      </c>
      <c r="BL826" s="556" t="str">
        <f t="shared" si="89"/>
        <v/>
      </c>
      <c r="BM826" s="497">
        <f t="shared" si="90"/>
        <v>0</v>
      </c>
    </row>
    <row r="827" spans="59:65">
      <c r="BG827" s="556" t="str">
        <f t="shared" si="84"/>
        <v>O</v>
      </c>
      <c r="BH827" s="556" t="str">
        <f t="shared" si="85"/>
        <v/>
      </c>
      <c r="BI827" s="556" t="str">
        <f t="shared" si="86"/>
        <v/>
      </c>
      <c r="BJ827" s="556">
        <f t="shared" si="87"/>
        <v>0</v>
      </c>
      <c r="BK827" s="556">
        <f t="shared" si="88"/>
        <v>0</v>
      </c>
      <c r="BL827" s="556" t="str">
        <f t="shared" si="89"/>
        <v/>
      </c>
      <c r="BM827" s="497">
        <f t="shared" si="90"/>
        <v>0</v>
      </c>
    </row>
    <row r="828" spans="59:65">
      <c r="BG828" s="556" t="str">
        <f t="shared" si="84"/>
        <v>O</v>
      </c>
      <c r="BH828" s="556" t="str">
        <f t="shared" si="85"/>
        <v/>
      </c>
      <c r="BI828" s="556" t="str">
        <f t="shared" si="86"/>
        <v/>
      </c>
      <c r="BJ828" s="556">
        <f t="shared" si="87"/>
        <v>0</v>
      </c>
      <c r="BK828" s="556">
        <f t="shared" si="88"/>
        <v>0</v>
      </c>
      <c r="BL828" s="556" t="str">
        <f t="shared" si="89"/>
        <v/>
      </c>
      <c r="BM828" s="497">
        <f t="shared" si="90"/>
        <v>0</v>
      </c>
    </row>
    <row r="829" spans="59:65">
      <c r="BG829" s="556" t="str">
        <f t="shared" si="84"/>
        <v>O</v>
      </c>
      <c r="BH829" s="556" t="str">
        <f t="shared" si="85"/>
        <v/>
      </c>
      <c r="BI829" s="556" t="str">
        <f t="shared" si="86"/>
        <v/>
      </c>
      <c r="BJ829" s="556">
        <f t="shared" si="87"/>
        <v>0</v>
      </c>
      <c r="BK829" s="556">
        <f t="shared" si="88"/>
        <v>0</v>
      </c>
      <c r="BL829" s="556" t="str">
        <f t="shared" si="89"/>
        <v/>
      </c>
      <c r="BM829" s="497">
        <f t="shared" si="90"/>
        <v>0</v>
      </c>
    </row>
    <row r="830" spans="59:65">
      <c r="BG830" s="556" t="str">
        <f t="shared" si="84"/>
        <v>O</v>
      </c>
      <c r="BH830" s="556" t="str">
        <f t="shared" si="85"/>
        <v/>
      </c>
      <c r="BI830" s="556" t="str">
        <f t="shared" si="86"/>
        <v/>
      </c>
      <c r="BJ830" s="556">
        <f t="shared" si="87"/>
        <v>0</v>
      </c>
      <c r="BK830" s="556">
        <f t="shared" si="88"/>
        <v>0</v>
      </c>
      <c r="BL830" s="556" t="str">
        <f t="shared" si="89"/>
        <v/>
      </c>
      <c r="BM830" s="497">
        <f t="shared" si="90"/>
        <v>0</v>
      </c>
    </row>
    <row r="831" spans="59:65">
      <c r="BG831" s="556" t="str">
        <f t="shared" si="84"/>
        <v>O</v>
      </c>
      <c r="BH831" s="556" t="str">
        <f t="shared" si="85"/>
        <v/>
      </c>
      <c r="BI831" s="556" t="str">
        <f t="shared" si="86"/>
        <v/>
      </c>
      <c r="BJ831" s="556">
        <f t="shared" si="87"/>
        <v>0</v>
      </c>
      <c r="BK831" s="556">
        <f t="shared" si="88"/>
        <v>0</v>
      </c>
      <c r="BL831" s="556" t="str">
        <f t="shared" si="89"/>
        <v/>
      </c>
      <c r="BM831" s="497">
        <f t="shared" si="90"/>
        <v>0</v>
      </c>
    </row>
    <row r="832" spans="59:65">
      <c r="BG832" s="556" t="str">
        <f t="shared" si="84"/>
        <v>O</v>
      </c>
      <c r="BH832" s="556" t="str">
        <f t="shared" si="85"/>
        <v/>
      </c>
      <c r="BI832" s="556" t="str">
        <f t="shared" si="86"/>
        <v/>
      </c>
      <c r="BJ832" s="556">
        <f t="shared" si="87"/>
        <v>0</v>
      </c>
      <c r="BK832" s="556">
        <f t="shared" si="88"/>
        <v>0</v>
      </c>
      <c r="BL832" s="556" t="str">
        <f t="shared" si="89"/>
        <v/>
      </c>
      <c r="BM832" s="497">
        <f t="shared" si="90"/>
        <v>0</v>
      </c>
    </row>
    <row r="833" spans="59:65">
      <c r="BG833" s="556" t="str">
        <f t="shared" si="84"/>
        <v>O</v>
      </c>
      <c r="BH833" s="556" t="str">
        <f t="shared" si="85"/>
        <v/>
      </c>
      <c r="BI833" s="556" t="str">
        <f t="shared" si="86"/>
        <v/>
      </c>
      <c r="BJ833" s="556">
        <f t="shared" si="87"/>
        <v>0</v>
      </c>
      <c r="BK833" s="556">
        <f t="shared" si="88"/>
        <v>0</v>
      </c>
      <c r="BL833" s="556" t="str">
        <f t="shared" si="89"/>
        <v/>
      </c>
      <c r="BM833" s="497">
        <f t="shared" si="90"/>
        <v>0</v>
      </c>
    </row>
    <row r="834" spans="59:65">
      <c r="BG834" s="556" t="str">
        <f t="shared" si="84"/>
        <v>O</v>
      </c>
      <c r="BH834" s="556" t="str">
        <f t="shared" si="85"/>
        <v/>
      </c>
      <c r="BI834" s="556" t="str">
        <f t="shared" si="86"/>
        <v/>
      </c>
      <c r="BJ834" s="556">
        <f t="shared" si="87"/>
        <v>0</v>
      </c>
      <c r="BK834" s="556">
        <f t="shared" si="88"/>
        <v>0</v>
      </c>
      <c r="BL834" s="556" t="str">
        <f t="shared" si="89"/>
        <v/>
      </c>
      <c r="BM834" s="497">
        <f t="shared" si="90"/>
        <v>0</v>
      </c>
    </row>
    <row r="835" spans="59:65">
      <c r="BG835" s="556" t="str">
        <f t="shared" ref="BG835:BG898" si="91">IF(LEFT(AY835,2)="98","X","O")</f>
        <v>O</v>
      </c>
      <c r="BH835" s="556" t="str">
        <f t="shared" ref="BH835:BH898" si="92">IF(IFERROR(SEARCH("45",$AY835,1),0)&gt;0,"Y","")</f>
        <v/>
      </c>
      <c r="BI835" s="556" t="str">
        <f t="shared" ref="BI835:BI898" si="93">IF(IFERROR(SEARCH("86",$AY835,1),0)&gt;0,"Y","")</f>
        <v/>
      </c>
      <c r="BJ835" s="556">
        <f t="shared" ref="BJ835:BJ898" si="94">IF(L835="",K835,IF(M835="",K835&amp;","&amp;L835,IF(N835="",K835&amp;","&amp;L835&amp;","&amp;M835,K835&amp;","&amp;L835&amp;","&amp;M835&amp;","&amp;N835)))</f>
        <v>0</v>
      </c>
      <c r="BK835" s="556">
        <f t="shared" ref="BK835:BK898" si="95">IF(P835="",O835,IF(Q835="",O835&amp;","&amp;P835,IF(R835="",O835&amp;","&amp;P835&amp;","&amp;Q835,IO835&amp;","&amp;P835&amp;","&amp;Q835&amp;","&amp;R835)))</f>
        <v>0</v>
      </c>
      <c r="BL835" s="556" t="str">
        <f t="shared" ref="BL835:BL898" si="96">IF(S835=0,"",S835)</f>
        <v/>
      </c>
      <c r="BM835" s="497">
        <f t="shared" ref="BM835:BM898" si="97">A835</f>
        <v>0</v>
      </c>
    </row>
    <row r="836" spans="59:65">
      <c r="BG836" s="556" t="str">
        <f t="shared" si="91"/>
        <v>O</v>
      </c>
      <c r="BH836" s="556" t="str">
        <f t="shared" si="92"/>
        <v/>
      </c>
      <c r="BI836" s="556" t="str">
        <f t="shared" si="93"/>
        <v/>
      </c>
      <c r="BJ836" s="556">
        <f t="shared" si="94"/>
        <v>0</v>
      </c>
      <c r="BK836" s="556">
        <f t="shared" si="95"/>
        <v>0</v>
      </c>
      <c r="BL836" s="556" t="str">
        <f t="shared" si="96"/>
        <v/>
      </c>
      <c r="BM836" s="497">
        <f t="shared" si="97"/>
        <v>0</v>
      </c>
    </row>
    <row r="837" spans="59:65">
      <c r="BG837" s="556" t="str">
        <f t="shared" si="91"/>
        <v>O</v>
      </c>
      <c r="BH837" s="556" t="str">
        <f t="shared" si="92"/>
        <v/>
      </c>
      <c r="BI837" s="556" t="str">
        <f t="shared" si="93"/>
        <v/>
      </c>
      <c r="BJ837" s="556">
        <f t="shared" si="94"/>
        <v>0</v>
      </c>
      <c r="BK837" s="556">
        <f t="shared" si="95"/>
        <v>0</v>
      </c>
      <c r="BL837" s="556" t="str">
        <f t="shared" si="96"/>
        <v/>
      </c>
      <c r="BM837" s="497">
        <f t="shared" si="97"/>
        <v>0</v>
      </c>
    </row>
    <row r="838" spans="59:65">
      <c r="BG838" s="556" t="str">
        <f t="shared" si="91"/>
        <v>O</v>
      </c>
      <c r="BH838" s="556" t="str">
        <f t="shared" si="92"/>
        <v/>
      </c>
      <c r="BI838" s="556" t="str">
        <f t="shared" si="93"/>
        <v/>
      </c>
      <c r="BJ838" s="556">
        <f t="shared" si="94"/>
        <v>0</v>
      </c>
      <c r="BK838" s="556">
        <f t="shared" si="95"/>
        <v>0</v>
      </c>
      <c r="BL838" s="556" t="str">
        <f t="shared" si="96"/>
        <v/>
      </c>
      <c r="BM838" s="497">
        <f t="shared" si="97"/>
        <v>0</v>
      </c>
    </row>
    <row r="839" spans="59:65">
      <c r="BG839" s="556" t="str">
        <f t="shared" si="91"/>
        <v>O</v>
      </c>
      <c r="BH839" s="556" t="str">
        <f t="shared" si="92"/>
        <v/>
      </c>
      <c r="BI839" s="556" t="str">
        <f t="shared" si="93"/>
        <v/>
      </c>
      <c r="BJ839" s="556">
        <f t="shared" si="94"/>
        <v>0</v>
      </c>
      <c r="BK839" s="556">
        <f t="shared" si="95"/>
        <v>0</v>
      </c>
      <c r="BL839" s="556" t="str">
        <f t="shared" si="96"/>
        <v/>
      </c>
      <c r="BM839" s="497">
        <f t="shared" si="97"/>
        <v>0</v>
      </c>
    </row>
    <row r="840" spans="59:65">
      <c r="BG840" s="556" t="str">
        <f t="shared" si="91"/>
        <v>O</v>
      </c>
      <c r="BH840" s="556" t="str">
        <f t="shared" si="92"/>
        <v/>
      </c>
      <c r="BI840" s="556" t="str">
        <f t="shared" si="93"/>
        <v/>
      </c>
      <c r="BJ840" s="556">
        <f t="shared" si="94"/>
        <v>0</v>
      </c>
      <c r="BK840" s="556">
        <f t="shared" si="95"/>
        <v>0</v>
      </c>
      <c r="BL840" s="556" t="str">
        <f t="shared" si="96"/>
        <v/>
      </c>
      <c r="BM840" s="497">
        <f t="shared" si="97"/>
        <v>0</v>
      </c>
    </row>
    <row r="841" spans="59:65">
      <c r="BG841" s="556" t="str">
        <f t="shared" si="91"/>
        <v>O</v>
      </c>
      <c r="BH841" s="556" t="str">
        <f t="shared" si="92"/>
        <v/>
      </c>
      <c r="BI841" s="556" t="str">
        <f t="shared" si="93"/>
        <v/>
      </c>
      <c r="BJ841" s="556">
        <f t="shared" si="94"/>
        <v>0</v>
      </c>
      <c r="BK841" s="556">
        <f t="shared" si="95"/>
        <v>0</v>
      </c>
      <c r="BL841" s="556" t="str">
        <f t="shared" si="96"/>
        <v/>
      </c>
      <c r="BM841" s="497">
        <f t="shared" si="97"/>
        <v>0</v>
      </c>
    </row>
    <row r="842" spans="59:65">
      <c r="BG842" s="556" t="str">
        <f t="shared" si="91"/>
        <v>O</v>
      </c>
      <c r="BH842" s="556" t="str">
        <f t="shared" si="92"/>
        <v/>
      </c>
      <c r="BI842" s="556" t="str">
        <f t="shared" si="93"/>
        <v/>
      </c>
      <c r="BJ842" s="556">
        <f t="shared" si="94"/>
        <v>0</v>
      </c>
      <c r="BK842" s="556">
        <f t="shared" si="95"/>
        <v>0</v>
      </c>
      <c r="BL842" s="556" t="str">
        <f t="shared" si="96"/>
        <v/>
      </c>
      <c r="BM842" s="497">
        <f t="shared" si="97"/>
        <v>0</v>
      </c>
    </row>
    <row r="843" spans="59:65">
      <c r="BG843" s="556" t="str">
        <f t="shared" si="91"/>
        <v>O</v>
      </c>
      <c r="BH843" s="556" t="str">
        <f t="shared" si="92"/>
        <v/>
      </c>
      <c r="BI843" s="556" t="str">
        <f t="shared" si="93"/>
        <v/>
      </c>
      <c r="BJ843" s="556">
        <f t="shared" si="94"/>
        <v>0</v>
      </c>
      <c r="BK843" s="556">
        <f t="shared" si="95"/>
        <v>0</v>
      </c>
      <c r="BL843" s="556" t="str">
        <f t="shared" si="96"/>
        <v/>
      </c>
      <c r="BM843" s="497">
        <f t="shared" si="97"/>
        <v>0</v>
      </c>
    </row>
    <row r="844" spans="59:65">
      <c r="BG844" s="556" t="str">
        <f t="shared" si="91"/>
        <v>O</v>
      </c>
      <c r="BH844" s="556" t="str">
        <f t="shared" si="92"/>
        <v/>
      </c>
      <c r="BI844" s="556" t="str">
        <f t="shared" si="93"/>
        <v/>
      </c>
      <c r="BJ844" s="556">
        <f t="shared" si="94"/>
        <v>0</v>
      </c>
      <c r="BK844" s="556">
        <f t="shared" si="95"/>
        <v>0</v>
      </c>
      <c r="BL844" s="556" t="str">
        <f t="shared" si="96"/>
        <v/>
      </c>
      <c r="BM844" s="497">
        <f t="shared" si="97"/>
        <v>0</v>
      </c>
    </row>
    <row r="845" spans="59:65">
      <c r="BG845" s="556" t="str">
        <f t="shared" si="91"/>
        <v>O</v>
      </c>
      <c r="BH845" s="556" t="str">
        <f t="shared" si="92"/>
        <v/>
      </c>
      <c r="BI845" s="556" t="str">
        <f t="shared" si="93"/>
        <v/>
      </c>
      <c r="BJ845" s="556">
        <f t="shared" si="94"/>
        <v>0</v>
      </c>
      <c r="BK845" s="556">
        <f t="shared" si="95"/>
        <v>0</v>
      </c>
      <c r="BL845" s="556" t="str">
        <f t="shared" si="96"/>
        <v/>
      </c>
      <c r="BM845" s="497">
        <f t="shared" si="97"/>
        <v>0</v>
      </c>
    </row>
    <row r="846" spans="59:65">
      <c r="BG846" s="556" t="str">
        <f t="shared" si="91"/>
        <v>O</v>
      </c>
      <c r="BH846" s="556" t="str">
        <f t="shared" si="92"/>
        <v/>
      </c>
      <c r="BI846" s="556" t="str">
        <f t="shared" si="93"/>
        <v/>
      </c>
      <c r="BJ846" s="556">
        <f t="shared" si="94"/>
        <v>0</v>
      </c>
      <c r="BK846" s="556">
        <f t="shared" si="95"/>
        <v>0</v>
      </c>
      <c r="BL846" s="556" t="str">
        <f t="shared" si="96"/>
        <v/>
      </c>
      <c r="BM846" s="497">
        <f t="shared" si="97"/>
        <v>0</v>
      </c>
    </row>
    <row r="847" spans="59:65">
      <c r="BG847" s="556" t="str">
        <f t="shared" si="91"/>
        <v>O</v>
      </c>
      <c r="BH847" s="556" t="str">
        <f t="shared" si="92"/>
        <v/>
      </c>
      <c r="BI847" s="556" t="str">
        <f t="shared" si="93"/>
        <v/>
      </c>
      <c r="BJ847" s="556">
        <f t="shared" si="94"/>
        <v>0</v>
      </c>
      <c r="BK847" s="556">
        <f t="shared" si="95"/>
        <v>0</v>
      </c>
      <c r="BL847" s="556" t="str">
        <f t="shared" si="96"/>
        <v/>
      </c>
      <c r="BM847" s="497">
        <f t="shared" si="97"/>
        <v>0</v>
      </c>
    </row>
    <row r="848" spans="59:65">
      <c r="BG848" s="556" t="str">
        <f t="shared" si="91"/>
        <v>O</v>
      </c>
      <c r="BH848" s="556" t="str">
        <f t="shared" si="92"/>
        <v/>
      </c>
      <c r="BI848" s="556" t="str">
        <f t="shared" si="93"/>
        <v/>
      </c>
      <c r="BJ848" s="556">
        <f t="shared" si="94"/>
        <v>0</v>
      </c>
      <c r="BK848" s="556">
        <f t="shared" si="95"/>
        <v>0</v>
      </c>
      <c r="BL848" s="556" t="str">
        <f t="shared" si="96"/>
        <v/>
      </c>
      <c r="BM848" s="497">
        <f t="shared" si="97"/>
        <v>0</v>
      </c>
    </row>
    <row r="849" spans="59:65">
      <c r="BG849" s="556" t="str">
        <f t="shared" si="91"/>
        <v>O</v>
      </c>
      <c r="BH849" s="556" t="str">
        <f t="shared" si="92"/>
        <v/>
      </c>
      <c r="BI849" s="556" t="str">
        <f t="shared" si="93"/>
        <v/>
      </c>
      <c r="BJ849" s="556">
        <f t="shared" si="94"/>
        <v>0</v>
      </c>
      <c r="BK849" s="556">
        <f t="shared" si="95"/>
        <v>0</v>
      </c>
      <c r="BL849" s="556" t="str">
        <f t="shared" si="96"/>
        <v/>
      </c>
      <c r="BM849" s="497">
        <f t="shared" si="97"/>
        <v>0</v>
      </c>
    </row>
    <row r="850" spans="59:65">
      <c r="BG850" s="556" t="str">
        <f t="shared" si="91"/>
        <v>O</v>
      </c>
      <c r="BH850" s="556" t="str">
        <f t="shared" si="92"/>
        <v/>
      </c>
      <c r="BI850" s="556" t="str">
        <f t="shared" si="93"/>
        <v/>
      </c>
      <c r="BJ850" s="556">
        <f t="shared" si="94"/>
        <v>0</v>
      </c>
      <c r="BK850" s="556">
        <f t="shared" si="95"/>
        <v>0</v>
      </c>
      <c r="BL850" s="556" t="str">
        <f t="shared" si="96"/>
        <v/>
      </c>
      <c r="BM850" s="497">
        <f t="shared" si="97"/>
        <v>0</v>
      </c>
    </row>
    <row r="851" spans="59:65">
      <c r="BG851" s="556" t="str">
        <f t="shared" si="91"/>
        <v>O</v>
      </c>
      <c r="BH851" s="556" t="str">
        <f t="shared" si="92"/>
        <v/>
      </c>
      <c r="BI851" s="556" t="str">
        <f t="shared" si="93"/>
        <v/>
      </c>
      <c r="BJ851" s="556">
        <f t="shared" si="94"/>
        <v>0</v>
      </c>
      <c r="BK851" s="556">
        <f t="shared" si="95"/>
        <v>0</v>
      </c>
      <c r="BL851" s="556" t="str">
        <f t="shared" si="96"/>
        <v/>
      </c>
      <c r="BM851" s="497">
        <f t="shared" si="97"/>
        <v>0</v>
      </c>
    </row>
    <row r="852" spans="59:65">
      <c r="BG852" s="556" t="str">
        <f t="shared" si="91"/>
        <v>O</v>
      </c>
      <c r="BH852" s="556" t="str">
        <f t="shared" si="92"/>
        <v/>
      </c>
      <c r="BI852" s="556" t="str">
        <f t="shared" si="93"/>
        <v/>
      </c>
      <c r="BJ852" s="556">
        <f t="shared" si="94"/>
        <v>0</v>
      </c>
      <c r="BK852" s="556">
        <f t="shared" si="95"/>
        <v>0</v>
      </c>
      <c r="BL852" s="556" t="str">
        <f t="shared" si="96"/>
        <v/>
      </c>
      <c r="BM852" s="497">
        <f t="shared" si="97"/>
        <v>0</v>
      </c>
    </row>
    <row r="853" spans="59:65">
      <c r="BG853" s="556" t="str">
        <f t="shared" si="91"/>
        <v>O</v>
      </c>
      <c r="BH853" s="556" t="str">
        <f t="shared" si="92"/>
        <v/>
      </c>
      <c r="BI853" s="556" t="str">
        <f t="shared" si="93"/>
        <v/>
      </c>
      <c r="BJ853" s="556">
        <f t="shared" si="94"/>
        <v>0</v>
      </c>
      <c r="BK853" s="556">
        <f t="shared" si="95"/>
        <v>0</v>
      </c>
      <c r="BL853" s="556" t="str">
        <f t="shared" si="96"/>
        <v/>
      </c>
      <c r="BM853" s="497">
        <f t="shared" si="97"/>
        <v>0</v>
      </c>
    </row>
    <row r="854" spans="59:65">
      <c r="BG854" s="556" t="str">
        <f t="shared" si="91"/>
        <v>O</v>
      </c>
      <c r="BH854" s="556" t="str">
        <f t="shared" si="92"/>
        <v/>
      </c>
      <c r="BI854" s="556" t="str">
        <f t="shared" si="93"/>
        <v/>
      </c>
      <c r="BJ854" s="556">
        <f t="shared" si="94"/>
        <v>0</v>
      </c>
      <c r="BK854" s="556">
        <f t="shared" si="95"/>
        <v>0</v>
      </c>
      <c r="BL854" s="556" t="str">
        <f t="shared" si="96"/>
        <v/>
      </c>
      <c r="BM854" s="497">
        <f t="shared" si="97"/>
        <v>0</v>
      </c>
    </row>
    <row r="855" spans="59:65">
      <c r="BG855" s="556" t="str">
        <f t="shared" si="91"/>
        <v>O</v>
      </c>
      <c r="BH855" s="556" t="str">
        <f t="shared" si="92"/>
        <v/>
      </c>
      <c r="BI855" s="556" t="str">
        <f t="shared" si="93"/>
        <v/>
      </c>
      <c r="BJ855" s="556">
        <f t="shared" si="94"/>
        <v>0</v>
      </c>
      <c r="BK855" s="556">
        <f t="shared" si="95"/>
        <v>0</v>
      </c>
      <c r="BL855" s="556" t="str">
        <f t="shared" si="96"/>
        <v/>
      </c>
      <c r="BM855" s="497">
        <f t="shared" si="97"/>
        <v>0</v>
      </c>
    </row>
    <row r="856" spans="59:65">
      <c r="BG856" s="556" t="str">
        <f t="shared" si="91"/>
        <v>O</v>
      </c>
      <c r="BH856" s="556" t="str">
        <f t="shared" si="92"/>
        <v/>
      </c>
      <c r="BI856" s="556" t="str">
        <f t="shared" si="93"/>
        <v/>
      </c>
      <c r="BJ856" s="556">
        <f t="shared" si="94"/>
        <v>0</v>
      </c>
      <c r="BK856" s="556">
        <f t="shared" si="95"/>
        <v>0</v>
      </c>
      <c r="BL856" s="556" t="str">
        <f t="shared" si="96"/>
        <v/>
      </c>
      <c r="BM856" s="497">
        <f t="shared" si="97"/>
        <v>0</v>
      </c>
    </row>
    <row r="857" spans="59:65">
      <c r="BG857" s="556" t="str">
        <f t="shared" si="91"/>
        <v>O</v>
      </c>
      <c r="BH857" s="556" t="str">
        <f t="shared" si="92"/>
        <v/>
      </c>
      <c r="BI857" s="556" t="str">
        <f t="shared" si="93"/>
        <v/>
      </c>
      <c r="BJ857" s="556">
        <f t="shared" si="94"/>
        <v>0</v>
      </c>
      <c r="BK857" s="556">
        <f t="shared" si="95"/>
        <v>0</v>
      </c>
      <c r="BL857" s="556" t="str">
        <f t="shared" si="96"/>
        <v/>
      </c>
      <c r="BM857" s="497">
        <f t="shared" si="97"/>
        <v>0</v>
      </c>
    </row>
    <row r="858" spans="59:65">
      <c r="BG858" s="556" t="str">
        <f t="shared" si="91"/>
        <v>O</v>
      </c>
      <c r="BH858" s="556" t="str">
        <f t="shared" si="92"/>
        <v/>
      </c>
      <c r="BI858" s="556" t="str">
        <f t="shared" si="93"/>
        <v/>
      </c>
      <c r="BJ858" s="556">
        <f t="shared" si="94"/>
        <v>0</v>
      </c>
      <c r="BK858" s="556">
        <f t="shared" si="95"/>
        <v>0</v>
      </c>
      <c r="BL858" s="556" t="str">
        <f t="shared" si="96"/>
        <v/>
      </c>
      <c r="BM858" s="497">
        <f t="shared" si="97"/>
        <v>0</v>
      </c>
    </row>
    <row r="859" spans="59:65">
      <c r="BG859" s="556" t="str">
        <f t="shared" si="91"/>
        <v>O</v>
      </c>
      <c r="BH859" s="556" t="str">
        <f t="shared" si="92"/>
        <v/>
      </c>
      <c r="BI859" s="556" t="str">
        <f t="shared" si="93"/>
        <v/>
      </c>
      <c r="BJ859" s="556">
        <f t="shared" si="94"/>
        <v>0</v>
      </c>
      <c r="BK859" s="556">
        <f t="shared" si="95"/>
        <v>0</v>
      </c>
      <c r="BL859" s="556" t="str">
        <f t="shared" si="96"/>
        <v/>
      </c>
      <c r="BM859" s="497">
        <f t="shared" si="97"/>
        <v>0</v>
      </c>
    </row>
    <row r="860" spans="59:65">
      <c r="BG860" s="556" t="str">
        <f t="shared" si="91"/>
        <v>O</v>
      </c>
      <c r="BH860" s="556" t="str">
        <f t="shared" si="92"/>
        <v/>
      </c>
      <c r="BI860" s="556" t="str">
        <f t="shared" si="93"/>
        <v/>
      </c>
      <c r="BJ860" s="556">
        <f t="shared" si="94"/>
        <v>0</v>
      </c>
      <c r="BK860" s="556">
        <f t="shared" si="95"/>
        <v>0</v>
      </c>
      <c r="BL860" s="556" t="str">
        <f t="shared" si="96"/>
        <v/>
      </c>
      <c r="BM860" s="497">
        <f t="shared" si="97"/>
        <v>0</v>
      </c>
    </row>
    <row r="861" spans="59:65">
      <c r="BG861" s="556" t="str">
        <f t="shared" si="91"/>
        <v>O</v>
      </c>
      <c r="BH861" s="556" t="str">
        <f t="shared" si="92"/>
        <v/>
      </c>
      <c r="BI861" s="556" t="str">
        <f t="shared" si="93"/>
        <v/>
      </c>
      <c r="BJ861" s="556">
        <f t="shared" si="94"/>
        <v>0</v>
      </c>
      <c r="BK861" s="556">
        <f t="shared" si="95"/>
        <v>0</v>
      </c>
      <c r="BL861" s="556" t="str">
        <f t="shared" si="96"/>
        <v/>
      </c>
      <c r="BM861" s="497">
        <f t="shared" si="97"/>
        <v>0</v>
      </c>
    </row>
    <row r="862" spans="59:65">
      <c r="BG862" s="556" t="str">
        <f t="shared" si="91"/>
        <v>O</v>
      </c>
      <c r="BH862" s="556" t="str">
        <f t="shared" si="92"/>
        <v/>
      </c>
      <c r="BI862" s="556" t="str">
        <f t="shared" si="93"/>
        <v/>
      </c>
      <c r="BJ862" s="556">
        <f t="shared" si="94"/>
        <v>0</v>
      </c>
      <c r="BK862" s="556">
        <f t="shared" si="95"/>
        <v>0</v>
      </c>
      <c r="BL862" s="556" t="str">
        <f t="shared" si="96"/>
        <v/>
      </c>
      <c r="BM862" s="497">
        <f t="shared" si="97"/>
        <v>0</v>
      </c>
    </row>
    <row r="863" spans="59:65">
      <c r="BG863" s="556" t="str">
        <f t="shared" si="91"/>
        <v>O</v>
      </c>
      <c r="BH863" s="556" t="str">
        <f t="shared" si="92"/>
        <v/>
      </c>
      <c r="BI863" s="556" t="str">
        <f t="shared" si="93"/>
        <v/>
      </c>
      <c r="BJ863" s="556">
        <f t="shared" si="94"/>
        <v>0</v>
      </c>
      <c r="BK863" s="556">
        <f t="shared" si="95"/>
        <v>0</v>
      </c>
      <c r="BL863" s="556" t="str">
        <f t="shared" si="96"/>
        <v/>
      </c>
      <c r="BM863" s="497">
        <f t="shared" si="97"/>
        <v>0</v>
      </c>
    </row>
    <row r="864" spans="59:65">
      <c r="BG864" s="556" t="str">
        <f t="shared" si="91"/>
        <v>O</v>
      </c>
      <c r="BH864" s="556" t="str">
        <f t="shared" si="92"/>
        <v/>
      </c>
      <c r="BI864" s="556" t="str">
        <f t="shared" si="93"/>
        <v/>
      </c>
      <c r="BJ864" s="556">
        <f t="shared" si="94"/>
        <v>0</v>
      </c>
      <c r="BK864" s="556">
        <f t="shared" si="95"/>
        <v>0</v>
      </c>
      <c r="BL864" s="556" t="str">
        <f t="shared" si="96"/>
        <v/>
      </c>
      <c r="BM864" s="497">
        <f t="shared" si="97"/>
        <v>0</v>
      </c>
    </row>
    <row r="865" spans="59:65">
      <c r="BG865" s="556" t="str">
        <f t="shared" si="91"/>
        <v>O</v>
      </c>
      <c r="BH865" s="556" t="str">
        <f t="shared" si="92"/>
        <v/>
      </c>
      <c r="BI865" s="556" t="str">
        <f t="shared" si="93"/>
        <v/>
      </c>
      <c r="BJ865" s="556">
        <f t="shared" si="94"/>
        <v>0</v>
      </c>
      <c r="BK865" s="556">
        <f t="shared" si="95"/>
        <v>0</v>
      </c>
      <c r="BL865" s="556" t="str">
        <f t="shared" si="96"/>
        <v/>
      </c>
      <c r="BM865" s="497">
        <f t="shared" si="97"/>
        <v>0</v>
      </c>
    </row>
    <row r="866" spans="59:65">
      <c r="BG866" s="556" t="str">
        <f t="shared" si="91"/>
        <v>O</v>
      </c>
      <c r="BH866" s="556" t="str">
        <f t="shared" si="92"/>
        <v/>
      </c>
      <c r="BI866" s="556" t="str">
        <f t="shared" si="93"/>
        <v/>
      </c>
      <c r="BJ866" s="556">
        <f t="shared" si="94"/>
        <v>0</v>
      </c>
      <c r="BK866" s="556">
        <f t="shared" si="95"/>
        <v>0</v>
      </c>
      <c r="BL866" s="556" t="str">
        <f t="shared" si="96"/>
        <v/>
      </c>
      <c r="BM866" s="497">
        <f t="shared" si="97"/>
        <v>0</v>
      </c>
    </row>
    <row r="867" spans="59:65">
      <c r="BG867" s="556" t="str">
        <f t="shared" si="91"/>
        <v>O</v>
      </c>
      <c r="BH867" s="556" t="str">
        <f t="shared" si="92"/>
        <v/>
      </c>
      <c r="BI867" s="556" t="str">
        <f t="shared" si="93"/>
        <v/>
      </c>
      <c r="BJ867" s="556">
        <f t="shared" si="94"/>
        <v>0</v>
      </c>
      <c r="BK867" s="556">
        <f t="shared" si="95"/>
        <v>0</v>
      </c>
      <c r="BL867" s="556" t="str">
        <f t="shared" si="96"/>
        <v/>
      </c>
      <c r="BM867" s="497">
        <f t="shared" si="97"/>
        <v>0</v>
      </c>
    </row>
    <row r="868" spans="59:65">
      <c r="BG868" s="556" t="str">
        <f t="shared" si="91"/>
        <v>O</v>
      </c>
      <c r="BH868" s="556" t="str">
        <f t="shared" si="92"/>
        <v/>
      </c>
      <c r="BI868" s="556" t="str">
        <f t="shared" si="93"/>
        <v/>
      </c>
      <c r="BJ868" s="556">
        <f t="shared" si="94"/>
        <v>0</v>
      </c>
      <c r="BK868" s="556">
        <f t="shared" si="95"/>
        <v>0</v>
      </c>
      <c r="BL868" s="556" t="str">
        <f t="shared" si="96"/>
        <v/>
      </c>
      <c r="BM868" s="497">
        <f t="shared" si="97"/>
        <v>0</v>
      </c>
    </row>
    <row r="869" spans="59:65">
      <c r="BG869" s="556" t="str">
        <f t="shared" si="91"/>
        <v>O</v>
      </c>
      <c r="BH869" s="556" t="str">
        <f t="shared" si="92"/>
        <v/>
      </c>
      <c r="BI869" s="556" t="str">
        <f t="shared" si="93"/>
        <v/>
      </c>
      <c r="BJ869" s="556">
        <f t="shared" si="94"/>
        <v>0</v>
      </c>
      <c r="BK869" s="556">
        <f t="shared" si="95"/>
        <v>0</v>
      </c>
      <c r="BL869" s="556" t="str">
        <f t="shared" si="96"/>
        <v/>
      </c>
      <c r="BM869" s="497">
        <f t="shared" si="97"/>
        <v>0</v>
      </c>
    </row>
    <row r="870" spans="59:65">
      <c r="BG870" s="556" t="str">
        <f t="shared" si="91"/>
        <v>O</v>
      </c>
      <c r="BH870" s="556" t="str">
        <f t="shared" si="92"/>
        <v/>
      </c>
      <c r="BI870" s="556" t="str">
        <f t="shared" si="93"/>
        <v/>
      </c>
      <c r="BJ870" s="556">
        <f t="shared" si="94"/>
        <v>0</v>
      </c>
      <c r="BK870" s="556">
        <f t="shared" si="95"/>
        <v>0</v>
      </c>
      <c r="BL870" s="556" t="str">
        <f t="shared" si="96"/>
        <v/>
      </c>
      <c r="BM870" s="497">
        <f t="shared" si="97"/>
        <v>0</v>
      </c>
    </row>
    <row r="871" spans="59:65">
      <c r="BG871" s="556" t="str">
        <f t="shared" si="91"/>
        <v>O</v>
      </c>
      <c r="BH871" s="556" t="str">
        <f t="shared" si="92"/>
        <v/>
      </c>
      <c r="BI871" s="556" t="str">
        <f t="shared" si="93"/>
        <v/>
      </c>
      <c r="BJ871" s="556">
        <f t="shared" si="94"/>
        <v>0</v>
      </c>
      <c r="BK871" s="556">
        <f t="shared" si="95"/>
        <v>0</v>
      </c>
      <c r="BL871" s="556" t="str">
        <f t="shared" si="96"/>
        <v/>
      </c>
      <c r="BM871" s="497">
        <f t="shared" si="97"/>
        <v>0</v>
      </c>
    </row>
    <row r="872" spans="59:65">
      <c r="BG872" s="556" t="str">
        <f t="shared" si="91"/>
        <v>O</v>
      </c>
      <c r="BH872" s="556" t="str">
        <f t="shared" si="92"/>
        <v/>
      </c>
      <c r="BI872" s="556" t="str">
        <f t="shared" si="93"/>
        <v/>
      </c>
      <c r="BJ872" s="556">
        <f t="shared" si="94"/>
        <v>0</v>
      </c>
      <c r="BK872" s="556">
        <f t="shared" si="95"/>
        <v>0</v>
      </c>
      <c r="BL872" s="556" t="str">
        <f t="shared" si="96"/>
        <v/>
      </c>
      <c r="BM872" s="497">
        <f t="shared" si="97"/>
        <v>0</v>
      </c>
    </row>
    <row r="873" spans="59:65">
      <c r="BG873" s="556" t="str">
        <f t="shared" si="91"/>
        <v>O</v>
      </c>
      <c r="BH873" s="556" t="str">
        <f t="shared" si="92"/>
        <v/>
      </c>
      <c r="BI873" s="556" t="str">
        <f t="shared" si="93"/>
        <v/>
      </c>
      <c r="BJ873" s="556">
        <f t="shared" si="94"/>
        <v>0</v>
      </c>
      <c r="BK873" s="556">
        <f t="shared" si="95"/>
        <v>0</v>
      </c>
      <c r="BL873" s="556" t="str">
        <f t="shared" si="96"/>
        <v/>
      </c>
      <c r="BM873" s="497">
        <f t="shared" si="97"/>
        <v>0</v>
      </c>
    </row>
    <row r="874" spans="59:65">
      <c r="BG874" s="556" t="str">
        <f t="shared" si="91"/>
        <v>O</v>
      </c>
      <c r="BH874" s="556" t="str">
        <f t="shared" si="92"/>
        <v/>
      </c>
      <c r="BI874" s="556" t="str">
        <f t="shared" si="93"/>
        <v/>
      </c>
      <c r="BJ874" s="556">
        <f t="shared" si="94"/>
        <v>0</v>
      </c>
      <c r="BK874" s="556">
        <f t="shared" si="95"/>
        <v>0</v>
      </c>
      <c r="BL874" s="556" t="str">
        <f t="shared" si="96"/>
        <v/>
      </c>
      <c r="BM874" s="497">
        <f t="shared" si="97"/>
        <v>0</v>
      </c>
    </row>
    <row r="875" spans="59:65">
      <c r="BG875" s="556" t="str">
        <f t="shared" si="91"/>
        <v>O</v>
      </c>
      <c r="BH875" s="556" t="str">
        <f t="shared" si="92"/>
        <v/>
      </c>
      <c r="BI875" s="556" t="str">
        <f t="shared" si="93"/>
        <v/>
      </c>
      <c r="BJ875" s="556">
        <f t="shared" si="94"/>
        <v>0</v>
      </c>
      <c r="BK875" s="556">
        <f t="shared" si="95"/>
        <v>0</v>
      </c>
      <c r="BL875" s="556" t="str">
        <f t="shared" si="96"/>
        <v/>
      </c>
      <c r="BM875" s="497">
        <f t="shared" si="97"/>
        <v>0</v>
      </c>
    </row>
    <row r="876" spans="59:65">
      <c r="BG876" s="556" t="str">
        <f t="shared" si="91"/>
        <v>O</v>
      </c>
      <c r="BH876" s="556" t="str">
        <f t="shared" si="92"/>
        <v/>
      </c>
      <c r="BI876" s="556" t="str">
        <f t="shared" si="93"/>
        <v/>
      </c>
      <c r="BJ876" s="556">
        <f t="shared" si="94"/>
        <v>0</v>
      </c>
      <c r="BK876" s="556">
        <f t="shared" si="95"/>
        <v>0</v>
      </c>
      <c r="BL876" s="556" t="str">
        <f t="shared" si="96"/>
        <v/>
      </c>
      <c r="BM876" s="497">
        <f t="shared" si="97"/>
        <v>0</v>
      </c>
    </row>
    <row r="877" spans="59:65">
      <c r="BG877" s="556" t="str">
        <f t="shared" si="91"/>
        <v>O</v>
      </c>
      <c r="BH877" s="556" t="str">
        <f t="shared" si="92"/>
        <v/>
      </c>
      <c r="BI877" s="556" t="str">
        <f t="shared" si="93"/>
        <v/>
      </c>
      <c r="BJ877" s="556">
        <f t="shared" si="94"/>
        <v>0</v>
      </c>
      <c r="BK877" s="556">
        <f t="shared" si="95"/>
        <v>0</v>
      </c>
      <c r="BL877" s="556" t="str">
        <f t="shared" si="96"/>
        <v/>
      </c>
      <c r="BM877" s="497">
        <f t="shared" si="97"/>
        <v>0</v>
      </c>
    </row>
    <row r="878" spans="59:65">
      <c r="BG878" s="556" t="str">
        <f t="shared" si="91"/>
        <v>O</v>
      </c>
      <c r="BH878" s="556" t="str">
        <f t="shared" si="92"/>
        <v/>
      </c>
      <c r="BI878" s="556" t="str">
        <f t="shared" si="93"/>
        <v/>
      </c>
      <c r="BJ878" s="556">
        <f t="shared" si="94"/>
        <v>0</v>
      </c>
      <c r="BK878" s="556">
        <f t="shared" si="95"/>
        <v>0</v>
      </c>
      <c r="BL878" s="556" t="str">
        <f t="shared" si="96"/>
        <v/>
      </c>
      <c r="BM878" s="497">
        <f t="shared" si="97"/>
        <v>0</v>
      </c>
    </row>
    <row r="879" spans="59:65">
      <c r="BG879" s="556" t="str">
        <f t="shared" si="91"/>
        <v>O</v>
      </c>
      <c r="BH879" s="556" t="str">
        <f t="shared" si="92"/>
        <v/>
      </c>
      <c r="BI879" s="556" t="str">
        <f t="shared" si="93"/>
        <v/>
      </c>
      <c r="BJ879" s="556">
        <f t="shared" si="94"/>
        <v>0</v>
      </c>
      <c r="BK879" s="556">
        <f t="shared" si="95"/>
        <v>0</v>
      </c>
      <c r="BL879" s="556" t="str">
        <f t="shared" si="96"/>
        <v/>
      </c>
      <c r="BM879" s="497">
        <f t="shared" si="97"/>
        <v>0</v>
      </c>
    </row>
    <row r="880" spans="59:65">
      <c r="BG880" s="556" t="str">
        <f t="shared" si="91"/>
        <v>O</v>
      </c>
      <c r="BH880" s="556" t="str">
        <f t="shared" si="92"/>
        <v/>
      </c>
      <c r="BI880" s="556" t="str">
        <f t="shared" si="93"/>
        <v/>
      </c>
      <c r="BJ880" s="556">
        <f t="shared" si="94"/>
        <v>0</v>
      </c>
      <c r="BK880" s="556">
        <f t="shared" si="95"/>
        <v>0</v>
      </c>
      <c r="BL880" s="556" t="str">
        <f t="shared" si="96"/>
        <v/>
      </c>
      <c r="BM880" s="497">
        <f t="shared" si="97"/>
        <v>0</v>
      </c>
    </row>
    <row r="881" spans="59:65">
      <c r="BG881" s="556" t="str">
        <f t="shared" si="91"/>
        <v>O</v>
      </c>
      <c r="BH881" s="556" t="str">
        <f t="shared" si="92"/>
        <v/>
      </c>
      <c r="BI881" s="556" t="str">
        <f t="shared" si="93"/>
        <v/>
      </c>
      <c r="BJ881" s="556">
        <f t="shared" si="94"/>
        <v>0</v>
      </c>
      <c r="BK881" s="556">
        <f t="shared" si="95"/>
        <v>0</v>
      </c>
      <c r="BL881" s="556" t="str">
        <f t="shared" si="96"/>
        <v/>
      </c>
      <c r="BM881" s="497">
        <f t="shared" si="97"/>
        <v>0</v>
      </c>
    </row>
    <row r="882" spans="59:65">
      <c r="BG882" s="556" t="str">
        <f t="shared" si="91"/>
        <v>O</v>
      </c>
      <c r="BH882" s="556" t="str">
        <f t="shared" si="92"/>
        <v/>
      </c>
      <c r="BI882" s="556" t="str">
        <f t="shared" si="93"/>
        <v/>
      </c>
      <c r="BJ882" s="556">
        <f t="shared" si="94"/>
        <v>0</v>
      </c>
      <c r="BK882" s="556">
        <f t="shared" si="95"/>
        <v>0</v>
      </c>
      <c r="BL882" s="556" t="str">
        <f t="shared" si="96"/>
        <v/>
      </c>
      <c r="BM882" s="497">
        <f t="shared" si="97"/>
        <v>0</v>
      </c>
    </row>
    <row r="883" spans="59:65">
      <c r="BG883" s="556" t="str">
        <f t="shared" si="91"/>
        <v>O</v>
      </c>
      <c r="BH883" s="556" t="str">
        <f t="shared" si="92"/>
        <v/>
      </c>
      <c r="BI883" s="556" t="str">
        <f t="shared" si="93"/>
        <v/>
      </c>
      <c r="BJ883" s="556">
        <f t="shared" si="94"/>
        <v>0</v>
      </c>
      <c r="BK883" s="556">
        <f t="shared" si="95"/>
        <v>0</v>
      </c>
      <c r="BL883" s="556" t="str">
        <f t="shared" si="96"/>
        <v/>
      </c>
      <c r="BM883" s="497">
        <f t="shared" si="97"/>
        <v>0</v>
      </c>
    </row>
    <row r="884" spans="59:65">
      <c r="BG884" s="556" t="str">
        <f t="shared" si="91"/>
        <v>O</v>
      </c>
      <c r="BH884" s="556" t="str">
        <f t="shared" si="92"/>
        <v/>
      </c>
      <c r="BI884" s="556" t="str">
        <f t="shared" si="93"/>
        <v/>
      </c>
      <c r="BJ884" s="556">
        <f t="shared" si="94"/>
        <v>0</v>
      </c>
      <c r="BK884" s="556">
        <f t="shared" si="95"/>
        <v>0</v>
      </c>
      <c r="BL884" s="556" t="str">
        <f t="shared" si="96"/>
        <v/>
      </c>
      <c r="BM884" s="497">
        <f t="shared" si="97"/>
        <v>0</v>
      </c>
    </row>
    <row r="885" spans="59:65">
      <c r="BG885" s="556" t="str">
        <f t="shared" si="91"/>
        <v>O</v>
      </c>
      <c r="BH885" s="556" t="str">
        <f t="shared" si="92"/>
        <v/>
      </c>
      <c r="BI885" s="556" t="str">
        <f t="shared" si="93"/>
        <v/>
      </c>
      <c r="BJ885" s="556">
        <f t="shared" si="94"/>
        <v>0</v>
      </c>
      <c r="BK885" s="556">
        <f t="shared" si="95"/>
        <v>0</v>
      </c>
      <c r="BL885" s="556" t="str">
        <f t="shared" si="96"/>
        <v/>
      </c>
      <c r="BM885" s="497">
        <f t="shared" si="97"/>
        <v>0</v>
      </c>
    </row>
    <row r="886" spans="59:65">
      <c r="BG886" s="556" t="str">
        <f t="shared" si="91"/>
        <v>O</v>
      </c>
      <c r="BH886" s="556" t="str">
        <f t="shared" si="92"/>
        <v/>
      </c>
      <c r="BI886" s="556" t="str">
        <f t="shared" si="93"/>
        <v/>
      </c>
      <c r="BJ886" s="556">
        <f t="shared" si="94"/>
        <v>0</v>
      </c>
      <c r="BK886" s="556">
        <f t="shared" si="95"/>
        <v>0</v>
      </c>
      <c r="BL886" s="556" t="str">
        <f t="shared" si="96"/>
        <v/>
      </c>
      <c r="BM886" s="497">
        <f t="shared" si="97"/>
        <v>0</v>
      </c>
    </row>
    <row r="887" spans="59:65">
      <c r="BG887" s="556" t="str">
        <f t="shared" si="91"/>
        <v>O</v>
      </c>
      <c r="BH887" s="556" t="str">
        <f t="shared" si="92"/>
        <v/>
      </c>
      <c r="BI887" s="556" t="str">
        <f t="shared" si="93"/>
        <v/>
      </c>
      <c r="BJ887" s="556">
        <f t="shared" si="94"/>
        <v>0</v>
      </c>
      <c r="BK887" s="556">
        <f t="shared" si="95"/>
        <v>0</v>
      </c>
      <c r="BL887" s="556" t="str">
        <f t="shared" si="96"/>
        <v/>
      </c>
      <c r="BM887" s="497">
        <f t="shared" si="97"/>
        <v>0</v>
      </c>
    </row>
    <row r="888" spans="59:65">
      <c r="BG888" s="556" t="str">
        <f t="shared" si="91"/>
        <v>O</v>
      </c>
      <c r="BH888" s="556" t="str">
        <f t="shared" si="92"/>
        <v/>
      </c>
      <c r="BI888" s="556" t="str">
        <f t="shared" si="93"/>
        <v/>
      </c>
      <c r="BJ888" s="556">
        <f t="shared" si="94"/>
        <v>0</v>
      </c>
      <c r="BK888" s="556">
        <f t="shared" si="95"/>
        <v>0</v>
      </c>
      <c r="BL888" s="556" t="str">
        <f t="shared" si="96"/>
        <v/>
      </c>
      <c r="BM888" s="497">
        <f t="shared" si="97"/>
        <v>0</v>
      </c>
    </row>
    <row r="889" spans="59:65">
      <c r="BG889" s="556" t="str">
        <f t="shared" si="91"/>
        <v>O</v>
      </c>
      <c r="BH889" s="556" t="str">
        <f t="shared" si="92"/>
        <v/>
      </c>
      <c r="BI889" s="556" t="str">
        <f t="shared" si="93"/>
        <v/>
      </c>
      <c r="BJ889" s="556">
        <f t="shared" si="94"/>
        <v>0</v>
      </c>
      <c r="BK889" s="556">
        <f t="shared" si="95"/>
        <v>0</v>
      </c>
      <c r="BL889" s="556" t="str">
        <f t="shared" si="96"/>
        <v/>
      </c>
      <c r="BM889" s="497">
        <f t="shared" si="97"/>
        <v>0</v>
      </c>
    </row>
    <row r="890" spans="59:65">
      <c r="BG890" s="556" t="str">
        <f t="shared" si="91"/>
        <v>O</v>
      </c>
      <c r="BH890" s="556" t="str">
        <f t="shared" si="92"/>
        <v/>
      </c>
      <c r="BI890" s="556" t="str">
        <f t="shared" si="93"/>
        <v/>
      </c>
      <c r="BJ890" s="556">
        <f t="shared" si="94"/>
        <v>0</v>
      </c>
      <c r="BK890" s="556">
        <f t="shared" si="95"/>
        <v>0</v>
      </c>
      <c r="BL890" s="556" t="str">
        <f t="shared" si="96"/>
        <v/>
      </c>
      <c r="BM890" s="497">
        <f t="shared" si="97"/>
        <v>0</v>
      </c>
    </row>
    <row r="891" spans="59:65">
      <c r="BG891" s="556" t="str">
        <f t="shared" si="91"/>
        <v>O</v>
      </c>
      <c r="BH891" s="556" t="str">
        <f t="shared" si="92"/>
        <v/>
      </c>
      <c r="BI891" s="556" t="str">
        <f t="shared" si="93"/>
        <v/>
      </c>
      <c r="BJ891" s="556">
        <f t="shared" si="94"/>
        <v>0</v>
      </c>
      <c r="BK891" s="556">
        <f t="shared" si="95"/>
        <v>0</v>
      </c>
      <c r="BL891" s="556" t="str">
        <f t="shared" si="96"/>
        <v/>
      </c>
      <c r="BM891" s="497">
        <f t="shared" si="97"/>
        <v>0</v>
      </c>
    </row>
    <row r="892" spans="59:65">
      <c r="BG892" s="556" t="str">
        <f t="shared" si="91"/>
        <v>O</v>
      </c>
      <c r="BH892" s="556" t="str">
        <f t="shared" si="92"/>
        <v/>
      </c>
      <c r="BI892" s="556" t="str">
        <f t="shared" si="93"/>
        <v/>
      </c>
      <c r="BJ892" s="556">
        <f t="shared" si="94"/>
        <v>0</v>
      </c>
      <c r="BK892" s="556">
        <f t="shared" si="95"/>
        <v>0</v>
      </c>
      <c r="BL892" s="556" t="str">
        <f t="shared" si="96"/>
        <v/>
      </c>
      <c r="BM892" s="497">
        <f t="shared" si="97"/>
        <v>0</v>
      </c>
    </row>
    <row r="893" spans="59:65">
      <c r="BG893" s="556" t="str">
        <f t="shared" si="91"/>
        <v>O</v>
      </c>
      <c r="BH893" s="556" t="str">
        <f t="shared" si="92"/>
        <v/>
      </c>
      <c r="BI893" s="556" t="str">
        <f t="shared" si="93"/>
        <v/>
      </c>
      <c r="BJ893" s="556">
        <f t="shared" si="94"/>
        <v>0</v>
      </c>
      <c r="BK893" s="556">
        <f t="shared" si="95"/>
        <v>0</v>
      </c>
      <c r="BL893" s="556" t="str">
        <f t="shared" si="96"/>
        <v/>
      </c>
      <c r="BM893" s="497">
        <f t="shared" si="97"/>
        <v>0</v>
      </c>
    </row>
    <row r="894" spans="59:65">
      <c r="BG894" s="556" t="str">
        <f t="shared" si="91"/>
        <v>O</v>
      </c>
      <c r="BH894" s="556" t="str">
        <f t="shared" si="92"/>
        <v/>
      </c>
      <c r="BI894" s="556" t="str">
        <f t="shared" si="93"/>
        <v/>
      </c>
      <c r="BJ894" s="556">
        <f t="shared" si="94"/>
        <v>0</v>
      </c>
      <c r="BK894" s="556">
        <f t="shared" si="95"/>
        <v>0</v>
      </c>
      <c r="BL894" s="556" t="str">
        <f t="shared" si="96"/>
        <v/>
      </c>
      <c r="BM894" s="497">
        <f t="shared" si="97"/>
        <v>0</v>
      </c>
    </row>
    <row r="895" spans="59:65">
      <c r="BG895" s="556" t="str">
        <f t="shared" si="91"/>
        <v>O</v>
      </c>
      <c r="BH895" s="556" t="str">
        <f t="shared" si="92"/>
        <v/>
      </c>
      <c r="BI895" s="556" t="str">
        <f t="shared" si="93"/>
        <v/>
      </c>
      <c r="BJ895" s="556">
        <f t="shared" si="94"/>
        <v>0</v>
      </c>
      <c r="BK895" s="556">
        <f t="shared" si="95"/>
        <v>0</v>
      </c>
      <c r="BL895" s="556" t="str">
        <f t="shared" si="96"/>
        <v/>
      </c>
      <c r="BM895" s="497">
        <f t="shared" si="97"/>
        <v>0</v>
      </c>
    </row>
    <row r="896" spans="59:65">
      <c r="BG896" s="556" t="str">
        <f t="shared" si="91"/>
        <v>O</v>
      </c>
      <c r="BH896" s="556" t="str">
        <f t="shared" si="92"/>
        <v/>
      </c>
      <c r="BI896" s="556" t="str">
        <f t="shared" si="93"/>
        <v/>
      </c>
      <c r="BJ896" s="556">
        <f t="shared" si="94"/>
        <v>0</v>
      </c>
      <c r="BK896" s="556">
        <f t="shared" si="95"/>
        <v>0</v>
      </c>
      <c r="BL896" s="556" t="str">
        <f t="shared" si="96"/>
        <v/>
      </c>
      <c r="BM896" s="497">
        <f t="shared" si="97"/>
        <v>0</v>
      </c>
    </row>
    <row r="897" spans="59:65">
      <c r="BG897" s="556" t="str">
        <f t="shared" si="91"/>
        <v>O</v>
      </c>
      <c r="BH897" s="556" t="str">
        <f t="shared" si="92"/>
        <v/>
      </c>
      <c r="BI897" s="556" t="str">
        <f t="shared" si="93"/>
        <v/>
      </c>
      <c r="BJ897" s="556">
        <f t="shared" si="94"/>
        <v>0</v>
      </c>
      <c r="BK897" s="556">
        <f t="shared" si="95"/>
        <v>0</v>
      </c>
      <c r="BL897" s="556" t="str">
        <f t="shared" si="96"/>
        <v/>
      </c>
      <c r="BM897" s="497">
        <f t="shared" si="97"/>
        <v>0</v>
      </c>
    </row>
    <row r="898" spans="59:65">
      <c r="BG898" s="556" t="str">
        <f t="shared" si="91"/>
        <v>O</v>
      </c>
      <c r="BH898" s="556" t="str">
        <f t="shared" si="92"/>
        <v/>
      </c>
      <c r="BI898" s="556" t="str">
        <f t="shared" si="93"/>
        <v/>
      </c>
      <c r="BJ898" s="556">
        <f t="shared" si="94"/>
        <v>0</v>
      </c>
      <c r="BK898" s="556">
        <f t="shared" si="95"/>
        <v>0</v>
      </c>
      <c r="BL898" s="556" t="str">
        <f t="shared" si="96"/>
        <v/>
      </c>
      <c r="BM898" s="497">
        <f t="shared" si="97"/>
        <v>0</v>
      </c>
    </row>
    <row r="899" spans="59:65">
      <c r="BG899" s="556" t="str">
        <f t="shared" ref="BG899:BG962" si="98">IF(LEFT(AY899,2)="98","X","O")</f>
        <v>O</v>
      </c>
      <c r="BH899" s="556" t="str">
        <f t="shared" ref="BH899:BH962" si="99">IF(IFERROR(SEARCH("45",$AY899,1),0)&gt;0,"Y","")</f>
        <v/>
      </c>
      <c r="BI899" s="556" t="str">
        <f t="shared" ref="BI899:BI962" si="100">IF(IFERROR(SEARCH("86",$AY899,1),0)&gt;0,"Y","")</f>
        <v/>
      </c>
      <c r="BJ899" s="556">
        <f t="shared" ref="BJ899:BJ962" si="101">IF(L899="",K899,IF(M899="",K899&amp;","&amp;L899,IF(N899="",K899&amp;","&amp;L899&amp;","&amp;M899,K899&amp;","&amp;L899&amp;","&amp;M899&amp;","&amp;N899)))</f>
        <v>0</v>
      </c>
      <c r="BK899" s="556">
        <f t="shared" ref="BK899:BK962" si="102">IF(P899="",O899,IF(Q899="",O899&amp;","&amp;P899,IF(R899="",O899&amp;","&amp;P899&amp;","&amp;Q899,IO899&amp;","&amp;P899&amp;","&amp;Q899&amp;","&amp;R899)))</f>
        <v>0</v>
      </c>
      <c r="BL899" s="556" t="str">
        <f t="shared" ref="BL899:BL962" si="103">IF(S899=0,"",S899)</f>
        <v/>
      </c>
      <c r="BM899" s="497">
        <f t="shared" ref="BM899:BM962" si="104">A899</f>
        <v>0</v>
      </c>
    </row>
    <row r="900" spans="59:65">
      <c r="BG900" s="556" t="str">
        <f t="shared" si="98"/>
        <v>O</v>
      </c>
      <c r="BH900" s="556" t="str">
        <f t="shared" si="99"/>
        <v/>
      </c>
      <c r="BI900" s="556" t="str">
        <f t="shared" si="100"/>
        <v/>
      </c>
      <c r="BJ900" s="556">
        <f t="shared" si="101"/>
        <v>0</v>
      </c>
      <c r="BK900" s="556">
        <f t="shared" si="102"/>
        <v>0</v>
      </c>
      <c r="BL900" s="556" t="str">
        <f t="shared" si="103"/>
        <v/>
      </c>
      <c r="BM900" s="497">
        <f t="shared" si="104"/>
        <v>0</v>
      </c>
    </row>
    <row r="901" spans="59:65">
      <c r="BG901" s="556" t="str">
        <f t="shared" si="98"/>
        <v>O</v>
      </c>
      <c r="BH901" s="556" t="str">
        <f t="shared" si="99"/>
        <v/>
      </c>
      <c r="BI901" s="556" t="str">
        <f t="shared" si="100"/>
        <v/>
      </c>
      <c r="BJ901" s="556">
        <f t="shared" si="101"/>
        <v>0</v>
      </c>
      <c r="BK901" s="556">
        <f t="shared" si="102"/>
        <v>0</v>
      </c>
      <c r="BL901" s="556" t="str">
        <f t="shared" si="103"/>
        <v/>
      </c>
      <c r="BM901" s="497">
        <f t="shared" si="104"/>
        <v>0</v>
      </c>
    </row>
    <row r="902" spans="59:65">
      <c r="BG902" s="556" t="str">
        <f t="shared" si="98"/>
        <v>O</v>
      </c>
      <c r="BH902" s="556" t="str">
        <f t="shared" si="99"/>
        <v/>
      </c>
      <c r="BI902" s="556" t="str">
        <f t="shared" si="100"/>
        <v/>
      </c>
      <c r="BJ902" s="556">
        <f t="shared" si="101"/>
        <v>0</v>
      </c>
      <c r="BK902" s="556">
        <f t="shared" si="102"/>
        <v>0</v>
      </c>
      <c r="BL902" s="556" t="str">
        <f t="shared" si="103"/>
        <v/>
      </c>
      <c r="BM902" s="497">
        <f t="shared" si="104"/>
        <v>0</v>
      </c>
    </row>
    <row r="903" spans="59:65">
      <c r="BG903" s="556" t="str">
        <f t="shared" si="98"/>
        <v>O</v>
      </c>
      <c r="BH903" s="556" t="str">
        <f t="shared" si="99"/>
        <v/>
      </c>
      <c r="BI903" s="556" t="str">
        <f t="shared" si="100"/>
        <v/>
      </c>
      <c r="BJ903" s="556">
        <f t="shared" si="101"/>
        <v>0</v>
      </c>
      <c r="BK903" s="556">
        <f t="shared" si="102"/>
        <v>0</v>
      </c>
      <c r="BL903" s="556" t="str">
        <f t="shared" si="103"/>
        <v/>
      </c>
      <c r="BM903" s="497">
        <f t="shared" si="104"/>
        <v>0</v>
      </c>
    </row>
    <row r="904" spans="59:65">
      <c r="BG904" s="556" t="str">
        <f t="shared" si="98"/>
        <v>O</v>
      </c>
      <c r="BH904" s="556" t="str">
        <f t="shared" si="99"/>
        <v/>
      </c>
      <c r="BI904" s="556" t="str">
        <f t="shared" si="100"/>
        <v/>
      </c>
      <c r="BJ904" s="556">
        <f t="shared" si="101"/>
        <v>0</v>
      </c>
      <c r="BK904" s="556">
        <f t="shared" si="102"/>
        <v>0</v>
      </c>
      <c r="BL904" s="556" t="str">
        <f t="shared" si="103"/>
        <v/>
      </c>
      <c r="BM904" s="497">
        <f t="shared" si="104"/>
        <v>0</v>
      </c>
    </row>
    <row r="905" spans="59:65">
      <c r="BG905" s="556" t="str">
        <f t="shared" si="98"/>
        <v>O</v>
      </c>
      <c r="BH905" s="556" t="str">
        <f t="shared" si="99"/>
        <v/>
      </c>
      <c r="BI905" s="556" t="str">
        <f t="shared" si="100"/>
        <v/>
      </c>
      <c r="BJ905" s="556">
        <f t="shared" si="101"/>
        <v>0</v>
      </c>
      <c r="BK905" s="556">
        <f t="shared" si="102"/>
        <v>0</v>
      </c>
      <c r="BL905" s="556" t="str">
        <f t="shared" si="103"/>
        <v/>
      </c>
      <c r="BM905" s="497">
        <f t="shared" si="104"/>
        <v>0</v>
      </c>
    </row>
    <row r="906" spans="59:65">
      <c r="BG906" s="556" t="str">
        <f t="shared" si="98"/>
        <v>O</v>
      </c>
      <c r="BH906" s="556" t="str">
        <f t="shared" si="99"/>
        <v/>
      </c>
      <c r="BI906" s="556" t="str">
        <f t="shared" si="100"/>
        <v/>
      </c>
      <c r="BJ906" s="556">
        <f t="shared" si="101"/>
        <v>0</v>
      </c>
      <c r="BK906" s="556">
        <f t="shared" si="102"/>
        <v>0</v>
      </c>
      <c r="BL906" s="556" t="str">
        <f t="shared" si="103"/>
        <v/>
      </c>
      <c r="BM906" s="497">
        <f t="shared" si="104"/>
        <v>0</v>
      </c>
    </row>
    <row r="907" spans="59:65">
      <c r="BG907" s="556" t="str">
        <f t="shared" si="98"/>
        <v>O</v>
      </c>
      <c r="BH907" s="556" t="str">
        <f t="shared" si="99"/>
        <v/>
      </c>
      <c r="BI907" s="556" t="str">
        <f t="shared" si="100"/>
        <v/>
      </c>
      <c r="BJ907" s="556">
        <f t="shared" si="101"/>
        <v>0</v>
      </c>
      <c r="BK907" s="556">
        <f t="shared" si="102"/>
        <v>0</v>
      </c>
      <c r="BL907" s="556" t="str">
        <f t="shared" si="103"/>
        <v/>
      </c>
      <c r="BM907" s="497">
        <f t="shared" si="104"/>
        <v>0</v>
      </c>
    </row>
    <row r="908" spans="59:65">
      <c r="BG908" s="556" t="str">
        <f t="shared" si="98"/>
        <v>O</v>
      </c>
      <c r="BH908" s="556" t="str">
        <f t="shared" si="99"/>
        <v/>
      </c>
      <c r="BI908" s="556" t="str">
        <f t="shared" si="100"/>
        <v/>
      </c>
      <c r="BJ908" s="556">
        <f t="shared" si="101"/>
        <v>0</v>
      </c>
      <c r="BK908" s="556">
        <f t="shared" si="102"/>
        <v>0</v>
      </c>
      <c r="BL908" s="556" t="str">
        <f t="shared" si="103"/>
        <v/>
      </c>
      <c r="BM908" s="497">
        <f t="shared" si="104"/>
        <v>0</v>
      </c>
    </row>
    <row r="909" spans="59:65">
      <c r="BG909" s="556" t="str">
        <f t="shared" si="98"/>
        <v>O</v>
      </c>
      <c r="BH909" s="556" t="str">
        <f t="shared" si="99"/>
        <v/>
      </c>
      <c r="BI909" s="556" t="str">
        <f t="shared" si="100"/>
        <v/>
      </c>
      <c r="BJ909" s="556">
        <f t="shared" si="101"/>
        <v>0</v>
      </c>
      <c r="BK909" s="556">
        <f t="shared" si="102"/>
        <v>0</v>
      </c>
      <c r="BL909" s="556" t="str">
        <f t="shared" si="103"/>
        <v/>
      </c>
      <c r="BM909" s="497">
        <f t="shared" si="104"/>
        <v>0</v>
      </c>
    </row>
    <row r="910" spans="59:65">
      <c r="BG910" s="556" t="str">
        <f t="shared" si="98"/>
        <v>O</v>
      </c>
      <c r="BH910" s="556" t="str">
        <f t="shared" si="99"/>
        <v/>
      </c>
      <c r="BI910" s="556" t="str">
        <f t="shared" si="100"/>
        <v/>
      </c>
      <c r="BJ910" s="556">
        <f t="shared" si="101"/>
        <v>0</v>
      </c>
      <c r="BK910" s="556">
        <f t="shared" si="102"/>
        <v>0</v>
      </c>
      <c r="BL910" s="556" t="str">
        <f t="shared" si="103"/>
        <v/>
      </c>
      <c r="BM910" s="497">
        <f t="shared" si="104"/>
        <v>0</v>
      </c>
    </row>
    <row r="911" spans="59:65">
      <c r="BG911" s="556" t="str">
        <f t="shared" si="98"/>
        <v>O</v>
      </c>
      <c r="BH911" s="556" t="str">
        <f t="shared" si="99"/>
        <v/>
      </c>
      <c r="BI911" s="556" t="str">
        <f t="shared" si="100"/>
        <v/>
      </c>
      <c r="BJ911" s="556">
        <f t="shared" si="101"/>
        <v>0</v>
      </c>
      <c r="BK911" s="556">
        <f t="shared" si="102"/>
        <v>0</v>
      </c>
      <c r="BL911" s="556" t="str">
        <f t="shared" si="103"/>
        <v/>
      </c>
      <c r="BM911" s="497">
        <f t="shared" si="104"/>
        <v>0</v>
      </c>
    </row>
    <row r="912" spans="59:65">
      <c r="BG912" s="556" t="str">
        <f t="shared" si="98"/>
        <v>O</v>
      </c>
      <c r="BH912" s="556" t="str">
        <f t="shared" si="99"/>
        <v/>
      </c>
      <c r="BI912" s="556" t="str">
        <f t="shared" si="100"/>
        <v/>
      </c>
      <c r="BJ912" s="556">
        <f t="shared" si="101"/>
        <v>0</v>
      </c>
      <c r="BK912" s="556">
        <f t="shared" si="102"/>
        <v>0</v>
      </c>
      <c r="BL912" s="556" t="str">
        <f t="shared" si="103"/>
        <v/>
      </c>
      <c r="BM912" s="497">
        <f t="shared" si="104"/>
        <v>0</v>
      </c>
    </row>
    <row r="913" spans="59:65">
      <c r="BG913" s="556" t="str">
        <f t="shared" si="98"/>
        <v>O</v>
      </c>
      <c r="BH913" s="556" t="str">
        <f t="shared" si="99"/>
        <v/>
      </c>
      <c r="BI913" s="556" t="str">
        <f t="shared" si="100"/>
        <v/>
      </c>
      <c r="BJ913" s="556">
        <f t="shared" si="101"/>
        <v>0</v>
      </c>
      <c r="BK913" s="556">
        <f t="shared" si="102"/>
        <v>0</v>
      </c>
      <c r="BL913" s="556" t="str">
        <f t="shared" si="103"/>
        <v/>
      </c>
      <c r="BM913" s="497">
        <f t="shared" si="104"/>
        <v>0</v>
      </c>
    </row>
    <row r="914" spans="59:65">
      <c r="BG914" s="556" t="str">
        <f t="shared" si="98"/>
        <v>O</v>
      </c>
      <c r="BH914" s="556" t="str">
        <f t="shared" si="99"/>
        <v/>
      </c>
      <c r="BI914" s="556" t="str">
        <f t="shared" si="100"/>
        <v/>
      </c>
      <c r="BJ914" s="556">
        <f t="shared" si="101"/>
        <v>0</v>
      </c>
      <c r="BK914" s="556">
        <f t="shared" si="102"/>
        <v>0</v>
      </c>
      <c r="BL914" s="556" t="str">
        <f t="shared" si="103"/>
        <v/>
      </c>
      <c r="BM914" s="497">
        <f t="shared" si="104"/>
        <v>0</v>
      </c>
    </row>
    <row r="915" spans="59:65">
      <c r="BG915" s="556" t="str">
        <f t="shared" si="98"/>
        <v>O</v>
      </c>
      <c r="BH915" s="556" t="str">
        <f t="shared" si="99"/>
        <v/>
      </c>
      <c r="BI915" s="556" t="str">
        <f t="shared" si="100"/>
        <v/>
      </c>
      <c r="BJ915" s="556">
        <f t="shared" si="101"/>
        <v>0</v>
      </c>
      <c r="BK915" s="556">
        <f t="shared" si="102"/>
        <v>0</v>
      </c>
      <c r="BL915" s="556" t="str">
        <f t="shared" si="103"/>
        <v/>
      </c>
      <c r="BM915" s="497">
        <f t="shared" si="104"/>
        <v>0</v>
      </c>
    </row>
    <row r="916" spans="59:65">
      <c r="BG916" s="556" t="str">
        <f t="shared" si="98"/>
        <v>O</v>
      </c>
      <c r="BH916" s="556" t="str">
        <f t="shared" si="99"/>
        <v/>
      </c>
      <c r="BI916" s="556" t="str">
        <f t="shared" si="100"/>
        <v/>
      </c>
      <c r="BJ916" s="556">
        <f t="shared" si="101"/>
        <v>0</v>
      </c>
      <c r="BK916" s="556">
        <f t="shared" si="102"/>
        <v>0</v>
      </c>
      <c r="BL916" s="556" t="str">
        <f t="shared" si="103"/>
        <v/>
      </c>
      <c r="BM916" s="497">
        <f t="shared" si="104"/>
        <v>0</v>
      </c>
    </row>
    <row r="917" spans="59:65">
      <c r="BG917" s="556" t="str">
        <f t="shared" si="98"/>
        <v>O</v>
      </c>
      <c r="BH917" s="556" t="str">
        <f t="shared" si="99"/>
        <v/>
      </c>
      <c r="BI917" s="556" t="str">
        <f t="shared" si="100"/>
        <v/>
      </c>
      <c r="BJ917" s="556">
        <f t="shared" si="101"/>
        <v>0</v>
      </c>
      <c r="BK917" s="556">
        <f t="shared" si="102"/>
        <v>0</v>
      </c>
      <c r="BL917" s="556" t="str">
        <f t="shared" si="103"/>
        <v/>
      </c>
      <c r="BM917" s="497">
        <f t="shared" si="104"/>
        <v>0</v>
      </c>
    </row>
    <row r="918" spans="59:65">
      <c r="BG918" s="556" t="str">
        <f t="shared" si="98"/>
        <v>O</v>
      </c>
      <c r="BH918" s="556" t="str">
        <f t="shared" si="99"/>
        <v/>
      </c>
      <c r="BI918" s="556" t="str">
        <f t="shared" si="100"/>
        <v/>
      </c>
      <c r="BJ918" s="556">
        <f t="shared" si="101"/>
        <v>0</v>
      </c>
      <c r="BK918" s="556">
        <f t="shared" si="102"/>
        <v>0</v>
      </c>
      <c r="BL918" s="556" t="str">
        <f t="shared" si="103"/>
        <v/>
      </c>
      <c r="BM918" s="497">
        <f t="shared" si="104"/>
        <v>0</v>
      </c>
    </row>
    <row r="919" spans="59:65">
      <c r="BG919" s="556" t="str">
        <f t="shared" si="98"/>
        <v>O</v>
      </c>
      <c r="BH919" s="556" t="str">
        <f t="shared" si="99"/>
        <v/>
      </c>
      <c r="BI919" s="556" t="str">
        <f t="shared" si="100"/>
        <v/>
      </c>
      <c r="BJ919" s="556">
        <f t="shared" si="101"/>
        <v>0</v>
      </c>
      <c r="BK919" s="556">
        <f t="shared" si="102"/>
        <v>0</v>
      </c>
      <c r="BL919" s="556" t="str">
        <f t="shared" si="103"/>
        <v/>
      </c>
      <c r="BM919" s="497">
        <f t="shared" si="104"/>
        <v>0</v>
      </c>
    </row>
    <row r="920" spans="59:65">
      <c r="BG920" s="556" t="str">
        <f t="shared" si="98"/>
        <v>O</v>
      </c>
      <c r="BH920" s="556" t="str">
        <f t="shared" si="99"/>
        <v/>
      </c>
      <c r="BI920" s="556" t="str">
        <f t="shared" si="100"/>
        <v/>
      </c>
      <c r="BJ920" s="556">
        <f t="shared" si="101"/>
        <v>0</v>
      </c>
      <c r="BK920" s="556">
        <f t="shared" si="102"/>
        <v>0</v>
      </c>
      <c r="BL920" s="556" t="str">
        <f t="shared" si="103"/>
        <v/>
      </c>
      <c r="BM920" s="497">
        <f t="shared" si="104"/>
        <v>0</v>
      </c>
    </row>
    <row r="921" spans="59:65">
      <c r="BG921" s="556" t="str">
        <f t="shared" si="98"/>
        <v>O</v>
      </c>
      <c r="BH921" s="556" t="str">
        <f t="shared" si="99"/>
        <v/>
      </c>
      <c r="BI921" s="556" t="str">
        <f t="shared" si="100"/>
        <v/>
      </c>
      <c r="BJ921" s="556">
        <f t="shared" si="101"/>
        <v>0</v>
      </c>
      <c r="BK921" s="556">
        <f t="shared" si="102"/>
        <v>0</v>
      </c>
      <c r="BL921" s="556" t="str">
        <f t="shared" si="103"/>
        <v/>
      </c>
      <c r="BM921" s="497">
        <f t="shared" si="104"/>
        <v>0</v>
      </c>
    </row>
    <row r="922" spans="59:65">
      <c r="BG922" s="556" t="str">
        <f t="shared" si="98"/>
        <v>O</v>
      </c>
      <c r="BH922" s="556" t="str">
        <f t="shared" si="99"/>
        <v/>
      </c>
      <c r="BI922" s="556" t="str">
        <f t="shared" si="100"/>
        <v/>
      </c>
      <c r="BJ922" s="556">
        <f t="shared" si="101"/>
        <v>0</v>
      </c>
      <c r="BK922" s="556">
        <f t="shared" si="102"/>
        <v>0</v>
      </c>
      <c r="BL922" s="556" t="str">
        <f t="shared" si="103"/>
        <v/>
      </c>
      <c r="BM922" s="497">
        <f t="shared" si="104"/>
        <v>0</v>
      </c>
    </row>
    <row r="923" spans="59:65">
      <c r="BG923" s="556" t="str">
        <f t="shared" si="98"/>
        <v>O</v>
      </c>
      <c r="BH923" s="556" t="str">
        <f t="shared" si="99"/>
        <v/>
      </c>
      <c r="BI923" s="556" t="str">
        <f t="shared" si="100"/>
        <v/>
      </c>
      <c r="BJ923" s="556">
        <f t="shared" si="101"/>
        <v>0</v>
      </c>
      <c r="BK923" s="556">
        <f t="shared" si="102"/>
        <v>0</v>
      </c>
      <c r="BL923" s="556" t="str">
        <f t="shared" si="103"/>
        <v/>
      </c>
      <c r="BM923" s="497">
        <f t="shared" si="104"/>
        <v>0</v>
      </c>
    </row>
    <row r="924" spans="59:65">
      <c r="BG924" s="556" t="str">
        <f t="shared" si="98"/>
        <v>O</v>
      </c>
      <c r="BH924" s="556" t="str">
        <f t="shared" si="99"/>
        <v/>
      </c>
      <c r="BI924" s="556" t="str">
        <f t="shared" si="100"/>
        <v/>
      </c>
      <c r="BJ924" s="556">
        <f t="shared" si="101"/>
        <v>0</v>
      </c>
      <c r="BK924" s="556">
        <f t="shared" si="102"/>
        <v>0</v>
      </c>
      <c r="BL924" s="556" t="str">
        <f t="shared" si="103"/>
        <v/>
      </c>
      <c r="BM924" s="497">
        <f t="shared" si="104"/>
        <v>0</v>
      </c>
    </row>
    <row r="925" spans="59:65">
      <c r="BG925" s="556" t="str">
        <f t="shared" si="98"/>
        <v>O</v>
      </c>
      <c r="BH925" s="556" t="str">
        <f t="shared" si="99"/>
        <v/>
      </c>
      <c r="BI925" s="556" t="str">
        <f t="shared" si="100"/>
        <v/>
      </c>
      <c r="BJ925" s="556">
        <f t="shared" si="101"/>
        <v>0</v>
      </c>
      <c r="BK925" s="556">
        <f t="shared" si="102"/>
        <v>0</v>
      </c>
      <c r="BL925" s="556" t="str">
        <f t="shared" si="103"/>
        <v/>
      </c>
      <c r="BM925" s="497">
        <f t="shared" si="104"/>
        <v>0</v>
      </c>
    </row>
    <row r="926" spans="59:65">
      <c r="BG926" s="556" t="str">
        <f t="shared" si="98"/>
        <v>O</v>
      </c>
      <c r="BH926" s="556" t="str">
        <f t="shared" si="99"/>
        <v/>
      </c>
      <c r="BI926" s="556" t="str">
        <f t="shared" si="100"/>
        <v/>
      </c>
      <c r="BJ926" s="556">
        <f t="shared" si="101"/>
        <v>0</v>
      </c>
      <c r="BK926" s="556">
        <f t="shared" si="102"/>
        <v>0</v>
      </c>
      <c r="BL926" s="556" t="str">
        <f t="shared" si="103"/>
        <v/>
      </c>
      <c r="BM926" s="497">
        <f t="shared" si="104"/>
        <v>0</v>
      </c>
    </row>
    <row r="927" spans="59:65">
      <c r="BG927" s="556" t="str">
        <f t="shared" si="98"/>
        <v>O</v>
      </c>
      <c r="BH927" s="556" t="str">
        <f t="shared" si="99"/>
        <v/>
      </c>
      <c r="BI927" s="556" t="str">
        <f t="shared" si="100"/>
        <v/>
      </c>
      <c r="BJ927" s="556">
        <f t="shared" si="101"/>
        <v>0</v>
      </c>
      <c r="BK927" s="556">
        <f t="shared" si="102"/>
        <v>0</v>
      </c>
      <c r="BL927" s="556" t="str">
        <f t="shared" si="103"/>
        <v/>
      </c>
      <c r="BM927" s="497">
        <f t="shared" si="104"/>
        <v>0</v>
      </c>
    </row>
    <row r="928" spans="59:65">
      <c r="BG928" s="556" t="str">
        <f t="shared" si="98"/>
        <v>O</v>
      </c>
      <c r="BH928" s="556" t="str">
        <f t="shared" si="99"/>
        <v/>
      </c>
      <c r="BI928" s="556" t="str">
        <f t="shared" si="100"/>
        <v/>
      </c>
      <c r="BJ928" s="556">
        <f t="shared" si="101"/>
        <v>0</v>
      </c>
      <c r="BK928" s="556">
        <f t="shared" si="102"/>
        <v>0</v>
      </c>
      <c r="BL928" s="556" t="str">
        <f t="shared" si="103"/>
        <v/>
      </c>
      <c r="BM928" s="497">
        <f t="shared" si="104"/>
        <v>0</v>
      </c>
    </row>
    <row r="929" spans="59:65">
      <c r="BG929" s="556" t="str">
        <f t="shared" si="98"/>
        <v>O</v>
      </c>
      <c r="BH929" s="556" t="str">
        <f t="shared" si="99"/>
        <v/>
      </c>
      <c r="BI929" s="556" t="str">
        <f t="shared" si="100"/>
        <v/>
      </c>
      <c r="BJ929" s="556">
        <f t="shared" si="101"/>
        <v>0</v>
      </c>
      <c r="BK929" s="556">
        <f t="shared" si="102"/>
        <v>0</v>
      </c>
      <c r="BL929" s="556" t="str">
        <f t="shared" si="103"/>
        <v/>
      </c>
      <c r="BM929" s="497">
        <f t="shared" si="104"/>
        <v>0</v>
      </c>
    </row>
    <row r="930" spans="59:65">
      <c r="BG930" s="556" t="str">
        <f t="shared" si="98"/>
        <v>O</v>
      </c>
      <c r="BH930" s="556" t="str">
        <f t="shared" si="99"/>
        <v/>
      </c>
      <c r="BI930" s="556" t="str">
        <f t="shared" si="100"/>
        <v/>
      </c>
      <c r="BJ930" s="556">
        <f t="shared" si="101"/>
        <v>0</v>
      </c>
      <c r="BK930" s="556">
        <f t="shared" si="102"/>
        <v>0</v>
      </c>
      <c r="BL930" s="556" t="str">
        <f t="shared" si="103"/>
        <v/>
      </c>
      <c r="BM930" s="497">
        <f t="shared" si="104"/>
        <v>0</v>
      </c>
    </row>
    <row r="931" spans="59:65">
      <c r="BG931" s="556" t="str">
        <f t="shared" si="98"/>
        <v>O</v>
      </c>
      <c r="BH931" s="556" t="str">
        <f t="shared" si="99"/>
        <v/>
      </c>
      <c r="BI931" s="556" t="str">
        <f t="shared" si="100"/>
        <v/>
      </c>
      <c r="BJ931" s="556">
        <f t="shared" si="101"/>
        <v>0</v>
      </c>
      <c r="BK931" s="556">
        <f t="shared" si="102"/>
        <v>0</v>
      </c>
      <c r="BL931" s="556" t="str">
        <f t="shared" si="103"/>
        <v/>
      </c>
      <c r="BM931" s="497">
        <f t="shared" si="104"/>
        <v>0</v>
      </c>
    </row>
    <row r="932" spans="59:65">
      <c r="BG932" s="556" t="str">
        <f t="shared" si="98"/>
        <v>O</v>
      </c>
      <c r="BH932" s="556" t="str">
        <f t="shared" si="99"/>
        <v/>
      </c>
      <c r="BI932" s="556" t="str">
        <f t="shared" si="100"/>
        <v/>
      </c>
      <c r="BJ932" s="556">
        <f t="shared" si="101"/>
        <v>0</v>
      </c>
      <c r="BK932" s="556">
        <f t="shared" si="102"/>
        <v>0</v>
      </c>
      <c r="BL932" s="556" t="str">
        <f t="shared" si="103"/>
        <v/>
      </c>
      <c r="BM932" s="497">
        <f t="shared" si="104"/>
        <v>0</v>
      </c>
    </row>
    <row r="933" spans="59:65">
      <c r="BG933" s="556" t="str">
        <f t="shared" si="98"/>
        <v>O</v>
      </c>
      <c r="BH933" s="556" t="str">
        <f t="shared" si="99"/>
        <v/>
      </c>
      <c r="BI933" s="556" t="str">
        <f t="shared" si="100"/>
        <v/>
      </c>
      <c r="BJ933" s="556">
        <f t="shared" si="101"/>
        <v>0</v>
      </c>
      <c r="BK933" s="556">
        <f t="shared" si="102"/>
        <v>0</v>
      </c>
      <c r="BL933" s="556" t="str">
        <f t="shared" si="103"/>
        <v/>
      </c>
      <c r="BM933" s="497">
        <f t="shared" si="104"/>
        <v>0</v>
      </c>
    </row>
    <row r="934" spans="59:65">
      <c r="BG934" s="556" t="str">
        <f t="shared" si="98"/>
        <v>O</v>
      </c>
      <c r="BH934" s="556" t="str">
        <f t="shared" si="99"/>
        <v/>
      </c>
      <c r="BI934" s="556" t="str">
        <f t="shared" si="100"/>
        <v/>
      </c>
      <c r="BJ934" s="556">
        <f t="shared" si="101"/>
        <v>0</v>
      </c>
      <c r="BK934" s="556">
        <f t="shared" si="102"/>
        <v>0</v>
      </c>
      <c r="BL934" s="556" t="str">
        <f t="shared" si="103"/>
        <v/>
      </c>
      <c r="BM934" s="497">
        <f t="shared" si="104"/>
        <v>0</v>
      </c>
    </row>
    <row r="935" spans="59:65">
      <c r="BG935" s="556" t="str">
        <f t="shared" si="98"/>
        <v>O</v>
      </c>
      <c r="BH935" s="556" t="str">
        <f t="shared" si="99"/>
        <v/>
      </c>
      <c r="BI935" s="556" t="str">
        <f t="shared" si="100"/>
        <v/>
      </c>
      <c r="BJ935" s="556">
        <f t="shared" si="101"/>
        <v>0</v>
      </c>
      <c r="BK935" s="556">
        <f t="shared" si="102"/>
        <v>0</v>
      </c>
      <c r="BL935" s="556" t="str">
        <f t="shared" si="103"/>
        <v/>
      </c>
      <c r="BM935" s="497">
        <f t="shared" si="104"/>
        <v>0</v>
      </c>
    </row>
    <row r="936" spans="59:65">
      <c r="BG936" s="556" t="str">
        <f t="shared" si="98"/>
        <v>O</v>
      </c>
      <c r="BH936" s="556" t="str">
        <f t="shared" si="99"/>
        <v/>
      </c>
      <c r="BI936" s="556" t="str">
        <f t="shared" si="100"/>
        <v/>
      </c>
      <c r="BJ936" s="556">
        <f t="shared" si="101"/>
        <v>0</v>
      </c>
      <c r="BK936" s="556">
        <f t="shared" si="102"/>
        <v>0</v>
      </c>
      <c r="BL936" s="556" t="str">
        <f t="shared" si="103"/>
        <v/>
      </c>
      <c r="BM936" s="497">
        <f t="shared" si="104"/>
        <v>0</v>
      </c>
    </row>
    <row r="937" spans="59:65">
      <c r="BG937" s="556" t="str">
        <f t="shared" si="98"/>
        <v>O</v>
      </c>
      <c r="BH937" s="556" t="str">
        <f t="shared" si="99"/>
        <v/>
      </c>
      <c r="BI937" s="556" t="str">
        <f t="shared" si="100"/>
        <v/>
      </c>
      <c r="BJ937" s="556">
        <f t="shared" si="101"/>
        <v>0</v>
      </c>
      <c r="BK937" s="556">
        <f t="shared" si="102"/>
        <v>0</v>
      </c>
      <c r="BL937" s="556" t="str">
        <f t="shared" si="103"/>
        <v/>
      </c>
      <c r="BM937" s="497">
        <f t="shared" si="104"/>
        <v>0</v>
      </c>
    </row>
    <row r="938" spans="59:65">
      <c r="BG938" s="556" t="str">
        <f t="shared" si="98"/>
        <v>O</v>
      </c>
      <c r="BH938" s="556" t="str">
        <f t="shared" si="99"/>
        <v/>
      </c>
      <c r="BI938" s="556" t="str">
        <f t="shared" si="100"/>
        <v/>
      </c>
      <c r="BJ938" s="556">
        <f t="shared" si="101"/>
        <v>0</v>
      </c>
      <c r="BK938" s="556">
        <f t="shared" si="102"/>
        <v>0</v>
      </c>
      <c r="BL938" s="556" t="str">
        <f t="shared" si="103"/>
        <v/>
      </c>
      <c r="BM938" s="497">
        <f t="shared" si="104"/>
        <v>0</v>
      </c>
    </row>
    <row r="939" spans="59:65">
      <c r="BG939" s="556" t="str">
        <f t="shared" si="98"/>
        <v>O</v>
      </c>
      <c r="BH939" s="556" t="str">
        <f t="shared" si="99"/>
        <v/>
      </c>
      <c r="BI939" s="556" t="str">
        <f t="shared" si="100"/>
        <v/>
      </c>
      <c r="BJ939" s="556">
        <f t="shared" si="101"/>
        <v>0</v>
      </c>
      <c r="BK939" s="556">
        <f t="shared" si="102"/>
        <v>0</v>
      </c>
      <c r="BL939" s="556" t="str">
        <f t="shared" si="103"/>
        <v/>
      </c>
      <c r="BM939" s="497">
        <f t="shared" si="104"/>
        <v>0</v>
      </c>
    </row>
    <row r="940" spans="59:65">
      <c r="BG940" s="556" t="str">
        <f t="shared" si="98"/>
        <v>O</v>
      </c>
      <c r="BH940" s="556" t="str">
        <f t="shared" si="99"/>
        <v/>
      </c>
      <c r="BI940" s="556" t="str">
        <f t="shared" si="100"/>
        <v/>
      </c>
      <c r="BJ940" s="556">
        <f t="shared" si="101"/>
        <v>0</v>
      </c>
      <c r="BK940" s="556">
        <f t="shared" si="102"/>
        <v>0</v>
      </c>
      <c r="BL940" s="556" t="str">
        <f t="shared" si="103"/>
        <v/>
      </c>
      <c r="BM940" s="497">
        <f t="shared" si="104"/>
        <v>0</v>
      </c>
    </row>
    <row r="941" spans="59:65">
      <c r="BG941" s="556" t="str">
        <f t="shared" si="98"/>
        <v>O</v>
      </c>
      <c r="BH941" s="556" t="str">
        <f t="shared" si="99"/>
        <v/>
      </c>
      <c r="BI941" s="556" t="str">
        <f t="shared" si="100"/>
        <v/>
      </c>
      <c r="BJ941" s="556">
        <f t="shared" si="101"/>
        <v>0</v>
      </c>
      <c r="BK941" s="556">
        <f t="shared" si="102"/>
        <v>0</v>
      </c>
      <c r="BL941" s="556" t="str">
        <f t="shared" si="103"/>
        <v/>
      </c>
      <c r="BM941" s="497">
        <f t="shared" si="104"/>
        <v>0</v>
      </c>
    </row>
    <row r="942" spans="59:65">
      <c r="BG942" s="556" t="str">
        <f t="shared" si="98"/>
        <v>O</v>
      </c>
      <c r="BH942" s="556" t="str">
        <f t="shared" si="99"/>
        <v/>
      </c>
      <c r="BI942" s="556" t="str">
        <f t="shared" si="100"/>
        <v/>
      </c>
      <c r="BJ942" s="556">
        <f t="shared" si="101"/>
        <v>0</v>
      </c>
      <c r="BK942" s="556">
        <f t="shared" si="102"/>
        <v>0</v>
      </c>
      <c r="BL942" s="556" t="str">
        <f t="shared" si="103"/>
        <v/>
      </c>
      <c r="BM942" s="497">
        <f t="shared" si="104"/>
        <v>0</v>
      </c>
    </row>
    <row r="943" spans="59:65">
      <c r="BG943" s="556" t="str">
        <f t="shared" si="98"/>
        <v>O</v>
      </c>
      <c r="BH943" s="556" t="str">
        <f t="shared" si="99"/>
        <v/>
      </c>
      <c r="BI943" s="556" t="str">
        <f t="shared" si="100"/>
        <v/>
      </c>
      <c r="BJ943" s="556">
        <f t="shared" si="101"/>
        <v>0</v>
      </c>
      <c r="BK943" s="556">
        <f t="shared" si="102"/>
        <v>0</v>
      </c>
      <c r="BL943" s="556" t="str">
        <f t="shared" si="103"/>
        <v/>
      </c>
      <c r="BM943" s="497">
        <f t="shared" si="104"/>
        <v>0</v>
      </c>
    </row>
    <row r="944" spans="59:65">
      <c r="BG944" s="556" t="str">
        <f t="shared" si="98"/>
        <v>O</v>
      </c>
      <c r="BH944" s="556" t="str">
        <f t="shared" si="99"/>
        <v/>
      </c>
      <c r="BI944" s="556" t="str">
        <f t="shared" si="100"/>
        <v/>
      </c>
      <c r="BJ944" s="556">
        <f t="shared" si="101"/>
        <v>0</v>
      </c>
      <c r="BK944" s="556">
        <f t="shared" si="102"/>
        <v>0</v>
      </c>
      <c r="BL944" s="556" t="str">
        <f t="shared" si="103"/>
        <v/>
      </c>
      <c r="BM944" s="497">
        <f t="shared" si="104"/>
        <v>0</v>
      </c>
    </row>
    <row r="945" spans="59:65">
      <c r="BG945" s="556" t="str">
        <f t="shared" si="98"/>
        <v>O</v>
      </c>
      <c r="BH945" s="556" t="str">
        <f t="shared" si="99"/>
        <v/>
      </c>
      <c r="BI945" s="556" t="str">
        <f t="shared" si="100"/>
        <v/>
      </c>
      <c r="BJ945" s="556">
        <f t="shared" si="101"/>
        <v>0</v>
      </c>
      <c r="BK945" s="556">
        <f t="shared" si="102"/>
        <v>0</v>
      </c>
      <c r="BL945" s="556" t="str">
        <f t="shared" si="103"/>
        <v/>
      </c>
      <c r="BM945" s="497">
        <f t="shared" si="104"/>
        <v>0</v>
      </c>
    </row>
    <row r="946" spans="59:65">
      <c r="BG946" s="556" t="str">
        <f t="shared" si="98"/>
        <v>O</v>
      </c>
      <c r="BH946" s="556" t="str">
        <f t="shared" si="99"/>
        <v/>
      </c>
      <c r="BI946" s="556" t="str">
        <f t="shared" si="100"/>
        <v/>
      </c>
      <c r="BJ946" s="556">
        <f t="shared" si="101"/>
        <v>0</v>
      </c>
      <c r="BK946" s="556">
        <f t="shared" si="102"/>
        <v>0</v>
      </c>
      <c r="BL946" s="556" t="str">
        <f t="shared" si="103"/>
        <v/>
      </c>
      <c r="BM946" s="497">
        <f t="shared" si="104"/>
        <v>0</v>
      </c>
    </row>
    <row r="947" spans="59:65">
      <c r="BG947" s="556" t="str">
        <f t="shared" si="98"/>
        <v>O</v>
      </c>
      <c r="BH947" s="556" t="str">
        <f t="shared" si="99"/>
        <v/>
      </c>
      <c r="BI947" s="556" t="str">
        <f t="shared" si="100"/>
        <v/>
      </c>
      <c r="BJ947" s="556">
        <f t="shared" si="101"/>
        <v>0</v>
      </c>
      <c r="BK947" s="556">
        <f t="shared" si="102"/>
        <v>0</v>
      </c>
      <c r="BL947" s="556" t="str">
        <f t="shared" si="103"/>
        <v/>
      </c>
      <c r="BM947" s="497">
        <f t="shared" si="104"/>
        <v>0</v>
      </c>
    </row>
    <row r="948" spans="59:65">
      <c r="BG948" s="556" t="str">
        <f t="shared" si="98"/>
        <v>O</v>
      </c>
      <c r="BH948" s="556" t="str">
        <f t="shared" si="99"/>
        <v/>
      </c>
      <c r="BI948" s="556" t="str">
        <f t="shared" si="100"/>
        <v/>
      </c>
      <c r="BJ948" s="556">
        <f t="shared" si="101"/>
        <v>0</v>
      </c>
      <c r="BK948" s="556">
        <f t="shared" si="102"/>
        <v>0</v>
      </c>
      <c r="BL948" s="556" t="str">
        <f t="shared" si="103"/>
        <v/>
      </c>
      <c r="BM948" s="497">
        <f t="shared" si="104"/>
        <v>0</v>
      </c>
    </row>
    <row r="949" spans="59:65">
      <c r="BG949" s="556" t="str">
        <f t="shared" si="98"/>
        <v>O</v>
      </c>
      <c r="BH949" s="556" t="str">
        <f t="shared" si="99"/>
        <v/>
      </c>
      <c r="BI949" s="556" t="str">
        <f t="shared" si="100"/>
        <v/>
      </c>
      <c r="BJ949" s="556">
        <f t="shared" si="101"/>
        <v>0</v>
      </c>
      <c r="BK949" s="556">
        <f t="shared" si="102"/>
        <v>0</v>
      </c>
      <c r="BL949" s="556" t="str">
        <f t="shared" si="103"/>
        <v/>
      </c>
      <c r="BM949" s="497">
        <f t="shared" si="104"/>
        <v>0</v>
      </c>
    </row>
    <row r="950" spans="59:65">
      <c r="BG950" s="556" t="str">
        <f t="shared" si="98"/>
        <v>O</v>
      </c>
      <c r="BH950" s="556" t="str">
        <f t="shared" si="99"/>
        <v/>
      </c>
      <c r="BI950" s="556" t="str">
        <f t="shared" si="100"/>
        <v/>
      </c>
      <c r="BJ950" s="556">
        <f t="shared" si="101"/>
        <v>0</v>
      </c>
      <c r="BK950" s="556">
        <f t="shared" si="102"/>
        <v>0</v>
      </c>
      <c r="BL950" s="556" t="str">
        <f t="shared" si="103"/>
        <v/>
      </c>
      <c r="BM950" s="497">
        <f t="shared" si="104"/>
        <v>0</v>
      </c>
    </row>
    <row r="951" spans="59:65">
      <c r="BG951" s="556" t="str">
        <f t="shared" si="98"/>
        <v>O</v>
      </c>
      <c r="BH951" s="556" t="str">
        <f t="shared" si="99"/>
        <v/>
      </c>
      <c r="BI951" s="556" t="str">
        <f t="shared" si="100"/>
        <v/>
      </c>
      <c r="BJ951" s="556">
        <f t="shared" si="101"/>
        <v>0</v>
      </c>
      <c r="BK951" s="556">
        <f t="shared" si="102"/>
        <v>0</v>
      </c>
      <c r="BL951" s="556" t="str">
        <f t="shared" si="103"/>
        <v/>
      </c>
      <c r="BM951" s="497">
        <f t="shared" si="104"/>
        <v>0</v>
      </c>
    </row>
    <row r="952" spans="59:65">
      <c r="BG952" s="556" t="str">
        <f t="shared" si="98"/>
        <v>O</v>
      </c>
      <c r="BH952" s="556" t="str">
        <f t="shared" si="99"/>
        <v/>
      </c>
      <c r="BI952" s="556" t="str">
        <f t="shared" si="100"/>
        <v/>
      </c>
      <c r="BJ952" s="556">
        <f t="shared" si="101"/>
        <v>0</v>
      </c>
      <c r="BK952" s="556">
        <f t="shared" si="102"/>
        <v>0</v>
      </c>
      <c r="BL952" s="556" t="str">
        <f t="shared" si="103"/>
        <v/>
      </c>
      <c r="BM952" s="497">
        <f t="shared" si="104"/>
        <v>0</v>
      </c>
    </row>
    <row r="953" spans="59:65">
      <c r="BG953" s="556" t="str">
        <f t="shared" si="98"/>
        <v>O</v>
      </c>
      <c r="BH953" s="556" t="str">
        <f t="shared" si="99"/>
        <v/>
      </c>
      <c r="BI953" s="556" t="str">
        <f t="shared" si="100"/>
        <v/>
      </c>
      <c r="BJ953" s="556">
        <f t="shared" si="101"/>
        <v>0</v>
      </c>
      <c r="BK953" s="556">
        <f t="shared" si="102"/>
        <v>0</v>
      </c>
      <c r="BL953" s="556" t="str">
        <f t="shared" si="103"/>
        <v/>
      </c>
      <c r="BM953" s="497">
        <f t="shared" si="104"/>
        <v>0</v>
      </c>
    </row>
    <row r="954" spans="59:65">
      <c r="BG954" s="556" t="str">
        <f t="shared" si="98"/>
        <v>O</v>
      </c>
      <c r="BH954" s="556" t="str">
        <f t="shared" si="99"/>
        <v/>
      </c>
      <c r="BI954" s="556" t="str">
        <f t="shared" si="100"/>
        <v/>
      </c>
      <c r="BJ954" s="556">
        <f t="shared" si="101"/>
        <v>0</v>
      </c>
      <c r="BK954" s="556">
        <f t="shared" si="102"/>
        <v>0</v>
      </c>
      <c r="BL954" s="556" t="str">
        <f t="shared" si="103"/>
        <v/>
      </c>
      <c r="BM954" s="497">
        <f t="shared" si="104"/>
        <v>0</v>
      </c>
    </row>
    <row r="955" spans="59:65">
      <c r="BG955" s="556" t="str">
        <f t="shared" si="98"/>
        <v>O</v>
      </c>
      <c r="BH955" s="556" t="str">
        <f t="shared" si="99"/>
        <v/>
      </c>
      <c r="BI955" s="556" t="str">
        <f t="shared" si="100"/>
        <v/>
      </c>
      <c r="BJ955" s="556">
        <f t="shared" si="101"/>
        <v>0</v>
      </c>
      <c r="BK955" s="556">
        <f t="shared" si="102"/>
        <v>0</v>
      </c>
      <c r="BL955" s="556" t="str">
        <f t="shared" si="103"/>
        <v/>
      </c>
      <c r="BM955" s="497">
        <f t="shared" si="104"/>
        <v>0</v>
      </c>
    </row>
    <row r="956" spans="59:65">
      <c r="BG956" s="556" t="str">
        <f t="shared" si="98"/>
        <v>O</v>
      </c>
      <c r="BH956" s="556" t="str">
        <f t="shared" si="99"/>
        <v/>
      </c>
      <c r="BI956" s="556" t="str">
        <f t="shared" si="100"/>
        <v/>
      </c>
      <c r="BJ956" s="556">
        <f t="shared" si="101"/>
        <v>0</v>
      </c>
      <c r="BK956" s="556">
        <f t="shared" si="102"/>
        <v>0</v>
      </c>
      <c r="BL956" s="556" t="str">
        <f t="shared" si="103"/>
        <v/>
      </c>
      <c r="BM956" s="497">
        <f t="shared" si="104"/>
        <v>0</v>
      </c>
    </row>
    <row r="957" spans="59:65">
      <c r="BG957" s="556" t="str">
        <f t="shared" si="98"/>
        <v>O</v>
      </c>
      <c r="BH957" s="556" t="str">
        <f t="shared" si="99"/>
        <v/>
      </c>
      <c r="BI957" s="556" t="str">
        <f t="shared" si="100"/>
        <v/>
      </c>
      <c r="BJ957" s="556">
        <f t="shared" si="101"/>
        <v>0</v>
      </c>
      <c r="BK957" s="556">
        <f t="shared" si="102"/>
        <v>0</v>
      </c>
      <c r="BL957" s="556" t="str">
        <f t="shared" si="103"/>
        <v/>
      </c>
      <c r="BM957" s="497">
        <f t="shared" si="104"/>
        <v>0</v>
      </c>
    </row>
    <row r="958" spans="59:65">
      <c r="BG958" s="556" t="str">
        <f t="shared" si="98"/>
        <v>O</v>
      </c>
      <c r="BH958" s="556" t="str">
        <f t="shared" si="99"/>
        <v/>
      </c>
      <c r="BI958" s="556" t="str">
        <f t="shared" si="100"/>
        <v/>
      </c>
      <c r="BJ958" s="556">
        <f t="shared" si="101"/>
        <v>0</v>
      </c>
      <c r="BK958" s="556">
        <f t="shared" si="102"/>
        <v>0</v>
      </c>
      <c r="BL958" s="556" t="str">
        <f t="shared" si="103"/>
        <v/>
      </c>
      <c r="BM958" s="497">
        <f t="shared" si="104"/>
        <v>0</v>
      </c>
    </row>
    <row r="959" spans="59:65">
      <c r="BG959" s="556" t="str">
        <f t="shared" si="98"/>
        <v>O</v>
      </c>
      <c r="BH959" s="556" t="str">
        <f t="shared" si="99"/>
        <v/>
      </c>
      <c r="BI959" s="556" t="str">
        <f t="shared" si="100"/>
        <v/>
      </c>
      <c r="BJ959" s="556">
        <f t="shared" si="101"/>
        <v>0</v>
      </c>
      <c r="BK959" s="556">
        <f t="shared" si="102"/>
        <v>0</v>
      </c>
      <c r="BL959" s="556" t="str">
        <f t="shared" si="103"/>
        <v/>
      </c>
      <c r="BM959" s="497">
        <f t="shared" si="104"/>
        <v>0</v>
      </c>
    </row>
    <row r="960" spans="59:65">
      <c r="BG960" s="556" t="str">
        <f t="shared" si="98"/>
        <v>O</v>
      </c>
      <c r="BH960" s="556" t="str">
        <f t="shared" si="99"/>
        <v/>
      </c>
      <c r="BI960" s="556" t="str">
        <f t="shared" si="100"/>
        <v/>
      </c>
      <c r="BJ960" s="556">
        <f t="shared" si="101"/>
        <v>0</v>
      </c>
      <c r="BK960" s="556">
        <f t="shared" si="102"/>
        <v>0</v>
      </c>
      <c r="BL960" s="556" t="str">
        <f t="shared" si="103"/>
        <v/>
      </c>
      <c r="BM960" s="497">
        <f t="shared" si="104"/>
        <v>0</v>
      </c>
    </row>
    <row r="961" spans="59:65">
      <c r="BG961" s="556" t="str">
        <f t="shared" si="98"/>
        <v>O</v>
      </c>
      <c r="BH961" s="556" t="str">
        <f t="shared" si="99"/>
        <v/>
      </c>
      <c r="BI961" s="556" t="str">
        <f t="shared" si="100"/>
        <v/>
      </c>
      <c r="BJ961" s="556">
        <f t="shared" si="101"/>
        <v>0</v>
      </c>
      <c r="BK961" s="556">
        <f t="shared" si="102"/>
        <v>0</v>
      </c>
      <c r="BL961" s="556" t="str">
        <f t="shared" si="103"/>
        <v/>
      </c>
      <c r="BM961" s="497">
        <f t="shared" si="104"/>
        <v>0</v>
      </c>
    </row>
    <row r="962" spans="59:65">
      <c r="BG962" s="556" t="str">
        <f t="shared" si="98"/>
        <v>O</v>
      </c>
      <c r="BH962" s="556" t="str">
        <f t="shared" si="99"/>
        <v/>
      </c>
      <c r="BI962" s="556" t="str">
        <f t="shared" si="100"/>
        <v/>
      </c>
      <c r="BJ962" s="556">
        <f t="shared" si="101"/>
        <v>0</v>
      </c>
      <c r="BK962" s="556">
        <f t="shared" si="102"/>
        <v>0</v>
      </c>
      <c r="BL962" s="556" t="str">
        <f t="shared" si="103"/>
        <v/>
      </c>
      <c r="BM962" s="497">
        <f t="shared" si="104"/>
        <v>0</v>
      </c>
    </row>
    <row r="963" spans="59:65">
      <c r="BG963" s="556" t="str">
        <f t="shared" ref="BG963:BG1026" si="105">IF(LEFT(AY963,2)="98","X","O")</f>
        <v>O</v>
      </c>
      <c r="BH963" s="556" t="str">
        <f t="shared" ref="BH963:BH1026" si="106">IF(IFERROR(SEARCH("45",$AY963,1),0)&gt;0,"Y","")</f>
        <v/>
      </c>
      <c r="BI963" s="556" t="str">
        <f t="shared" ref="BI963:BI1026" si="107">IF(IFERROR(SEARCH("86",$AY963,1),0)&gt;0,"Y","")</f>
        <v/>
      </c>
      <c r="BJ963" s="556">
        <f t="shared" ref="BJ963:BJ1026" si="108">IF(L963="",K963,IF(M963="",K963&amp;","&amp;L963,IF(N963="",K963&amp;","&amp;L963&amp;","&amp;M963,K963&amp;","&amp;L963&amp;","&amp;M963&amp;","&amp;N963)))</f>
        <v>0</v>
      </c>
      <c r="BK963" s="556">
        <f t="shared" ref="BK963:BK1026" si="109">IF(P963="",O963,IF(Q963="",O963&amp;","&amp;P963,IF(R963="",O963&amp;","&amp;P963&amp;","&amp;Q963,IO963&amp;","&amp;P963&amp;","&amp;Q963&amp;","&amp;R963)))</f>
        <v>0</v>
      </c>
      <c r="BL963" s="556" t="str">
        <f t="shared" ref="BL963:BL1026" si="110">IF(S963=0,"",S963)</f>
        <v/>
      </c>
      <c r="BM963" s="497">
        <f t="shared" ref="BM963:BM1026" si="111">A963</f>
        <v>0</v>
      </c>
    </row>
    <row r="964" spans="59:65">
      <c r="BG964" s="556" t="str">
        <f t="shared" si="105"/>
        <v>O</v>
      </c>
      <c r="BH964" s="556" t="str">
        <f t="shared" si="106"/>
        <v/>
      </c>
      <c r="BI964" s="556" t="str">
        <f t="shared" si="107"/>
        <v/>
      </c>
      <c r="BJ964" s="556">
        <f t="shared" si="108"/>
        <v>0</v>
      </c>
      <c r="BK964" s="556">
        <f t="shared" si="109"/>
        <v>0</v>
      </c>
      <c r="BL964" s="556" t="str">
        <f t="shared" si="110"/>
        <v/>
      </c>
      <c r="BM964" s="497">
        <f t="shared" si="111"/>
        <v>0</v>
      </c>
    </row>
    <row r="965" spans="59:65">
      <c r="BG965" s="556" t="str">
        <f t="shared" si="105"/>
        <v>O</v>
      </c>
      <c r="BH965" s="556" t="str">
        <f t="shared" si="106"/>
        <v/>
      </c>
      <c r="BI965" s="556" t="str">
        <f t="shared" si="107"/>
        <v/>
      </c>
      <c r="BJ965" s="556">
        <f t="shared" si="108"/>
        <v>0</v>
      </c>
      <c r="BK965" s="556">
        <f t="shared" si="109"/>
        <v>0</v>
      </c>
      <c r="BL965" s="556" t="str">
        <f t="shared" si="110"/>
        <v/>
      </c>
      <c r="BM965" s="497">
        <f t="shared" si="111"/>
        <v>0</v>
      </c>
    </row>
    <row r="966" spans="59:65">
      <c r="BG966" s="556" t="str">
        <f t="shared" si="105"/>
        <v>O</v>
      </c>
      <c r="BH966" s="556" t="str">
        <f t="shared" si="106"/>
        <v/>
      </c>
      <c r="BI966" s="556" t="str">
        <f t="shared" si="107"/>
        <v/>
      </c>
      <c r="BJ966" s="556">
        <f t="shared" si="108"/>
        <v>0</v>
      </c>
      <c r="BK966" s="556">
        <f t="shared" si="109"/>
        <v>0</v>
      </c>
      <c r="BL966" s="556" t="str">
        <f t="shared" si="110"/>
        <v/>
      </c>
      <c r="BM966" s="497">
        <f t="shared" si="111"/>
        <v>0</v>
      </c>
    </row>
    <row r="967" spans="59:65">
      <c r="BG967" s="556" t="str">
        <f t="shared" si="105"/>
        <v>O</v>
      </c>
      <c r="BH967" s="556" t="str">
        <f t="shared" si="106"/>
        <v/>
      </c>
      <c r="BI967" s="556" t="str">
        <f t="shared" si="107"/>
        <v/>
      </c>
      <c r="BJ967" s="556">
        <f t="shared" si="108"/>
        <v>0</v>
      </c>
      <c r="BK967" s="556">
        <f t="shared" si="109"/>
        <v>0</v>
      </c>
      <c r="BL967" s="556" t="str">
        <f t="shared" si="110"/>
        <v/>
      </c>
      <c r="BM967" s="497">
        <f t="shared" si="111"/>
        <v>0</v>
      </c>
    </row>
    <row r="968" spans="59:65">
      <c r="BG968" s="556" t="str">
        <f t="shared" si="105"/>
        <v>O</v>
      </c>
      <c r="BH968" s="556" t="str">
        <f t="shared" si="106"/>
        <v/>
      </c>
      <c r="BI968" s="556" t="str">
        <f t="shared" si="107"/>
        <v/>
      </c>
      <c r="BJ968" s="556">
        <f t="shared" si="108"/>
        <v>0</v>
      </c>
      <c r="BK968" s="556">
        <f t="shared" si="109"/>
        <v>0</v>
      </c>
      <c r="BL968" s="556" t="str">
        <f t="shared" si="110"/>
        <v/>
      </c>
      <c r="BM968" s="497">
        <f t="shared" si="111"/>
        <v>0</v>
      </c>
    </row>
    <row r="969" spans="59:65">
      <c r="BG969" s="556" t="str">
        <f t="shared" si="105"/>
        <v>O</v>
      </c>
      <c r="BH969" s="556" t="str">
        <f t="shared" si="106"/>
        <v/>
      </c>
      <c r="BI969" s="556" t="str">
        <f t="shared" si="107"/>
        <v/>
      </c>
      <c r="BJ969" s="556">
        <f t="shared" si="108"/>
        <v>0</v>
      </c>
      <c r="BK969" s="556">
        <f t="shared" si="109"/>
        <v>0</v>
      </c>
      <c r="BL969" s="556" t="str">
        <f t="shared" si="110"/>
        <v/>
      </c>
      <c r="BM969" s="497">
        <f t="shared" si="111"/>
        <v>0</v>
      </c>
    </row>
    <row r="970" spans="59:65">
      <c r="BG970" s="556" t="str">
        <f t="shared" si="105"/>
        <v>O</v>
      </c>
      <c r="BH970" s="556" t="str">
        <f t="shared" si="106"/>
        <v/>
      </c>
      <c r="BI970" s="556" t="str">
        <f t="shared" si="107"/>
        <v/>
      </c>
      <c r="BJ970" s="556">
        <f t="shared" si="108"/>
        <v>0</v>
      </c>
      <c r="BK970" s="556">
        <f t="shared" si="109"/>
        <v>0</v>
      </c>
      <c r="BL970" s="556" t="str">
        <f t="shared" si="110"/>
        <v/>
      </c>
      <c r="BM970" s="497">
        <f t="shared" si="111"/>
        <v>0</v>
      </c>
    </row>
    <row r="971" spans="59:65">
      <c r="BG971" s="556" t="str">
        <f t="shared" si="105"/>
        <v>O</v>
      </c>
      <c r="BH971" s="556" t="str">
        <f t="shared" si="106"/>
        <v/>
      </c>
      <c r="BI971" s="556" t="str">
        <f t="shared" si="107"/>
        <v/>
      </c>
      <c r="BJ971" s="556">
        <f t="shared" si="108"/>
        <v>0</v>
      </c>
      <c r="BK971" s="556">
        <f t="shared" si="109"/>
        <v>0</v>
      </c>
      <c r="BL971" s="556" t="str">
        <f t="shared" si="110"/>
        <v/>
      </c>
      <c r="BM971" s="497">
        <f t="shared" si="111"/>
        <v>0</v>
      </c>
    </row>
    <row r="972" spans="59:65">
      <c r="BG972" s="556" t="str">
        <f t="shared" si="105"/>
        <v>O</v>
      </c>
      <c r="BH972" s="556" t="str">
        <f t="shared" si="106"/>
        <v/>
      </c>
      <c r="BI972" s="556" t="str">
        <f t="shared" si="107"/>
        <v/>
      </c>
      <c r="BJ972" s="556">
        <f t="shared" si="108"/>
        <v>0</v>
      </c>
      <c r="BK972" s="556">
        <f t="shared" si="109"/>
        <v>0</v>
      </c>
      <c r="BL972" s="556" t="str">
        <f t="shared" si="110"/>
        <v/>
      </c>
      <c r="BM972" s="497">
        <f t="shared" si="111"/>
        <v>0</v>
      </c>
    </row>
    <row r="973" spans="59:65">
      <c r="BG973" s="556" t="str">
        <f t="shared" si="105"/>
        <v>O</v>
      </c>
      <c r="BH973" s="556" t="str">
        <f t="shared" si="106"/>
        <v/>
      </c>
      <c r="BI973" s="556" t="str">
        <f t="shared" si="107"/>
        <v/>
      </c>
      <c r="BJ973" s="556">
        <f t="shared" si="108"/>
        <v>0</v>
      </c>
      <c r="BK973" s="556">
        <f t="shared" si="109"/>
        <v>0</v>
      </c>
      <c r="BL973" s="556" t="str">
        <f t="shared" si="110"/>
        <v/>
      </c>
      <c r="BM973" s="497">
        <f t="shared" si="111"/>
        <v>0</v>
      </c>
    </row>
    <row r="974" spans="59:65">
      <c r="BG974" s="556" t="str">
        <f t="shared" si="105"/>
        <v>O</v>
      </c>
      <c r="BH974" s="556" t="str">
        <f t="shared" si="106"/>
        <v/>
      </c>
      <c r="BI974" s="556" t="str">
        <f t="shared" si="107"/>
        <v/>
      </c>
      <c r="BJ974" s="556">
        <f t="shared" si="108"/>
        <v>0</v>
      </c>
      <c r="BK974" s="556">
        <f t="shared" si="109"/>
        <v>0</v>
      </c>
      <c r="BL974" s="556" t="str">
        <f t="shared" si="110"/>
        <v/>
      </c>
      <c r="BM974" s="497">
        <f t="shared" si="111"/>
        <v>0</v>
      </c>
    </row>
    <row r="975" spans="59:65">
      <c r="BG975" s="556" t="str">
        <f t="shared" si="105"/>
        <v>O</v>
      </c>
      <c r="BH975" s="556" t="str">
        <f t="shared" si="106"/>
        <v/>
      </c>
      <c r="BI975" s="556" t="str">
        <f t="shared" si="107"/>
        <v/>
      </c>
      <c r="BJ975" s="556">
        <f t="shared" si="108"/>
        <v>0</v>
      </c>
      <c r="BK975" s="556">
        <f t="shared" si="109"/>
        <v>0</v>
      </c>
      <c r="BL975" s="556" t="str">
        <f t="shared" si="110"/>
        <v/>
      </c>
      <c r="BM975" s="497">
        <f t="shared" si="111"/>
        <v>0</v>
      </c>
    </row>
    <row r="976" spans="59:65">
      <c r="BG976" s="556" t="str">
        <f t="shared" si="105"/>
        <v>O</v>
      </c>
      <c r="BH976" s="556" t="str">
        <f t="shared" si="106"/>
        <v/>
      </c>
      <c r="BI976" s="556" t="str">
        <f t="shared" si="107"/>
        <v/>
      </c>
      <c r="BJ976" s="556">
        <f t="shared" si="108"/>
        <v>0</v>
      </c>
      <c r="BK976" s="556">
        <f t="shared" si="109"/>
        <v>0</v>
      </c>
      <c r="BL976" s="556" t="str">
        <f t="shared" si="110"/>
        <v/>
      </c>
      <c r="BM976" s="497">
        <f t="shared" si="111"/>
        <v>0</v>
      </c>
    </row>
    <row r="977" spans="59:65">
      <c r="BG977" s="556" t="str">
        <f t="shared" si="105"/>
        <v>O</v>
      </c>
      <c r="BH977" s="556" t="str">
        <f t="shared" si="106"/>
        <v/>
      </c>
      <c r="BI977" s="556" t="str">
        <f t="shared" si="107"/>
        <v/>
      </c>
      <c r="BJ977" s="556">
        <f t="shared" si="108"/>
        <v>0</v>
      </c>
      <c r="BK977" s="556">
        <f t="shared" si="109"/>
        <v>0</v>
      </c>
      <c r="BL977" s="556" t="str">
        <f t="shared" si="110"/>
        <v/>
      </c>
      <c r="BM977" s="497">
        <f t="shared" si="111"/>
        <v>0</v>
      </c>
    </row>
    <row r="978" spans="59:65">
      <c r="BG978" s="556" t="str">
        <f t="shared" si="105"/>
        <v>O</v>
      </c>
      <c r="BH978" s="556" t="str">
        <f t="shared" si="106"/>
        <v/>
      </c>
      <c r="BI978" s="556" t="str">
        <f t="shared" si="107"/>
        <v/>
      </c>
      <c r="BJ978" s="556">
        <f t="shared" si="108"/>
        <v>0</v>
      </c>
      <c r="BK978" s="556">
        <f t="shared" si="109"/>
        <v>0</v>
      </c>
      <c r="BL978" s="556" t="str">
        <f t="shared" si="110"/>
        <v/>
      </c>
      <c r="BM978" s="497">
        <f t="shared" si="111"/>
        <v>0</v>
      </c>
    </row>
    <row r="979" spans="59:65">
      <c r="BG979" s="556" t="str">
        <f t="shared" si="105"/>
        <v>O</v>
      </c>
      <c r="BH979" s="556" t="str">
        <f t="shared" si="106"/>
        <v/>
      </c>
      <c r="BI979" s="556" t="str">
        <f t="shared" si="107"/>
        <v/>
      </c>
      <c r="BJ979" s="556">
        <f t="shared" si="108"/>
        <v>0</v>
      </c>
      <c r="BK979" s="556">
        <f t="shared" si="109"/>
        <v>0</v>
      </c>
      <c r="BL979" s="556" t="str">
        <f t="shared" si="110"/>
        <v/>
      </c>
      <c r="BM979" s="497">
        <f t="shared" si="111"/>
        <v>0</v>
      </c>
    </row>
    <row r="980" spans="59:65">
      <c r="BG980" s="556" t="str">
        <f t="shared" si="105"/>
        <v>O</v>
      </c>
      <c r="BH980" s="556" t="str">
        <f t="shared" si="106"/>
        <v/>
      </c>
      <c r="BI980" s="556" t="str">
        <f t="shared" si="107"/>
        <v/>
      </c>
      <c r="BJ980" s="556">
        <f t="shared" si="108"/>
        <v>0</v>
      </c>
      <c r="BK980" s="556">
        <f t="shared" si="109"/>
        <v>0</v>
      </c>
      <c r="BL980" s="556" t="str">
        <f t="shared" si="110"/>
        <v/>
      </c>
      <c r="BM980" s="497">
        <f t="shared" si="111"/>
        <v>0</v>
      </c>
    </row>
    <row r="981" spans="59:65">
      <c r="BG981" s="556" t="str">
        <f t="shared" si="105"/>
        <v>O</v>
      </c>
      <c r="BH981" s="556" t="str">
        <f t="shared" si="106"/>
        <v/>
      </c>
      <c r="BI981" s="556" t="str">
        <f t="shared" si="107"/>
        <v/>
      </c>
      <c r="BJ981" s="556">
        <f t="shared" si="108"/>
        <v>0</v>
      </c>
      <c r="BK981" s="556">
        <f t="shared" si="109"/>
        <v>0</v>
      </c>
      <c r="BL981" s="556" t="str">
        <f t="shared" si="110"/>
        <v/>
      </c>
      <c r="BM981" s="497">
        <f t="shared" si="111"/>
        <v>0</v>
      </c>
    </row>
    <row r="982" spans="59:65">
      <c r="BG982" s="556" t="str">
        <f t="shared" si="105"/>
        <v>O</v>
      </c>
      <c r="BH982" s="556" t="str">
        <f t="shared" si="106"/>
        <v/>
      </c>
      <c r="BI982" s="556" t="str">
        <f t="shared" si="107"/>
        <v/>
      </c>
      <c r="BJ982" s="556">
        <f t="shared" si="108"/>
        <v>0</v>
      </c>
      <c r="BK982" s="556">
        <f t="shared" si="109"/>
        <v>0</v>
      </c>
      <c r="BL982" s="556" t="str">
        <f t="shared" si="110"/>
        <v/>
      </c>
      <c r="BM982" s="497">
        <f t="shared" si="111"/>
        <v>0</v>
      </c>
    </row>
    <row r="983" spans="59:65">
      <c r="BG983" s="556" t="str">
        <f t="shared" si="105"/>
        <v>O</v>
      </c>
      <c r="BH983" s="556" t="str">
        <f t="shared" si="106"/>
        <v/>
      </c>
      <c r="BI983" s="556" t="str">
        <f t="shared" si="107"/>
        <v/>
      </c>
      <c r="BJ983" s="556">
        <f t="shared" si="108"/>
        <v>0</v>
      </c>
      <c r="BK983" s="556">
        <f t="shared" si="109"/>
        <v>0</v>
      </c>
      <c r="BL983" s="556" t="str">
        <f t="shared" si="110"/>
        <v/>
      </c>
      <c r="BM983" s="497">
        <f t="shared" si="111"/>
        <v>0</v>
      </c>
    </row>
    <row r="984" spans="59:65">
      <c r="BG984" s="556" t="str">
        <f t="shared" si="105"/>
        <v>O</v>
      </c>
      <c r="BH984" s="556" t="str">
        <f t="shared" si="106"/>
        <v/>
      </c>
      <c r="BI984" s="556" t="str">
        <f t="shared" si="107"/>
        <v/>
      </c>
      <c r="BJ984" s="556">
        <f t="shared" si="108"/>
        <v>0</v>
      </c>
      <c r="BK984" s="556">
        <f t="shared" si="109"/>
        <v>0</v>
      </c>
      <c r="BL984" s="556" t="str">
        <f t="shared" si="110"/>
        <v/>
      </c>
      <c r="BM984" s="497">
        <f t="shared" si="111"/>
        <v>0</v>
      </c>
    </row>
    <row r="985" spans="59:65">
      <c r="BG985" s="556" t="str">
        <f t="shared" si="105"/>
        <v>O</v>
      </c>
      <c r="BH985" s="556" t="str">
        <f t="shared" si="106"/>
        <v/>
      </c>
      <c r="BI985" s="556" t="str">
        <f t="shared" si="107"/>
        <v/>
      </c>
      <c r="BJ985" s="556">
        <f t="shared" si="108"/>
        <v>0</v>
      </c>
      <c r="BK985" s="556">
        <f t="shared" si="109"/>
        <v>0</v>
      </c>
      <c r="BL985" s="556" t="str">
        <f t="shared" si="110"/>
        <v/>
      </c>
      <c r="BM985" s="497">
        <f t="shared" si="111"/>
        <v>0</v>
      </c>
    </row>
    <row r="986" spans="59:65">
      <c r="BG986" s="556" t="str">
        <f t="shared" si="105"/>
        <v>O</v>
      </c>
      <c r="BH986" s="556" t="str">
        <f t="shared" si="106"/>
        <v/>
      </c>
      <c r="BI986" s="556" t="str">
        <f t="shared" si="107"/>
        <v/>
      </c>
      <c r="BJ986" s="556">
        <f t="shared" si="108"/>
        <v>0</v>
      </c>
      <c r="BK986" s="556">
        <f t="shared" si="109"/>
        <v>0</v>
      </c>
      <c r="BL986" s="556" t="str">
        <f t="shared" si="110"/>
        <v/>
      </c>
      <c r="BM986" s="497">
        <f t="shared" si="111"/>
        <v>0</v>
      </c>
    </row>
    <row r="987" spans="59:65">
      <c r="BG987" s="556" t="str">
        <f t="shared" si="105"/>
        <v>O</v>
      </c>
      <c r="BH987" s="556" t="str">
        <f t="shared" si="106"/>
        <v/>
      </c>
      <c r="BI987" s="556" t="str">
        <f t="shared" si="107"/>
        <v/>
      </c>
      <c r="BJ987" s="556">
        <f t="shared" si="108"/>
        <v>0</v>
      </c>
      <c r="BK987" s="556">
        <f t="shared" si="109"/>
        <v>0</v>
      </c>
      <c r="BL987" s="556" t="str">
        <f t="shared" si="110"/>
        <v/>
      </c>
      <c r="BM987" s="497">
        <f t="shared" si="111"/>
        <v>0</v>
      </c>
    </row>
    <row r="988" spans="59:65">
      <c r="BG988" s="556" t="str">
        <f t="shared" si="105"/>
        <v>O</v>
      </c>
      <c r="BH988" s="556" t="str">
        <f t="shared" si="106"/>
        <v/>
      </c>
      <c r="BI988" s="556" t="str">
        <f t="shared" si="107"/>
        <v/>
      </c>
      <c r="BJ988" s="556">
        <f t="shared" si="108"/>
        <v>0</v>
      </c>
      <c r="BK988" s="556">
        <f t="shared" si="109"/>
        <v>0</v>
      </c>
      <c r="BL988" s="556" t="str">
        <f t="shared" si="110"/>
        <v/>
      </c>
      <c r="BM988" s="497">
        <f t="shared" si="111"/>
        <v>0</v>
      </c>
    </row>
    <row r="989" spans="59:65">
      <c r="BG989" s="556" t="str">
        <f t="shared" si="105"/>
        <v>O</v>
      </c>
      <c r="BH989" s="556" t="str">
        <f t="shared" si="106"/>
        <v/>
      </c>
      <c r="BI989" s="556" t="str">
        <f t="shared" si="107"/>
        <v/>
      </c>
      <c r="BJ989" s="556">
        <f t="shared" si="108"/>
        <v>0</v>
      </c>
      <c r="BK989" s="556">
        <f t="shared" si="109"/>
        <v>0</v>
      </c>
      <c r="BL989" s="556" t="str">
        <f t="shared" si="110"/>
        <v/>
      </c>
      <c r="BM989" s="497">
        <f t="shared" si="111"/>
        <v>0</v>
      </c>
    </row>
    <row r="990" spans="59:65">
      <c r="BG990" s="556" t="str">
        <f t="shared" si="105"/>
        <v>O</v>
      </c>
      <c r="BH990" s="556" t="str">
        <f t="shared" si="106"/>
        <v/>
      </c>
      <c r="BI990" s="556" t="str">
        <f t="shared" si="107"/>
        <v/>
      </c>
      <c r="BJ990" s="556">
        <f t="shared" si="108"/>
        <v>0</v>
      </c>
      <c r="BK990" s="556">
        <f t="shared" si="109"/>
        <v>0</v>
      </c>
      <c r="BL990" s="556" t="str">
        <f t="shared" si="110"/>
        <v/>
      </c>
      <c r="BM990" s="497">
        <f t="shared" si="111"/>
        <v>0</v>
      </c>
    </row>
    <row r="991" spans="59:65">
      <c r="BG991" s="556" t="str">
        <f t="shared" si="105"/>
        <v>O</v>
      </c>
      <c r="BH991" s="556" t="str">
        <f t="shared" si="106"/>
        <v/>
      </c>
      <c r="BI991" s="556" t="str">
        <f t="shared" si="107"/>
        <v/>
      </c>
      <c r="BJ991" s="556">
        <f t="shared" si="108"/>
        <v>0</v>
      </c>
      <c r="BK991" s="556">
        <f t="shared" si="109"/>
        <v>0</v>
      </c>
      <c r="BL991" s="556" t="str">
        <f t="shared" si="110"/>
        <v/>
      </c>
      <c r="BM991" s="497">
        <f t="shared" si="111"/>
        <v>0</v>
      </c>
    </row>
    <row r="992" spans="59:65">
      <c r="BG992" s="556" t="str">
        <f t="shared" si="105"/>
        <v>O</v>
      </c>
      <c r="BH992" s="556" t="str">
        <f t="shared" si="106"/>
        <v/>
      </c>
      <c r="BI992" s="556" t="str">
        <f t="shared" si="107"/>
        <v/>
      </c>
      <c r="BJ992" s="556">
        <f t="shared" si="108"/>
        <v>0</v>
      </c>
      <c r="BK992" s="556">
        <f t="shared" si="109"/>
        <v>0</v>
      </c>
      <c r="BL992" s="556" t="str">
        <f t="shared" si="110"/>
        <v/>
      </c>
      <c r="BM992" s="497">
        <f t="shared" si="111"/>
        <v>0</v>
      </c>
    </row>
    <row r="993" spans="59:65">
      <c r="BG993" s="556" t="str">
        <f t="shared" si="105"/>
        <v>O</v>
      </c>
      <c r="BH993" s="556" t="str">
        <f t="shared" si="106"/>
        <v/>
      </c>
      <c r="BI993" s="556" t="str">
        <f t="shared" si="107"/>
        <v/>
      </c>
      <c r="BJ993" s="556">
        <f t="shared" si="108"/>
        <v>0</v>
      </c>
      <c r="BK993" s="556">
        <f t="shared" si="109"/>
        <v>0</v>
      </c>
      <c r="BL993" s="556" t="str">
        <f t="shared" si="110"/>
        <v/>
      </c>
      <c r="BM993" s="497">
        <f t="shared" si="111"/>
        <v>0</v>
      </c>
    </row>
    <row r="994" spans="59:65">
      <c r="BG994" s="556" t="str">
        <f t="shared" si="105"/>
        <v>O</v>
      </c>
      <c r="BH994" s="556" t="str">
        <f t="shared" si="106"/>
        <v/>
      </c>
      <c r="BI994" s="556" t="str">
        <f t="shared" si="107"/>
        <v/>
      </c>
      <c r="BJ994" s="556">
        <f t="shared" si="108"/>
        <v>0</v>
      </c>
      <c r="BK994" s="556">
        <f t="shared" si="109"/>
        <v>0</v>
      </c>
      <c r="BL994" s="556" t="str">
        <f t="shared" si="110"/>
        <v/>
      </c>
      <c r="BM994" s="497">
        <f t="shared" si="111"/>
        <v>0</v>
      </c>
    </row>
    <row r="995" spans="59:65">
      <c r="BG995" s="556" t="str">
        <f t="shared" si="105"/>
        <v>O</v>
      </c>
      <c r="BH995" s="556" t="str">
        <f t="shared" si="106"/>
        <v/>
      </c>
      <c r="BI995" s="556" t="str">
        <f t="shared" si="107"/>
        <v/>
      </c>
      <c r="BJ995" s="556">
        <f t="shared" si="108"/>
        <v>0</v>
      </c>
      <c r="BK995" s="556">
        <f t="shared" si="109"/>
        <v>0</v>
      </c>
      <c r="BL995" s="556" t="str">
        <f t="shared" si="110"/>
        <v/>
      </c>
      <c r="BM995" s="497">
        <f t="shared" si="111"/>
        <v>0</v>
      </c>
    </row>
    <row r="996" spans="59:65">
      <c r="BG996" s="556" t="str">
        <f t="shared" si="105"/>
        <v>O</v>
      </c>
      <c r="BH996" s="556" t="str">
        <f t="shared" si="106"/>
        <v/>
      </c>
      <c r="BI996" s="556" t="str">
        <f t="shared" si="107"/>
        <v/>
      </c>
      <c r="BJ996" s="556">
        <f t="shared" si="108"/>
        <v>0</v>
      </c>
      <c r="BK996" s="556">
        <f t="shared" si="109"/>
        <v>0</v>
      </c>
      <c r="BL996" s="556" t="str">
        <f t="shared" si="110"/>
        <v/>
      </c>
      <c r="BM996" s="497">
        <f t="shared" si="111"/>
        <v>0</v>
      </c>
    </row>
    <row r="997" spans="59:65">
      <c r="BG997" s="556" t="str">
        <f t="shared" si="105"/>
        <v>O</v>
      </c>
      <c r="BH997" s="556" t="str">
        <f t="shared" si="106"/>
        <v/>
      </c>
      <c r="BI997" s="556" t="str">
        <f t="shared" si="107"/>
        <v/>
      </c>
      <c r="BJ997" s="556">
        <f t="shared" si="108"/>
        <v>0</v>
      </c>
      <c r="BK997" s="556">
        <f t="shared" si="109"/>
        <v>0</v>
      </c>
      <c r="BL997" s="556" t="str">
        <f t="shared" si="110"/>
        <v/>
      </c>
      <c r="BM997" s="497">
        <f t="shared" si="111"/>
        <v>0</v>
      </c>
    </row>
    <row r="998" spans="59:65">
      <c r="BG998" s="556" t="str">
        <f t="shared" si="105"/>
        <v>O</v>
      </c>
      <c r="BH998" s="556" t="str">
        <f t="shared" si="106"/>
        <v/>
      </c>
      <c r="BI998" s="556" t="str">
        <f t="shared" si="107"/>
        <v/>
      </c>
      <c r="BJ998" s="556">
        <f t="shared" si="108"/>
        <v>0</v>
      </c>
      <c r="BK998" s="556">
        <f t="shared" si="109"/>
        <v>0</v>
      </c>
      <c r="BL998" s="556" t="str">
        <f t="shared" si="110"/>
        <v/>
      </c>
      <c r="BM998" s="497">
        <f t="shared" si="111"/>
        <v>0</v>
      </c>
    </row>
    <row r="999" spans="59:65">
      <c r="BG999" s="556" t="str">
        <f t="shared" si="105"/>
        <v>O</v>
      </c>
      <c r="BH999" s="556" t="str">
        <f t="shared" si="106"/>
        <v/>
      </c>
      <c r="BI999" s="556" t="str">
        <f t="shared" si="107"/>
        <v/>
      </c>
      <c r="BJ999" s="556">
        <f t="shared" si="108"/>
        <v>0</v>
      </c>
      <c r="BK999" s="556">
        <f t="shared" si="109"/>
        <v>0</v>
      </c>
      <c r="BL999" s="556" t="str">
        <f t="shared" si="110"/>
        <v/>
      </c>
      <c r="BM999" s="497">
        <f t="shared" si="111"/>
        <v>0</v>
      </c>
    </row>
    <row r="1000" spans="59:65">
      <c r="BG1000" s="556" t="str">
        <f t="shared" si="105"/>
        <v>O</v>
      </c>
      <c r="BH1000" s="556" t="str">
        <f t="shared" si="106"/>
        <v/>
      </c>
      <c r="BI1000" s="556" t="str">
        <f t="shared" si="107"/>
        <v/>
      </c>
      <c r="BJ1000" s="556">
        <f t="shared" si="108"/>
        <v>0</v>
      </c>
      <c r="BK1000" s="556">
        <f t="shared" si="109"/>
        <v>0</v>
      </c>
      <c r="BL1000" s="556" t="str">
        <f t="shared" si="110"/>
        <v/>
      </c>
      <c r="BM1000" s="497">
        <f t="shared" si="111"/>
        <v>0</v>
      </c>
    </row>
    <row r="1001" spans="59:65">
      <c r="BG1001" s="556" t="str">
        <f t="shared" si="105"/>
        <v>O</v>
      </c>
      <c r="BH1001" s="556" t="str">
        <f t="shared" si="106"/>
        <v/>
      </c>
      <c r="BI1001" s="556" t="str">
        <f t="shared" si="107"/>
        <v/>
      </c>
      <c r="BJ1001" s="556">
        <f t="shared" si="108"/>
        <v>0</v>
      </c>
      <c r="BK1001" s="556">
        <f t="shared" si="109"/>
        <v>0</v>
      </c>
      <c r="BL1001" s="556" t="str">
        <f t="shared" si="110"/>
        <v/>
      </c>
      <c r="BM1001" s="497">
        <f t="shared" si="111"/>
        <v>0</v>
      </c>
    </row>
    <row r="1002" spans="59:65">
      <c r="BG1002" s="556" t="str">
        <f t="shared" si="105"/>
        <v>O</v>
      </c>
      <c r="BH1002" s="556" t="str">
        <f t="shared" si="106"/>
        <v/>
      </c>
      <c r="BI1002" s="556" t="str">
        <f t="shared" si="107"/>
        <v/>
      </c>
      <c r="BJ1002" s="556">
        <f t="shared" si="108"/>
        <v>0</v>
      </c>
      <c r="BK1002" s="556">
        <f t="shared" si="109"/>
        <v>0</v>
      </c>
      <c r="BL1002" s="556" t="str">
        <f t="shared" si="110"/>
        <v/>
      </c>
      <c r="BM1002" s="497">
        <f t="shared" si="111"/>
        <v>0</v>
      </c>
    </row>
    <row r="1003" spans="59:65">
      <c r="BG1003" s="556" t="str">
        <f t="shared" si="105"/>
        <v>O</v>
      </c>
      <c r="BH1003" s="556" t="str">
        <f t="shared" si="106"/>
        <v/>
      </c>
      <c r="BI1003" s="556" t="str">
        <f t="shared" si="107"/>
        <v/>
      </c>
      <c r="BJ1003" s="556">
        <f t="shared" si="108"/>
        <v>0</v>
      </c>
      <c r="BK1003" s="556">
        <f t="shared" si="109"/>
        <v>0</v>
      </c>
      <c r="BL1003" s="556" t="str">
        <f t="shared" si="110"/>
        <v/>
      </c>
      <c r="BM1003" s="497">
        <f t="shared" si="111"/>
        <v>0</v>
      </c>
    </row>
    <row r="1004" spans="59:65">
      <c r="BG1004" s="556" t="str">
        <f t="shared" si="105"/>
        <v>O</v>
      </c>
      <c r="BH1004" s="556" t="str">
        <f t="shared" si="106"/>
        <v/>
      </c>
      <c r="BI1004" s="556" t="str">
        <f t="shared" si="107"/>
        <v/>
      </c>
      <c r="BJ1004" s="556">
        <f t="shared" si="108"/>
        <v>0</v>
      </c>
      <c r="BK1004" s="556">
        <f t="shared" si="109"/>
        <v>0</v>
      </c>
      <c r="BL1004" s="556" t="str">
        <f t="shared" si="110"/>
        <v/>
      </c>
      <c r="BM1004" s="497">
        <f t="shared" si="111"/>
        <v>0</v>
      </c>
    </row>
    <row r="1005" spans="59:65">
      <c r="BG1005" s="556" t="str">
        <f t="shared" si="105"/>
        <v>O</v>
      </c>
      <c r="BH1005" s="556" t="str">
        <f t="shared" si="106"/>
        <v/>
      </c>
      <c r="BI1005" s="556" t="str">
        <f t="shared" si="107"/>
        <v/>
      </c>
      <c r="BJ1005" s="556">
        <f t="shared" si="108"/>
        <v>0</v>
      </c>
      <c r="BK1005" s="556">
        <f t="shared" si="109"/>
        <v>0</v>
      </c>
      <c r="BL1005" s="556" t="str">
        <f t="shared" si="110"/>
        <v/>
      </c>
      <c r="BM1005" s="497">
        <f t="shared" si="111"/>
        <v>0</v>
      </c>
    </row>
    <row r="1006" spans="59:65">
      <c r="BG1006" s="556" t="str">
        <f t="shared" si="105"/>
        <v>O</v>
      </c>
      <c r="BH1006" s="556" t="str">
        <f t="shared" si="106"/>
        <v/>
      </c>
      <c r="BI1006" s="556" t="str">
        <f t="shared" si="107"/>
        <v/>
      </c>
      <c r="BJ1006" s="556">
        <f t="shared" si="108"/>
        <v>0</v>
      </c>
      <c r="BK1006" s="556">
        <f t="shared" si="109"/>
        <v>0</v>
      </c>
      <c r="BL1006" s="556" t="str">
        <f t="shared" si="110"/>
        <v/>
      </c>
      <c r="BM1006" s="497">
        <f t="shared" si="111"/>
        <v>0</v>
      </c>
    </row>
    <row r="1007" spans="59:65">
      <c r="BG1007" s="556" t="str">
        <f t="shared" si="105"/>
        <v>O</v>
      </c>
      <c r="BH1007" s="556" t="str">
        <f t="shared" si="106"/>
        <v/>
      </c>
      <c r="BI1007" s="556" t="str">
        <f t="shared" si="107"/>
        <v/>
      </c>
      <c r="BJ1007" s="556">
        <f t="shared" si="108"/>
        <v>0</v>
      </c>
      <c r="BK1007" s="556">
        <f t="shared" si="109"/>
        <v>0</v>
      </c>
      <c r="BL1007" s="556" t="str">
        <f t="shared" si="110"/>
        <v/>
      </c>
      <c r="BM1007" s="497">
        <f t="shared" si="111"/>
        <v>0</v>
      </c>
    </row>
    <row r="1008" spans="59:65">
      <c r="BG1008" s="556" t="str">
        <f t="shared" si="105"/>
        <v>O</v>
      </c>
      <c r="BH1008" s="556" t="str">
        <f t="shared" si="106"/>
        <v/>
      </c>
      <c r="BI1008" s="556" t="str">
        <f t="shared" si="107"/>
        <v/>
      </c>
      <c r="BJ1008" s="556">
        <f t="shared" si="108"/>
        <v>0</v>
      </c>
      <c r="BK1008" s="556">
        <f t="shared" si="109"/>
        <v>0</v>
      </c>
      <c r="BL1008" s="556" t="str">
        <f t="shared" si="110"/>
        <v/>
      </c>
      <c r="BM1008" s="497">
        <f t="shared" si="111"/>
        <v>0</v>
      </c>
    </row>
    <row r="1009" spans="59:65">
      <c r="BG1009" s="556" t="str">
        <f t="shared" si="105"/>
        <v>O</v>
      </c>
      <c r="BH1009" s="556" t="str">
        <f t="shared" si="106"/>
        <v/>
      </c>
      <c r="BI1009" s="556" t="str">
        <f t="shared" si="107"/>
        <v/>
      </c>
      <c r="BJ1009" s="556">
        <f t="shared" si="108"/>
        <v>0</v>
      </c>
      <c r="BK1009" s="556">
        <f t="shared" si="109"/>
        <v>0</v>
      </c>
      <c r="BL1009" s="556" t="str">
        <f t="shared" si="110"/>
        <v/>
      </c>
      <c r="BM1009" s="497">
        <f t="shared" si="111"/>
        <v>0</v>
      </c>
    </row>
    <row r="1010" spans="59:65">
      <c r="BG1010" s="556" t="str">
        <f t="shared" si="105"/>
        <v>O</v>
      </c>
      <c r="BH1010" s="556" t="str">
        <f t="shared" si="106"/>
        <v/>
      </c>
      <c r="BI1010" s="556" t="str">
        <f t="shared" si="107"/>
        <v/>
      </c>
      <c r="BJ1010" s="556">
        <f t="shared" si="108"/>
        <v>0</v>
      </c>
      <c r="BK1010" s="556">
        <f t="shared" si="109"/>
        <v>0</v>
      </c>
      <c r="BL1010" s="556" t="str">
        <f t="shared" si="110"/>
        <v/>
      </c>
      <c r="BM1010" s="497">
        <f t="shared" si="111"/>
        <v>0</v>
      </c>
    </row>
    <row r="1011" spans="59:65">
      <c r="BG1011" s="556" t="str">
        <f t="shared" si="105"/>
        <v>O</v>
      </c>
      <c r="BH1011" s="556" t="str">
        <f t="shared" si="106"/>
        <v/>
      </c>
      <c r="BI1011" s="556" t="str">
        <f t="shared" si="107"/>
        <v/>
      </c>
      <c r="BJ1011" s="556">
        <f t="shared" si="108"/>
        <v>0</v>
      </c>
      <c r="BK1011" s="556">
        <f t="shared" si="109"/>
        <v>0</v>
      </c>
      <c r="BL1011" s="556" t="str">
        <f t="shared" si="110"/>
        <v/>
      </c>
      <c r="BM1011" s="497">
        <f t="shared" si="111"/>
        <v>0</v>
      </c>
    </row>
    <row r="1012" spans="59:65">
      <c r="BG1012" s="556" t="str">
        <f t="shared" si="105"/>
        <v>O</v>
      </c>
      <c r="BH1012" s="556" t="str">
        <f t="shared" si="106"/>
        <v/>
      </c>
      <c r="BI1012" s="556" t="str">
        <f t="shared" si="107"/>
        <v/>
      </c>
      <c r="BJ1012" s="556">
        <f t="shared" si="108"/>
        <v>0</v>
      </c>
      <c r="BK1012" s="556">
        <f t="shared" si="109"/>
        <v>0</v>
      </c>
      <c r="BL1012" s="556" t="str">
        <f t="shared" si="110"/>
        <v/>
      </c>
      <c r="BM1012" s="497">
        <f t="shared" si="111"/>
        <v>0</v>
      </c>
    </row>
    <row r="1013" spans="59:65">
      <c r="BG1013" s="556" t="str">
        <f t="shared" si="105"/>
        <v>O</v>
      </c>
      <c r="BH1013" s="556" t="str">
        <f t="shared" si="106"/>
        <v/>
      </c>
      <c r="BI1013" s="556" t="str">
        <f t="shared" si="107"/>
        <v/>
      </c>
      <c r="BJ1013" s="556">
        <f t="shared" si="108"/>
        <v>0</v>
      </c>
      <c r="BK1013" s="556">
        <f t="shared" si="109"/>
        <v>0</v>
      </c>
      <c r="BL1013" s="556" t="str">
        <f t="shared" si="110"/>
        <v/>
      </c>
      <c r="BM1013" s="497">
        <f t="shared" si="111"/>
        <v>0</v>
      </c>
    </row>
    <row r="1014" spans="59:65">
      <c r="BG1014" s="556" t="str">
        <f t="shared" si="105"/>
        <v>O</v>
      </c>
      <c r="BH1014" s="556" t="str">
        <f t="shared" si="106"/>
        <v/>
      </c>
      <c r="BI1014" s="556" t="str">
        <f t="shared" si="107"/>
        <v/>
      </c>
      <c r="BJ1014" s="556">
        <f t="shared" si="108"/>
        <v>0</v>
      </c>
      <c r="BK1014" s="556">
        <f t="shared" si="109"/>
        <v>0</v>
      </c>
      <c r="BL1014" s="556" t="str">
        <f t="shared" si="110"/>
        <v/>
      </c>
      <c r="BM1014" s="497">
        <f t="shared" si="111"/>
        <v>0</v>
      </c>
    </row>
    <row r="1015" spans="59:65">
      <c r="BG1015" s="556" t="str">
        <f t="shared" si="105"/>
        <v>O</v>
      </c>
      <c r="BH1015" s="556" t="str">
        <f t="shared" si="106"/>
        <v/>
      </c>
      <c r="BI1015" s="556" t="str">
        <f t="shared" si="107"/>
        <v/>
      </c>
      <c r="BJ1015" s="556">
        <f t="shared" si="108"/>
        <v>0</v>
      </c>
      <c r="BK1015" s="556">
        <f t="shared" si="109"/>
        <v>0</v>
      </c>
      <c r="BL1015" s="556" t="str">
        <f t="shared" si="110"/>
        <v/>
      </c>
      <c r="BM1015" s="497">
        <f t="shared" si="111"/>
        <v>0</v>
      </c>
    </row>
    <row r="1016" spans="59:65">
      <c r="BG1016" s="556" t="str">
        <f t="shared" si="105"/>
        <v>O</v>
      </c>
      <c r="BH1016" s="556" t="str">
        <f t="shared" si="106"/>
        <v/>
      </c>
      <c r="BI1016" s="556" t="str">
        <f t="shared" si="107"/>
        <v/>
      </c>
      <c r="BJ1016" s="556">
        <f t="shared" si="108"/>
        <v>0</v>
      </c>
      <c r="BK1016" s="556">
        <f t="shared" si="109"/>
        <v>0</v>
      </c>
      <c r="BL1016" s="556" t="str">
        <f t="shared" si="110"/>
        <v/>
      </c>
      <c r="BM1016" s="497">
        <f t="shared" si="111"/>
        <v>0</v>
      </c>
    </row>
    <row r="1017" spans="59:65">
      <c r="BG1017" s="556" t="str">
        <f t="shared" si="105"/>
        <v>O</v>
      </c>
      <c r="BH1017" s="556" t="str">
        <f t="shared" si="106"/>
        <v/>
      </c>
      <c r="BI1017" s="556" t="str">
        <f t="shared" si="107"/>
        <v/>
      </c>
      <c r="BJ1017" s="556">
        <f t="shared" si="108"/>
        <v>0</v>
      </c>
      <c r="BK1017" s="556">
        <f t="shared" si="109"/>
        <v>0</v>
      </c>
      <c r="BL1017" s="556" t="str">
        <f t="shared" si="110"/>
        <v/>
      </c>
      <c r="BM1017" s="497">
        <f t="shared" si="111"/>
        <v>0</v>
      </c>
    </row>
    <row r="1018" spans="59:65">
      <c r="BG1018" s="556" t="str">
        <f t="shared" si="105"/>
        <v>O</v>
      </c>
      <c r="BH1018" s="556" t="str">
        <f t="shared" si="106"/>
        <v/>
      </c>
      <c r="BI1018" s="556" t="str">
        <f t="shared" si="107"/>
        <v/>
      </c>
      <c r="BJ1018" s="556">
        <f t="shared" si="108"/>
        <v>0</v>
      </c>
      <c r="BK1018" s="556">
        <f t="shared" si="109"/>
        <v>0</v>
      </c>
      <c r="BL1018" s="556" t="str">
        <f t="shared" si="110"/>
        <v/>
      </c>
      <c r="BM1018" s="497">
        <f t="shared" si="111"/>
        <v>0</v>
      </c>
    </row>
    <row r="1019" spans="59:65">
      <c r="BG1019" s="556" t="str">
        <f t="shared" si="105"/>
        <v>O</v>
      </c>
      <c r="BH1019" s="556" t="str">
        <f t="shared" si="106"/>
        <v/>
      </c>
      <c r="BI1019" s="556" t="str">
        <f t="shared" si="107"/>
        <v/>
      </c>
      <c r="BJ1019" s="556">
        <f t="shared" si="108"/>
        <v>0</v>
      </c>
      <c r="BK1019" s="556">
        <f t="shared" si="109"/>
        <v>0</v>
      </c>
      <c r="BL1019" s="556" t="str">
        <f t="shared" si="110"/>
        <v/>
      </c>
      <c r="BM1019" s="497">
        <f t="shared" si="111"/>
        <v>0</v>
      </c>
    </row>
    <row r="1020" spans="59:65">
      <c r="BG1020" s="556" t="str">
        <f t="shared" si="105"/>
        <v>O</v>
      </c>
      <c r="BH1020" s="556" t="str">
        <f t="shared" si="106"/>
        <v/>
      </c>
      <c r="BI1020" s="556" t="str">
        <f t="shared" si="107"/>
        <v/>
      </c>
      <c r="BJ1020" s="556">
        <f t="shared" si="108"/>
        <v>0</v>
      </c>
      <c r="BK1020" s="556">
        <f t="shared" si="109"/>
        <v>0</v>
      </c>
      <c r="BL1020" s="556" t="str">
        <f t="shared" si="110"/>
        <v/>
      </c>
      <c r="BM1020" s="497">
        <f t="shared" si="111"/>
        <v>0</v>
      </c>
    </row>
    <row r="1021" spans="59:65">
      <c r="BG1021" s="556" t="str">
        <f t="shared" si="105"/>
        <v>O</v>
      </c>
      <c r="BH1021" s="556" t="str">
        <f t="shared" si="106"/>
        <v/>
      </c>
      <c r="BI1021" s="556" t="str">
        <f t="shared" si="107"/>
        <v/>
      </c>
      <c r="BJ1021" s="556">
        <f t="shared" si="108"/>
        <v>0</v>
      </c>
      <c r="BK1021" s="556">
        <f t="shared" si="109"/>
        <v>0</v>
      </c>
      <c r="BL1021" s="556" t="str">
        <f t="shared" si="110"/>
        <v/>
      </c>
      <c r="BM1021" s="497">
        <f t="shared" si="111"/>
        <v>0</v>
      </c>
    </row>
    <row r="1022" spans="59:65">
      <c r="BG1022" s="556" t="str">
        <f t="shared" si="105"/>
        <v>O</v>
      </c>
      <c r="BH1022" s="556" t="str">
        <f t="shared" si="106"/>
        <v/>
      </c>
      <c r="BI1022" s="556" t="str">
        <f t="shared" si="107"/>
        <v/>
      </c>
      <c r="BJ1022" s="556">
        <f t="shared" si="108"/>
        <v>0</v>
      </c>
      <c r="BK1022" s="556">
        <f t="shared" si="109"/>
        <v>0</v>
      </c>
      <c r="BL1022" s="556" t="str">
        <f t="shared" si="110"/>
        <v/>
      </c>
      <c r="BM1022" s="497">
        <f t="shared" si="111"/>
        <v>0</v>
      </c>
    </row>
    <row r="1023" spans="59:65">
      <c r="BG1023" s="556" t="str">
        <f t="shared" si="105"/>
        <v>O</v>
      </c>
      <c r="BH1023" s="556" t="str">
        <f t="shared" si="106"/>
        <v/>
      </c>
      <c r="BI1023" s="556" t="str">
        <f t="shared" si="107"/>
        <v/>
      </c>
      <c r="BJ1023" s="556">
        <f t="shared" si="108"/>
        <v>0</v>
      </c>
      <c r="BK1023" s="556">
        <f t="shared" si="109"/>
        <v>0</v>
      </c>
      <c r="BL1023" s="556" t="str">
        <f t="shared" si="110"/>
        <v/>
      </c>
      <c r="BM1023" s="497">
        <f t="shared" si="111"/>
        <v>0</v>
      </c>
    </row>
    <row r="1024" spans="59:65">
      <c r="BG1024" s="556" t="str">
        <f t="shared" si="105"/>
        <v>O</v>
      </c>
      <c r="BH1024" s="556" t="str">
        <f t="shared" si="106"/>
        <v/>
      </c>
      <c r="BI1024" s="556" t="str">
        <f t="shared" si="107"/>
        <v/>
      </c>
      <c r="BJ1024" s="556">
        <f t="shared" si="108"/>
        <v>0</v>
      </c>
      <c r="BK1024" s="556">
        <f t="shared" si="109"/>
        <v>0</v>
      </c>
      <c r="BL1024" s="556" t="str">
        <f t="shared" si="110"/>
        <v/>
      </c>
      <c r="BM1024" s="497">
        <f t="shared" si="111"/>
        <v>0</v>
      </c>
    </row>
    <row r="1025" spans="59:65">
      <c r="BG1025" s="556" t="str">
        <f t="shared" si="105"/>
        <v>O</v>
      </c>
      <c r="BH1025" s="556" t="str">
        <f t="shared" si="106"/>
        <v/>
      </c>
      <c r="BI1025" s="556" t="str">
        <f t="shared" si="107"/>
        <v/>
      </c>
      <c r="BJ1025" s="556">
        <f t="shared" si="108"/>
        <v>0</v>
      </c>
      <c r="BK1025" s="556">
        <f t="shared" si="109"/>
        <v>0</v>
      </c>
      <c r="BL1025" s="556" t="str">
        <f t="shared" si="110"/>
        <v/>
      </c>
      <c r="BM1025" s="497">
        <f t="shared" si="111"/>
        <v>0</v>
      </c>
    </row>
    <row r="1026" spans="59:65">
      <c r="BG1026" s="556" t="str">
        <f t="shared" si="105"/>
        <v>O</v>
      </c>
      <c r="BH1026" s="556" t="str">
        <f t="shared" si="106"/>
        <v/>
      </c>
      <c r="BI1026" s="556" t="str">
        <f t="shared" si="107"/>
        <v/>
      </c>
      <c r="BJ1026" s="556">
        <f t="shared" si="108"/>
        <v>0</v>
      </c>
      <c r="BK1026" s="556">
        <f t="shared" si="109"/>
        <v>0</v>
      </c>
      <c r="BL1026" s="556" t="str">
        <f t="shared" si="110"/>
        <v/>
      </c>
      <c r="BM1026" s="497">
        <f t="shared" si="111"/>
        <v>0</v>
      </c>
    </row>
    <row r="1027" spans="59:65">
      <c r="BG1027" s="556" t="str">
        <f t="shared" ref="BG1027:BG1090" si="112">IF(LEFT(AY1027,2)="98","X","O")</f>
        <v>O</v>
      </c>
      <c r="BH1027" s="556" t="str">
        <f t="shared" ref="BH1027:BH1090" si="113">IF(IFERROR(SEARCH("45",$AY1027,1),0)&gt;0,"Y","")</f>
        <v/>
      </c>
      <c r="BI1027" s="556" t="str">
        <f t="shared" ref="BI1027:BI1090" si="114">IF(IFERROR(SEARCH("86",$AY1027,1),0)&gt;0,"Y","")</f>
        <v/>
      </c>
      <c r="BJ1027" s="556">
        <f t="shared" ref="BJ1027:BJ1090" si="115">IF(L1027="",K1027,IF(M1027="",K1027&amp;","&amp;L1027,IF(N1027="",K1027&amp;","&amp;L1027&amp;","&amp;M1027,K1027&amp;","&amp;L1027&amp;","&amp;M1027&amp;","&amp;N1027)))</f>
        <v>0</v>
      </c>
      <c r="BK1027" s="556">
        <f t="shared" ref="BK1027:BK1090" si="116">IF(P1027="",O1027,IF(Q1027="",O1027&amp;","&amp;P1027,IF(R1027="",O1027&amp;","&amp;P1027&amp;","&amp;Q1027,IO1027&amp;","&amp;P1027&amp;","&amp;Q1027&amp;","&amp;R1027)))</f>
        <v>0</v>
      </c>
      <c r="BL1027" s="556" t="str">
        <f t="shared" ref="BL1027:BL1090" si="117">IF(S1027=0,"",S1027)</f>
        <v/>
      </c>
      <c r="BM1027" s="497">
        <f t="shared" ref="BM1027:BM1090" si="118">A1027</f>
        <v>0</v>
      </c>
    </row>
    <row r="1028" spans="59:65">
      <c r="BG1028" s="556" t="str">
        <f t="shared" si="112"/>
        <v>O</v>
      </c>
      <c r="BH1028" s="556" t="str">
        <f t="shared" si="113"/>
        <v/>
      </c>
      <c r="BI1028" s="556" t="str">
        <f t="shared" si="114"/>
        <v/>
      </c>
      <c r="BJ1028" s="556">
        <f t="shared" si="115"/>
        <v>0</v>
      </c>
      <c r="BK1028" s="556">
        <f t="shared" si="116"/>
        <v>0</v>
      </c>
      <c r="BL1028" s="556" t="str">
        <f t="shared" si="117"/>
        <v/>
      </c>
      <c r="BM1028" s="497">
        <f t="shared" si="118"/>
        <v>0</v>
      </c>
    </row>
    <row r="1029" spans="59:65">
      <c r="BG1029" s="556" t="str">
        <f t="shared" si="112"/>
        <v>O</v>
      </c>
      <c r="BH1029" s="556" t="str">
        <f t="shared" si="113"/>
        <v/>
      </c>
      <c r="BI1029" s="556" t="str">
        <f t="shared" si="114"/>
        <v/>
      </c>
      <c r="BJ1029" s="556">
        <f t="shared" si="115"/>
        <v>0</v>
      </c>
      <c r="BK1029" s="556">
        <f t="shared" si="116"/>
        <v>0</v>
      </c>
      <c r="BL1029" s="556" t="str">
        <f t="shared" si="117"/>
        <v/>
      </c>
      <c r="BM1029" s="497">
        <f t="shared" si="118"/>
        <v>0</v>
      </c>
    </row>
    <row r="1030" spans="59:65">
      <c r="BG1030" s="556" t="str">
        <f t="shared" si="112"/>
        <v>O</v>
      </c>
      <c r="BH1030" s="556" t="str">
        <f t="shared" si="113"/>
        <v/>
      </c>
      <c r="BI1030" s="556" t="str">
        <f t="shared" si="114"/>
        <v/>
      </c>
      <c r="BJ1030" s="556">
        <f t="shared" si="115"/>
        <v>0</v>
      </c>
      <c r="BK1030" s="556">
        <f t="shared" si="116"/>
        <v>0</v>
      </c>
      <c r="BL1030" s="556" t="str">
        <f t="shared" si="117"/>
        <v/>
      </c>
      <c r="BM1030" s="497">
        <f t="shared" si="118"/>
        <v>0</v>
      </c>
    </row>
    <row r="1031" spans="59:65">
      <c r="BG1031" s="556" t="str">
        <f t="shared" si="112"/>
        <v>O</v>
      </c>
      <c r="BH1031" s="556" t="str">
        <f t="shared" si="113"/>
        <v/>
      </c>
      <c r="BI1031" s="556" t="str">
        <f t="shared" si="114"/>
        <v/>
      </c>
      <c r="BJ1031" s="556">
        <f t="shared" si="115"/>
        <v>0</v>
      </c>
      <c r="BK1031" s="556">
        <f t="shared" si="116"/>
        <v>0</v>
      </c>
      <c r="BL1031" s="556" t="str">
        <f t="shared" si="117"/>
        <v/>
      </c>
      <c r="BM1031" s="497">
        <f t="shared" si="118"/>
        <v>0</v>
      </c>
    </row>
    <row r="1032" spans="59:65">
      <c r="BG1032" s="556" t="str">
        <f t="shared" si="112"/>
        <v>O</v>
      </c>
      <c r="BH1032" s="556" t="str">
        <f t="shared" si="113"/>
        <v/>
      </c>
      <c r="BI1032" s="556" t="str">
        <f t="shared" si="114"/>
        <v/>
      </c>
      <c r="BJ1032" s="556">
        <f t="shared" si="115"/>
        <v>0</v>
      </c>
      <c r="BK1032" s="556">
        <f t="shared" si="116"/>
        <v>0</v>
      </c>
      <c r="BL1032" s="556" t="str">
        <f t="shared" si="117"/>
        <v/>
      </c>
      <c r="BM1032" s="497">
        <f t="shared" si="118"/>
        <v>0</v>
      </c>
    </row>
    <row r="1033" spans="59:65">
      <c r="BG1033" s="556" t="str">
        <f t="shared" si="112"/>
        <v>O</v>
      </c>
      <c r="BH1033" s="556" t="str">
        <f t="shared" si="113"/>
        <v/>
      </c>
      <c r="BI1033" s="556" t="str">
        <f t="shared" si="114"/>
        <v/>
      </c>
      <c r="BJ1033" s="556">
        <f t="shared" si="115"/>
        <v>0</v>
      </c>
      <c r="BK1033" s="556">
        <f t="shared" si="116"/>
        <v>0</v>
      </c>
      <c r="BL1033" s="556" t="str">
        <f t="shared" si="117"/>
        <v/>
      </c>
      <c r="BM1033" s="497">
        <f t="shared" si="118"/>
        <v>0</v>
      </c>
    </row>
    <row r="1034" spans="59:65">
      <c r="BG1034" s="556" t="str">
        <f t="shared" si="112"/>
        <v>O</v>
      </c>
      <c r="BH1034" s="556" t="str">
        <f t="shared" si="113"/>
        <v/>
      </c>
      <c r="BI1034" s="556" t="str">
        <f t="shared" si="114"/>
        <v/>
      </c>
      <c r="BJ1034" s="556">
        <f t="shared" si="115"/>
        <v>0</v>
      </c>
      <c r="BK1034" s="556">
        <f t="shared" si="116"/>
        <v>0</v>
      </c>
      <c r="BL1034" s="556" t="str">
        <f t="shared" si="117"/>
        <v/>
      </c>
      <c r="BM1034" s="497">
        <f t="shared" si="118"/>
        <v>0</v>
      </c>
    </row>
    <row r="1035" spans="59:65">
      <c r="BG1035" s="556" t="str">
        <f t="shared" si="112"/>
        <v>O</v>
      </c>
      <c r="BH1035" s="556" t="str">
        <f t="shared" si="113"/>
        <v/>
      </c>
      <c r="BI1035" s="556" t="str">
        <f t="shared" si="114"/>
        <v/>
      </c>
      <c r="BJ1035" s="556">
        <f t="shared" si="115"/>
        <v>0</v>
      </c>
      <c r="BK1035" s="556">
        <f t="shared" si="116"/>
        <v>0</v>
      </c>
      <c r="BL1035" s="556" t="str">
        <f t="shared" si="117"/>
        <v/>
      </c>
      <c r="BM1035" s="497">
        <f t="shared" si="118"/>
        <v>0</v>
      </c>
    </row>
    <row r="1036" spans="59:65">
      <c r="BG1036" s="556" t="str">
        <f t="shared" si="112"/>
        <v>O</v>
      </c>
      <c r="BH1036" s="556" t="str">
        <f t="shared" si="113"/>
        <v/>
      </c>
      <c r="BI1036" s="556" t="str">
        <f t="shared" si="114"/>
        <v/>
      </c>
      <c r="BJ1036" s="556">
        <f t="shared" si="115"/>
        <v>0</v>
      </c>
      <c r="BK1036" s="556">
        <f t="shared" si="116"/>
        <v>0</v>
      </c>
      <c r="BL1036" s="556" t="str">
        <f t="shared" si="117"/>
        <v/>
      </c>
      <c r="BM1036" s="497">
        <f t="shared" si="118"/>
        <v>0</v>
      </c>
    </row>
    <row r="1037" spans="59:65">
      <c r="BG1037" s="556" t="str">
        <f t="shared" si="112"/>
        <v>O</v>
      </c>
      <c r="BH1037" s="556" t="str">
        <f t="shared" si="113"/>
        <v/>
      </c>
      <c r="BI1037" s="556" t="str">
        <f t="shared" si="114"/>
        <v/>
      </c>
      <c r="BJ1037" s="556">
        <f t="shared" si="115"/>
        <v>0</v>
      </c>
      <c r="BK1037" s="556">
        <f t="shared" si="116"/>
        <v>0</v>
      </c>
      <c r="BL1037" s="556" t="str">
        <f t="shared" si="117"/>
        <v/>
      </c>
      <c r="BM1037" s="497">
        <f t="shared" si="118"/>
        <v>0</v>
      </c>
    </row>
    <row r="1038" spans="59:65">
      <c r="BG1038" s="556" t="str">
        <f t="shared" si="112"/>
        <v>O</v>
      </c>
      <c r="BH1038" s="556" t="str">
        <f t="shared" si="113"/>
        <v/>
      </c>
      <c r="BI1038" s="556" t="str">
        <f t="shared" si="114"/>
        <v/>
      </c>
      <c r="BJ1038" s="556">
        <f t="shared" si="115"/>
        <v>0</v>
      </c>
      <c r="BK1038" s="556">
        <f t="shared" si="116"/>
        <v>0</v>
      </c>
      <c r="BL1038" s="556" t="str">
        <f t="shared" si="117"/>
        <v/>
      </c>
      <c r="BM1038" s="497">
        <f t="shared" si="118"/>
        <v>0</v>
      </c>
    </row>
    <row r="1039" spans="59:65">
      <c r="BG1039" s="556" t="str">
        <f t="shared" si="112"/>
        <v>O</v>
      </c>
      <c r="BH1039" s="556" t="str">
        <f t="shared" si="113"/>
        <v/>
      </c>
      <c r="BI1039" s="556" t="str">
        <f t="shared" si="114"/>
        <v/>
      </c>
      <c r="BJ1039" s="556">
        <f t="shared" si="115"/>
        <v>0</v>
      </c>
      <c r="BK1039" s="556">
        <f t="shared" si="116"/>
        <v>0</v>
      </c>
      <c r="BL1039" s="556" t="str">
        <f t="shared" si="117"/>
        <v/>
      </c>
      <c r="BM1039" s="497">
        <f t="shared" si="118"/>
        <v>0</v>
      </c>
    </row>
    <row r="1040" spans="59:65">
      <c r="BG1040" s="556" t="str">
        <f t="shared" si="112"/>
        <v>O</v>
      </c>
      <c r="BH1040" s="556" t="str">
        <f t="shared" si="113"/>
        <v/>
      </c>
      <c r="BI1040" s="556" t="str">
        <f t="shared" si="114"/>
        <v/>
      </c>
      <c r="BJ1040" s="556">
        <f t="shared" si="115"/>
        <v>0</v>
      </c>
      <c r="BK1040" s="556">
        <f t="shared" si="116"/>
        <v>0</v>
      </c>
      <c r="BL1040" s="556" t="str">
        <f t="shared" si="117"/>
        <v/>
      </c>
      <c r="BM1040" s="497">
        <f t="shared" si="118"/>
        <v>0</v>
      </c>
    </row>
    <row r="1041" spans="59:65">
      <c r="BG1041" s="556" t="str">
        <f t="shared" si="112"/>
        <v>O</v>
      </c>
      <c r="BH1041" s="556" t="str">
        <f t="shared" si="113"/>
        <v/>
      </c>
      <c r="BI1041" s="556" t="str">
        <f t="shared" si="114"/>
        <v/>
      </c>
      <c r="BJ1041" s="556">
        <f t="shared" si="115"/>
        <v>0</v>
      </c>
      <c r="BK1041" s="556">
        <f t="shared" si="116"/>
        <v>0</v>
      </c>
      <c r="BL1041" s="556" t="str">
        <f t="shared" si="117"/>
        <v/>
      </c>
      <c r="BM1041" s="497">
        <f t="shared" si="118"/>
        <v>0</v>
      </c>
    </row>
    <row r="1042" spans="59:65">
      <c r="BG1042" s="556" t="str">
        <f t="shared" si="112"/>
        <v>O</v>
      </c>
      <c r="BH1042" s="556" t="str">
        <f t="shared" si="113"/>
        <v/>
      </c>
      <c r="BI1042" s="556" t="str">
        <f t="shared" si="114"/>
        <v/>
      </c>
      <c r="BJ1042" s="556">
        <f t="shared" si="115"/>
        <v>0</v>
      </c>
      <c r="BK1042" s="556">
        <f t="shared" si="116"/>
        <v>0</v>
      </c>
      <c r="BL1042" s="556" t="str">
        <f t="shared" si="117"/>
        <v/>
      </c>
      <c r="BM1042" s="497">
        <f t="shared" si="118"/>
        <v>0</v>
      </c>
    </row>
    <row r="1043" spans="59:65">
      <c r="BG1043" s="556" t="str">
        <f t="shared" si="112"/>
        <v>O</v>
      </c>
      <c r="BH1043" s="556" t="str">
        <f t="shared" si="113"/>
        <v/>
      </c>
      <c r="BI1043" s="556" t="str">
        <f t="shared" si="114"/>
        <v/>
      </c>
      <c r="BJ1043" s="556">
        <f t="shared" si="115"/>
        <v>0</v>
      </c>
      <c r="BK1043" s="556">
        <f t="shared" si="116"/>
        <v>0</v>
      </c>
      <c r="BL1043" s="556" t="str">
        <f t="shared" si="117"/>
        <v/>
      </c>
      <c r="BM1043" s="497">
        <f t="shared" si="118"/>
        <v>0</v>
      </c>
    </row>
    <row r="1044" spans="59:65">
      <c r="BG1044" s="556" t="str">
        <f t="shared" si="112"/>
        <v>O</v>
      </c>
      <c r="BH1044" s="556" t="str">
        <f t="shared" si="113"/>
        <v/>
      </c>
      <c r="BI1044" s="556" t="str">
        <f t="shared" si="114"/>
        <v/>
      </c>
      <c r="BJ1044" s="556">
        <f t="shared" si="115"/>
        <v>0</v>
      </c>
      <c r="BK1044" s="556">
        <f t="shared" si="116"/>
        <v>0</v>
      </c>
      <c r="BL1044" s="556" t="str">
        <f t="shared" si="117"/>
        <v/>
      </c>
      <c r="BM1044" s="497">
        <f t="shared" si="118"/>
        <v>0</v>
      </c>
    </row>
    <row r="1045" spans="59:65">
      <c r="BG1045" s="556" t="str">
        <f t="shared" si="112"/>
        <v>O</v>
      </c>
      <c r="BH1045" s="556" t="str">
        <f t="shared" si="113"/>
        <v/>
      </c>
      <c r="BI1045" s="556" t="str">
        <f t="shared" si="114"/>
        <v/>
      </c>
      <c r="BJ1045" s="556">
        <f t="shared" si="115"/>
        <v>0</v>
      </c>
      <c r="BK1045" s="556">
        <f t="shared" si="116"/>
        <v>0</v>
      </c>
      <c r="BL1045" s="556" t="str">
        <f t="shared" si="117"/>
        <v/>
      </c>
      <c r="BM1045" s="497">
        <f t="shared" si="118"/>
        <v>0</v>
      </c>
    </row>
    <row r="1046" spans="59:65">
      <c r="BG1046" s="556" t="str">
        <f t="shared" si="112"/>
        <v>O</v>
      </c>
      <c r="BH1046" s="556" t="str">
        <f t="shared" si="113"/>
        <v/>
      </c>
      <c r="BI1046" s="556" t="str">
        <f t="shared" si="114"/>
        <v/>
      </c>
      <c r="BJ1046" s="556">
        <f t="shared" si="115"/>
        <v>0</v>
      </c>
      <c r="BK1046" s="556">
        <f t="shared" si="116"/>
        <v>0</v>
      </c>
      <c r="BL1046" s="556" t="str">
        <f t="shared" si="117"/>
        <v/>
      </c>
      <c r="BM1046" s="497">
        <f t="shared" si="118"/>
        <v>0</v>
      </c>
    </row>
    <row r="1047" spans="59:65">
      <c r="BG1047" s="556" t="str">
        <f t="shared" si="112"/>
        <v>O</v>
      </c>
      <c r="BH1047" s="556" t="str">
        <f t="shared" si="113"/>
        <v/>
      </c>
      <c r="BI1047" s="556" t="str">
        <f t="shared" si="114"/>
        <v/>
      </c>
      <c r="BJ1047" s="556">
        <f t="shared" si="115"/>
        <v>0</v>
      </c>
      <c r="BK1047" s="556">
        <f t="shared" si="116"/>
        <v>0</v>
      </c>
      <c r="BL1047" s="556" t="str">
        <f t="shared" si="117"/>
        <v/>
      </c>
      <c r="BM1047" s="497">
        <f t="shared" si="118"/>
        <v>0</v>
      </c>
    </row>
    <row r="1048" spans="59:65">
      <c r="BG1048" s="556" t="str">
        <f t="shared" si="112"/>
        <v>O</v>
      </c>
      <c r="BH1048" s="556" t="str">
        <f t="shared" si="113"/>
        <v/>
      </c>
      <c r="BI1048" s="556" t="str">
        <f t="shared" si="114"/>
        <v/>
      </c>
      <c r="BJ1048" s="556">
        <f t="shared" si="115"/>
        <v>0</v>
      </c>
      <c r="BK1048" s="556">
        <f t="shared" si="116"/>
        <v>0</v>
      </c>
      <c r="BL1048" s="556" t="str">
        <f t="shared" si="117"/>
        <v/>
      </c>
      <c r="BM1048" s="497">
        <f t="shared" si="118"/>
        <v>0</v>
      </c>
    </row>
    <row r="1049" spans="59:65">
      <c r="BG1049" s="556" t="str">
        <f t="shared" si="112"/>
        <v>O</v>
      </c>
      <c r="BH1049" s="556" t="str">
        <f t="shared" si="113"/>
        <v/>
      </c>
      <c r="BI1049" s="556" t="str">
        <f t="shared" si="114"/>
        <v/>
      </c>
      <c r="BJ1049" s="556">
        <f t="shared" si="115"/>
        <v>0</v>
      </c>
      <c r="BK1049" s="556">
        <f t="shared" si="116"/>
        <v>0</v>
      </c>
      <c r="BL1049" s="556" t="str">
        <f t="shared" si="117"/>
        <v/>
      </c>
      <c r="BM1049" s="497">
        <f t="shared" si="118"/>
        <v>0</v>
      </c>
    </row>
    <row r="1050" spans="59:65">
      <c r="BG1050" s="556" t="str">
        <f t="shared" si="112"/>
        <v>O</v>
      </c>
      <c r="BH1050" s="556" t="str">
        <f t="shared" si="113"/>
        <v/>
      </c>
      <c r="BI1050" s="556" t="str">
        <f t="shared" si="114"/>
        <v/>
      </c>
      <c r="BJ1050" s="556">
        <f t="shared" si="115"/>
        <v>0</v>
      </c>
      <c r="BK1050" s="556">
        <f t="shared" si="116"/>
        <v>0</v>
      </c>
      <c r="BL1050" s="556" t="str">
        <f t="shared" si="117"/>
        <v/>
      </c>
      <c r="BM1050" s="497">
        <f t="shared" si="118"/>
        <v>0</v>
      </c>
    </row>
    <row r="1051" spans="59:65">
      <c r="BG1051" s="556" t="str">
        <f t="shared" si="112"/>
        <v>O</v>
      </c>
      <c r="BH1051" s="556" t="str">
        <f t="shared" si="113"/>
        <v/>
      </c>
      <c r="BI1051" s="556" t="str">
        <f t="shared" si="114"/>
        <v/>
      </c>
      <c r="BJ1051" s="556">
        <f t="shared" si="115"/>
        <v>0</v>
      </c>
      <c r="BK1051" s="556">
        <f t="shared" si="116"/>
        <v>0</v>
      </c>
      <c r="BL1051" s="556" t="str">
        <f t="shared" si="117"/>
        <v/>
      </c>
      <c r="BM1051" s="497">
        <f t="shared" si="118"/>
        <v>0</v>
      </c>
    </row>
    <row r="1052" spans="59:65">
      <c r="BG1052" s="556" t="str">
        <f t="shared" si="112"/>
        <v>O</v>
      </c>
      <c r="BH1052" s="556" t="str">
        <f t="shared" si="113"/>
        <v/>
      </c>
      <c r="BI1052" s="556" t="str">
        <f t="shared" si="114"/>
        <v/>
      </c>
      <c r="BJ1052" s="556">
        <f t="shared" si="115"/>
        <v>0</v>
      </c>
      <c r="BK1052" s="556">
        <f t="shared" si="116"/>
        <v>0</v>
      </c>
      <c r="BL1052" s="556" t="str">
        <f t="shared" si="117"/>
        <v/>
      </c>
      <c r="BM1052" s="497">
        <f t="shared" si="118"/>
        <v>0</v>
      </c>
    </row>
    <row r="1053" spans="59:65">
      <c r="BG1053" s="556" t="str">
        <f t="shared" si="112"/>
        <v>O</v>
      </c>
      <c r="BH1053" s="556" t="str">
        <f t="shared" si="113"/>
        <v/>
      </c>
      <c r="BI1053" s="556" t="str">
        <f t="shared" si="114"/>
        <v/>
      </c>
      <c r="BJ1053" s="556">
        <f t="shared" si="115"/>
        <v>0</v>
      </c>
      <c r="BK1053" s="556">
        <f t="shared" si="116"/>
        <v>0</v>
      </c>
      <c r="BL1053" s="556" t="str">
        <f t="shared" si="117"/>
        <v/>
      </c>
      <c r="BM1053" s="497">
        <f t="shared" si="118"/>
        <v>0</v>
      </c>
    </row>
    <row r="1054" spans="59:65">
      <c r="BG1054" s="556" t="str">
        <f t="shared" si="112"/>
        <v>O</v>
      </c>
      <c r="BH1054" s="556" t="str">
        <f t="shared" si="113"/>
        <v/>
      </c>
      <c r="BI1054" s="556" t="str">
        <f t="shared" si="114"/>
        <v/>
      </c>
      <c r="BJ1054" s="556">
        <f t="shared" si="115"/>
        <v>0</v>
      </c>
      <c r="BK1054" s="556">
        <f t="shared" si="116"/>
        <v>0</v>
      </c>
      <c r="BL1054" s="556" t="str">
        <f t="shared" si="117"/>
        <v/>
      </c>
      <c r="BM1054" s="497">
        <f t="shared" si="118"/>
        <v>0</v>
      </c>
    </row>
    <row r="1055" spans="59:65">
      <c r="BG1055" s="556" t="str">
        <f t="shared" si="112"/>
        <v>O</v>
      </c>
      <c r="BH1055" s="556" t="str">
        <f t="shared" si="113"/>
        <v/>
      </c>
      <c r="BI1055" s="556" t="str">
        <f t="shared" si="114"/>
        <v/>
      </c>
      <c r="BJ1055" s="556">
        <f t="shared" si="115"/>
        <v>0</v>
      </c>
      <c r="BK1055" s="556">
        <f t="shared" si="116"/>
        <v>0</v>
      </c>
      <c r="BL1055" s="556" t="str">
        <f t="shared" si="117"/>
        <v/>
      </c>
      <c r="BM1055" s="497">
        <f t="shared" si="118"/>
        <v>0</v>
      </c>
    </row>
    <row r="1056" spans="59:65">
      <c r="BG1056" s="556" t="str">
        <f t="shared" si="112"/>
        <v>O</v>
      </c>
      <c r="BH1056" s="556" t="str">
        <f t="shared" si="113"/>
        <v/>
      </c>
      <c r="BI1056" s="556" t="str">
        <f t="shared" si="114"/>
        <v/>
      </c>
      <c r="BJ1056" s="556">
        <f t="shared" si="115"/>
        <v>0</v>
      </c>
      <c r="BK1056" s="556">
        <f t="shared" si="116"/>
        <v>0</v>
      </c>
      <c r="BL1056" s="556" t="str">
        <f t="shared" si="117"/>
        <v/>
      </c>
      <c r="BM1056" s="497">
        <f t="shared" si="118"/>
        <v>0</v>
      </c>
    </row>
    <row r="1057" spans="59:65">
      <c r="BG1057" s="556" t="str">
        <f t="shared" si="112"/>
        <v>O</v>
      </c>
      <c r="BH1057" s="556" t="str">
        <f t="shared" si="113"/>
        <v/>
      </c>
      <c r="BI1057" s="556" t="str">
        <f t="shared" si="114"/>
        <v/>
      </c>
      <c r="BJ1057" s="556">
        <f t="shared" si="115"/>
        <v>0</v>
      </c>
      <c r="BK1057" s="556">
        <f t="shared" si="116"/>
        <v>0</v>
      </c>
      <c r="BL1057" s="556" t="str">
        <f t="shared" si="117"/>
        <v/>
      </c>
      <c r="BM1057" s="497">
        <f t="shared" si="118"/>
        <v>0</v>
      </c>
    </row>
    <row r="1058" spans="59:65">
      <c r="BG1058" s="556" t="str">
        <f t="shared" si="112"/>
        <v>O</v>
      </c>
      <c r="BH1058" s="556" t="str">
        <f t="shared" si="113"/>
        <v/>
      </c>
      <c r="BI1058" s="556" t="str">
        <f t="shared" si="114"/>
        <v/>
      </c>
      <c r="BJ1058" s="556">
        <f t="shared" si="115"/>
        <v>0</v>
      </c>
      <c r="BK1058" s="556">
        <f t="shared" si="116"/>
        <v>0</v>
      </c>
      <c r="BL1058" s="556" t="str">
        <f t="shared" si="117"/>
        <v/>
      </c>
      <c r="BM1058" s="497">
        <f t="shared" si="118"/>
        <v>0</v>
      </c>
    </row>
    <row r="1059" spans="59:65">
      <c r="BG1059" s="556" t="str">
        <f t="shared" si="112"/>
        <v>O</v>
      </c>
      <c r="BH1059" s="556" t="str">
        <f t="shared" si="113"/>
        <v/>
      </c>
      <c r="BI1059" s="556" t="str">
        <f t="shared" si="114"/>
        <v/>
      </c>
      <c r="BJ1059" s="556">
        <f t="shared" si="115"/>
        <v>0</v>
      </c>
      <c r="BK1059" s="556">
        <f t="shared" si="116"/>
        <v>0</v>
      </c>
      <c r="BL1059" s="556" t="str">
        <f t="shared" si="117"/>
        <v/>
      </c>
      <c r="BM1059" s="497">
        <f t="shared" si="118"/>
        <v>0</v>
      </c>
    </row>
    <row r="1060" spans="59:65">
      <c r="BG1060" s="556" t="str">
        <f t="shared" si="112"/>
        <v>O</v>
      </c>
      <c r="BH1060" s="556" t="str">
        <f t="shared" si="113"/>
        <v/>
      </c>
      <c r="BI1060" s="556" t="str">
        <f t="shared" si="114"/>
        <v/>
      </c>
      <c r="BJ1060" s="556">
        <f t="shared" si="115"/>
        <v>0</v>
      </c>
      <c r="BK1060" s="556">
        <f t="shared" si="116"/>
        <v>0</v>
      </c>
      <c r="BL1060" s="556" t="str">
        <f t="shared" si="117"/>
        <v/>
      </c>
      <c r="BM1060" s="497">
        <f t="shared" si="118"/>
        <v>0</v>
      </c>
    </row>
    <row r="1061" spans="59:65">
      <c r="BG1061" s="556" t="str">
        <f t="shared" si="112"/>
        <v>O</v>
      </c>
      <c r="BH1061" s="556" t="str">
        <f t="shared" si="113"/>
        <v/>
      </c>
      <c r="BI1061" s="556" t="str">
        <f t="shared" si="114"/>
        <v/>
      </c>
      <c r="BJ1061" s="556">
        <f t="shared" si="115"/>
        <v>0</v>
      </c>
      <c r="BK1061" s="556">
        <f t="shared" si="116"/>
        <v>0</v>
      </c>
      <c r="BL1061" s="556" t="str">
        <f t="shared" si="117"/>
        <v/>
      </c>
      <c r="BM1061" s="497">
        <f t="shared" si="118"/>
        <v>0</v>
      </c>
    </row>
    <row r="1062" spans="59:65">
      <c r="BG1062" s="556" t="str">
        <f t="shared" si="112"/>
        <v>O</v>
      </c>
      <c r="BH1062" s="556" t="str">
        <f t="shared" si="113"/>
        <v/>
      </c>
      <c r="BI1062" s="556" t="str">
        <f t="shared" si="114"/>
        <v/>
      </c>
      <c r="BJ1062" s="556">
        <f t="shared" si="115"/>
        <v>0</v>
      </c>
      <c r="BK1062" s="556">
        <f t="shared" si="116"/>
        <v>0</v>
      </c>
      <c r="BL1062" s="556" t="str">
        <f t="shared" si="117"/>
        <v/>
      </c>
      <c r="BM1062" s="497">
        <f t="shared" si="118"/>
        <v>0</v>
      </c>
    </row>
    <row r="1063" spans="59:65">
      <c r="BG1063" s="556" t="str">
        <f t="shared" si="112"/>
        <v>O</v>
      </c>
      <c r="BH1063" s="556" t="str">
        <f t="shared" si="113"/>
        <v/>
      </c>
      <c r="BI1063" s="556" t="str">
        <f t="shared" si="114"/>
        <v/>
      </c>
      <c r="BJ1063" s="556">
        <f t="shared" si="115"/>
        <v>0</v>
      </c>
      <c r="BK1063" s="556">
        <f t="shared" si="116"/>
        <v>0</v>
      </c>
      <c r="BL1063" s="556" t="str">
        <f t="shared" si="117"/>
        <v/>
      </c>
      <c r="BM1063" s="497">
        <f t="shared" si="118"/>
        <v>0</v>
      </c>
    </row>
    <row r="1064" spans="59:65">
      <c r="BG1064" s="556" t="str">
        <f t="shared" si="112"/>
        <v>O</v>
      </c>
      <c r="BH1064" s="556" t="str">
        <f t="shared" si="113"/>
        <v/>
      </c>
      <c r="BI1064" s="556" t="str">
        <f t="shared" si="114"/>
        <v/>
      </c>
      <c r="BJ1064" s="556">
        <f t="shared" si="115"/>
        <v>0</v>
      </c>
      <c r="BK1064" s="556">
        <f t="shared" si="116"/>
        <v>0</v>
      </c>
      <c r="BL1064" s="556" t="str">
        <f t="shared" si="117"/>
        <v/>
      </c>
      <c r="BM1064" s="497">
        <f t="shared" si="118"/>
        <v>0</v>
      </c>
    </row>
    <row r="1065" spans="59:65">
      <c r="BG1065" s="556" t="str">
        <f t="shared" si="112"/>
        <v>O</v>
      </c>
      <c r="BH1065" s="556" t="str">
        <f t="shared" si="113"/>
        <v/>
      </c>
      <c r="BI1065" s="556" t="str">
        <f t="shared" si="114"/>
        <v/>
      </c>
      <c r="BJ1065" s="556">
        <f t="shared" si="115"/>
        <v>0</v>
      </c>
      <c r="BK1065" s="556">
        <f t="shared" si="116"/>
        <v>0</v>
      </c>
      <c r="BL1065" s="556" t="str">
        <f t="shared" si="117"/>
        <v/>
      </c>
      <c r="BM1065" s="497">
        <f t="shared" si="118"/>
        <v>0</v>
      </c>
    </row>
    <row r="1066" spans="59:65">
      <c r="BG1066" s="556" t="str">
        <f t="shared" si="112"/>
        <v>O</v>
      </c>
      <c r="BH1066" s="556" t="str">
        <f t="shared" si="113"/>
        <v/>
      </c>
      <c r="BI1066" s="556" t="str">
        <f t="shared" si="114"/>
        <v/>
      </c>
      <c r="BJ1066" s="556">
        <f t="shared" si="115"/>
        <v>0</v>
      </c>
      <c r="BK1066" s="556">
        <f t="shared" si="116"/>
        <v>0</v>
      </c>
      <c r="BL1066" s="556" t="str">
        <f t="shared" si="117"/>
        <v/>
      </c>
      <c r="BM1066" s="497">
        <f t="shared" si="118"/>
        <v>0</v>
      </c>
    </row>
    <row r="1067" spans="59:65">
      <c r="BG1067" s="556" t="str">
        <f t="shared" si="112"/>
        <v>O</v>
      </c>
      <c r="BH1067" s="556" t="str">
        <f t="shared" si="113"/>
        <v/>
      </c>
      <c r="BI1067" s="556" t="str">
        <f t="shared" si="114"/>
        <v/>
      </c>
      <c r="BJ1067" s="556">
        <f t="shared" si="115"/>
        <v>0</v>
      </c>
      <c r="BK1067" s="556">
        <f t="shared" si="116"/>
        <v>0</v>
      </c>
      <c r="BL1067" s="556" t="str">
        <f t="shared" si="117"/>
        <v/>
      </c>
      <c r="BM1067" s="497">
        <f t="shared" si="118"/>
        <v>0</v>
      </c>
    </row>
    <row r="1068" spans="59:65">
      <c r="BG1068" s="556" t="str">
        <f t="shared" si="112"/>
        <v>O</v>
      </c>
      <c r="BH1068" s="556" t="str">
        <f t="shared" si="113"/>
        <v/>
      </c>
      <c r="BI1068" s="556" t="str">
        <f t="shared" si="114"/>
        <v/>
      </c>
      <c r="BJ1068" s="556">
        <f t="shared" si="115"/>
        <v>0</v>
      </c>
      <c r="BK1068" s="556">
        <f t="shared" si="116"/>
        <v>0</v>
      </c>
      <c r="BL1068" s="556" t="str">
        <f t="shared" si="117"/>
        <v/>
      </c>
      <c r="BM1068" s="497">
        <f t="shared" si="118"/>
        <v>0</v>
      </c>
    </row>
    <row r="1069" spans="59:65">
      <c r="BG1069" s="556" t="str">
        <f t="shared" si="112"/>
        <v>O</v>
      </c>
      <c r="BH1069" s="556" t="str">
        <f t="shared" si="113"/>
        <v/>
      </c>
      <c r="BI1069" s="556" t="str">
        <f t="shared" si="114"/>
        <v/>
      </c>
      <c r="BJ1069" s="556">
        <f t="shared" si="115"/>
        <v>0</v>
      </c>
      <c r="BK1069" s="556">
        <f t="shared" si="116"/>
        <v>0</v>
      </c>
      <c r="BL1069" s="556" t="str">
        <f t="shared" si="117"/>
        <v/>
      </c>
      <c r="BM1069" s="497">
        <f t="shared" si="118"/>
        <v>0</v>
      </c>
    </row>
    <row r="1070" spans="59:65">
      <c r="BG1070" s="556" t="str">
        <f t="shared" si="112"/>
        <v>O</v>
      </c>
      <c r="BH1070" s="556" t="str">
        <f t="shared" si="113"/>
        <v/>
      </c>
      <c r="BI1070" s="556" t="str">
        <f t="shared" si="114"/>
        <v/>
      </c>
      <c r="BJ1070" s="556">
        <f t="shared" si="115"/>
        <v>0</v>
      </c>
      <c r="BK1070" s="556">
        <f t="shared" si="116"/>
        <v>0</v>
      </c>
      <c r="BL1070" s="556" t="str">
        <f t="shared" si="117"/>
        <v/>
      </c>
      <c r="BM1070" s="497">
        <f t="shared" si="118"/>
        <v>0</v>
      </c>
    </row>
    <row r="1071" spans="59:65">
      <c r="BG1071" s="556" t="str">
        <f t="shared" si="112"/>
        <v>O</v>
      </c>
      <c r="BH1071" s="556" t="str">
        <f t="shared" si="113"/>
        <v/>
      </c>
      <c r="BI1071" s="556" t="str">
        <f t="shared" si="114"/>
        <v/>
      </c>
      <c r="BJ1071" s="556">
        <f t="shared" si="115"/>
        <v>0</v>
      </c>
      <c r="BK1071" s="556">
        <f t="shared" si="116"/>
        <v>0</v>
      </c>
      <c r="BL1071" s="556" t="str">
        <f t="shared" si="117"/>
        <v/>
      </c>
      <c r="BM1071" s="497">
        <f t="shared" si="118"/>
        <v>0</v>
      </c>
    </row>
    <row r="1072" spans="59:65">
      <c r="BG1072" s="556" t="str">
        <f t="shared" si="112"/>
        <v>O</v>
      </c>
      <c r="BH1072" s="556" t="str">
        <f t="shared" si="113"/>
        <v/>
      </c>
      <c r="BI1072" s="556" t="str">
        <f t="shared" si="114"/>
        <v/>
      </c>
      <c r="BJ1072" s="556">
        <f t="shared" si="115"/>
        <v>0</v>
      </c>
      <c r="BK1072" s="556">
        <f t="shared" si="116"/>
        <v>0</v>
      </c>
      <c r="BL1072" s="556" t="str">
        <f t="shared" si="117"/>
        <v/>
      </c>
      <c r="BM1072" s="497">
        <f t="shared" si="118"/>
        <v>0</v>
      </c>
    </row>
    <row r="1073" spans="59:65">
      <c r="BG1073" s="556" t="str">
        <f t="shared" si="112"/>
        <v>O</v>
      </c>
      <c r="BH1073" s="556" t="str">
        <f t="shared" si="113"/>
        <v/>
      </c>
      <c r="BI1073" s="556" t="str">
        <f t="shared" si="114"/>
        <v/>
      </c>
      <c r="BJ1073" s="556">
        <f t="shared" si="115"/>
        <v>0</v>
      </c>
      <c r="BK1073" s="556">
        <f t="shared" si="116"/>
        <v>0</v>
      </c>
      <c r="BL1073" s="556" t="str">
        <f t="shared" si="117"/>
        <v/>
      </c>
      <c r="BM1073" s="497">
        <f t="shared" si="118"/>
        <v>0</v>
      </c>
    </row>
    <row r="1074" spans="59:65">
      <c r="BG1074" s="556" t="str">
        <f t="shared" si="112"/>
        <v>O</v>
      </c>
      <c r="BH1074" s="556" t="str">
        <f t="shared" si="113"/>
        <v/>
      </c>
      <c r="BI1074" s="556" t="str">
        <f t="shared" si="114"/>
        <v/>
      </c>
      <c r="BJ1074" s="556">
        <f t="shared" si="115"/>
        <v>0</v>
      </c>
      <c r="BK1074" s="556">
        <f t="shared" si="116"/>
        <v>0</v>
      </c>
      <c r="BL1074" s="556" t="str">
        <f t="shared" si="117"/>
        <v/>
      </c>
      <c r="BM1074" s="497">
        <f t="shared" si="118"/>
        <v>0</v>
      </c>
    </row>
    <row r="1075" spans="59:65">
      <c r="BG1075" s="556" t="str">
        <f t="shared" si="112"/>
        <v>O</v>
      </c>
      <c r="BH1075" s="556" t="str">
        <f t="shared" si="113"/>
        <v/>
      </c>
      <c r="BI1075" s="556" t="str">
        <f t="shared" si="114"/>
        <v/>
      </c>
      <c r="BJ1075" s="556">
        <f t="shared" si="115"/>
        <v>0</v>
      </c>
      <c r="BK1075" s="556">
        <f t="shared" si="116"/>
        <v>0</v>
      </c>
      <c r="BL1075" s="556" t="str">
        <f t="shared" si="117"/>
        <v/>
      </c>
      <c r="BM1075" s="497">
        <f t="shared" si="118"/>
        <v>0</v>
      </c>
    </row>
    <row r="1076" spans="59:65">
      <c r="BG1076" s="556" t="str">
        <f t="shared" si="112"/>
        <v>O</v>
      </c>
      <c r="BH1076" s="556" t="str">
        <f t="shared" si="113"/>
        <v/>
      </c>
      <c r="BI1076" s="556" t="str">
        <f t="shared" si="114"/>
        <v/>
      </c>
      <c r="BJ1076" s="556">
        <f t="shared" si="115"/>
        <v>0</v>
      </c>
      <c r="BK1076" s="556">
        <f t="shared" si="116"/>
        <v>0</v>
      </c>
      <c r="BL1076" s="556" t="str">
        <f t="shared" si="117"/>
        <v/>
      </c>
      <c r="BM1076" s="497">
        <f t="shared" si="118"/>
        <v>0</v>
      </c>
    </row>
    <row r="1077" spans="59:65">
      <c r="BG1077" s="556" t="str">
        <f t="shared" si="112"/>
        <v>O</v>
      </c>
      <c r="BH1077" s="556" t="str">
        <f t="shared" si="113"/>
        <v/>
      </c>
      <c r="BI1077" s="556" t="str">
        <f t="shared" si="114"/>
        <v/>
      </c>
      <c r="BJ1077" s="556">
        <f t="shared" si="115"/>
        <v>0</v>
      </c>
      <c r="BK1077" s="556">
        <f t="shared" si="116"/>
        <v>0</v>
      </c>
      <c r="BL1077" s="556" t="str">
        <f t="shared" si="117"/>
        <v/>
      </c>
      <c r="BM1077" s="497">
        <f t="shared" si="118"/>
        <v>0</v>
      </c>
    </row>
    <row r="1078" spans="59:65">
      <c r="BG1078" s="556" t="str">
        <f t="shared" si="112"/>
        <v>O</v>
      </c>
      <c r="BH1078" s="556" t="str">
        <f t="shared" si="113"/>
        <v/>
      </c>
      <c r="BI1078" s="556" t="str">
        <f t="shared" si="114"/>
        <v/>
      </c>
      <c r="BJ1078" s="556">
        <f t="shared" si="115"/>
        <v>0</v>
      </c>
      <c r="BK1078" s="556">
        <f t="shared" si="116"/>
        <v>0</v>
      </c>
      <c r="BL1078" s="556" t="str">
        <f t="shared" si="117"/>
        <v/>
      </c>
      <c r="BM1078" s="497">
        <f t="shared" si="118"/>
        <v>0</v>
      </c>
    </row>
    <row r="1079" spans="59:65">
      <c r="BG1079" s="556" t="str">
        <f t="shared" si="112"/>
        <v>O</v>
      </c>
      <c r="BH1079" s="556" t="str">
        <f t="shared" si="113"/>
        <v/>
      </c>
      <c r="BI1079" s="556" t="str">
        <f t="shared" si="114"/>
        <v/>
      </c>
      <c r="BJ1079" s="556">
        <f t="shared" si="115"/>
        <v>0</v>
      </c>
      <c r="BK1079" s="556">
        <f t="shared" si="116"/>
        <v>0</v>
      </c>
      <c r="BL1079" s="556" t="str">
        <f t="shared" si="117"/>
        <v/>
      </c>
      <c r="BM1079" s="497">
        <f t="shared" si="118"/>
        <v>0</v>
      </c>
    </row>
    <row r="1080" spans="59:65">
      <c r="BG1080" s="556" t="str">
        <f t="shared" si="112"/>
        <v>O</v>
      </c>
      <c r="BH1080" s="556" t="str">
        <f t="shared" si="113"/>
        <v/>
      </c>
      <c r="BI1080" s="556" t="str">
        <f t="shared" si="114"/>
        <v/>
      </c>
      <c r="BJ1080" s="556">
        <f t="shared" si="115"/>
        <v>0</v>
      </c>
      <c r="BK1080" s="556">
        <f t="shared" si="116"/>
        <v>0</v>
      </c>
      <c r="BL1080" s="556" t="str">
        <f t="shared" si="117"/>
        <v/>
      </c>
      <c r="BM1080" s="497">
        <f t="shared" si="118"/>
        <v>0</v>
      </c>
    </row>
    <row r="1081" spans="59:65">
      <c r="BG1081" s="556" t="str">
        <f t="shared" si="112"/>
        <v>O</v>
      </c>
      <c r="BH1081" s="556" t="str">
        <f t="shared" si="113"/>
        <v/>
      </c>
      <c r="BI1081" s="556" t="str">
        <f t="shared" si="114"/>
        <v/>
      </c>
      <c r="BJ1081" s="556">
        <f t="shared" si="115"/>
        <v>0</v>
      </c>
      <c r="BK1081" s="556">
        <f t="shared" si="116"/>
        <v>0</v>
      </c>
      <c r="BL1081" s="556" t="str">
        <f t="shared" si="117"/>
        <v/>
      </c>
      <c r="BM1081" s="497">
        <f t="shared" si="118"/>
        <v>0</v>
      </c>
    </row>
    <row r="1082" spans="59:65">
      <c r="BG1082" s="556" t="str">
        <f t="shared" si="112"/>
        <v>O</v>
      </c>
      <c r="BH1082" s="556" t="str">
        <f t="shared" si="113"/>
        <v/>
      </c>
      <c r="BI1082" s="556" t="str">
        <f t="shared" si="114"/>
        <v/>
      </c>
      <c r="BJ1082" s="556">
        <f t="shared" si="115"/>
        <v>0</v>
      </c>
      <c r="BK1082" s="556">
        <f t="shared" si="116"/>
        <v>0</v>
      </c>
      <c r="BL1082" s="556" t="str">
        <f t="shared" si="117"/>
        <v/>
      </c>
      <c r="BM1082" s="497">
        <f t="shared" si="118"/>
        <v>0</v>
      </c>
    </row>
    <row r="1083" spans="59:65">
      <c r="BG1083" s="556" t="str">
        <f t="shared" si="112"/>
        <v>O</v>
      </c>
      <c r="BH1083" s="556" t="str">
        <f t="shared" si="113"/>
        <v/>
      </c>
      <c r="BI1083" s="556" t="str">
        <f t="shared" si="114"/>
        <v/>
      </c>
      <c r="BJ1083" s="556">
        <f t="shared" si="115"/>
        <v>0</v>
      </c>
      <c r="BK1083" s="556">
        <f t="shared" si="116"/>
        <v>0</v>
      </c>
      <c r="BL1083" s="556" t="str">
        <f t="shared" si="117"/>
        <v/>
      </c>
      <c r="BM1083" s="497">
        <f t="shared" si="118"/>
        <v>0</v>
      </c>
    </row>
    <row r="1084" spans="59:65">
      <c r="BG1084" s="556" t="str">
        <f t="shared" si="112"/>
        <v>O</v>
      </c>
      <c r="BH1084" s="556" t="str">
        <f t="shared" si="113"/>
        <v/>
      </c>
      <c r="BI1084" s="556" t="str">
        <f t="shared" si="114"/>
        <v/>
      </c>
      <c r="BJ1084" s="556">
        <f t="shared" si="115"/>
        <v>0</v>
      </c>
      <c r="BK1084" s="556">
        <f t="shared" si="116"/>
        <v>0</v>
      </c>
      <c r="BL1084" s="556" t="str">
        <f t="shared" si="117"/>
        <v/>
      </c>
      <c r="BM1084" s="497">
        <f t="shared" si="118"/>
        <v>0</v>
      </c>
    </row>
    <row r="1085" spans="59:65">
      <c r="BG1085" s="556" t="str">
        <f t="shared" si="112"/>
        <v>O</v>
      </c>
      <c r="BH1085" s="556" t="str">
        <f t="shared" si="113"/>
        <v/>
      </c>
      <c r="BI1085" s="556" t="str">
        <f t="shared" si="114"/>
        <v/>
      </c>
      <c r="BJ1085" s="556">
        <f t="shared" si="115"/>
        <v>0</v>
      </c>
      <c r="BK1085" s="556">
        <f t="shared" si="116"/>
        <v>0</v>
      </c>
      <c r="BL1085" s="556" t="str">
        <f t="shared" si="117"/>
        <v/>
      </c>
      <c r="BM1085" s="497">
        <f t="shared" si="118"/>
        <v>0</v>
      </c>
    </row>
    <row r="1086" spans="59:65">
      <c r="BG1086" s="556" t="str">
        <f t="shared" si="112"/>
        <v>O</v>
      </c>
      <c r="BH1086" s="556" t="str">
        <f t="shared" si="113"/>
        <v/>
      </c>
      <c r="BI1086" s="556" t="str">
        <f t="shared" si="114"/>
        <v/>
      </c>
      <c r="BJ1086" s="556">
        <f t="shared" si="115"/>
        <v>0</v>
      </c>
      <c r="BK1086" s="556">
        <f t="shared" si="116"/>
        <v>0</v>
      </c>
      <c r="BL1086" s="556" t="str">
        <f t="shared" si="117"/>
        <v/>
      </c>
      <c r="BM1086" s="497">
        <f t="shared" si="118"/>
        <v>0</v>
      </c>
    </row>
    <row r="1087" spans="59:65">
      <c r="BG1087" s="556" t="str">
        <f t="shared" si="112"/>
        <v>O</v>
      </c>
      <c r="BH1087" s="556" t="str">
        <f t="shared" si="113"/>
        <v/>
      </c>
      <c r="BI1087" s="556" t="str">
        <f t="shared" si="114"/>
        <v/>
      </c>
      <c r="BJ1087" s="556">
        <f t="shared" si="115"/>
        <v>0</v>
      </c>
      <c r="BK1087" s="556">
        <f t="shared" si="116"/>
        <v>0</v>
      </c>
      <c r="BL1087" s="556" t="str">
        <f t="shared" si="117"/>
        <v/>
      </c>
      <c r="BM1087" s="497">
        <f t="shared" si="118"/>
        <v>0</v>
      </c>
    </row>
    <row r="1088" spans="59:65">
      <c r="BG1088" s="556" t="str">
        <f t="shared" si="112"/>
        <v>O</v>
      </c>
      <c r="BH1088" s="556" t="str">
        <f t="shared" si="113"/>
        <v/>
      </c>
      <c r="BI1088" s="556" t="str">
        <f t="shared" si="114"/>
        <v/>
      </c>
      <c r="BJ1088" s="556">
        <f t="shared" si="115"/>
        <v>0</v>
      </c>
      <c r="BK1088" s="556">
        <f t="shared" si="116"/>
        <v>0</v>
      </c>
      <c r="BL1088" s="556" t="str">
        <f t="shared" si="117"/>
        <v/>
      </c>
      <c r="BM1088" s="497">
        <f t="shared" si="118"/>
        <v>0</v>
      </c>
    </row>
    <row r="1089" spans="59:65">
      <c r="BG1089" s="556" t="str">
        <f t="shared" si="112"/>
        <v>O</v>
      </c>
      <c r="BH1089" s="556" t="str">
        <f t="shared" si="113"/>
        <v/>
      </c>
      <c r="BI1089" s="556" t="str">
        <f t="shared" si="114"/>
        <v/>
      </c>
      <c r="BJ1089" s="556">
        <f t="shared" si="115"/>
        <v>0</v>
      </c>
      <c r="BK1089" s="556">
        <f t="shared" si="116"/>
        <v>0</v>
      </c>
      <c r="BL1089" s="556" t="str">
        <f t="shared" si="117"/>
        <v/>
      </c>
      <c r="BM1089" s="497">
        <f t="shared" si="118"/>
        <v>0</v>
      </c>
    </row>
    <row r="1090" spans="59:65">
      <c r="BG1090" s="556" t="str">
        <f t="shared" si="112"/>
        <v>O</v>
      </c>
      <c r="BH1090" s="556" t="str">
        <f t="shared" si="113"/>
        <v/>
      </c>
      <c r="BI1090" s="556" t="str">
        <f t="shared" si="114"/>
        <v/>
      </c>
      <c r="BJ1090" s="556">
        <f t="shared" si="115"/>
        <v>0</v>
      </c>
      <c r="BK1090" s="556">
        <f t="shared" si="116"/>
        <v>0</v>
      </c>
      <c r="BL1090" s="556" t="str">
        <f t="shared" si="117"/>
        <v/>
      </c>
      <c r="BM1090" s="497">
        <f t="shared" si="118"/>
        <v>0</v>
      </c>
    </row>
    <row r="1091" spans="59:65">
      <c r="BG1091" s="556" t="str">
        <f t="shared" ref="BG1091:BG1154" si="119">IF(LEFT(AY1091,2)="98","X","O")</f>
        <v>O</v>
      </c>
      <c r="BH1091" s="556" t="str">
        <f t="shared" ref="BH1091:BH1154" si="120">IF(IFERROR(SEARCH("45",$AY1091,1),0)&gt;0,"Y","")</f>
        <v/>
      </c>
      <c r="BI1091" s="556" t="str">
        <f t="shared" ref="BI1091:BI1154" si="121">IF(IFERROR(SEARCH("86",$AY1091,1),0)&gt;0,"Y","")</f>
        <v/>
      </c>
      <c r="BJ1091" s="556">
        <f t="shared" ref="BJ1091:BJ1154" si="122">IF(L1091="",K1091,IF(M1091="",K1091&amp;","&amp;L1091,IF(N1091="",K1091&amp;","&amp;L1091&amp;","&amp;M1091,K1091&amp;","&amp;L1091&amp;","&amp;M1091&amp;","&amp;N1091)))</f>
        <v>0</v>
      </c>
      <c r="BK1091" s="556">
        <f t="shared" ref="BK1091:BK1154" si="123">IF(P1091="",O1091,IF(Q1091="",O1091&amp;","&amp;P1091,IF(R1091="",O1091&amp;","&amp;P1091&amp;","&amp;Q1091,IO1091&amp;","&amp;P1091&amp;","&amp;Q1091&amp;","&amp;R1091)))</f>
        <v>0</v>
      </c>
      <c r="BL1091" s="556" t="str">
        <f t="shared" ref="BL1091:BL1154" si="124">IF(S1091=0,"",S1091)</f>
        <v/>
      </c>
      <c r="BM1091" s="497">
        <f t="shared" ref="BM1091:BM1154" si="125">A1091</f>
        <v>0</v>
      </c>
    </row>
    <row r="1092" spans="59:65">
      <c r="BG1092" s="556" t="str">
        <f t="shared" si="119"/>
        <v>O</v>
      </c>
      <c r="BH1092" s="556" t="str">
        <f t="shared" si="120"/>
        <v/>
      </c>
      <c r="BI1092" s="556" t="str">
        <f t="shared" si="121"/>
        <v/>
      </c>
      <c r="BJ1092" s="556">
        <f t="shared" si="122"/>
        <v>0</v>
      </c>
      <c r="BK1092" s="556">
        <f t="shared" si="123"/>
        <v>0</v>
      </c>
      <c r="BL1092" s="556" t="str">
        <f t="shared" si="124"/>
        <v/>
      </c>
      <c r="BM1092" s="497">
        <f t="shared" si="125"/>
        <v>0</v>
      </c>
    </row>
    <row r="1093" spans="59:65">
      <c r="BG1093" s="556" t="str">
        <f t="shared" si="119"/>
        <v>O</v>
      </c>
      <c r="BH1093" s="556" t="str">
        <f t="shared" si="120"/>
        <v/>
      </c>
      <c r="BI1093" s="556" t="str">
        <f t="shared" si="121"/>
        <v/>
      </c>
      <c r="BJ1093" s="556">
        <f t="shared" si="122"/>
        <v>0</v>
      </c>
      <c r="BK1093" s="556">
        <f t="shared" si="123"/>
        <v>0</v>
      </c>
      <c r="BL1093" s="556" t="str">
        <f t="shared" si="124"/>
        <v/>
      </c>
      <c r="BM1093" s="497">
        <f t="shared" si="125"/>
        <v>0</v>
      </c>
    </row>
    <row r="1094" spans="59:65">
      <c r="BG1094" s="556" t="str">
        <f t="shared" si="119"/>
        <v>O</v>
      </c>
      <c r="BH1094" s="556" t="str">
        <f t="shared" si="120"/>
        <v/>
      </c>
      <c r="BI1094" s="556" t="str">
        <f t="shared" si="121"/>
        <v/>
      </c>
      <c r="BJ1094" s="556">
        <f t="shared" si="122"/>
        <v>0</v>
      </c>
      <c r="BK1094" s="556">
        <f t="shared" si="123"/>
        <v>0</v>
      </c>
      <c r="BL1094" s="556" t="str">
        <f t="shared" si="124"/>
        <v/>
      </c>
      <c r="BM1094" s="497">
        <f t="shared" si="125"/>
        <v>0</v>
      </c>
    </row>
    <row r="1095" spans="59:65">
      <c r="BG1095" s="556" t="str">
        <f t="shared" si="119"/>
        <v>O</v>
      </c>
      <c r="BH1095" s="556" t="str">
        <f t="shared" si="120"/>
        <v/>
      </c>
      <c r="BI1095" s="556" t="str">
        <f t="shared" si="121"/>
        <v/>
      </c>
      <c r="BJ1095" s="556">
        <f t="shared" si="122"/>
        <v>0</v>
      </c>
      <c r="BK1095" s="556">
        <f t="shared" si="123"/>
        <v>0</v>
      </c>
      <c r="BL1095" s="556" t="str">
        <f t="shared" si="124"/>
        <v/>
      </c>
      <c r="BM1095" s="497">
        <f t="shared" si="125"/>
        <v>0</v>
      </c>
    </row>
    <row r="1096" spans="59:65">
      <c r="BG1096" s="556" t="str">
        <f t="shared" si="119"/>
        <v>O</v>
      </c>
      <c r="BH1096" s="556" t="str">
        <f t="shared" si="120"/>
        <v/>
      </c>
      <c r="BI1096" s="556" t="str">
        <f t="shared" si="121"/>
        <v/>
      </c>
      <c r="BJ1096" s="556">
        <f t="shared" si="122"/>
        <v>0</v>
      </c>
      <c r="BK1096" s="556">
        <f t="shared" si="123"/>
        <v>0</v>
      </c>
      <c r="BL1096" s="556" t="str">
        <f t="shared" si="124"/>
        <v/>
      </c>
      <c r="BM1096" s="497">
        <f t="shared" si="125"/>
        <v>0</v>
      </c>
    </row>
    <row r="1097" spans="59:65">
      <c r="BG1097" s="556" t="str">
        <f t="shared" si="119"/>
        <v>O</v>
      </c>
      <c r="BH1097" s="556" t="str">
        <f t="shared" si="120"/>
        <v/>
      </c>
      <c r="BI1097" s="556" t="str">
        <f t="shared" si="121"/>
        <v/>
      </c>
      <c r="BJ1097" s="556">
        <f t="shared" si="122"/>
        <v>0</v>
      </c>
      <c r="BK1097" s="556">
        <f t="shared" si="123"/>
        <v>0</v>
      </c>
      <c r="BL1097" s="556" t="str">
        <f t="shared" si="124"/>
        <v/>
      </c>
      <c r="BM1097" s="497">
        <f t="shared" si="125"/>
        <v>0</v>
      </c>
    </row>
    <row r="1098" spans="59:65">
      <c r="BG1098" s="556" t="str">
        <f t="shared" si="119"/>
        <v>O</v>
      </c>
      <c r="BH1098" s="556" t="str">
        <f t="shared" si="120"/>
        <v/>
      </c>
      <c r="BI1098" s="556" t="str">
        <f t="shared" si="121"/>
        <v/>
      </c>
      <c r="BJ1098" s="556">
        <f t="shared" si="122"/>
        <v>0</v>
      </c>
      <c r="BK1098" s="556">
        <f t="shared" si="123"/>
        <v>0</v>
      </c>
      <c r="BL1098" s="556" t="str">
        <f t="shared" si="124"/>
        <v/>
      </c>
      <c r="BM1098" s="497">
        <f t="shared" si="125"/>
        <v>0</v>
      </c>
    </row>
    <row r="1099" spans="59:65">
      <c r="BG1099" s="556" t="str">
        <f t="shared" si="119"/>
        <v>O</v>
      </c>
      <c r="BH1099" s="556" t="str">
        <f t="shared" si="120"/>
        <v/>
      </c>
      <c r="BI1099" s="556" t="str">
        <f t="shared" si="121"/>
        <v/>
      </c>
      <c r="BJ1099" s="556">
        <f t="shared" si="122"/>
        <v>0</v>
      </c>
      <c r="BK1099" s="556">
        <f t="shared" si="123"/>
        <v>0</v>
      </c>
      <c r="BL1099" s="556" t="str">
        <f t="shared" si="124"/>
        <v/>
      </c>
      <c r="BM1099" s="497">
        <f t="shared" si="125"/>
        <v>0</v>
      </c>
    </row>
    <row r="1100" spans="59:65">
      <c r="BG1100" s="556" t="str">
        <f t="shared" si="119"/>
        <v>O</v>
      </c>
      <c r="BH1100" s="556" t="str">
        <f t="shared" si="120"/>
        <v/>
      </c>
      <c r="BI1100" s="556" t="str">
        <f t="shared" si="121"/>
        <v/>
      </c>
      <c r="BJ1100" s="556">
        <f t="shared" si="122"/>
        <v>0</v>
      </c>
      <c r="BK1100" s="556">
        <f t="shared" si="123"/>
        <v>0</v>
      </c>
      <c r="BL1100" s="556" t="str">
        <f t="shared" si="124"/>
        <v/>
      </c>
      <c r="BM1100" s="497">
        <f t="shared" si="125"/>
        <v>0</v>
      </c>
    </row>
    <row r="1101" spans="59:65">
      <c r="BG1101" s="556" t="str">
        <f t="shared" si="119"/>
        <v>O</v>
      </c>
      <c r="BH1101" s="556" t="str">
        <f t="shared" si="120"/>
        <v/>
      </c>
      <c r="BI1101" s="556" t="str">
        <f t="shared" si="121"/>
        <v/>
      </c>
      <c r="BJ1101" s="556">
        <f t="shared" si="122"/>
        <v>0</v>
      </c>
      <c r="BK1101" s="556">
        <f t="shared" si="123"/>
        <v>0</v>
      </c>
      <c r="BL1101" s="556" t="str">
        <f t="shared" si="124"/>
        <v/>
      </c>
      <c r="BM1101" s="497">
        <f t="shared" si="125"/>
        <v>0</v>
      </c>
    </row>
    <row r="1102" spans="59:65">
      <c r="BG1102" s="556" t="str">
        <f t="shared" si="119"/>
        <v>O</v>
      </c>
      <c r="BH1102" s="556" t="str">
        <f t="shared" si="120"/>
        <v/>
      </c>
      <c r="BI1102" s="556" t="str">
        <f t="shared" si="121"/>
        <v/>
      </c>
      <c r="BJ1102" s="556">
        <f t="shared" si="122"/>
        <v>0</v>
      </c>
      <c r="BK1102" s="556">
        <f t="shared" si="123"/>
        <v>0</v>
      </c>
      <c r="BL1102" s="556" t="str">
        <f t="shared" si="124"/>
        <v/>
      </c>
      <c r="BM1102" s="497">
        <f t="shared" si="125"/>
        <v>0</v>
      </c>
    </row>
    <row r="1103" spans="59:65">
      <c r="BG1103" s="556" t="str">
        <f t="shared" si="119"/>
        <v>O</v>
      </c>
      <c r="BH1103" s="556" t="str">
        <f t="shared" si="120"/>
        <v/>
      </c>
      <c r="BI1103" s="556" t="str">
        <f t="shared" si="121"/>
        <v/>
      </c>
      <c r="BJ1103" s="556">
        <f t="shared" si="122"/>
        <v>0</v>
      </c>
      <c r="BK1103" s="556">
        <f t="shared" si="123"/>
        <v>0</v>
      </c>
      <c r="BL1103" s="556" t="str">
        <f t="shared" si="124"/>
        <v/>
      </c>
      <c r="BM1103" s="497">
        <f t="shared" si="125"/>
        <v>0</v>
      </c>
    </row>
    <row r="1104" spans="59:65">
      <c r="BG1104" s="556" t="str">
        <f t="shared" si="119"/>
        <v>O</v>
      </c>
      <c r="BH1104" s="556" t="str">
        <f t="shared" si="120"/>
        <v/>
      </c>
      <c r="BI1104" s="556" t="str">
        <f t="shared" si="121"/>
        <v/>
      </c>
      <c r="BJ1104" s="556">
        <f t="shared" si="122"/>
        <v>0</v>
      </c>
      <c r="BK1104" s="556">
        <f t="shared" si="123"/>
        <v>0</v>
      </c>
      <c r="BL1104" s="556" t="str">
        <f t="shared" si="124"/>
        <v/>
      </c>
      <c r="BM1104" s="497">
        <f t="shared" si="125"/>
        <v>0</v>
      </c>
    </row>
    <row r="1105" spans="59:65">
      <c r="BG1105" s="556" t="str">
        <f t="shared" si="119"/>
        <v>O</v>
      </c>
      <c r="BH1105" s="556" t="str">
        <f t="shared" si="120"/>
        <v/>
      </c>
      <c r="BI1105" s="556" t="str">
        <f t="shared" si="121"/>
        <v/>
      </c>
      <c r="BJ1105" s="556">
        <f t="shared" si="122"/>
        <v>0</v>
      </c>
      <c r="BK1105" s="556">
        <f t="shared" si="123"/>
        <v>0</v>
      </c>
      <c r="BL1105" s="556" t="str">
        <f t="shared" si="124"/>
        <v/>
      </c>
      <c r="BM1105" s="497">
        <f t="shared" si="125"/>
        <v>0</v>
      </c>
    </row>
    <row r="1106" spans="59:65">
      <c r="BG1106" s="556" t="str">
        <f t="shared" si="119"/>
        <v>O</v>
      </c>
      <c r="BH1106" s="556" t="str">
        <f t="shared" si="120"/>
        <v/>
      </c>
      <c r="BI1106" s="556" t="str">
        <f t="shared" si="121"/>
        <v/>
      </c>
      <c r="BJ1106" s="556">
        <f t="shared" si="122"/>
        <v>0</v>
      </c>
      <c r="BK1106" s="556">
        <f t="shared" si="123"/>
        <v>0</v>
      </c>
      <c r="BL1106" s="556" t="str">
        <f t="shared" si="124"/>
        <v/>
      </c>
      <c r="BM1106" s="497">
        <f t="shared" si="125"/>
        <v>0</v>
      </c>
    </row>
    <row r="1107" spans="59:65">
      <c r="BG1107" s="556" t="str">
        <f t="shared" si="119"/>
        <v>O</v>
      </c>
      <c r="BH1107" s="556" t="str">
        <f t="shared" si="120"/>
        <v/>
      </c>
      <c r="BI1107" s="556" t="str">
        <f t="shared" si="121"/>
        <v/>
      </c>
      <c r="BJ1107" s="556">
        <f t="shared" si="122"/>
        <v>0</v>
      </c>
      <c r="BK1107" s="556">
        <f t="shared" si="123"/>
        <v>0</v>
      </c>
      <c r="BL1107" s="556" t="str">
        <f t="shared" si="124"/>
        <v/>
      </c>
      <c r="BM1107" s="497">
        <f t="shared" si="125"/>
        <v>0</v>
      </c>
    </row>
    <row r="1108" spans="59:65">
      <c r="BG1108" s="556" t="str">
        <f t="shared" si="119"/>
        <v>O</v>
      </c>
      <c r="BH1108" s="556" t="str">
        <f t="shared" si="120"/>
        <v/>
      </c>
      <c r="BI1108" s="556" t="str">
        <f t="shared" si="121"/>
        <v/>
      </c>
      <c r="BJ1108" s="556">
        <f t="shared" si="122"/>
        <v>0</v>
      </c>
      <c r="BK1108" s="556">
        <f t="shared" si="123"/>
        <v>0</v>
      </c>
      <c r="BL1108" s="556" t="str">
        <f t="shared" si="124"/>
        <v/>
      </c>
      <c r="BM1108" s="497">
        <f t="shared" si="125"/>
        <v>0</v>
      </c>
    </row>
    <row r="1109" spans="59:65">
      <c r="BG1109" s="556" t="str">
        <f t="shared" si="119"/>
        <v>O</v>
      </c>
      <c r="BH1109" s="556" t="str">
        <f t="shared" si="120"/>
        <v/>
      </c>
      <c r="BI1109" s="556" t="str">
        <f t="shared" si="121"/>
        <v/>
      </c>
      <c r="BJ1109" s="556">
        <f t="shared" si="122"/>
        <v>0</v>
      </c>
      <c r="BK1109" s="556">
        <f t="shared" si="123"/>
        <v>0</v>
      </c>
      <c r="BL1109" s="556" t="str">
        <f t="shared" si="124"/>
        <v/>
      </c>
      <c r="BM1109" s="497">
        <f t="shared" si="125"/>
        <v>0</v>
      </c>
    </row>
    <row r="1110" spans="59:65">
      <c r="BG1110" s="556" t="str">
        <f t="shared" si="119"/>
        <v>O</v>
      </c>
      <c r="BH1110" s="556" t="str">
        <f t="shared" si="120"/>
        <v/>
      </c>
      <c r="BI1110" s="556" t="str">
        <f t="shared" si="121"/>
        <v/>
      </c>
      <c r="BJ1110" s="556">
        <f t="shared" si="122"/>
        <v>0</v>
      </c>
      <c r="BK1110" s="556">
        <f t="shared" si="123"/>
        <v>0</v>
      </c>
      <c r="BL1110" s="556" t="str">
        <f t="shared" si="124"/>
        <v/>
      </c>
      <c r="BM1110" s="497">
        <f t="shared" si="125"/>
        <v>0</v>
      </c>
    </row>
    <row r="1111" spans="59:65">
      <c r="BG1111" s="556" t="str">
        <f t="shared" si="119"/>
        <v>O</v>
      </c>
      <c r="BH1111" s="556" t="str">
        <f t="shared" si="120"/>
        <v/>
      </c>
      <c r="BI1111" s="556" t="str">
        <f t="shared" si="121"/>
        <v/>
      </c>
      <c r="BJ1111" s="556">
        <f t="shared" si="122"/>
        <v>0</v>
      </c>
      <c r="BK1111" s="556">
        <f t="shared" si="123"/>
        <v>0</v>
      </c>
      <c r="BL1111" s="556" t="str">
        <f t="shared" si="124"/>
        <v/>
      </c>
      <c r="BM1111" s="497">
        <f t="shared" si="125"/>
        <v>0</v>
      </c>
    </row>
    <row r="1112" spans="59:65">
      <c r="BG1112" s="556" t="str">
        <f t="shared" si="119"/>
        <v>O</v>
      </c>
      <c r="BH1112" s="556" t="str">
        <f t="shared" si="120"/>
        <v/>
      </c>
      <c r="BI1112" s="556" t="str">
        <f t="shared" si="121"/>
        <v/>
      </c>
      <c r="BJ1112" s="556">
        <f t="shared" si="122"/>
        <v>0</v>
      </c>
      <c r="BK1112" s="556">
        <f t="shared" si="123"/>
        <v>0</v>
      </c>
      <c r="BL1112" s="556" t="str">
        <f t="shared" si="124"/>
        <v/>
      </c>
      <c r="BM1112" s="497">
        <f t="shared" si="125"/>
        <v>0</v>
      </c>
    </row>
    <row r="1113" spans="59:65">
      <c r="BG1113" s="556" t="str">
        <f t="shared" si="119"/>
        <v>O</v>
      </c>
      <c r="BH1113" s="556" t="str">
        <f t="shared" si="120"/>
        <v/>
      </c>
      <c r="BI1113" s="556" t="str">
        <f t="shared" si="121"/>
        <v/>
      </c>
      <c r="BJ1113" s="556">
        <f t="shared" si="122"/>
        <v>0</v>
      </c>
      <c r="BK1113" s="556">
        <f t="shared" si="123"/>
        <v>0</v>
      </c>
      <c r="BL1113" s="556" t="str">
        <f t="shared" si="124"/>
        <v/>
      </c>
      <c r="BM1113" s="497">
        <f t="shared" si="125"/>
        <v>0</v>
      </c>
    </row>
    <row r="1114" spans="59:65">
      <c r="BG1114" s="556" t="str">
        <f t="shared" si="119"/>
        <v>O</v>
      </c>
      <c r="BH1114" s="556" t="str">
        <f t="shared" si="120"/>
        <v/>
      </c>
      <c r="BI1114" s="556" t="str">
        <f t="shared" si="121"/>
        <v/>
      </c>
      <c r="BJ1114" s="556">
        <f t="shared" si="122"/>
        <v>0</v>
      </c>
      <c r="BK1114" s="556">
        <f t="shared" si="123"/>
        <v>0</v>
      </c>
      <c r="BL1114" s="556" t="str">
        <f t="shared" si="124"/>
        <v/>
      </c>
      <c r="BM1114" s="497">
        <f t="shared" si="125"/>
        <v>0</v>
      </c>
    </row>
    <row r="1115" spans="59:65">
      <c r="BG1115" s="556" t="str">
        <f t="shared" si="119"/>
        <v>O</v>
      </c>
      <c r="BH1115" s="556" t="str">
        <f t="shared" si="120"/>
        <v/>
      </c>
      <c r="BI1115" s="556" t="str">
        <f t="shared" si="121"/>
        <v/>
      </c>
      <c r="BJ1115" s="556">
        <f t="shared" si="122"/>
        <v>0</v>
      </c>
      <c r="BK1115" s="556">
        <f t="shared" si="123"/>
        <v>0</v>
      </c>
      <c r="BL1115" s="556" t="str">
        <f t="shared" si="124"/>
        <v/>
      </c>
      <c r="BM1115" s="497">
        <f t="shared" si="125"/>
        <v>0</v>
      </c>
    </row>
    <row r="1116" spans="59:65">
      <c r="BG1116" s="556" t="str">
        <f t="shared" si="119"/>
        <v>O</v>
      </c>
      <c r="BH1116" s="556" t="str">
        <f t="shared" si="120"/>
        <v/>
      </c>
      <c r="BI1116" s="556" t="str">
        <f t="shared" si="121"/>
        <v/>
      </c>
      <c r="BJ1116" s="556">
        <f t="shared" si="122"/>
        <v>0</v>
      </c>
      <c r="BK1116" s="556">
        <f t="shared" si="123"/>
        <v>0</v>
      </c>
      <c r="BL1116" s="556" t="str">
        <f t="shared" si="124"/>
        <v/>
      </c>
      <c r="BM1116" s="497">
        <f t="shared" si="125"/>
        <v>0</v>
      </c>
    </row>
    <row r="1117" spans="59:65">
      <c r="BG1117" s="556" t="str">
        <f t="shared" si="119"/>
        <v>O</v>
      </c>
      <c r="BH1117" s="556" t="str">
        <f t="shared" si="120"/>
        <v/>
      </c>
      <c r="BI1117" s="556" t="str">
        <f t="shared" si="121"/>
        <v/>
      </c>
      <c r="BJ1117" s="556">
        <f t="shared" si="122"/>
        <v>0</v>
      </c>
      <c r="BK1117" s="556">
        <f t="shared" si="123"/>
        <v>0</v>
      </c>
      <c r="BL1117" s="556" t="str">
        <f t="shared" si="124"/>
        <v/>
      </c>
      <c r="BM1117" s="497">
        <f t="shared" si="125"/>
        <v>0</v>
      </c>
    </row>
    <row r="1118" spans="59:65">
      <c r="BG1118" s="556" t="str">
        <f t="shared" si="119"/>
        <v>O</v>
      </c>
      <c r="BH1118" s="556" t="str">
        <f t="shared" si="120"/>
        <v/>
      </c>
      <c r="BI1118" s="556" t="str">
        <f t="shared" si="121"/>
        <v/>
      </c>
      <c r="BJ1118" s="556">
        <f t="shared" si="122"/>
        <v>0</v>
      </c>
      <c r="BK1118" s="556">
        <f t="shared" si="123"/>
        <v>0</v>
      </c>
      <c r="BL1118" s="556" t="str">
        <f t="shared" si="124"/>
        <v/>
      </c>
      <c r="BM1118" s="497">
        <f t="shared" si="125"/>
        <v>0</v>
      </c>
    </row>
    <row r="1119" spans="59:65">
      <c r="BG1119" s="556" t="str">
        <f t="shared" si="119"/>
        <v>O</v>
      </c>
      <c r="BH1119" s="556" t="str">
        <f t="shared" si="120"/>
        <v/>
      </c>
      <c r="BI1119" s="556" t="str">
        <f t="shared" si="121"/>
        <v/>
      </c>
      <c r="BJ1119" s="556">
        <f t="shared" si="122"/>
        <v>0</v>
      </c>
      <c r="BK1119" s="556">
        <f t="shared" si="123"/>
        <v>0</v>
      </c>
      <c r="BL1119" s="556" t="str">
        <f t="shared" si="124"/>
        <v/>
      </c>
      <c r="BM1119" s="497">
        <f t="shared" si="125"/>
        <v>0</v>
      </c>
    </row>
    <row r="1120" spans="59:65">
      <c r="BG1120" s="556" t="str">
        <f t="shared" si="119"/>
        <v>O</v>
      </c>
      <c r="BH1120" s="556" t="str">
        <f t="shared" si="120"/>
        <v/>
      </c>
      <c r="BI1120" s="556" t="str">
        <f t="shared" si="121"/>
        <v/>
      </c>
      <c r="BJ1120" s="556">
        <f t="shared" si="122"/>
        <v>0</v>
      </c>
      <c r="BK1120" s="556">
        <f t="shared" si="123"/>
        <v>0</v>
      </c>
      <c r="BL1120" s="556" t="str">
        <f t="shared" si="124"/>
        <v/>
      </c>
      <c r="BM1120" s="497">
        <f t="shared" si="125"/>
        <v>0</v>
      </c>
    </row>
    <row r="1121" spans="59:65">
      <c r="BG1121" s="556" t="str">
        <f t="shared" si="119"/>
        <v>O</v>
      </c>
      <c r="BH1121" s="556" t="str">
        <f t="shared" si="120"/>
        <v/>
      </c>
      <c r="BI1121" s="556" t="str">
        <f t="shared" si="121"/>
        <v/>
      </c>
      <c r="BJ1121" s="556">
        <f t="shared" si="122"/>
        <v>0</v>
      </c>
      <c r="BK1121" s="556">
        <f t="shared" si="123"/>
        <v>0</v>
      </c>
      <c r="BL1121" s="556" t="str">
        <f t="shared" si="124"/>
        <v/>
      </c>
      <c r="BM1121" s="497">
        <f t="shared" si="125"/>
        <v>0</v>
      </c>
    </row>
    <row r="1122" spans="59:65">
      <c r="BG1122" s="556" t="str">
        <f t="shared" si="119"/>
        <v>O</v>
      </c>
      <c r="BH1122" s="556" t="str">
        <f t="shared" si="120"/>
        <v/>
      </c>
      <c r="BI1122" s="556" t="str">
        <f t="shared" si="121"/>
        <v/>
      </c>
      <c r="BJ1122" s="556">
        <f t="shared" si="122"/>
        <v>0</v>
      </c>
      <c r="BK1122" s="556">
        <f t="shared" si="123"/>
        <v>0</v>
      </c>
      <c r="BL1122" s="556" t="str">
        <f t="shared" si="124"/>
        <v/>
      </c>
      <c r="BM1122" s="497">
        <f t="shared" si="125"/>
        <v>0</v>
      </c>
    </row>
    <row r="1123" spans="59:65">
      <c r="BG1123" s="556" t="str">
        <f t="shared" si="119"/>
        <v>O</v>
      </c>
      <c r="BH1123" s="556" t="str">
        <f t="shared" si="120"/>
        <v/>
      </c>
      <c r="BI1123" s="556" t="str">
        <f t="shared" si="121"/>
        <v/>
      </c>
      <c r="BJ1123" s="556">
        <f t="shared" si="122"/>
        <v>0</v>
      </c>
      <c r="BK1123" s="556">
        <f t="shared" si="123"/>
        <v>0</v>
      </c>
      <c r="BL1123" s="556" t="str">
        <f t="shared" si="124"/>
        <v/>
      </c>
      <c r="BM1123" s="497">
        <f t="shared" si="125"/>
        <v>0</v>
      </c>
    </row>
    <row r="1124" spans="59:65">
      <c r="BG1124" s="556" t="str">
        <f t="shared" si="119"/>
        <v>O</v>
      </c>
      <c r="BH1124" s="556" t="str">
        <f t="shared" si="120"/>
        <v/>
      </c>
      <c r="BI1124" s="556" t="str">
        <f t="shared" si="121"/>
        <v/>
      </c>
      <c r="BJ1124" s="556">
        <f t="shared" si="122"/>
        <v>0</v>
      </c>
      <c r="BK1124" s="556">
        <f t="shared" si="123"/>
        <v>0</v>
      </c>
      <c r="BL1124" s="556" t="str">
        <f t="shared" si="124"/>
        <v/>
      </c>
      <c r="BM1124" s="497">
        <f t="shared" si="125"/>
        <v>0</v>
      </c>
    </row>
    <row r="1125" spans="59:65">
      <c r="BG1125" s="556" t="str">
        <f t="shared" si="119"/>
        <v>O</v>
      </c>
      <c r="BH1125" s="556" t="str">
        <f t="shared" si="120"/>
        <v/>
      </c>
      <c r="BI1125" s="556" t="str">
        <f t="shared" si="121"/>
        <v/>
      </c>
      <c r="BJ1125" s="556">
        <f t="shared" si="122"/>
        <v>0</v>
      </c>
      <c r="BK1125" s="556">
        <f t="shared" si="123"/>
        <v>0</v>
      </c>
      <c r="BL1125" s="556" t="str">
        <f t="shared" si="124"/>
        <v/>
      </c>
      <c r="BM1125" s="497">
        <f t="shared" si="125"/>
        <v>0</v>
      </c>
    </row>
    <row r="1126" spans="59:65">
      <c r="BG1126" s="556" t="str">
        <f t="shared" si="119"/>
        <v>O</v>
      </c>
      <c r="BH1126" s="556" t="str">
        <f t="shared" si="120"/>
        <v/>
      </c>
      <c r="BI1126" s="556" t="str">
        <f t="shared" si="121"/>
        <v/>
      </c>
      <c r="BJ1126" s="556">
        <f t="shared" si="122"/>
        <v>0</v>
      </c>
      <c r="BK1126" s="556">
        <f t="shared" si="123"/>
        <v>0</v>
      </c>
      <c r="BL1126" s="556" t="str">
        <f t="shared" si="124"/>
        <v/>
      </c>
      <c r="BM1126" s="497">
        <f t="shared" si="125"/>
        <v>0</v>
      </c>
    </row>
    <row r="1127" spans="59:65">
      <c r="BG1127" s="556" t="str">
        <f t="shared" si="119"/>
        <v>O</v>
      </c>
      <c r="BH1127" s="556" t="str">
        <f t="shared" si="120"/>
        <v/>
      </c>
      <c r="BI1127" s="556" t="str">
        <f t="shared" si="121"/>
        <v/>
      </c>
      <c r="BJ1127" s="556">
        <f t="shared" si="122"/>
        <v>0</v>
      </c>
      <c r="BK1127" s="556">
        <f t="shared" si="123"/>
        <v>0</v>
      </c>
      <c r="BL1127" s="556" t="str">
        <f t="shared" si="124"/>
        <v/>
      </c>
      <c r="BM1127" s="497">
        <f t="shared" si="125"/>
        <v>0</v>
      </c>
    </row>
    <row r="1128" spans="59:65">
      <c r="BG1128" s="556" t="str">
        <f t="shared" si="119"/>
        <v>O</v>
      </c>
      <c r="BH1128" s="556" t="str">
        <f t="shared" si="120"/>
        <v/>
      </c>
      <c r="BI1128" s="556" t="str">
        <f t="shared" si="121"/>
        <v/>
      </c>
      <c r="BJ1128" s="556">
        <f t="shared" si="122"/>
        <v>0</v>
      </c>
      <c r="BK1128" s="556">
        <f t="shared" si="123"/>
        <v>0</v>
      </c>
      <c r="BL1128" s="556" t="str">
        <f t="shared" si="124"/>
        <v/>
      </c>
      <c r="BM1128" s="497">
        <f t="shared" si="125"/>
        <v>0</v>
      </c>
    </row>
    <row r="1129" spans="59:65">
      <c r="BG1129" s="556" t="str">
        <f t="shared" si="119"/>
        <v>O</v>
      </c>
      <c r="BH1129" s="556" t="str">
        <f t="shared" si="120"/>
        <v/>
      </c>
      <c r="BI1129" s="556" t="str">
        <f t="shared" si="121"/>
        <v/>
      </c>
      <c r="BJ1129" s="556">
        <f t="shared" si="122"/>
        <v>0</v>
      </c>
      <c r="BK1129" s="556">
        <f t="shared" si="123"/>
        <v>0</v>
      </c>
      <c r="BL1129" s="556" t="str">
        <f t="shared" si="124"/>
        <v/>
      </c>
      <c r="BM1129" s="497">
        <f t="shared" si="125"/>
        <v>0</v>
      </c>
    </row>
    <row r="1130" spans="59:65">
      <c r="BG1130" s="556" t="str">
        <f t="shared" si="119"/>
        <v>O</v>
      </c>
      <c r="BH1130" s="556" t="str">
        <f t="shared" si="120"/>
        <v/>
      </c>
      <c r="BI1130" s="556" t="str">
        <f t="shared" si="121"/>
        <v/>
      </c>
      <c r="BJ1130" s="556">
        <f t="shared" si="122"/>
        <v>0</v>
      </c>
      <c r="BK1130" s="556">
        <f t="shared" si="123"/>
        <v>0</v>
      </c>
      <c r="BL1130" s="556" t="str">
        <f t="shared" si="124"/>
        <v/>
      </c>
      <c r="BM1130" s="497">
        <f t="shared" si="125"/>
        <v>0</v>
      </c>
    </row>
    <row r="1131" spans="59:65">
      <c r="BG1131" s="556" t="str">
        <f t="shared" si="119"/>
        <v>O</v>
      </c>
      <c r="BH1131" s="556" t="str">
        <f t="shared" si="120"/>
        <v/>
      </c>
      <c r="BI1131" s="556" t="str">
        <f t="shared" si="121"/>
        <v/>
      </c>
      <c r="BJ1131" s="556">
        <f t="shared" si="122"/>
        <v>0</v>
      </c>
      <c r="BK1131" s="556">
        <f t="shared" si="123"/>
        <v>0</v>
      </c>
      <c r="BL1131" s="556" t="str">
        <f t="shared" si="124"/>
        <v/>
      </c>
      <c r="BM1131" s="497">
        <f t="shared" si="125"/>
        <v>0</v>
      </c>
    </row>
    <row r="1132" spans="59:65">
      <c r="BG1132" s="556" t="str">
        <f t="shared" si="119"/>
        <v>O</v>
      </c>
      <c r="BH1132" s="556" t="str">
        <f t="shared" si="120"/>
        <v/>
      </c>
      <c r="BI1132" s="556" t="str">
        <f t="shared" si="121"/>
        <v/>
      </c>
      <c r="BJ1132" s="556">
        <f t="shared" si="122"/>
        <v>0</v>
      </c>
      <c r="BK1132" s="556">
        <f t="shared" si="123"/>
        <v>0</v>
      </c>
      <c r="BL1132" s="556" t="str">
        <f t="shared" si="124"/>
        <v/>
      </c>
      <c r="BM1132" s="497">
        <f t="shared" si="125"/>
        <v>0</v>
      </c>
    </row>
    <row r="1133" spans="59:65">
      <c r="BG1133" s="556" t="str">
        <f t="shared" si="119"/>
        <v>O</v>
      </c>
      <c r="BH1133" s="556" t="str">
        <f t="shared" si="120"/>
        <v/>
      </c>
      <c r="BI1133" s="556" t="str">
        <f t="shared" si="121"/>
        <v/>
      </c>
      <c r="BJ1133" s="556">
        <f t="shared" si="122"/>
        <v>0</v>
      </c>
      <c r="BK1133" s="556">
        <f t="shared" si="123"/>
        <v>0</v>
      </c>
      <c r="BL1133" s="556" t="str">
        <f t="shared" si="124"/>
        <v/>
      </c>
      <c r="BM1133" s="497">
        <f t="shared" si="125"/>
        <v>0</v>
      </c>
    </row>
    <row r="1134" spans="59:65">
      <c r="BG1134" s="556" t="str">
        <f t="shared" si="119"/>
        <v>O</v>
      </c>
      <c r="BH1134" s="556" t="str">
        <f t="shared" si="120"/>
        <v/>
      </c>
      <c r="BI1134" s="556" t="str">
        <f t="shared" si="121"/>
        <v/>
      </c>
      <c r="BJ1134" s="556">
        <f t="shared" si="122"/>
        <v>0</v>
      </c>
      <c r="BK1134" s="556">
        <f t="shared" si="123"/>
        <v>0</v>
      </c>
      <c r="BL1134" s="556" t="str">
        <f t="shared" si="124"/>
        <v/>
      </c>
      <c r="BM1134" s="497">
        <f t="shared" si="125"/>
        <v>0</v>
      </c>
    </row>
    <row r="1135" spans="59:65">
      <c r="BG1135" s="556" t="str">
        <f t="shared" si="119"/>
        <v>O</v>
      </c>
      <c r="BH1135" s="556" t="str">
        <f t="shared" si="120"/>
        <v/>
      </c>
      <c r="BI1135" s="556" t="str">
        <f t="shared" si="121"/>
        <v/>
      </c>
      <c r="BJ1135" s="556">
        <f t="shared" si="122"/>
        <v>0</v>
      </c>
      <c r="BK1135" s="556">
        <f t="shared" si="123"/>
        <v>0</v>
      </c>
      <c r="BL1135" s="556" t="str">
        <f t="shared" si="124"/>
        <v/>
      </c>
      <c r="BM1135" s="497">
        <f t="shared" si="125"/>
        <v>0</v>
      </c>
    </row>
    <row r="1136" spans="59:65">
      <c r="BG1136" s="556" t="str">
        <f t="shared" si="119"/>
        <v>O</v>
      </c>
      <c r="BH1136" s="556" t="str">
        <f t="shared" si="120"/>
        <v/>
      </c>
      <c r="BI1136" s="556" t="str">
        <f t="shared" si="121"/>
        <v/>
      </c>
      <c r="BJ1136" s="556">
        <f t="shared" si="122"/>
        <v>0</v>
      </c>
      <c r="BK1136" s="556">
        <f t="shared" si="123"/>
        <v>0</v>
      </c>
      <c r="BL1136" s="556" t="str">
        <f t="shared" si="124"/>
        <v/>
      </c>
      <c r="BM1136" s="497">
        <f t="shared" si="125"/>
        <v>0</v>
      </c>
    </row>
    <row r="1137" spans="59:65">
      <c r="BG1137" s="556" t="str">
        <f t="shared" si="119"/>
        <v>O</v>
      </c>
      <c r="BH1137" s="556" t="str">
        <f t="shared" si="120"/>
        <v/>
      </c>
      <c r="BI1137" s="556" t="str">
        <f t="shared" si="121"/>
        <v/>
      </c>
      <c r="BJ1137" s="556">
        <f t="shared" si="122"/>
        <v>0</v>
      </c>
      <c r="BK1137" s="556">
        <f t="shared" si="123"/>
        <v>0</v>
      </c>
      <c r="BL1137" s="556" t="str">
        <f t="shared" si="124"/>
        <v/>
      </c>
      <c r="BM1137" s="497">
        <f t="shared" si="125"/>
        <v>0</v>
      </c>
    </row>
    <row r="1138" spans="59:65">
      <c r="BG1138" s="556" t="str">
        <f t="shared" si="119"/>
        <v>O</v>
      </c>
      <c r="BH1138" s="556" t="str">
        <f t="shared" si="120"/>
        <v/>
      </c>
      <c r="BI1138" s="556" t="str">
        <f t="shared" si="121"/>
        <v/>
      </c>
      <c r="BJ1138" s="556">
        <f t="shared" si="122"/>
        <v>0</v>
      </c>
      <c r="BK1138" s="556">
        <f t="shared" si="123"/>
        <v>0</v>
      </c>
      <c r="BL1138" s="556" t="str">
        <f t="shared" si="124"/>
        <v/>
      </c>
      <c r="BM1138" s="497">
        <f t="shared" si="125"/>
        <v>0</v>
      </c>
    </row>
    <row r="1139" spans="59:65">
      <c r="BG1139" s="556" t="str">
        <f t="shared" si="119"/>
        <v>O</v>
      </c>
      <c r="BH1139" s="556" t="str">
        <f t="shared" si="120"/>
        <v/>
      </c>
      <c r="BI1139" s="556" t="str">
        <f t="shared" si="121"/>
        <v/>
      </c>
      <c r="BJ1139" s="556">
        <f t="shared" si="122"/>
        <v>0</v>
      </c>
      <c r="BK1139" s="556">
        <f t="shared" si="123"/>
        <v>0</v>
      </c>
      <c r="BL1139" s="556" t="str">
        <f t="shared" si="124"/>
        <v/>
      </c>
      <c r="BM1139" s="497">
        <f t="shared" si="125"/>
        <v>0</v>
      </c>
    </row>
    <row r="1140" spans="59:65">
      <c r="BG1140" s="556" t="str">
        <f t="shared" si="119"/>
        <v>O</v>
      </c>
      <c r="BH1140" s="556" t="str">
        <f t="shared" si="120"/>
        <v/>
      </c>
      <c r="BI1140" s="556" t="str">
        <f t="shared" si="121"/>
        <v/>
      </c>
      <c r="BJ1140" s="556">
        <f t="shared" si="122"/>
        <v>0</v>
      </c>
      <c r="BK1140" s="556">
        <f t="shared" si="123"/>
        <v>0</v>
      </c>
      <c r="BL1140" s="556" t="str">
        <f t="shared" si="124"/>
        <v/>
      </c>
      <c r="BM1140" s="497">
        <f t="shared" si="125"/>
        <v>0</v>
      </c>
    </row>
    <row r="1141" spans="59:65">
      <c r="BG1141" s="556" t="str">
        <f t="shared" si="119"/>
        <v>O</v>
      </c>
      <c r="BH1141" s="556" t="str">
        <f t="shared" si="120"/>
        <v/>
      </c>
      <c r="BI1141" s="556" t="str">
        <f t="shared" si="121"/>
        <v/>
      </c>
      <c r="BJ1141" s="556">
        <f t="shared" si="122"/>
        <v>0</v>
      </c>
      <c r="BK1141" s="556">
        <f t="shared" si="123"/>
        <v>0</v>
      </c>
      <c r="BL1141" s="556" t="str">
        <f t="shared" si="124"/>
        <v/>
      </c>
      <c r="BM1141" s="497">
        <f t="shared" si="125"/>
        <v>0</v>
      </c>
    </row>
    <row r="1142" spans="59:65">
      <c r="BG1142" s="556" t="str">
        <f t="shared" si="119"/>
        <v>O</v>
      </c>
      <c r="BH1142" s="556" t="str">
        <f t="shared" si="120"/>
        <v/>
      </c>
      <c r="BI1142" s="556" t="str">
        <f t="shared" si="121"/>
        <v/>
      </c>
      <c r="BJ1142" s="556">
        <f t="shared" si="122"/>
        <v>0</v>
      </c>
      <c r="BK1142" s="556">
        <f t="shared" si="123"/>
        <v>0</v>
      </c>
      <c r="BL1142" s="556" t="str">
        <f t="shared" si="124"/>
        <v/>
      </c>
      <c r="BM1142" s="497">
        <f t="shared" si="125"/>
        <v>0</v>
      </c>
    </row>
    <row r="1143" spans="59:65">
      <c r="BG1143" s="556" t="str">
        <f t="shared" si="119"/>
        <v>O</v>
      </c>
      <c r="BH1143" s="556" t="str">
        <f t="shared" si="120"/>
        <v/>
      </c>
      <c r="BI1143" s="556" t="str">
        <f t="shared" si="121"/>
        <v/>
      </c>
      <c r="BJ1143" s="556">
        <f t="shared" si="122"/>
        <v>0</v>
      </c>
      <c r="BK1143" s="556">
        <f t="shared" si="123"/>
        <v>0</v>
      </c>
      <c r="BL1143" s="556" t="str">
        <f t="shared" si="124"/>
        <v/>
      </c>
      <c r="BM1143" s="497">
        <f t="shared" si="125"/>
        <v>0</v>
      </c>
    </row>
    <row r="1144" spans="59:65">
      <c r="BG1144" s="556" t="str">
        <f t="shared" si="119"/>
        <v>O</v>
      </c>
      <c r="BH1144" s="556" t="str">
        <f t="shared" si="120"/>
        <v/>
      </c>
      <c r="BI1144" s="556" t="str">
        <f t="shared" si="121"/>
        <v/>
      </c>
      <c r="BJ1144" s="556">
        <f t="shared" si="122"/>
        <v>0</v>
      </c>
      <c r="BK1144" s="556">
        <f t="shared" si="123"/>
        <v>0</v>
      </c>
      <c r="BL1144" s="556" t="str">
        <f t="shared" si="124"/>
        <v/>
      </c>
      <c r="BM1144" s="497">
        <f t="shared" si="125"/>
        <v>0</v>
      </c>
    </row>
    <row r="1145" spans="59:65">
      <c r="BG1145" s="556" t="str">
        <f t="shared" si="119"/>
        <v>O</v>
      </c>
      <c r="BH1145" s="556" t="str">
        <f t="shared" si="120"/>
        <v/>
      </c>
      <c r="BI1145" s="556" t="str">
        <f t="shared" si="121"/>
        <v/>
      </c>
      <c r="BJ1145" s="556">
        <f t="shared" si="122"/>
        <v>0</v>
      </c>
      <c r="BK1145" s="556">
        <f t="shared" si="123"/>
        <v>0</v>
      </c>
      <c r="BL1145" s="556" t="str">
        <f t="shared" si="124"/>
        <v/>
      </c>
      <c r="BM1145" s="497">
        <f t="shared" si="125"/>
        <v>0</v>
      </c>
    </row>
    <row r="1146" spans="59:65">
      <c r="BG1146" s="556" t="str">
        <f t="shared" si="119"/>
        <v>O</v>
      </c>
      <c r="BH1146" s="556" t="str">
        <f t="shared" si="120"/>
        <v/>
      </c>
      <c r="BI1146" s="556" t="str">
        <f t="shared" si="121"/>
        <v/>
      </c>
      <c r="BJ1146" s="556">
        <f t="shared" si="122"/>
        <v>0</v>
      </c>
      <c r="BK1146" s="556">
        <f t="shared" si="123"/>
        <v>0</v>
      </c>
      <c r="BL1146" s="556" t="str">
        <f t="shared" si="124"/>
        <v/>
      </c>
      <c r="BM1146" s="497">
        <f t="shared" si="125"/>
        <v>0</v>
      </c>
    </row>
    <row r="1147" spans="59:65">
      <c r="BG1147" s="556" t="str">
        <f t="shared" si="119"/>
        <v>O</v>
      </c>
      <c r="BH1147" s="556" t="str">
        <f t="shared" si="120"/>
        <v/>
      </c>
      <c r="BI1147" s="556" t="str">
        <f t="shared" si="121"/>
        <v/>
      </c>
      <c r="BJ1147" s="556">
        <f t="shared" si="122"/>
        <v>0</v>
      </c>
      <c r="BK1147" s="556">
        <f t="shared" si="123"/>
        <v>0</v>
      </c>
      <c r="BL1147" s="556" t="str">
        <f t="shared" si="124"/>
        <v/>
      </c>
      <c r="BM1147" s="497">
        <f t="shared" si="125"/>
        <v>0</v>
      </c>
    </row>
    <row r="1148" spans="59:65">
      <c r="BG1148" s="556" t="str">
        <f t="shared" si="119"/>
        <v>O</v>
      </c>
      <c r="BH1148" s="556" t="str">
        <f t="shared" si="120"/>
        <v/>
      </c>
      <c r="BI1148" s="556" t="str">
        <f t="shared" si="121"/>
        <v/>
      </c>
      <c r="BJ1148" s="556">
        <f t="shared" si="122"/>
        <v>0</v>
      </c>
      <c r="BK1148" s="556">
        <f t="shared" si="123"/>
        <v>0</v>
      </c>
      <c r="BL1148" s="556" t="str">
        <f t="shared" si="124"/>
        <v/>
      </c>
      <c r="BM1148" s="497">
        <f t="shared" si="125"/>
        <v>0</v>
      </c>
    </row>
    <row r="1149" spans="59:65">
      <c r="BG1149" s="556" t="str">
        <f t="shared" si="119"/>
        <v>O</v>
      </c>
      <c r="BH1149" s="556" t="str">
        <f t="shared" si="120"/>
        <v/>
      </c>
      <c r="BI1149" s="556" t="str">
        <f t="shared" si="121"/>
        <v/>
      </c>
      <c r="BJ1149" s="556">
        <f t="shared" si="122"/>
        <v>0</v>
      </c>
      <c r="BK1149" s="556">
        <f t="shared" si="123"/>
        <v>0</v>
      </c>
      <c r="BL1149" s="556" t="str">
        <f t="shared" si="124"/>
        <v/>
      </c>
      <c r="BM1149" s="497">
        <f t="shared" si="125"/>
        <v>0</v>
      </c>
    </row>
    <row r="1150" spans="59:65">
      <c r="BG1150" s="556" t="str">
        <f t="shared" si="119"/>
        <v>O</v>
      </c>
      <c r="BH1150" s="556" t="str">
        <f t="shared" si="120"/>
        <v/>
      </c>
      <c r="BI1150" s="556" t="str">
        <f t="shared" si="121"/>
        <v/>
      </c>
      <c r="BJ1150" s="556">
        <f t="shared" si="122"/>
        <v>0</v>
      </c>
      <c r="BK1150" s="556">
        <f t="shared" si="123"/>
        <v>0</v>
      </c>
      <c r="BL1150" s="556" t="str">
        <f t="shared" si="124"/>
        <v/>
      </c>
      <c r="BM1150" s="497">
        <f t="shared" si="125"/>
        <v>0</v>
      </c>
    </row>
    <row r="1151" spans="59:65">
      <c r="BG1151" s="556" t="str">
        <f t="shared" si="119"/>
        <v>O</v>
      </c>
      <c r="BH1151" s="556" t="str">
        <f t="shared" si="120"/>
        <v/>
      </c>
      <c r="BI1151" s="556" t="str">
        <f t="shared" si="121"/>
        <v/>
      </c>
      <c r="BJ1151" s="556">
        <f t="shared" si="122"/>
        <v>0</v>
      </c>
      <c r="BK1151" s="556">
        <f t="shared" si="123"/>
        <v>0</v>
      </c>
      <c r="BL1151" s="556" t="str">
        <f t="shared" si="124"/>
        <v/>
      </c>
      <c r="BM1151" s="497">
        <f t="shared" si="125"/>
        <v>0</v>
      </c>
    </row>
    <row r="1152" spans="59:65">
      <c r="BG1152" s="556" t="str">
        <f t="shared" si="119"/>
        <v>O</v>
      </c>
      <c r="BH1152" s="556" t="str">
        <f t="shared" si="120"/>
        <v/>
      </c>
      <c r="BI1152" s="556" t="str">
        <f t="shared" si="121"/>
        <v/>
      </c>
      <c r="BJ1152" s="556">
        <f t="shared" si="122"/>
        <v>0</v>
      </c>
      <c r="BK1152" s="556">
        <f t="shared" si="123"/>
        <v>0</v>
      </c>
      <c r="BL1152" s="556" t="str">
        <f t="shared" si="124"/>
        <v/>
      </c>
      <c r="BM1152" s="497">
        <f t="shared" si="125"/>
        <v>0</v>
      </c>
    </row>
    <row r="1153" spans="59:65">
      <c r="BG1153" s="556" t="str">
        <f t="shared" si="119"/>
        <v>O</v>
      </c>
      <c r="BH1153" s="556" t="str">
        <f t="shared" si="120"/>
        <v/>
      </c>
      <c r="BI1153" s="556" t="str">
        <f t="shared" si="121"/>
        <v/>
      </c>
      <c r="BJ1153" s="556">
        <f t="shared" si="122"/>
        <v>0</v>
      </c>
      <c r="BK1153" s="556">
        <f t="shared" si="123"/>
        <v>0</v>
      </c>
      <c r="BL1153" s="556" t="str">
        <f t="shared" si="124"/>
        <v/>
      </c>
      <c r="BM1153" s="497">
        <f t="shared" si="125"/>
        <v>0</v>
      </c>
    </row>
    <row r="1154" spans="59:65">
      <c r="BG1154" s="556" t="str">
        <f t="shared" si="119"/>
        <v>O</v>
      </c>
      <c r="BH1154" s="556" t="str">
        <f t="shared" si="120"/>
        <v/>
      </c>
      <c r="BI1154" s="556" t="str">
        <f t="shared" si="121"/>
        <v/>
      </c>
      <c r="BJ1154" s="556">
        <f t="shared" si="122"/>
        <v>0</v>
      </c>
      <c r="BK1154" s="556">
        <f t="shared" si="123"/>
        <v>0</v>
      </c>
      <c r="BL1154" s="556" t="str">
        <f t="shared" si="124"/>
        <v/>
      </c>
      <c r="BM1154" s="497">
        <f t="shared" si="125"/>
        <v>0</v>
      </c>
    </row>
    <row r="1155" spans="59:65">
      <c r="BG1155" s="556" t="str">
        <f t="shared" ref="BG1155:BG1218" si="126">IF(LEFT(AY1155,2)="98","X","O")</f>
        <v>O</v>
      </c>
      <c r="BH1155" s="556" t="str">
        <f t="shared" ref="BH1155:BH1218" si="127">IF(IFERROR(SEARCH("45",$AY1155,1),0)&gt;0,"Y","")</f>
        <v/>
      </c>
      <c r="BI1155" s="556" t="str">
        <f t="shared" ref="BI1155:BI1218" si="128">IF(IFERROR(SEARCH("86",$AY1155,1),0)&gt;0,"Y","")</f>
        <v/>
      </c>
      <c r="BJ1155" s="556">
        <f t="shared" ref="BJ1155:BJ1218" si="129">IF(L1155="",K1155,IF(M1155="",K1155&amp;","&amp;L1155,IF(N1155="",K1155&amp;","&amp;L1155&amp;","&amp;M1155,K1155&amp;","&amp;L1155&amp;","&amp;M1155&amp;","&amp;N1155)))</f>
        <v>0</v>
      </c>
      <c r="BK1155" s="556">
        <f t="shared" ref="BK1155:BK1218" si="130">IF(P1155="",O1155,IF(Q1155="",O1155&amp;","&amp;P1155,IF(R1155="",O1155&amp;","&amp;P1155&amp;","&amp;Q1155,IO1155&amp;","&amp;P1155&amp;","&amp;Q1155&amp;","&amp;R1155)))</f>
        <v>0</v>
      </c>
      <c r="BL1155" s="556" t="str">
        <f t="shared" ref="BL1155:BL1218" si="131">IF(S1155=0,"",S1155)</f>
        <v/>
      </c>
      <c r="BM1155" s="497">
        <f t="shared" ref="BM1155:BM1218" si="132">A1155</f>
        <v>0</v>
      </c>
    </row>
    <row r="1156" spans="59:65">
      <c r="BG1156" s="556" t="str">
        <f t="shared" si="126"/>
        <v>O</v>
      </c>
      <c r="BH1156" s="556" t="str">
        <f t="shared" si="127"/>
        <v/>
      </c>
      <c r="BI1156" s="556" t="str">
        <f t="shared" si="128"/>
        <v/>
      </c>
      <c r="BJ1156" s="556">
        <f t="shared" si="129"/>
        <v>0</v>
      </c>
      <c r="BK1156" s="556">
        <f t="shared" si="130"/>
        <v>0</v>
      </c>
      <c r="BL1156" s="556" t="str">
        <f t="shared" si="131"/>
        <v/>
      </c>
      <c r="BM1156" s="497">
        <f t="shared" si="132"/>
        <v>0</v>
      </c>
    </row>
    <row r="1157" spans="59:65">
      <c r="BG1157" s="556" t="str">
        <f t="shared" si="126"/>
        <v>O</v>
      </c>
      <c r="BH1157" s="556" t="str">
        <f t="shared" si="127"/>
        <v/>
      </c>
      <c r="BI1157" s="556" t="str">
        <f t="shared" si="128"/>
        <v/>
      </c>
      <c r="BJ1157" s="556">
        <f t="shared" si="129"/>
        <v>0</v>
      </c>
      <c r="BK1157" s="556">
        <f t="shared" si="130"/>
        <v>0</v>
      </c>
      <c r="BL1157" s="556" t="str">
        <f t="shared" si="131"/>
        <v/>
      </c>
      <c r="BM1157" s="497">
        <f t="shared" si="132"/>
        <v>0</v>
      </c>
    </row>
    <row r="1158" spans="59:65">
      <c r="BG1158" s="556" t="str">
        <f t="shared" si="126"/>
        <v>O</v>
      </c>
      <c r="BH1158" s="556" t="str">
        <f t="shared" si="127"/>
        <v/>
      </c>
      <c r="BI1158" s="556" t="str">
        <f t="shared" si="128"/>
        <v/>
      </c>
      <c r="BJ1158" s="556">
        <f t="shared" si="129"/>
        <v>0</v>
      </c>
      <c r="BK1158" s="556">
        <f t="shared" si="130"/>
        <v>0</v>
      </c>
      <c r="BL1158" s="556" t="str">
        <f t="shared" si="131"/>
        <v/>
      </c>
      <c r="BM1158" s="497">
        <f t="shared" si="132"/>
        <v>0</v>
      </c>
    </row>
    <row r="1159" spans="59:65">
      <c r="BG1159" s="556" t="str">
        <f t="shared" si="126"/>
        <v>O</v>
      </c>
      <c r="BH1159" s="556" t="str">
        <f t="shared" si="127"/>
        <v/>
      </c>
      <c r="BI1159" s="556" t="str">
        <f t="shared" si="128"/>
        <v/>
      </c>
      <c r="BJ1159" s="556">
        <f t="shared" si="129"/>
        <v>0</v>
      </c>
      <c r="BK1159" s="556">
        <f t="shared" si="130"/>
        <v>0</v>
      </c>
      <c r="BL1159" s="556" t="str">
        <f t="shared" si="131"/>
        <v/>
      </c>
      <c r="BM1159" s="497">
        <f t="shared" si="132"/>
        <v>0</v>
      </c>
    </row>
    <row r="1160" spans="59:65">
      <c r="BG1160" s="556" t="str">
        <f t="shared" si="126"/>
        <v>O</v>
      </c>
      <c r="BH1160" s="556" t="str">
        <f t="shared" si="127"/>
        <v/>
      </c>
      <c r="BI1160" s="556" t="str">
        <f t="shared" si="128"/>
        <v/>
      </c>
      <c r="BJ1160" s="556">
        <f t="shared" si="129"/>
        <v>0</v>
      </c>
      <c r="BK1160" s="556">
        <f t="shared" si="130"/>
        <v>0</v>
      </c>
      <c r="BL1160" s="556" t="str">
        <f t="shared" si="131"/>
        <v/>
      </c>
      <c r="BM1160" s="497">
        <f t="shared" si="132"/>
        <v>0</v>
      </c>
    </row>
    <row r="1161" spans="59:65">
      <c r="BG1161" s="556" t="str">
        <f t="shared" si="126"/>
        <v>O</v>
      </c>
      <c r="BH1161" s="556" t="str">
        <f t="shared" si="127"/>
        <v/>
      </c>
      <c r="BI1161" s="556" t="str">
        <f t="shared" si="128"/>
        <v/>
      </c>
      <c r="BJ1161" s="556">
        <f t="shared" si="129"/>
        <v>0</v>
      </c>
      <c r="BK1161" s="556">
        <f t="shared" si="130"/>
        <v>0</v>
      </c>
      <c r="BL1161" s="556" t="str">
        <f t="shared" si="131"/>
        <v/>
      </c>
      <c r="BM1161" s="497">
        <f t="shared" si="132"/>
        <v>0</v>
      </c>
    </row>
    <row r="1162" spans="59:65">
      <c r="BG1162" s="556" t="str">
        <f t="shared" si="126"/>
        <v>O</v>
      </c>
      <c r="BH1162" s="556" t="str">
        <f t="shared" si="127"/>
        <v/>
      </c>
      <c r="BI1162" s="556" t="str">
        <f t="shared" si="128"/>
        <v/>
      </c>
      <c r="BJ1162" s="556">
        <f t="shared" si="129"/>
        <v>0</v>
      </c>
      <c r="BK1162" s="556">
        <f t="shared" si="130"/>
        <v>0</v>
      </c>
      <c r="BL1162" s="556" t="str">
        <f t="shared" si="131"/>
        <v/>
      </c>
      <c r="BM1162" s="497">
        <f t="shared" si="132"/>
        <v>0</v>
      </c>
    </row>
    <row r="1163" spans="59:65">
      <c r="BG1163" s="556" t="str">
        <f t="shared" si="126"/>
        <v>O</v>
      </c>
      <c r="BH1163" s="556" t="str">
        <f t="shared" si="127"/>
        <v/>
      </c>
      <c r="BI1163" s="556" t="str">
        <f t="shared" si="128"/>
        <v/>
      </c>
      <c r="BJ1163" s="556">
        <f t="shared" si="129"/>
        <v>0</v>
      </c>
      <c r="BK1163" s="556">
        <f t="shared" si="130"/>
        <v>0</v>
      </c>
      <c r="BL1163" s="556" t="str">
        <f t="shared" si="131"/>
        <v/>
      </c>
      <c r="BM1163" s="497">
        <f t="shared" si="132"/>
        <v>0</v>
      </c>
    </row>
    <row r="1164" spans="59:65">
      <c r="BG1164" s="556" t="str">
        <f t="shared" si="126"/>
        <v>O</v>
      </c>
      <c r="BH1164" s="556" t="str">
        <f t="shared" si="127"/>
        <v/>
      </c>
      <c r="BI1164" s="556" t="str">
        <f t="shared" si="128"/>
        <v/>
      </c>
      <c r="BJ1164" s="556">
        <f t="shared" si="129"/>
        <v>0</v>
      </c>
      <c r="BK1164" s="556">
        <f t="shared" si="130"/>
        <v>0</v>
      </c>
      <c r="BL1164" s="556" t="str">
        <f t="shared" si="131"/>
        <v/>
      </c>
      <c r="BM1164" s="497">
        <f t="shared" si="132"/>
        <v>0</v>
      </c>
    </row>
    <row r="1165" spans="59:65">
      <c r="BG1165" s="556" t="str">
        <f t="shared" si="126"/>
        <v>O</v>
      </c>
      <c r="BH1165" s="556" t="str">
        <f t="shared" si="127"/>
        <v/>
      </c>
      <c r="BI1165" s="556" t="str">
        <f t="shared" si="128"/>
        <v/>
      </c>
      <c r="BJ1165" s="556">
        <f t="shared" si="129"/>
        <v>0</v>
      </c>
      <c r="BK1165" s="556">
        <f t="shared" si="130"/>
        <v>0</v>
      </c>
      <c r="BL1165" s="556" t="str">
        <f t="shared" si="131"/>
        <v/>
      </c>
      <c r="BM1165" s="497">
        <f t="shared" si="132"/>
        <v>0</v>
      </c>
    </row>
    <row r="1166" spans="59:65">
      <c r="BG1166" s="556" t="str">
        <f t="shared" si="126"/>
        <v>O</v>
      </c>
      <c r="BH1166" s="556" t="str">
        <f t="shared" si="127"/>
        <v/>
      </c>
      <c r="BI1166" s="556" t="str">
        <f t="shared" si="128"/>
        <v/>
      </c>
      <c r="BJ1166" s="556">
        <f t="shared" si="129"/>
        <v>0</v>
      </c>
      <c r="BK1166" s="556">
        <f t="shared" si="130"/>
        <v>0</v>
      </c>
      <c r="BL1166" s="556" t="str">
        <f t="shared" si="131"/>
        <v/>
      </c>
      <c r="BM1166" s="497">
        <f t="shared" si="132"/>
        <v>0</v>
      </c>
    </row>
    <row r="1167" spans="59:65">
      <c r="BG1167" s="556" t="str">
        <f t="shared" si="126"/>
        <v>O</v>
      </c>
      <c r="BH1167" s="556" t="str">
        <f t="shared" si="127"/>
        <v/>
      </c>
      <c r="BI1167" s="556" t="str">
        <f t="shared" si="128"/>
        <v/>
      </c>
      <c r="BJ1167" s="556">
        <f t="shared" si="129"/>
        <v>0</v>
      </c>
      <c r="BK1167" s="556">
        <f t="shared" si="130"/>
        <v>0</v>
      </c>
      <c r="BL1167" s="556" t="str">
        <f t="shared" si="131"/>
        <v/>
      </c>
      <c r="BM1167" s="497">
        <f t="shared" si="132"/>
        <v>0</v>
      </c>
    </row>
    <row r="1168" spans="59:65">
      <c r="BG1168" s="556" t="str">
        <f t="shared" si="126"/>
        <v>O</v>
      </c>
      <c r="BH1168" s="556" t="str">
        <f t="shared" si="127"/>
        <v/>
      </c>
      <c r="BI1168" s="556" t="str">
        <f t="shared" si="128"/>
        <v/>
      </c>
      <c r="BJ1168" s="556">
        <f t="shared" si="129"/>
        <v>0</v>
      </c>
      <c r="BK1168" s="556">
        <f t="shared" si="130"/>
        <v>0</v>
      </c>
      <c r="BL1168" s="556" t="str">
        <f t="shared" si="131"/>
        <v/>
      </c>
      <c r="BM1168" s="497">
        <f t="shared" si="132"/>
        <v>0</v>
      </c>
    </row>
    <row r="1169" spans="59:65">
      <c r="BG1169" s="556" t="str">
        <f t="shared" si="126"/>
        <v>O</v>
      </c>
      <c r="BH1169" s="556" t="str">
        <f t="shared" si="127"/>
        <v/>
      </c>
      <c r="BI1169" s="556" t="str">
        <f t="shared" si="128"/>
        <v/>
      </c>
      <c r="BJ1169" s="556">
        <f t="shared" si="129"/>
        <v>0</v>
      </c>
      <c r="BK1169" s="556">
        <f t="shared" si="130"/>
        <v>0</v>
      </c>
      <c r="BL1169" s="556" t="str">
        <f t="shared" si="131"/>
        <v/>
      </c>
      <c r="BM1169" s="497">
        <f t="shared" si="132"/>
        <v>0</v>
      </c>
    </row>
    <row r="1170" spans="59:65">
      <c r="BG1170" s="556" t="str">
        <f t="shared" si="126"/>
        <v>O</v>
      </c>
      <c r="BH1170" s="556" t="str">
        <f t="shared" si="127"/>
        <v/>
      </c>
      <c r="BI1170" s="556" t="str">
        <f t="shared" si="128"/>
        <v/>
      </c>
      <c r="BJ1170" s="556">
        <f t="shared" si="129"/>
        <v>0</v>
      </c>
      <c r="BK1170" s="556">
        <f t="shared" si="130"/>
        <v>0</v>
      </c>
      <c r="BL1170" s="556" t="str">
        <f t="shared" si="131"/>
        <v/>
      </c>
      <c r="BM1170" s="497">
        <f t="shared" si="132"/>
        <v>0</v>
      </c>
    </row>
    <row r="1171" spans="59:65">
      <c r="BG1171" s="556" t="str">
        <f t="shared" si="126"/>
        <v>O</v>
      </c>
      <c r="BH1171" s="556" t="str">
        <f t="shared" si="127"/>
        <v/>
      </c>
      <c r="BI1171" s="556" t="str">
        <f t="shared" si="128"/>
        <v/>
      </c>
      <c r="BJ1171" s="556">
        <f t="shared" si="129"/>
        <v>0</v>
      </c>
      <c r="BK1171" s="556">
        <f t="shared" si="130"/>
        <v>0</v>
      </c>
      <c r="BL1171" s="556" t="str">
        <f t="shared" si="131"/>
        <v/>
      </c>
      <c r="BM1171" s="497">
        <f t="shared" si="132"/>
        <v>0</v>
      </c>
    </row>
    <row r="1172" spans="59:65">
      <c r="BG1172" s="556" t="str">
        <f t="shared" si="126"/>
        <v>O</v>
      </c>
      <c r="BH1172" s="556" t="str">
        <f t="shared" si="127"/>
        <v/>
      </c>
      <c r="BI1172" s="556" t="str">
        <f t="shared" si="128"/>
        <v/>
      </c>
      <c r="BJ1172" s="556">
        <f t="shared" si="129"/>
        <v>0</v>
      </c>
      <c r="BK1172" s="556">
        <f t="shared" si="130"/>
        <v>0</v>
      </c>
      <c r="BL1172" s="556" t="str">
        <f t="shared" si="131"/>
        <v/>
      </c>
      <c r="BM1172" s="497">
        <f t="shared" si="132"/>
        <v>0</v>
      </c>
    </row>
    <row r="1173" spans="59:65">
      <c r="BG1173" s="556" t="str">
        <f t="shared" si="126"/>
        <v>O</v>
      </c>
      <c r="BH1173" s="556" t="str">
        <f t="shared" si="127"/>
        <v/>
      </c>
      <c r="BI1173" s="556" t="str">
        <f t="shared" si="128"/>
        <v/>
      </c>
      <c r="BJ1173" s="556">
        <f t="shared" si="129"/>
        <v>0</v>
      </c>
      <c r="BK1173" s="556">
        <f t="shared" si="130"/>
        <v>0</v>
      </c>
      <c r="BL1173" s="556" t="str">
        <f t="shared" si="131"/>
        <v/>
      </c>
      <c r="BM1173" s="497">
        <f t="shared" si="132"/>
        <v>0</v>
      </c>
    </row>
    <row r="1174" spans="59:65">
      <c r="BG1174" s="556" t="str">
        <f t="shared" si="126"/>
        <v>O</v>
      </c>
      <c r="BH1174" s="556" t="str">
        <f t="shared" si="127"/>
        <v/>
      </c>
      <c r="BI1174" s="556" t="str">
        <f t="shared" si="128"/>
        <v/>
      </c>
      <c r="BJ1174" s="556">
        <f t="shared" si="129"/>
        <v>0</v>
      </c>
      <c r="BK1174" s="556">
        <f t="shared" si="130"/>
        <v>0</v>
      </c>
      <c r="BL1174" s="556" t="str">
        <f t="shared" si="131"/>
        <v/>
      </c>
      <c r="BM1174" s="497">
        <f t="shared" si="132"/>
        <v>0</v>
      </c>
    </row>
    <row r="1175" spans="59:65">
      <c r="BG1175" s="556" t="str">
        <f t="shared" si="126"/>
        <v>O</v>
      </c>
      <c r="BH1175" s="556" t="str">
        <f t="shared" si="127"/>
        <v/>
      </c>
      <c r="BI1175" s="556" t="str">
        <f t="shared" si="128"/>
        <v/>
      </c>
      <c r="BJ1175" s="556">
        <f t="shared" si="129"/>
        <v>0</v>
      </c>
      <c r="BK1175" s="556">
        <f t="shared" si="130"/>
        <v>0</v>
      </c>
      <c r="BL1175" s="556" t="str">
        <f t="shared" si="131"/>
        <v/>
      </c>
      <c r="BM1175" s="497">
        <f t="shared" si="132"/>
        <v>0</v>
      </c>
    </row>
    <row r="1176" spans="59:65">
      <c r="BG1176" s="556" t="str">
        <f t="shared" si="126"/>
        <v>O</v>
      </c>
      <c r="BH1176" s="556" t="str">
        <f t="shared" si="127"/>
        <v/>
      </c>
      <c r="BI1176" s="556" t="str">
        <f t="shared" si="128"/>
        <v/>
      </c>
      <c r="BJ1176" s="556">
        <f t="shared" si="129"/>
        <v>0</v>
      </c>
      <c r="BK1176" s="556">
        <f t="shared" si="130"/>
        <v>0</v>
      </c>
      <c r="BL1176" s="556" t="str">
        <f t="shared" si="131"/>
        <v/>
      </c>
      <c r="BM1176" s="497">
        <f t="shared" si="132"/>
        <v>0</v>
      </c>
    </row>
    <row r="1177" spans="59:65">
      <c r="BG1177" s="556" t="str">
        <f t="shared" si="126"/>
        <v>O</v>
      </c>
      <c r="BH1177" s="556" t="str">
        <f t="shared" si="127"/>
        <v/>
      </c>
      <c r="BI1177" s="556" t="str">
        <f t="shared" si="128"/>
        <v/>
      </c>
      <c r="BJ1177" s="556">
        <f t="shared" si="129"/>
        <v>0</v>
      </c>
      <c r="BK1177" s="556">
        <f t="shared" si="130"/>
        <v>0</v>
      </c>
      <c r="BL1177" s="556" t="str">
        <f t="shared" si="131"/>
        <v/>
      </c>
      <c r="BM1177" s="497">
        <f t="shared" si="132"/>
        <v>0</v>
      </c>
    </row>
    <row r="1178" spans="59:65">
      <c r="BG1178" s="556" t="str">
        <f t="shared" si="126"/>
        <v>O</v>
      </c>
      <c r="BH1178" s="556" t="str">
        <f t="shared" si="127"/>
        <v/>
      </c>
      <c r="BI1178" s="556" t="str">
        <f t="shared" si="128"/>
        <v/>
      </c>
      <c r="BJ1178" s="556">
        <f t="shared" si="129"/>
        <v>0</v>
      </c>
      <c r="BK1178" s="556">
        <f t="shared" si="130"/>
        <v>0</v>
      </c>
      <c r="BL1178" s="556" t="str">
        <f t="shared" si="131"/>
        <v/>
      </c>
      <c r="BM1178" s="497">
        <f t="shared" si="132"/>
        <v>0</v>
      </c>
    </row>
    <row r="1179" spans="59:65">
      <c r="BG1179" s="556" t="str">
        <f t="shared" si="126"/>
        <v>O</v>
      </c>
      <c r="BH1179" s="556" t="str">
        <f t="shared" si="127"/>
        <v/>
      </c>
      <c r="BI1179" s="556" t="str">
        <f t="shared" si="128"/>
        <v/>
      </c>
      <c r="BJ1179" s="556">
        <f t="shared" si="129"/>
        <v>0</v>
      </c>
      <c r="BK1179" s="556">
        <f t="shared" si="130"/>
        <v>0</v>
      </c>
      <c r="BL1179" s="556" t="str">
        <f t="shared" si="131"/>
        <v/>
      </c>
      <c r="BM1179" s="497">
        <f t="shared" si="132"/>
        <v>0</v>
      </c>
    </row>
    <row r="1180" spans="59:65">
      <c r="BG1180" s="556" t="str">
        <f t="shared" si="126"/>
        <v>O</v>
      </c>
      <c r="BH1180" s="556" t="str">
        <f t="shared" si="127"/>
        <v/>
      </c>
      <c r="BI1180" s="556" t="str">
        <f t="shared" si="128"/>
        <v/>
      </c>
      <c r="BJ1180" s="556">
        <f t="shared" si="129"/>
        <v>0</v>
      </c>
      <c r="BK1180" s="556">
        <f t="shared" si="130"/>
        <v>0</v>
      </c>
      <c r="BL1180" s="556" t="str">
        <f t="shared" si="131"/>
        <v/>
      </c>
      <c r="BM1180" s="497">
        <f t="shared" si="132"/>
        <v>0</v>
      </c>
    </row>
    <row r="1181" spans="59:65">
      <c r="BG1181" s="556" t="str">
        <f t="shared" si="126"/>
        <v>O</v>
      </c>
      <c r="BH1181" s="556" t="str">
        <f t="shared" si="127"/>
        <v/>
      </c>
      <c r="BI1181" s="556" t="str">
        <f t="shared" si="128"/>
        <v/>
      </c>
      <c r="BJ1181" s="556">
        <f t="shared" si="129"/>
        <v>0</v>
      </c>
      <c r="BK1181" s="556">
        <f t="shared" si="130"/>
        <v>0</v>
      </c>
      <c r="BL1181" s="556" t="str">
        <f t="shared" si="131"/>
        <v/>
      </c>
      <c r="BM1181" s="497">
        <f t="shared" si="132"/>
        <v>0</v>
      </c>
    </row>
    <row r="1182" spans="59:65">
      <c r="BG1182" s="556" t="str">
        <f t="shared" si="126"/>
        <v>O</v>
      </c>
      <c r="BH1182" s="556" t="str">
        <f t="shared" si="127"/>
        <v/>
      </c>
      <c r="BI1182" s="556" t="str">
        <f t="shared" si="128"/>
        <v/>
      </c>
      <c r="BJ1182" s="556">
        <f t="shared" si="129"/>
        <v>0</v>
      </c>
      <c r="BK1182" s="556">
        <f t="shared" si="130"/>
        <v>0</v>
      </c>
      <c r="BL1182" s="556" t="str">
        <f t="shared" si="131"/>
        <v/>
      </c>
      <c r="BM1182" s="497">
        <f t="shared" si="132"/>
        <v>0</v>
      </c>
    </row>
    <row r="1183" spans="59:65">
      <c r="BG1183" s="556" t="str">
        <f t="shared" si="126"/>
        <v>O</v>
      </c>
      <c r="BH1183" s="556" t="str">
        <f t="shared" si="127"/>
        <v/>
      </c>
      <c r="BI1183" s="556" t="str">
        <f t="shared" si="128"/>
        <v/>
      </c>
      <c r="BJ1183" s="556">
        <f t="shared" si="129"/>
        <v>0</v>
      </c>
      <c r="BK1183" s="556">
        <f t="shared" si="130"/>
        <v>0</v>
      </c>
      <c r="BL1183" s="556" t="str">
        <f t="shared" si="131"/>
        <v/>
      </c>
      <c r="BM1183" s="497">
        <f t="shared" si="132"/>
        <v>0</v>
      </c>
    </row>
    <row r="1184" spans="59:65">
      <c r="BG1184" s="556" t="str">
        <f t="shared" si="126"/>
        <v>O</v>
      </c>
      <c r="BH1184" s="556" t="str">
        <f t="shared" si="127"/>
        <v/>
      </c>
      <c r="BI1184" s="556" t="str">
        <f t="shared" si="128"/>
        <v/>
      </c>
      <c r="BJ1184" s="556">
        <f t="shared" si="129"/>
        <v>0</v>
      </c>
      <c r="BK1184" s="556">
        <f t="shared" si="130"/>
        <v>0</v>
      </c>
      <c r="BL1184" s="556" t="str">
        <f t="shared" si="131"/>
        <v/>
      </c>
      <c r="BM1184" s="497">
        <f t="shared" si="132"/>
        <v>0</v>
      </c>
    </row>
    <row r="1185" spans="59:65">
      <c r="BG1185" s="556" t="str">
        <f t="shared" si="126"/>
        <v>O</v>
      </c>
      <c r="BH1185" s="556" t="str">
        <f t="shared" si="127"/>
        <v/>
      </c>
      <c r="BI1185" s="556" t="str">
        <f t="shared" si="128"/>
        <v/>
      </c>
      <c r="BJ1185" s="556">
        <f t="shared" si="129"/>
        <v>0</v>
      </c>
      <c r="BK1185" s="556">
        <f t="shared" si="130"/>
        <v>0</v>
      </c>
      <c r="BL1185" s="556" t="str">
        <f t="shared" si="131"/>
        <v/>
      </c>
      <c r="BM1185" s="497">
        <f t="shared" si="132"/>
        <v>0</v>
      </c>
    </row>
    <row r="1186" spans="59:65">
      <c r="BG1186" s="556" t="str">
        <f t="shared" si="126"/>
        <v>O</v>
      </c>
      <c r="BH1186" s="556" t="str">
        <f t="shared" si="127"/>
        <v/>
      </c>
      <c r="BI1186" s="556" t="str">
        <f t="shared" si="128"/>
        <v/>
      </c>
      <c r="BJ1186" s="556">
        <f t="shared" si="129"/>
        <v>0</v>
      </c>
      <c r="BK1186" s="556">
        <f t="shared" si="130"/>
        <v>0</v>
      </c>
      <c r="BL1186" s="556" t="str">
        <f t="shared" si="131"/>
        <v/>
      </c>
      <c r="BM1186" s="497">
        <f t="shared" si="132"/>
        <v>0</v>
      </c>
    </row>
    <row r="1187" spans="59:65">
      <c r="BG1187" s="556" t="str">
        <f t="shared" si="126"/>
        <v>O</v>
      </c>
      <c r="BH1187" s="556" t="str">
        <f t="shared" si="127"/>
        <v/>
      </c>
      <c r="BI1187" s="556" t="str">
        <f t="shared" si="128"/>
        <v/>
      </c>
      <c r="BJ1187" s="556">
        <f t="shared" si="129"/>
        <v>0</v>
      </c>
      <c r="BK1187" s="556">
        <f t="shared" si="130"/>
        <v>0</v>
      </c>
      <c r="BL1187" s="556" t="str">
        <f t="shared" si="131"/>
        <v/>
      </c>
      <c r="BM1187" s="497">
        <f t="shared" si="132"/>
        <v>0</v>
      </c>
    </row>
    <row r="1188" spans="59:65">
      <c r="BG1188" s="556" t="str">
        <f t="shared" si="126"/>
        <v>O</v>
      </c>
      <c r="BH1188" s="556" t="str">
        <f t="shared" si="127"/>
        <v/>
      </c>
      <c r="BI1188" s="556" t="str">
        <f t="shared" si="128"/>
        <v/>
      </c>
      <c r="BJ1188" s="556">
        <f t="shared" si="129"/>
        <v>0</v>
      </c>
      <c r="BK1188" s="556">
        <f t="shared" si="130"/>
        <v>0</v>
      </c>
      <c r="BL1188" s="556" t="str">
        <f t="shared" si="131"/>
        <v/>
      </c>
      <c r="BM1188" s="497">
        <f t="shared" si="132"/>
        <v>0</v>
      </c>
    </row>
    <row r="1189" spans="59:65">
      <c r="BG1189" s="556" t="str">
        <f t="shared" si="126"/>
        <v>O</v>
      </c>
      <c r="BH1189" s="556" t="str">
        <f t="shared" si="127"/>
        <v/>
      </c>
      <c r="BI1189" s="556" t="str">
        <f t="shared" si="128"/>
        <v/>
      </c>
      <c r="BJ1189" s="556">
        <f t="shared" si="129"/>
        <v>0</v>
      </c>
      <c r="BK1189" s="556">
        <f t="shared" si="130"/>
        <v>0</v>
      </c>
      <c r="BL1189" s="556" t="str">
        <f t="shared" si="131"/>
        <v/>
      </c>
      <c r="BM1189" s="497">
        <f t="shared" si="132"/>
        <v>0</v>
      </c>
    </row>
    <row r="1190" spans="59:65">
      <c r="BG1190" s="556" t="str">
        <f t="shared" si="126"/>
        <v>O</v>
      </c>
      <c r="BH1190" s="556" t="str">
        <f t="shared" si="127"/>
        <v/>
      </c>
      <c r="BI1190" s="556" t="str">
        <f t="shared" si="128"/>
        <v/>
      </c>
      <c r="BJ1190" s="556">
        <f t="shared" si="129"/>
        <v>0</v>
      </c>
      <c r="BK1190" s="556">
        <f t="shared" si="130"/>
        <v>0</v>
      </c>
      <c r="BL1190" s="556" t="str">
        <f t="shared" si="131"/>
        <v/>
      </c>
      <c r="BM1190" s="497">
        <f t="shared" si="132"/>
        <v>0</v>
      </c>
    </row>
    <row r="1191" spans="59:65">
      <c r="BG1191" s="556" t="str">
        <f t="shared" si="126"/>
        <v>O</v>
      </c>
      <c r="BH1191" s="556" t="str">
        <f t="shared" si="127"/>
        <v/>
      </c>
      <c r="BI1191" s="556" t="str">
        <f t="shared" si="128"/>
        <v/>
      </c>
      <c r="BJ1191" s="556">
        <f t="shared" si="129"/>
        <v>0</v>
      </c>
      <c r="BK1191" s="556">
        <f t="shared" si="130"/>
        <v>0</v>
      </c>
      <c r="BL1191" s="556" t="str">
        <f t="shared" si="131"/>
        <v/>
      </c>
      <c r="BM1191" s="497">
        <f t="shared" si="132"/>
        <v>0</v>
      </c>
    </row>
    <row r="1192" spans="59:65">
      <c r="BG1192" s="556" t="str">
        <f t="shared" si="126"/>
        <v>O</v>
      </c>
      <c r="BH1192" s="556" t="str">
        <f t="shared" si="127"/>
        <v/>
      </c>
      <c r="BI1192" s="556" t="str">
        <f t="shared" si="128"/>
        <v/>
      </c>
      <c r="BJ1192" s="556">
        <f t="shared" si="129"/>
        <v>0</v>
      </c>
      <c r="BK1192" s="556">
        <f t="shared" si="130"/>
        <v>0</v>
      </c>
      <c r="BL1192" s="556" t="str">
        <f t="shared" si="131"/>
        <v/>
      </c>
      <c r="BM1192" s="497">
        <f t="shared" si="132"/>
        <v>0</v>
      </c>
    </row>
    <row r="1193" spans="59:65">
      <c r="BG1193" s="556" t="str">
        <f t="shared" si="126"/>
        <v>O</v>
      </c>
      <c r="BH1193" s="556" t="str">
        <f t="shared" si="127"/>
        <v/>
      </c>
      <c r="BI1193" s="556" t="str">
        <f t="shared" si="128"/>
        <v/>
      </c>
      <c r="BJ1193" s="556">
        <f t="shared" si="129"/>
        <v>0</v>
      </c>
      <c r="BK1193" s="556">
        <f t="shared" si="130"/>
        <v>0</v>
      </c>
      <c r="BL1193" s="556" t="str">
        <f t="shared" si="131"/>
        <v/>
      </c>
      <c r="BM1193" s="497">
        <f t="shared" si="132"/>
        <v>0</v>
      </c>
    </row>
    <row r="1194" spans="59:65">
      <c r="BG1194" s="556" t="str">
        <f t="shared" si="126"/>
        <v>O</v>
      </c>
      <c r="BH1194" s="556" t="str">
        <f t="shared" si="127"/>
        <v/>
      </c>
      <c r="BI1194" s="556" t="str">
        <f t="shared" si="128"/>
        <v/>
      </c>
      <c r="BJ1194" s="556">
        <f t="shared" si="129"/>
        <v>0</v>
      </c>
      <c r="BK1194" s="556">
        <f t="shared" si="130"/>
        <v>0</v>
      </c>
      <c r="BL1194" s="556" t="str">
        <f t="shared" si="131"/>
        <v/>
      </c>
      <c r="BM1194" s="497">
        <f t="shared" si="132"/>
        <v>0</v>
      </c>
    </row>
    <row r="1195" spans="59:65">
      <c r="BG1195" s="556" t="str">
        <f t="shared" si="126"/>
        <v>O</v>
      </c>
      <c r="BH1195" s="556" t="str">
        <f t="shared" si="127"/>
        <v/>
      </c>
      <c r="BI1195" s="556" t="str">
        <f t="shared" si="128"/>
        <v/>
      </c>
      <c r="BJ1195" s="556">
        <f t="shared" si="129"/>
        <v>0</v>
      </c>
      <c r="BK1195" s="556">
        <f t="shared" si="130"/>
        <v>0</v>
      </c>
      <c r="BL1195" s="556" t="str">
        <f t="shared" si="131"/>
        <v/>
      </c>
      <c r="BM1195" s="497">
        <f t="shared" si="132"/>
        <v>0</v>
      </c>
    </row>
    <row r="1196" spans="59:65">
      <c r="BG1196" s="556" t="str">
        <f t="shared" si="126"/>
        <v>O</v>
      </c>
      <c r="BH1196" s="556" t="str">
        <f t="shared" si="127"/>
        <v/>
      </c>
      <c r="BI1196" s="556" t="str">
        <f t="shared" si="128"/>
        <v/>
      </c>
      <c r="BJ1196" s="556">
        <f t="shared" si="129"/>
        <v>0</v>
      </c>
      <c r="BK1196" s="556">
        <f t="shared" si="130"/>
        <v>0</v>
      </c>
      <c r="BL1196" s="556" t="str">
        <f t="shared" si="131"/>
        <v/>
      </c>
      <c r="BM1196" s="497">
        <f t="shared" si="132"/>
        <v>0</v>
      </c>
    </row>
    <row r="1197" spans="59:65">
      <c r="BG1197" s="556" t="str">
        <f t="shared" si="126"/>
        <v>O</v>
      </c>
      <c r="BH1197" s="556" t="str">
        <f t="shared" si="127"/>
        <v/>
      </c>
      <c r="BI1197" s="556" t="str">
        <f t="shared" si="128"/>
        <v/>
      </c>
      <c r="BJ1197" s="556">
        <f t="shared" si="129"/>
        <v>0</v>
      </c>
      <c r="BK1197" s="556">
        <f t="shared" si="130"/>
        <v>0</v>
      </c>
      <c r="BL1197" s="556" t="str">
        <f t="shared" si="131"/>
        <v/>
      </c>
      <c r="BM1197" s="497">
        <f t="shared" si="132"/>
        <v>0</v>
      </c>
    </row>
    <row r="1198" spans="59:65">
      <c r="BG1198" s="556" t="str">
        <f t="shared" si="126"/>
        <v>O</v>
      </c>
      <c r="BH1198" s="556" t="str">
        <f t="shared" si="127"/>
        <v/>
      </c>
      <c r="BI1198" s="556" t="str">
        <f t="shared" si="128"/>
        <v/>
      </c>
      <c r="BJ1198" s="556">
        <f t="shared" si="129"/>
        <v>0</v>
      </c>
      <c r="BK1198" s="556">
        <f t="shared" si="130"/>
        <v>0</v>
      </c>
      <c r="BL1198" s="556" t="str">
        <f t="shared" si="131"/>
        <v/>
      </c>
      <c r="BM1198" s="497">
        <f t="shared" si="132"/>
        <v>0</v>
      </c>
    </row>
    <row r="1199" spans="59:65">
      <c r="BG1199" s="556" t="str">
        <f t="shared" si="126"/>
        <v>O</v>
      </c>
      <c r="BH1199" s="556" t="str">
        <f t="shared" si="127"/>
        <v/>
      </c>
      <c r="BI1199" s="556" t="str">
        <f t="shared" si="128"/>
        <v/>
      </c>
      <c r="BJ1199" s="556">
        <f t="shared" si="129"/>
        <v>0</v>
      </c>
      <c r="BK1199" s="556">
        <f t="shared" si="130"/>
        <v>0</v>
      </c>
      <c r="BL1199" s="556" t="str">
        <f t="shared" si="131"/>
        <v/>
      </c>
      <c r="BM1199" s="497">
        <f t="shared" si="132"/>
        <v>0</v>
      </c>
    </row>
    <row r="1200" spans="59:65">
      <c r="BG1200" s="556" t="str">
        <f t="shared" si="126"/>
        <v>O</v>
      </c>
      <c r="BH1200" s="556" t="str">
        <f t="shared" si="127"/>
        <v/>
      </c>
      <c r="BI1200" s="556" t="str">
        <f t="shared" si="128"/>
        <v/>
      </c>
      <c r="BJ1200" s="556">
        <f t="shared" si="129"/>
        <v>0</v>
      </c>
      <c r="BK1200" s="556">
        <f t="shared" si="130"/>
        <v>0</v>
      </c>
      <c r="BL1200" s="556" t="str">
        <f t="shared" si="131"/>
        <v/>
      </c>
      <c r="BM1200" s="497">
        <f t="shared" si="132"/>
        <v>0</v>
      </c>
    </row>
    <row r="1201" spans="59:65">
      <c r="BG1201" s="556" t="str">
        <f t="shared" si="126"/>
        <v>O</v>
      </c>
      <c r="BH1201" s="556" t="str">
        <f t="shared" si="127"/>
        <v/>
      </c>
      <c r="BI1201" s="556" t="str">
        <f t="shared" si="128"/>
        <v/>
      </c>
      <c r="BJ1201" s="556">
        <f t="shared" si="129"/>
        <v>0</v>
      </c>
      <c r="BK1201" s="556">
        <f t="shared" si="130"/>
        <v>0</v>
      </c>
      <c r="BL1201" s="556" t="str">
        <f t="shared" si="131"/>
        <v/>
      </c>
      <c r="BM1201" s="497">
        <f t="shared" si="132"/>
        <v>0</v>
      </c>
    </row>
    <row r="1202" spans="59:65">
      <c r="BG1202" s="556" t="str">
        <f t="shared" si="126"/>
        <v>O</v>
      </c>
      <c r="BH1202" s="556" t="str">
        <f t="shared" si="127"/>
        <v/>
      </c>
      <c r="BI1202" s="556" t="str">
        <f t="shared" si="128"/>
        <v/>
      </c>
      <c r="BJ1202" s="556">
        <f t="shared" si="129"/>
        <v>0</v>
      </c>
      <c r="BK1202" s="556">
        <f t="shared" si="130"/>
        <v>0</v>
      </c>
      <c r="BL1202" s="556" t="str">
        <f t="shared" si="131"/>
        <v/>
      </c>
      <c r="BM1202" s="497">
        <f t="shared" si="132"/>
        <v>0</v>
      </c>
    </row>
    <row r="1203" spans="59:65">
      <c r="BG1203" s="556" t="str">
        <f t="shared" si="126"/>
        <v>O</v>
      </c>
      <c r="BH1203" s="556" t="str">
        <f t="shared" si="127"/>
        <v/>
      </c>
      <c r="BI1203" s="556" t="str">
        <f t="shared" si="128"/>
        <v/>
      </c>
      <c r="BJ1203" s="556">
        <f t="shared" si="129"/>
        <v>0</v>
      </c>
      <c r="BK1203" s="556">
        <f t="shared" si="130"/>
        <v>0</v>
      </c>
      <c r="BL1203" s="556" t="str">
        <f t="shared" si="131"/>
        <v/>
      </c>
      <c r="BM1203" s="497">
        <f t="shared" si="132"/>
        <v>0</v>
      </c>
    </row>
    <row r="1204" spans="59:65">
      <c r="BG1204" s="556" t="str">
        <f t="shared" si="126"/>
        <v>O</v>
      </c>
      <c r="BH1204" s="556" t="str">
        <f t="shared" si="127"/>
        <v/>
      </c>
      <c r="BI1204" s="556" t="str">
        <f t="shared" si="128"/>
        <v/>
      </c>
      <c r="BJ1204" s="556">
        <f t="shared" si="129"/>
        <v>0</v>
      </c>
      <c r="BK1204" s="556">
        <f t="shared" si="130"/>
        <v>0</v>
      </c>
      <c r="BL1204" s="556" t="str">
        <f t="shared" si="131"/>
        <v/>
      </c>
      <c r="BM1204" s="497">
        <f t="shared" si="132"/>
        <v>0</v>
      </c>
    </row>
    <row r="1205" spans="59:65">
      <c r="BG1205" s="556" t="str">
        <f t="shared" si="126"/>
        <v>O</v>
      </c>
      <c r="BH1205" s="556" t="str">
        <f t="shared" si="127"/>
        <v/>
      </c>
      <c r="BI1205" s="556" t="str">
        <f t="shared" si="128"/>
        <v/>
      </c>
      <c r="BJ1205" s="556">
        <f t="shared" si="129"/>
        <v>0</v>
      </c>
      <c r="BK1205" s="556">
        <f t="shared" si="130"/>
        <v>0</v>
      </c>
      <c r="BL1205" s="556" t="str">
        <f t="shared" si="131"/>
        <v/>
      </c>
      <c r="BM1205" s="497">
        <f t="shared" si="132"/>
        <v>0</v>
      </c>
    </row>
    <row r="1206" spans="59:65">
      <c r="BG1206" s="556" t="str">
        <f t="shared" si="126"/>
        <v>O</v>
      </c>
      <c r="BH1206" s="556" t="str">
        <f t="shared" si="127"/>
        <v/>
      </c>
      <c r="BI1206" s="556" t="str">
        <f t="shared" si="128"/>
        <v/>
      </c>
      <c r="BJ1206" s="556">
        <f t="shared" si="129"/>
        <v>0</v>
      </c>
      <c r="BK1206" s="556">
        <f t="shared" si="130"/>
        <v>0</v>
      </c>
      <c r="BL1206" s="556" t="str">
        <f t="shared" si="131"/>
        <v/>
      </c>
      <c r="BM1206" s="497">
        <f t="shared" si="132"/>
        <v>0</v>
      </c>
    </row>
    <row r="1207" spans="59:65">
      <c r="BG1207" s="556" t="str">
        <f t="shared" si="126"/>
        <v>O</v>
      </c>
      <c r="BH1207" s="556" t="str">
        <f t="shared" si="127"/>
        <v/>
      </c>
      <c r="BI1207" s="556" t="str">
        <f t="shared" si="128"/>
        <v/>
      </c>
      <c r="BJ1207" s="556">
        <f t="shared" si="129"/>
        <v>0</v>
      </c>
      <c r="BK1207" s="556">
        <f t="shared" si="130"/>
        <v>0</v>
      </c>
      <c r="BL1207" s="556" t="str">
        <f t="shared" si="131"/>
        <v/>
      </c>
      <c r="BM1207" s="497">
        <f t="shared" si="132"/>
        <v>0</v>
      </c>
    </row>
    <row r="1208" spans="59:65">
      <c r="BG1208" s="556" t="str">
        <f t="shared" si="126"/>
        <v>O</v>
      </c>
      <c r="BH1208" s="556" t="str">
        <f t="shared" si="127"/>
        <v/>
      </c>
      <c r="BI1208" s="556" t="str">
        <f t="shared" si="128"/>
        <v/>
      </c>
      <c r="BJ1208" s="556">
        <f t="shared" si="129"/>
        <v>0</v>
      </c>
      <c r="BK1208" s="556">
        <f t="shared" si="130"/>
        <v>0</v>
      </c>
      <c r="BL1208" s="556" t="str">
        <f t="shared" si="131"/>
        <v/>
      </c>
      <c r="BM1208" s="497">
        <f t="shared" si="132"/>
        <v>0</v>
      </c>
    </row>
    <row r="1209" spans="59:65">
      <c r="BG1209" s="556" t="str">
        <f t="shared" si="126"/>
        <v>O</v>
      </c>
      <c r="BH1209" s="556" t="str">
        <f t="shared" si="127"/>
        <v/>
      </c>
      <c r="BI1209" s="556" t="str">
        <f t="shared" si="128"/>
        <v/>
      </c>
      <c r="BJ1209" s="556">
        <f t="shared" si="129"/>
        <v>0</v>
      </c>
      <c r="BK1209" s="556">
        <f t="shared" si="130"/>
        <v>0</v>
      </c>
      <c r="BL1209" s="556" t="str">
        <f t="shared" si="131"/>
        <v/>
      </c>
      <c r="BM1209" s="497">
        <f t="shared" si="132"/>
        <v>0</v>
      </c>
    </row>
    <row r="1210" spans="59:65">
      <c r="BG1210" s="556" t="str">
        <f t="shared" si="126"/>
        <v>O</v>
      </c>
      <c r="BH1210" s="556" t="str">
        <f t="shared" si="127"/>
        <v/>
      </c>
      <c r="BI1210" s="556" t="str">
        <f t="shared" si="128"/>
        <v/>
      </c>
      <c r="BJ1210" s="556">
        <f t="shared" si="129"/>
        <v>0</v>
      </c>
      <c r="BK1210" s="556">
        <f t="shared" si="130"/>
        <v>0</v>
      </c>
      <c r="BL1210" s="556" t="str">
        <f t="shared" si="131"/>
        <v/>
      </c>
      <c r="BM1210" s="497">
        <f t="shared" si="132"/>
        <v>0</v>
      </c>
    </row>
    <row r="1211" spans="59:65">
      <c r="BG1211" s="556" t="str">
        <f t="shared" si="126"/>
        <v>O</v>
      </c>
      <c r="BH1211" s="556" t="str">
        <f t="shared" si="127"/>
        <v/>
      </c>
      <c r="BI1211" s="556" t="str">
        <f t="shared" si="128"/>
        <v/>
      </c>
      <c r="BJ1211" s="556">
        <f t="shared" si="129"/>
        <v>0</v>
      </c>
      <c r="BK1211" s="556">
        <f t="shared" si="130"/>
        <v>0</v>
      </c>
      <c r="BL1211" s="556" t="str">
        <f t="shared" si="131"/>
        <v/>
      </c>
      <c r="BM1211" s="497">
        <f t="shared" si="132"/>
        <v>0</v>
      </c>
    </row>
    <row r="1212" spans="59:65">
      <c r="BG1212" s="556" t="str">
        <f t="shared" si="126"/>
        <v>O</v>
      </c>
      <c r="BH1212" s="556" t="str">
        <f t="shared" si="127"/>
        <v/>
      </c>
      <c r="BI1212" s="556" t="str">
        <f t="shared" si="128"/>
        <v/>
      </c>
      <c r="BJ1212" s="556">
        <f t="shared" si="129"/>
        <v>0</v>
      </c>
      <c r="BK1212" s="556">
        <f t="shared" si="130"/>
        <v>0</v>
      </c>
      <c r="BL1212" s="556" t="str">
        <f t="shared" si="131"/>
        <v/>
      </c>
      <c r="BM1212" s="497">
        <f t="shared" si="132"/>
        <v>0</v>
      </c>
    </row>
    <row r="1213" spans="59:65">
      <c r="BG1213" s="556" t="str">
        <f t="shared" si="126"/>
        <v>O</v>
      </c>
      <c r="BH1213" s="556" t="str">
        <f t="shared" si="127"/>
        <v/>
      </c>
      <c r="BI1213" s="556" t="str">
        <f t="shared" si="128"/>
        <v/>
      </c>
      <c r="BJ1213" s="556">
        <f t="shared" si="129"/>
        <v>0</v>
      </c>
      <c r="BK1213" s="556">
        <f t="shared" si="130"/>
        <v>0</v>
      </c>
      <c r="BL1213" s="556" t="str">
        <f t="shared" si="131"/>
        <v/>
      </c>
      <c r="BM1213" s="497">
        <f t="shared" si="132"/>
        <v>0</v>
      </c>
    </row>
    <row r="1214" spans="59:65">
      <c r="BG1214" s="556" t="str">
        <f t="shared" si="126"/>
        <v>O</v>
      </c>
      <c r="BH1214" s="556" t="str">
        <f t="shared" si="127"/>
        <v/>
      </c>
      <c r="BI1214" s="556" t="str">
        <f t="shared" si="128"/>
        <v/>
      </c>
      <c r="BJ1214" s="556">
        <f t="shared" si="129"/>
        <v>0</v>
      </c>
      <c r="BK1214" s="556">
        <f t="shared" si="130"/>
        <v>0</v>
      </c>
      <c r="BL1214" s="556" t="str">
        <f t="shared" si="131"/>
        <v/>
      </c>
      <c r="BM1214" s="497">
        <f t="shared" si="132"/>
        <v>0</v>
      </c>
    </row>
    <row r="1215" spans="59:65">
      <c r="BG1215" s="556" t="str">
        <f t="shared" si="126"/>
        <v>O</v>
      </c>
      <c r="BH1215" s="556" t="str">
        <f t="shared" si="127"/>
        <v/>
      </c>
      <c r="BI1215" s="556" t="str">
        <f t="shared" si="128"/>
        <v/>
      </c>
      <c r="BJ1215" s="556">
        <f t="shared" si="129"/>
        <v>0</v>
      </c>
      <c r="BK1215" s="556">
        <f t="shared" si="130"/>
        <v>0</v>
      </c>
      <c r="BL1215" s="556" t="str">
        <f t="shared" si="131"/>
        <v/>
      </c>
      <c r="BM1215" s="497">
        <f t="shared" si="132"/>
        <v>0</v>
      </c>
    </row>
    <row r="1216" spans="59:65">
      <c r="BG1216" s="556" t="str">
        <f t="shared" si="126"/>
        <v>O</v>
      </c>
      <c r="BH1216" s="556" t="str">
        <f t="shared" si="127"/>
        <v/>
      </c>
      <c r="BI1216" s="556" t="str">
        <f t="shared" si="128"/>
        <v/>
      </c>
      <c r="BJ1216" s="556">
        <f t="shared" si="129"/>
        <v>0</v>
      </c>
      <c r="BK1216" s="556">
        <f t="shared" si="130"/>
        <v>0</v>
      </c>
      <c r="BL1216" s="556" t="str">
        <f t="shared" si="131"/>
        <v/>
      </c>
      <c r="BM1216" s="497">
        <f t="shared" si="132"/>
        <v>0</v>
      </c>
    </row>
    <row r="1217" spans="59:65">
      <c r="BG1217" s="556" t="str">
        <f t="shared" si="126"/>
        <v>O</v>
      </c>
      <c r="BH1217" s="556" t="str">
        <f t="shared" si="127"/>
        <v/>
      </c>
      <c r="BI1217" s="556" t="str">
        <f t="shared" si="128"/>
        <v/>
      </c>
      <c r="BJ1217" s="556">
        <f t="shared" si="129"/>
        <v>0</v>
      </c>
      <c r="BK1217" s="556">
        <f t="shared" si="130"/>
        <v>0</v>
      </c>
      <c r="BL1217" s="556" t="str">
        <f t="shared" si="131"/>
        <v/>
      </c>
      <c r="BM1217" s="497">
        <f t="shared" si="132"/>
        <v>0</v>
      </c>
    </row>
    <row r="1218" spans="59:65">
      <c r="BG1218" s="556" t="str">
        <f t="shared" si="126"/>
        <v>O</v>
      </c>
      <c r="BH1218" s="556" t="str">
        <f t="shared" si="127"/>
        <v/>
      </c>
      <c r="BI1218" s="556" t="str">
        <f t="shared" si="128"/>
        <v/>
      </c>
      <c r="BJ1218" s="556">
        <f t="shared" si="129"/>
        <v>0</v>
      </c>
      <c r="BK1218" s="556">
        <f t="shared" si="130"/>
        <v>0</v>
      </c>
      <c r="BL1218" s="556" t="str">
        <f t="shared" si="131"/>
        <v/>
      </c>
      <c r="BM1218" s="497">
        <f t="shared" si="132"/>
        <v>0</v>
      </c>
    </row>
    <row r="1219" spans="59:65">
      <c r="BG1219" s="556" t="str">
        <f t="shared" ref="BG1219:BG1282" si="133">IF(LEFT(AY1219,2)="98","X","O")</f>
        <v>O</v>
      </c>
      <c r="BH1219" s="556" t="str">
        <f t="shared" ref="BH1219:BH1282" si="134">IF(IFERROR(SEARCH("45",$AY1219,1),0)&gt;0,"Y","")</f>
        <v/>
      </c>
      <c r="BI1219" s="556" t="str">
        <f t="shared" ref="BI1219:BI1282" si="135">IF(IFERROR(SEARCH("86",$AY1219,1),0)&gt;0,"Y","")</f>
        <v/>
      </c>
      <c r="BJ1219" s="556">
        <f t="shared" ref="BJ1219:BJ1282" si="136">IF(L1219="",K1219,IF(M1219="",K1219&amp;","&amp;L1219,IF(N1219="",K1219&amp;","&amp;L1219&amp;","&amp;M1219,K1219&amp;","&amp;L1219&amp;","&amp;M1219&amp;","&amp;N1219)))</f>
        <v>0</v>
      </c>
      <c r="BK1219" s="556">
        <f t="shared" ref="BK1219:BK1282" si="137">IF(P1219="",O1219,IF(Q1219="",O1219&amp;","&amp;P1219,IF(R1219="",O1219&amp;","&amp;P1219&amp;","&amp;Q1219,IO1219&amp;","&amp;P1219&amp;","&amp;Q1219&amp;","&amp;R1219)))</f>
        <v>0</v>
      </c>
      <c r="BL1219" s="556" t="str">
        <f t="shared" ref="BL1219:BL1282" si="138">IF(S1219=0,"",S1219)</f>
        <v/>
      </c>
      <c r="BM1219" s="497">
        <f t="shared" ref="BM1219:BM1282" si="139">A1219</f>
        <v>0</v>
      </c>
    </row>
    <row r="1220" spans="59:65">
      <c r="BG1220" s="556" t="str">
        <f t="shared" si="133"/>
        <v>O</v>
      </c>
      <c r="BH1220" s="556" t="str">
        <f t="shared" si="134"/>
        <v/>
      </c>
      <c r="BI1220" s="556" t="str">
        <f t="shared" si="135"/>
        <v/>
      </c>
      <c r="BJ1220" s="556">
        <f t="shared" si="136"/>
        <v>0</v>
      </c>
      <c r="BK1220" s="556">
        <f t="shared" si="137"/>
        <v>0</v>
      </c>
      <c r="BL1220" s="556" t="str">
        <f t="shared" si="138"/>
        <v/>
      </c>
      <c r="BM1220" s="497">
        <f t="shared" si="139"/>
        <v>0</v>
      </c>
    </row>
    <row r="1221" spans="59:65">
      <c r="BG1221" s="556" t="str">
        <f t="shared" si="133"/>
        <v>O</v>
      </c>
      <c r="BH1221" s="556" t="str">
        <f t="shared" si="134"/>
        <v/>
      </c>
      <c r="BI1221" s="556" t="str">
        <f t="shared" si="135"/>
        <v/>
      </c>
      <c r="BJ1221" s="556">
        <f t="shared" si="136"/>
        <v>0</v>
      </c>
      <c r="BK1221" s="556">
        <f t="shared" si="137"/>
        <v>0</v>
      </c>
      <c r="BL1221" s="556" t="str">
        <f t="shared" si="138"/>
        <v/>
      </c>
      <c r="BM1221" s="497">
        <f t="shared" si="139"/>
        <v>0</v>
      </c>
    </row>
    <row r="1222" spans="59:65">
      <c r="BG1222" s="556" t="str">
        <f t="shared" si="133"/>
        <v>O</v>
      </c>
      <c r="BH1222" s="556" t="str">
        <f t="shared" si="134"/>
        <v/>
      </c>
      <c r="BI1222" s="556" t="str">
        <f t="shared" si="135"/>
        <v/>
      </c>
      <c r="BJ1222" s="556">
        <f t="shared" si="136"/>
        <v>0</v>
      </c>
      <c r="BK1222" s="556">
        <f t="shared" si="137"/>
        <v>0</v>
      </c>
      <c r="BL1222" s="556" t="str">
        <f t="shared" si="138"/>
        <v/>
      </c>
      <c r="BM1222" s="497">
        <f t="shared" si="139"/>
        <v>0</v>
      </c>
    </row>
    <row r="1223" spans="59:65">
      <c r="BG1223" s="556" t="str">
        <f t="shared" si="133"/>
        <v>O</v>
      </c>
      <c r="BH1223" s="556" t="str">
        <f t="shared" si="134"/>
        <v/>
      </c>
      <c r="BI1223" s="556" t="str">
        <f t="shared" si="135"/>
        <v/>
      </c>
      <c r="BJ1223" s="556">
        <f t="shared" si="136"/>
        <v>0</v>
      </c>
      <c r="BK1223" s="556">
        <f t="shared" si="137"/>
        <v>0</v>
      </c>
      <c r="BL1223" s="556" t="str">
        <f t="shared" si="138"/>
        <v/>
      </c>
      <c r="BM1223" s="497">
        <f t="shared" si="139"/>
        <v>0</v>
      </c>
    </row>
    <row r="1224" spans="59:65">
      <c r="BG1224" s="556" t="str">
        <f t="shared" si="133"/>
        <v>O</v>
      </c>
      <c r="BH1224" s="556" t="str">
        <f t="shared" si="134"/>
        <v/>
      </c>
      <c r="BI1224" s="556" t="str">
        <f t="shared" si="135"/>
        <v/>
      </c>
      <c r="BJ1224" s="556">
        <f t="shared" si="136"/>
        <v>0</v>
      </c>
      <c r="BK1224" s="556">
        <f t="shared" si="137"/>
        <v>0</v>
      </c>
      <c r="BL1224" s="556" t="str">
        <f t="shared" si="138"/>
        <v/>
      </c>
      <c r="BM1224" s="497">
        <f t="shared" si="139"/>
        <v>0</v>
      </c>
    </row>
    <row r="1225" spans="59:65">
      <c r="BG1225" s="556" t="str">
        <f t="shared" si="133"/>
        <v>O</v>
      </c>
      <c r="BH1225" s="556" t="str">
        <f t="shared" si="134"/>
        <v/>
      </c>
      <c r="BI1225" s="556" t="str">
        <f t="shared" si="135"/>
        <v/>
      </c>
      <c r="BJ1225" s="556">
        <f t="shared" si="136"/>
        <v>0</v>
      </c>
      <c r="BK1225" s="556">
        <f t="shared" si="137"/>
        <v>0</v>
      </c>
      <c r="BL1225" s="556" t="str">
        <f t="shared" si="138"/>
        <v/>
      </c>
      <c r="BM1225" s="497">
        <f t="shared" si="139"/>
        <v>0</v>
      </c>
    </row>
    <row r="1226" spans="59:65">
      <c r="BG1226" s="556" t="str">
        <f t="shared" si="133"/>
        <v>O</v>
      </c>
      <c r="BH1226" s="556" t="str">
        <f t="shared" si="134"/>
        <v/>
      </c>
      <c r="BI1226" s="556" t="str">
        <f t="shared" si="135"/>
        <v/>
      </c>
      <c r="BJ1226" s="556">
        <f t="shared" si="136"/>
        <v>0</v>
      </c>
      <c r="BK1226" s="556">
        <f t="shared" si="137"/>
        <v>0</v>
      </c>
      <c r="BL1226" s="556" t="str">
        <f t="shared" si="138"/>
        <v/>
      </c>
      <c r="BM1226" s="497">
        <f t="shared" si="139"/>
        <v>0</v>
      </c>
    </row>
    <row r="1227" spans="59:65">
      <c r="BG1227" s="556" t="str">
        <f t="shared" si="133"/>
        <v>O</v>
      </c>
      <c r="BH1227" s="556" t="str">
        <f t="shared" si="134"/>
        <v/>
      </c>
      <c r="BI1227" s="556" t="str">
        <f t="shared" si="135"/>
        <v/>
      </c>
      <c r="BJ1227" s="556">
        <f t="shared" si="136"/>
        <v>0</v>
      </c>
      <c r="BK1227" s="556">
        <f t="shared" si="137"/>
        <v>0</v>
      </c>
      <c r="BL1227" s="556" t="str">
        <f t="shared" si="138"/>
        <v/>
      </c>
      <c r="BM1227" s="497">
        <f t="shared" si="139"/>
        <v>0</v>
      </c>
    </row>
    <row r="1228" spans="59:65">
      <c r="BG1228" s="556" t="str">
        <f t="shared" si="133"/>
        <v>O</v>
      </c>
      <c r="BH1228" s="556" t="str">
        <f t="shared" si="134"/>
        <v/>
      </c>
      <c r="BI1228" s="556" t="str">
        <f t="shared" si="135"/>
        <v/>
      </c>
      <c r="BJ1228" s="556">
        <f t="shared" si="136"/>
        <v>0</v>
      </c>
      <c r="BK1228" s="556">
        <f t="shared" si="137"/>
        <v>0</v>
      </c>
      <c r="BL1228" s="556" t="str">
        <f t="shared" si="138"/>
        <v/>
      </c>
      <c r="BM1228" s="497">
        <f t="shared" si="139"/>
        <v>0</v>
      </c>
    </row>
    <row r="1229" spans="59:65">
      <c r="BG1229" s="556" t="str">
        <f t="shared" si="133"/>
        <v>O</v>
      </c>
      <c r="BH1229" s="556" t="str">
        <f t="shared" si="134"/>
        <v/>
      </c>
      <c r="BI1229" s="556" t="str">
        <f t="shared" si="135"/>
        <v/>
      </c>
      <c r="BJ1229" s="556">
        <f t="shared" si="136"/>
        <v>0</v>
      </c>
      <c r="BK1229" s="556">
        <f t="shared" si="137"/>
        <v>0</v>
      </c>
      <c r="BL1229" s="556" t="str">
        <f t="shared" si="138"/>
        <v/>
      </c>
      <c r="BM1229" s="497">
        <f t="shared" si="139"/>
        <v>0</v>
      </c>
    </row>
    <row r="1230" spans="59:65">
      <c r="BG1230" s="556" t="str">
        <f t="shared" si="133"/>
        <v>O</v>
      </c>
      <c r="BH1230" s="556" t="str">
        <f t="shared" si="134"/>
        <v/>
      </c>
      <c r="BI1230" s="556" t="str">
        <f t="shared" si="135"/>
        <v/>
      </c>
      <c r="BJ1230" s="556">
        <f t="shared" si="136"/>
        <v>0</v>
      </c>
      <c r="BK1230" s="556">
        <f t="shared" si="137"/>
        <v>0</v>
      </c>
      <c r="BL1230" s="556" t="str">
        <f t="shared" si="138"/>
        <v/>
      </c>
      <c r="BM1230" s="497">
        <f t="shared" si="139"/>
        <v>0</v>
      </c>
    </row>
    <row r="1231" spans="59:65">
      <c r="BG1231" s="556" t="str">
        <f t="shared" si="133"/>
        <v>O</v>
      </c>
      <c r="BH1231" s="556" t="str">
        <f t="shared" si="134"/>
        <v/>
      </c>
      <c r="BI1231" s="556" t="str">
        <f t="shared" si="135"/>
        <v/>
      </c>
      <c r="BJ1231" s="556">
        <f t="shared" si="136"/>
        <v>0</v>
      </c>
      <c r="BK1231" s="556">
        <f t="shared" si="137"/>
        <v>0</v>
      </c>
      <c r="BL1231" s="556" t="str">
        <f t="shared" si="138"/>
        <v/>
      </c>
      <c r="BM1231" s="497">
        <f t="shared" si="139"/>
        <v>0</v>
      </c>
    </row>
    <row r="1232" spans="59:65">
      <c r="BG1232" s="556" t="str">
        <f t="shared" si="133"/>
        <v>O</v>
      </c>
      <c r="BH1232" s="556" t="str">
        <f t="shared" si="134"/>
        <v/>
      </c>
      <c r="BI1232" s="556" t="str">
        <f t="shared" si="135"/>
        <v/>
      </c>
      <c r="BJ1232" s="556">
        <f t="shared" si="136"/>
        <v>0</v>
      </c>
      <c r="BK1232" s="556">
        <f t="shared" si="137"/>
        <v>0</v>
      </c>
      <c r="BL1232" s="556" t="str">
        <f t="shared" si="138"/>
        <v/>
      </c>
      <c r="BM1232" s="497">
        <f t="shared" si="139"/>
        <v>0</v>
      </c>
    </row>
    <row r="1233" spans="59:65">
      <c r="BG1233" s="556" t="str">
        <f t="shared" si="133"/>
        <v>O</v>
      </c>
      <c r="BH1233" s="556" t="str">
        <f t="shared" si="134"/>
        <v/>
      </c>
      <c r="BI1233" s="556" t="str">
        <f t="shared" si="135"/>
        <v/>
      </c>
      <c r="BJ1233" s="556">
        <f t="shared" si="136"/>
        <v>0</v>
      </c>
      <c r="BK1233" s="556">
        <f t="shared" si="137"/>
        <v>0</v>
      </c>
      <c r="BL1233" s="556" t="str">
        <f t="shared" si="138"/>
        <v/>
      </c>
      <c r="BM1233" s="497">
        <f t="shared" si="139"/>
        <v>0</v>
      </c>
    </row>
    <row r="1234" spans="59:65">
      <c r="BG1234" s="556" t="str">
        <f t="shared" si="133"/>
        <v>O</v>
      </c>
      <c r="BH1234" s="556" t="str">
        <f t="shared" si="134"/>
        <v/>
      </c>
      <c r="BI1234" s="556" t="str">
        <f t="shared" si="135"/>
        <v/>
      </c>
      <c r="BJ1234" s="556">
        <f t="shared" si="136"/>
        <v>0</v>
      </c>
      <c r="BK1234" s="556">
        <f t="shared" si="137"/>
        <v>0</v>
      </c>
      <c r="BL1234" s="556" t="str">
        <f t="shared" si="138"/>
        <v/>
      </c>
      <c r="BM1234" s="497">
        <f t="shared" si="139"/>
        <v>0</v>
      </c>
    </row>
    <row r="1235" spans="59:65">
      <c r="BG1235" s="556" t="str">
        <f t="shared" si="133"/>
        <v>O</v>
      </c>
      <c r="BH1235" s="556" t="str">
        <f t="shared" si="134"/>
        <v/>
      </c>
      <c r="BI1235" s="556" t="str">
        <f t="shared" si="135"/>
        <v/>
      </c>
      <c r="BJ1235" s="556">
        <f t="shared" si="136"/>
        <v>0</v>
      </c>
      <c r="BK1235" s="556">
        <f t="shared" si="137"/>
        <v>0</v>
      </c>
      <c r="BL1235" s="556" t="str">
        <f t="shared" si="138"/>
        <v/>
      </c>
      <c r="BM1235" s="497">
        <f t="shared" si="139"/>
        <v>0</v>
      </c>
    </row>
    <row r="1236" spans="59:65">
      <c r="BG1236" s="556" t="str">
        <f t="shared" si="133"/>
        <v>O</v>
      </c>
      <c r="BH1236" s="556" t="str">
        <f t="shared" si="134"/>
        <v/>
      </c>
      <c r="BI1236" s="556" t="str">
        <f t="shared" si="135"/>
        <v/>
      </c>
      <c r="BJ1236" s="556">
        <f t="shared" si="136"/>
        <v>0</v>
      </c>
      <c r="BK1236" s="556">
        <f t="shared" si="137"/>
        <v>0</v>
      </c>
      <c r="BL1236" s="556" t="str">
        <f t="shared" si="138"/>
        <v/>
      </c>
      <c r="BM1236" s="497">
        <f t="shared" si="139"/>
        <v>0</v>
      </c>
    </row>
    <row r="1237" spans="59:65">
      <c r="BG1237" s="556" t="str">
        <f t="shared" si="133"/>
        <v>O</v>
      </c>
      <c r="BH1237" s="556" t="str">
        <f t="shared" si="134"/>
        <v/>
      </c>
      <c r="BI1237" s="556" t="str">
        <f t="shared" si="135"/>
        <v/>
      </c>
      <c r="BJ1237" s="556">
        <f t="shared" si="136"/>
        <v>0</v>
      </c>
      <c r="BK1237" s="556">
        <f t="shared" si="137"/>
        <v>0</v>
      </c>
      <c r="BL1237" s="556" t="str">
        <f t="shared" si="138"/>
        <v/>
      </c>
      <c r="BM1237" s="497">
        <f t="shared" si="139"/>
        <v>0</v>
      </c>
    </row>
    <row r="1238" spans="59:65">
      <c r="BG1238" s="556" t="str">
        <f t="shared" si="133"/>
        <v>O</v>
      </c>
      <c r="BH1238" s="556" t="str">
        <f t="shared" si="134"/>
        <v/>
      </c>
      <c r="BI1238" s="556" t="str">
        <f t="shared" si="135"/>
        <v/>
      </c>
      <c r="BJ1238" s="556">
        <f t="shared" si="136"/>
        <v>0</v>
      </c>
      <c r="BK1238" s="556">
        <f t="shared" si="137"/>
        <v>0</v>
      </c>
      <c r="BL1238" s="556" t="str">
        <f t="shared" si="138"/>
        <v/>
      </c>
      <c r="BM1238" s="497">
        <f t="shared" si="139"/>
        <v>0</v>
      </c>
    </row>
    <row r="1239" spans="59:65">
      <c r="BG1239" s="556" t="str">
        <f t="shared" si="133"/>
        <v>O</v>
      </c>
      <c r="BH1239" s="556" t="str">
        <f t="shared" si="134"/>
        <v/>
      </c>
      <c r="BI1239" s="556" t="str">
        <f t="shared" si="135"/>
        <v/>
      </c>
      <c r="BJ1239" s="556">
        <f t="shared" si="136"/>
        <v>0</v>
      </c>
      <c r="BK1239" s="556">
        <f t="shared" si="137"/>
        <v>0</v>
      </c>
      <c r="BL1239" s="556" t="str">
        <f t="shared" si="138"/>
        <v/>
      </c>
      <c r="BM1239" s="497">
        <f t="shared" si="139"/>
        <v>0</v>
      </c>
    </row>
    <row r="1240" spans="59:65">
      <c r="BG1240" s="556" t="str">
        <f t="shared" si="133"/>
        <v>O</v>
      </c>
      <c r="BH1240" s="556" t="str">
        <f t="shared" si="134"/>
        <v/>
      </c>
      <c r="BI1240" s="556" t="str">
        <f t="shared" si="135"/>
        <v/>
      </c>
      <c r="BJ1240" s="556">
        <f t="shared" si="136"/>
        <v>0</v>
      </c>
      <c r="BK1240" s="556">
        <f t="shared" si="137"/>
        <v>0</v>
      </c>
      <c r="BL1240" s="556" t="str">
        <f t="shared" si="138"/>
        <v/>
      </c>
      <c r="BM1240" s="497">
        <f t="shared" si="139"/>
        <v>0</v>
      </c>
    </row>
    <row r="1241" spans="59:65">
      <c r="BG1241" s="556" t="str">
        <f t="shared" si="133"/>
        <v>O</v>
      </c>
      <c r="BH1241" s="556" t="str">
        <f t="shared" si="134"/>
        <v/>
      </c>
      <c r="BI1241" s="556" t="str">
        <f t="shared" si="135"/>
        <v/>
      </c>
      <c r="BJ1241" s="556">
        <f t="shared" si="136"/>
        <v>0</v>
      </c>
      <c r="BK1241" s="556">
        <f t="shared" si="137"/>
        <v>0</v>
      </c>
      <c r="BL1241" s="556" t="str">
        <f t="shared" si="138"/>
        <v/>
      </c>
      <c r="BM1241" s="497">
        <f t="shared" si="139"/>
        <v>0</v>
      </c>
    </row>
    <row r="1242" spans="59:65">
      <c r="BG1242" s="556" t="str">
        <f t="shared" si="133"/>
        <v>O</v>
      </c>
      <c r="BH1242" s="556" t="str">
        <f t="shared" si="134"/>
        <v/>
      </c>
      <c r="BI1242" s="556" t="str">
        <f t="shared" si="135"/>
        <v/>
      </c>
      <c r="BJ1242" s="556">
        <f t="shared" si="136"/>
        <v>0</v>
      </c>
      <c r="BK1242" s="556">
        <f t="shared" si="137"/>
        <v>0</v>
      </c>
      <c r="BL1242" s="556" t="str">
        <f t="shared" si="138"/>
        <v/>
      </c>
      <c r="BM1242" s="497">
        <f t="shared" si="139"/>
        <v>0</v>
      </c>
    </row>
    <row r="1243" spans="59:65">
      <c r="BG1243" s="556" t="str">
        <f t="shared" si="133"/>
        <v>O</v>
      </c>
      <c r="BH1243" s="556" t="str">
        <f t="shared" si="134"/>
        <v/>
      </c>
      <c r="BI1243" s="556" t="str">
        <f t="shared" si="135"/>
        <v/>
      </c>
      <c r="BJ1243" s="556">
        <f t="shared" si="136"/>
        <v>0</v>
      </c>
      <c r="BK1243" s="556">
        <f t="shared" si="137"/>
        <v>0</v>
      </c>
      <c r="BL1243" s="556" t="str">
        <f t="shared" si="138"/>
        <v/>
      </c>
      <c r="BM1243" s="497">
        <f t="shared" si="139"/>
        <v>0</v>
      </c>
    </row>
    <row r="1244" spans="59:65">
      <c r="BG1244" s="556" t="str">
        <f t="shared" si="133"/>
        <v>O</v>
      </c>
      <c r="BH1244" s="556" t="str">
        <f t="shared" si="134"/>
        <v/>
      </c>
      <c r="BI1244" s="556" t="str">
        <f t="shared" si="135"/>
        <v/>
      </c>
      <c r="BJ1244" s="556">
        <f t="shared" si="136"/>
        <v>0</v>
      </c>
      <c r="BK1244" s="556">
        <f t="shared" si="137"/>
        <v>0</v>
      </c>
      <c r="BL1244" s="556" t="str">
        <f t="shared" si="138"/>
        <v/>
      </c>
      <c r="BM1244" s="497">
        <f t="shared" si="139"/>
        <v>0</v>
      </c>
    </row>
    <row r="1245" spans="59:65">
      <c r="BG1245" s="556" t="str">
        <f t="shared" si="133"/>
        <v>O</v>
      </c>
      <c r="BH1245" s="556" t="str">
        <f t="shared" si="134"/>
        <v/>
      </c>
      <c r="BI1245" s="556" t="str">
        <f t="shared" si="135"/>
        <v/>
      </c>
      <c r="BJ1245" s="556">
        <f t="shared" si="136"/>
        <v>0</v>
      </c>
      <c r="BK1245" s="556">
        <f t="shared" si="137"/>
        <v>0</v>
      </c>
      <c r="BL1245" s="556" t="str">
        <f t="shared" si="138"/>
        <v/>
      </c>
      <c r="BM1245" s="497">
        <f t="shared" si="139"/>
        <v>0</v>
      </c>
    </row>
    <row r="1246" spans="59:65">
      <c r="BG1246" s="556" t="str">
        <f t="shared" si="133"/>
        <v>O</v>
      </c>
      <c r="BH1246" s="556" t="str">
        <f t="shared" si="134"/>
        <v/>
      </c>
      <c r="BI1246" s="556" t="str">
        <f t="shared" si="135"/>
        <v/>
      </c>
      <c r="BJ1246" s="556">
        <f t="shared" si="136"/>
        <v>0</v>
      </c>
      <c r="BK1246" s="556">
        <f t="shared" si="137"/>
        <v>0</v>
      </c>
      <c r="BL1246" s="556" t="str">
        <f t="shared" si="138"/>
        <v/>
      </c>
      <c r="BM1246" s="497">
        <f t="shared" si="139"/>
        <v>0</v>
      </c>
    </row>
    <row r="1247" spans="59:65">
      <c r="BG1247" s="556" t="str">
        <f t="shared" si="133"/>
        <v>O</v>
      </c>
      <c r="BH1247" s="556" t="str">
        <f t="shared" si="134"/>
        <v/>
      </c>
      <c r="BI1247" s="556" t="str">
        <f t="shared" si="135"/>
        <v/>
      </c>
      <c r="BJ1247" s="556">
        <f t="shared" si="136"/>
        <v>0</v>
      </c>
      <c r="BK1247" s="556">
        <f t="shared" si="137"/>
        <v>0</v>
      </c>
      <c r="BL1247" s="556" t="str">
        <f t="shared" si="138"/>
        <v/>
      </c>
      <c r="BM1247" s="497">
        <f t="shared" si="139"/>
        <v>0</v>
      </c>
    </row>
    <row r="1248" spans="59:65">
      <c r="BG1248" s="556" t="str">
        <f t="shared" si="133"/>
        <v>O</v>
      </c>
      <c r="BH1248" s="556" t="str">
        <f t="shared" si="134"/>
        <v/>
      </c>
      <c r="BI1248" s="556" t="str">
        <f t="shared" si="135"/>
        <v/>
      </c>
      <c r="BJ1248" s="556">
        <f t="shared" si="136"/>
        <v>0</v>
      </c>
      <c r="BK1248" s="556">
        <f t="shared" si="137"/>
        <v>0</v>
      </c>
      <c r="BL1248" s="556" t="str">
        <f t="shared" si="138"/>
        <v/>
      </c>
      <c r="BM1248" s="497">
        <f t="shared" si="139"/>
        <v>0</v>
      </c>
    </row>
    <row r="1249" spans="59:65">
      <c r="BG1249" s="556" t="str">
        <f t="shared" si="133"/>
        <v>O</v>
      </c>
      <c r="BH1249" s="556" t="str">
        <f t="shared" si="134"/>
        <v/>
      </c>
      <c r="BI1249" s="556" t="str">
        <f t="shared" si="135"/>
        <v/>
      </c>
      <c r="BJ1249" s="556">
        <f t="shared" si="136"/>
        <v>0</v>
      </c>
      <c r="BK1249" s="556">
        <f t="shared" si="137"/>
        <v>0</v>
      </c>
      <c r="BL1249" s="556" t="str">
        <f t="shared" si="138"/>
        <v/>
      </c>
      <c r="BM1249" s="497">
        <f t="shared" si="139"/>
        <v>0</v>
      </c>
    </row>
    <row r="1250" spans="59:65">
      <c r="BG1250" s="556" t="str">
        <f t="shared" si="133"/>
        <v>O</v>
      </c>
      <c r="BH1250" s="556" t="str">
        <f t="shared" si="134"/>
        <v/>
      </c>
      <c r="BI1250" s="556" t="str">
        <f t="shared" si="135"/>
        <v/>
      </c>
      <c r="BJ1250" s="556">
        <f t="shared" si="136"/>
        <v>0</v>
      </c>
      <c r="BK1250" s="556">
        <f t="shared" si="137"/>
        <v>0</v>
      </c>
      <c r="BL1250" s="556" t="str">
        <f t="shared" si="138"/>
        <v/>
      </c>
      <c r="BM1250" s="497">
        <f t="shared" si="139"/>
        <v>0</v>
      </c>
    </row>
    <row r="1251" spans="59:65">
      <c r="BG1251" s="556" t="str">
        <f t="shared" si="133"/>
        <v>O</v>
      </c>
      <c r="BH1251" s="556" t="str">
        <f t="shared" si="134"/>
        <v/>
      </c>
      <c r="BI1251" s="556" t="str">
        <f t="shared" si="135"/>
        <v/>
      </c>
      <c r="BJ1251" s="556">
        <f t="shared" si="136"/>
        <v>0</v>
      </c>
      <c r="BK1251" s="556">
        <f t="shared" si="137"/>
        <v>0</v>
      </c>
      <c r="BL1251" s="556" t="str">
        <f t="shared" si="138"/>
        <v/>
      </c>
      <c r="BM1251" s="497">
        <f t="shared" si="139"/>
        <v>0</v>
      </c>
    </row>
    <row r="1252" spans="59:65">
      <c r="BG1252" s="556" t="str">
        <f t="shared" si="133"/>
        <v>O</v>
      </c>
      <c r="BH1252" s="556" t="str">
        <f t="shared" si="134"/>
        <v/>
      </c>
      <c r="BI1252" s="556" t="str">
        <f t="shared" si="135"/>
        <v/>
      </c>
      <c r="BJ1252" s="556">
        <f t="shared" si="136"/>
        <v>0</v>
      </c>
      <c r="BK1252" s="556">
        <f t="shared" si="137"/>
        <v>0</v>
      </c>
      <c r="BL1252" s="556" t="str">
        <f t="shared" si="138"/>
        <v/>
      </c>
      <c r="BM1252" s="497">
        <f t="shared" si="139"/>
        <v>0</v>
      </c>
    </row>
    <row r="1253" spans="59:65">
      <c r="BG1253" s="556" t="str">
        <f t="shared" si="133"/>
        <v>O</v>
      </c>
      <c r="BH1253" s="556" t="str">
        <f t="shared" si="134"/>
        <v/>
      </c>
      <c r="BI1253" s="556" t="str">
        <f t="shared" si="135"/>
        <v/>
      </c>
      <c r="BJ1253" s="556">
        <f t="shared" si="136"/>
        <v>0</v>
      </c>
      <c r="BK1253" s="556">
        <f t="shared" si="137"/>
        <v>0</v>
      </c>
      <c r="BL1253" s="556" t="str">
        <f t="shared" si="138"/>
        <v/>
      </c>
      <c r="BM1253" s="497">
        <f t="shared" si="139"/>
        <v>0</v>
      </c>
    </row>
    <row r="1254" spans="59:65">
      <c r="BG1254" s="556" t="str">
        <f t="shared" si="133"/>
        <v>O</v>
      </c>
      <c r="BH1254" s="556" t="str">
        <f t="shared" si="134"/>
        <v/>
      </c>
      <c r="BI1254" s="556" t="str">
        <f t="shared" si="135"/>
        <v/>
      </c>
      <c r="BJ1254" s="556">
        <f t="shared" si="136"/>
        <v>0</v>
      </c>
      <c r="BK1254" s="556">
        <f t="shared" si="137"/>
        <v>0</v>
      </c>
      <c r="BL1254" s="556" t="str">
        <f t="shared" si="138"/>
        <v/>
      </c>
      <c r="BM1254" s="497">
        <f t="shared" si="139"/>
        <v>0</v>
      </c>
    </row>
    <row r="1255" spans="59:65">
      <c r="BG1255" s="556" t="str">
        <f t="shared" si="133"/>
        <v>O</v>
      </c>
      <c r="BH1255" s="556" t="str">
        <f t="shared" si="134"/>
        <v/>
      </c>
      <c r="BI1255" s="556" t="str">
        <f t="shared" si="135"/>
        <v/>
      </c>
      <c r="BJ1255" s="556">
        <f t="shared" si="136"/>
        <v>0</v>
      </c>
      <c r="BK1255" s="556">
        <f t="shared" si="137"/>
        <v>0</v>
      </c>
      <c r="BL1255" s="556" t="str">
        <f t="shared" si="138"/>
        <v/>
      </c>
      <c r="BM1255" s="497">
        <f t="shared" si="139"/>
        <v>0</v>
      </c>
    </row>
    <row r="1256" spans="59:65">
      <c r="BG1256" s="556" t="str">
        <f t="shared" si="133"/>
        <v>O</v>
      </c>
      <c r="BH1256" s="556" t="str">
        <f t="shared" si="134"/>
        <v/>
      </c>
      <c r="BI1256" s="556" t="str">
        <f t="shared" si="135"/>
        <v/>
      </c>
      <c r="BJ1256" s="556">
        <f t="shared" si="136"/>
        <v>0</v>
      </c>
      <c r="BK1256" s="556">
        <f t="shared" si="137"/>
        <v>0</v>
      </c>
      <c r="BL1256" s="556" t="str">
        <f t="shared" si="138"/>
        <v/>
      </c>
      <c r="BM1256" s="497">
        <f t="shared" si="139"/>
        <v>0</v>
      </c>
    </row>
    <row r="1257" spans="59:65">
      <c r="BG1257" s="556" t="str">
        <f t="shared" si="133"/>
        <v>O</v>
      </c>
      <c r="BH1257" s="556" t="str">
        <f t="shared" si="134"/>
        <v/>
      </c>
      <c r="BI1257" s="556" t="str">
        <f t="shared" si="135"/>
        <v/>
      </c>
      <c r="BJ1257" s="556">
        <f t="shared" si="136"/>
        <v>0</v>
      </c>
      <c r="BK1257" s="556">
        <f t="shared" si="137"/>
        <v>0</v>
      </c>
      <c r="BL1257" s="556" t="str">
        <f t="shared" si="138"/>
        <v/>
      </c>
      <c r="BM1257" s="497">
        <f t="shared" si="139"/>
        <v>0</v>
      </c>
    </row>
    <row r="1258" spans="59:65">
      <c r="BG1258" s="556" t="str">
        <f t="shared" si="133"/>
        <v>O</v>
      </c>
      <c r="BH1258" s="556" t="str">
        <f t="shared" si="134"/>
        <v/>
      </c>
      <c r="BI1258" s="556" t="str">
        <f t="shared" si="135"/>
        <v/>
      </c>
      <c r="BJ1258" s="556">
        <f t="shared" si="136"/>
        <v>0</v>
      </c>
      <c r="BK1258" s="556">
        <f t="shared" si="137"/>
        <v>0</v>
      </c>
      <c r="BL1258" s="556" t="str">
        <f t="shared" si="138"/>
        <v/>
      </c>
      <c r="BM1258" s="497">
        <f t="shared" si="139"/>
        <v>0</v>
      </c>
    </row>
    <row r="1259" spans="59:65">
      <c r="BG1259" s="556" t="str">
        <f t="shared" si="133"/>
        <v>O</v>
      </c>
      <c r="BH1259" s="556" t="str">
        <f t="shared" si="134"/>
        <v/>
      </c>
      <c r="BI1259" s="556" t="str">
        <f t="shared" si="135"/>
        <v/>
      </c>
      <c r="BJ1259" s="556">
        <f t="shared" si="136"/>
        <v>0</v>
      </c>
      <c r="BK1259" s="556">
        <f t="shared" si="137"/>
        <v>0</v>
      </c>
      <c r="BL1259" s="556" t="str">
        <f t="shared" si="138"/>
        <v/>
      </c>
      <c r="BM1259" s="497">
        <f t="shared" si="139"/>
        <v>0</v>
      </c>
    </row>
    <row r="1260" spans="59:65">
      <c r="BG1260" s="556" t="str">
        <f t="shared" si="133"/>
        <v>O</v>
      </c>
      <c r="BH1260" s="556" t="str">
        <f t="shared" si="134"/>
        <v/>
      </c>
      <c r="BI1260" s="556" t="str">
        <f t="shared" si="135"/>
        <v/>
      </c>
      <c r="BJ1260" s="556">
        <f t="shared" si="136"/>
        <v>0</v>
      </c>
      <c r="BK1260" s="556">
        <f t="shared" si="137"/>
        <v>0</v>
      </c>
      <c r="BL1260" s="556" t="str">
        <f t="shared" si="138"/>
        <v/>
      </c>
      <c r="BM1260" s="497">
        <f t="shared" si="139"/>
        <v>0</v>
      </c>
    </row>
    <row r="1261" spans="59:65">
      <c r="BG1261" s="556" t="str">
        <f t="shared" si="133"/>
        <v>O</v>
      </c>
      <c r="BH1261" s="556" t="str">
        <f t="shared" si="134"/>
        <v/>
      </c>
      <c r="BI1261" s="556" t="str">
        <f t="shared" si="135"/>
        <v/>
      </c>
      <c r="BJ1261" s="556">
        <f t="shared" si="136"/>
        <v>0</v>
      </c>
      <c r="BK1261" s="556">
        <f t="shared" si="137"/>
        <v>0</v>
      </c>
      <c r="BL1261" s="556" t="str">
        <f t="shared" si="138"/>
        <v/>
      </c>
      <c r="BM1261" s="497">
        <f t="shared" si="139"/>
        <v>0</v>
      </c>
    </row>
    <row r="1262" spans="59:65">
      <c r="BG1262" s="556" t="str">
        <f t="shared" si="133"/>
        <v>O</v>
      </c>
      <c r="BH1262" s="556" t="str">
        <f t="shared" si="134"/>
        <v/>
      </c>
      <c r="BI1262" s="556" t="str">
        <f t="shared" si="135"/>
        <v/>
      </c>
      <c r="BJ1262" s="556">
        <f t="shared" si="136"/>
        <v>0</v>
      </c>
      <c r="BK1262" s="556">
        <f t="shared" si="137"/>
        <v>0</v>
      </c>
      <c r="BL1262" s="556" t="str">
        <f t="shared" si="138"/>
        <v/>
      </c>
      <c r="BM1262" s="497">
        <f t="shared" si="139"/>
        <v>0</v>
      </c>
    </row>
    <row r="1263" spans="59:65">
      <c r="BG1263" s="556" t="str">
        <f t="shared" si="133"/>
        <v>O</v>
      </c>
      <c r="BH1263" s="556" t="str">
        <f t="shared" si="134"/>
        <v/>
      </c>
      <c r="BI1263" s="556" t="str">
        <f t="shared" si="135"/>
        <v/>
      </c>
      <c r="BJ1263" s="556">
        <f t="shared" si="136"/>
        <v>0</v>
      </c>
      <c r="BK1263" s="556">
        <f t="shared" si="137"/>
        <v>0</v>
      </c>
      <c r="BL1263" s="556" t="str">
        <f t="shared" si="138"/>
        <v/>
      </c>
      <c r="BM1263" s="497">
        <f t="shared" si="139"/>
        <v>0</v>
      </c>
    </row>
    <row r="1264" spans="59:65">
      <c r="BG1264" s="556" t="str">
        <f t="shared" si="133"/>
        <v>O</v>
      </c>
      <c r="BH1264" s="556" t="str">
        <f t="shared" si="134"/>
        <v/>
      </c>
      <c r="BI1264" s="556" t="str">
        <f t="shared" si="135"/>
        <v/>
      </c>
      <c r="BJ1264" s="556">
        <f t="shared" si="136"/>
        <v>0</v>
      </c>
      <c r="BK1264" s="556">
        <f t="shared" si="137"/>
        <v>0</v>
      </c>
      <c r="BL1264" s="556" t="str">
        <f t="shared" si="138"/>
        <v/>
      </c>
      <c r="BM1264" s="497">
        <f t="shared" si="139"/>
        <v>0</v>
      </c>
    </row>
    <row r="1265" spans="59:65">
      <c r="BG1265" s="556" t="str">
        <f t="shared" si="133"/>
        <v>O</v>
      </c>
      <c r="BH1265" s="556" t="str">
        <f t="shared" si="134"/>
        <v/>
      </c>
      <c r="BI1265" s="556" t="str">
        <f t="shared" si="135"/>
        <v/>
      </c>
      <c r="BJ1265" s="556">
        <f t="shared" si="136"/>
        <v>0</v>
      </c>
      <c r="BK1265" s="556">
        <f t="shared" si="137"/>
        <v>0</v>
      </c>
      <c r="BL1265" s="556" t="str">
        <f t="shared" si="138"/>
        <v/>
      </c>
      <c r="BM1265" s="497">
        <f t="shared" si="139"/>
        <v>0</v>
      </c>
    </row>
    <row r="1266" spans="59:65">
      <c r="BG1266" s="556" t="str">
        <f t="shared" si="133"/>
        <v>O</v>
      </c>
      <c r="BH1266" s="556" t="str">
        <f t="shared" si="134"/>
        <v/>
      </c>
      <c r="BI1266" s="556" t="str">
        <f t="shared" si="135"/>
        <v/>
      </c>
      <c r="BJ1266" s="556">
        <f t="shared" si="136"/>
        <v>0</v>
      </c>
      <c r="BK1266" s="556">
        <f t="shared" si="137"/>
        <v>0</v>
      </c>
      <c r="BL1266" s="556" t="str">
        <f t="shared" si="138"/>
        <v/>
      </c>
      <c r="BM1266" s="497">
        <f t="shared" si="139"/>
        <v>0</v>
      </c>
    </row>
    <row r="1267" spans="59:65">
      <c r="BG1267" s="556" t="str">
        <f t="shared" si="133"/>
        <v>O</v>
      </c>
      <c r="BH1267" s="556" t="str">
        <f t="shared" si="134"/>
        <v/>
      </c>
      <c r="BI1267" s="556" t="str">
        <f t="shared" si="135"/>
        <v/>
      </c>
      <c r="BJ1267" s="556">
        <f t="shared" si="136"/>
        <v>0</v>
      </c>
      <c r="BK1267" s="556">
        <f t="shared" si="137"/>
        <v>0</v>
      </c>
      <c r="BL1267" s="556" t="str">
        <f t="shared" si="138"/>
        <v/>
      </c>
      <c r="BM1267" s="497">
        <f t="shared" si="139"/>
        <v>0</v>
      </c>
    </row>
    <row r="1268" spans="59:65">
      <c r="BG1268" s="556" t="str">
        <f t="shared" si="133"/>
        <v>O</v>
      </c>
      <c r="BH1268" s="556" t="str">
        <f t="shared" si="134"/>
        <v/>
      </c>
      <c r="BI1268" s="556" t="str">
        <f t="shared" si="135"/>
        <v/>
      </c>
      <c r="BJ1268" s="556">
        <f t="shared" si="136"/>
        <v>0</v>
      </c>
      <c r="BK1268" s="556">
        <f t="shared" si="137"/>
        <v>0</v>
      </c>
      <c r="BL1268" s="556" t="str">
        <f t="shared" si="138"/>
        <v/>
      </c>
      <c r="BM1268" s="497">
        <f t="shared" si="139"/>
        <v>0</v>
      </c>
    </row>
    <row r="1269" spans="59:65">
      <c r="BG1269" s="556" t="str">
        <f t="shared" si="133"/>
        <v>O</v>
      </c>
      <c r="BH1269" s="556" t="str">
        <f t="shared" si="134"/>
        <v/>
      </c>
      <c r="BI1269" s="556" t="str">
        <f t="shared" si="135"/>
        <v/>
      </c>
      <c r="BJ1269" s="556">
        <f t="shared" si="136"/>
        <v>0</v>
      </c>
      <c r="BK1269" s="556">
        <f t="shared" si="137"/>
        <v>0</v>
      </c>
      <c r="BL1269" s="556" t="str">
        <f t="shared" si="138"/>
        <v/>
      </c>
      <c r="BM1269" s="497">
        <f t="shared" si="139"/>
        <v>0</v>
      </c>
    </row>
    <row r="1270" spans="59:65">
      <c r="BG1270" s="556" t="str">
        <f t="shared" si="133"/>
        <v>O</v>
      </c>
      <c r="BH1270" s="556" t="str">
        <f t="shared" si="134"/>
        <v/>
      </c>
      <c r="BI1270" s="556" t="str">
        <f t="shared" si="135"/>
        <v/>
      </c>
      <c r="BJ1270" s="556">
        <f t="shared" si="136"/>
        <v>0</v>
      </c>
      <c r="BK1270" s="556">
        <f t="shared" si="137"/>
        <v>0</v>
      </c>
      <c r="BL1270" s="556" t="str">
        <f t="shared" si="138"/>
        <v/>
      </c>
      <c r="BM1270" s="497">
        <f t="shared" si="139"/>
        <v>0</v>
      </c>
    </row>
    <row r="1271" spans="59:65">
      <c r="BG1271" s="556" t="str">
        <f t="shared" si="133"/>
        <v>O</v>
      </c>
      <c r="BH1271" s="556" t="str">
        <f t="shared" si="134"/>
        <v/>
      </c>
      <c r="BI1271" s="556" t="str">
        <f t="shared" si="135"/>
        <v/>
      </c>
      <c r="BJ1271" s="556">
        <f t="shared" si="136"/>
        <v>0</v>
      </c>
      <c r="BK1271" s="556">
        <f t="shared" si="137"/>
        <v>0</v>
      </c>
      <c r="BL1271" s="556" t="str">
        <f t="shared" si="138"/>
        <v/>
      </c>
      <c r="BM1271" s="497">
        <f t="shared" si="139"/>
        <v>0</v>
      </c>
    </row>
    <row r="1272" spans="59:65">
      <c r="BG1272" s="556" t="str">
        <f t="shared" si="133"/>
        <v>O</v>
      </c>
      <c r="BH1272" s="556" t="str">
        <f t="shared" si="134"/>
        <v/>
      </c>
      <c r="BI1272" s="556" t="str">
        <f t="shared" si="135"/>
        <v/>
      </c>
      <c r="BJ1272" s="556">
        <f t="shared" si="136"/>
        <v>0</v>
      </c>
      <c r="BK1272" s="556">
        <f t="shared" si="137"/>
        <v>0</v>
      </c>
      <c r="BL1272" s="556" t="str">
        <f t="shared" si="138"/>
        <v/>
      </c>
      <c r="BM1272" s="497">
        <f t="shared" si="139"/>
        <v>0</v>
      </c>
    </row>
    <row r="1273" spans="59:65">
      <c r="BG1273" s="556" t="str">
        <f t="shared" si="133"/>
        <v>O</v>
      </c>
      <c r="BH1273" s="556" t="str">
        <f t="shared" si="134"/>
        <v/>
      </c>
      <c r="BI1273" s="556" t="str">
        <f t="shared" si="135"/>
        <v/>
      </c>
      <c r="BJ1273" s="556">
        <f t="shared" si="136"/>
        <v>0</v>
      </c>
      <c r="BK1273" s="556">
        <f t="shared" si="137"/>
        <v>0</v>
      </c>
      <c r="BL1273" s="556" t="str">
        <f t="shared" si="138"/>
        <v/>
      </c>
      <c r="BM1273" s="497">
        <f t="shared" si="139"/>
        <v>0</v>
      </c>
    </row>
    <row r="1274" spans="59:65">
      <c r="BG1274" s="556" t="str">
        <f t="shared" si="133"/>
        <v>O</v>
      </c>
      <c r="BH1274" s="556" t="str">
        <f t="shared" si="134"/>
        <v/>
      </c>
      <c r="BI1274" s="556" t="str">
        <f t="shared" si="135"/>
        <v/>
      </c>
      <c r="BJ1274" s="556">
        <f t="shared" si="136"/>
        <v>0</v>
      </c>
      <c r="BK1274" s="556">
        <f t="shared" si="137"/>
        <v>0</v>
      </c>
      <c r="BL1274" s="556" t="str">
        <f t="shared" si="138"/>
        <v/>
      </c>
      <c r="BM1274" s="497">
        <f t="shared" si="139"/>
        <v>0</v>
      </c>
    </row>
    <row r="1275" spans="59:65">
      <c r="BG1275" s="556" t="str">
        <f t="shared" si="133"/>
        <v>O</v>
      </c>
      <c r="BH1275" s="556" t="str">
        <f t="shared" si="134"/>
        <v/>
      </c>
      <c r="BI1275" s="556" t="str">
        <f t="shared" si="135"/>
        <v/>
      </c>
      <c r="BJ1275" s="556">
        <f t="shared" si="136"/>
        <v>0</v>
      </c>
      <c r="BK1275" s="556">
        <f t="shared" si="137"/>
        <v>0</v>
      </c>
      <c r="BL1275" s="556" t="str">
        <f t="shared" si="138"/>
        <v/>
      </c>
      <c r="BM1275" s="497">
        <f t="shared" si="139"/>
        <v>0</v>
      </c>
    </row>
    <row r="1276" spans="59:65">
      <c r="BG1276" s="556" t="str">
        <f t="shared" si="133"/>
        <v>O</v>
      </c>
      <c r="BH1276" s="556" t="str">
        <f t="shared" si="134"/>
        <v/>
      </c>
      <c r="BI1276" s="556" t="str">
        <f t="shared" si="135"/>
        <v/>
      </c>
      <c r="BJ1276" s="556">
        <f t="shared" si="136"/>
        <v>0</v>
      </c>
      <c r="BK1276" s="556">
        <f t="shared" si="137"/>
        <v>0</v>
      </c>
      <c r="BL1276" s="556" t="str">
        <f t="shared" si="138"/>
        <v/>
      </c>
      <c r="BM1276" s="497">
        <f t="shared" si="139"/>
        <v>0</v>
      </c>
    </row>
    <row r="1277" spans="59:65">
      <c r="BG1277" s="556" t="str">
        <f t="shared" si="133"/>
        <v>O</v>
      </c>
      <c r="BH1277" s="556" t="str">
        <f t="shared" si="134"/>
        <v/>
      </c>
      <c r="BI1277" s="556" t="str">
        <f t="shared" si="135"/>
        <v/>
      </c>
      <c r="BJ1277" s="556">
        <f t="shared" si="136"/>
        <v>0</v>
      </c>
      <c r="BK1277" s="556">
        <f t="shared" si="137"/>
        <v>0</v>
      </c>
      <c r="BL1277" s="556" t="str">
        <f t="shared" si="138"/>
        <v/>
      </c>
      <c r="BM1277" s="497">
        <f t="shared" si="139"/>
        <v>0</v>
      </c>
    </row>
    <row r="1278" spans="59:65">
      <c r="BG1278" s="556" t="str">
        <f t="shared" si="133"/>
        <v>O</v>
      </c>
      <c r="BH1278" s="556" t="str">
        <f t="shared" si="134"/>
        <v/>
      </c>
      <c r="BI1278" s="556" t="str">
        <f t="shared" si="135"/>
        <v/>
      </c>
      <c r="BJ1278" s="556">
        <f t="shared" si="136"/>
        <v>0</v>
      </c>
      <c r="BK1278" s="556">
        <f t="shared" si="137"/>
        <v>0</v>
      </c>
      <c r="BL1278" s="556" t="str">
        <f t="shared" si="138"/>
        <v/>
      </c>
      <c r="BM1278" s="497">
        <f t="shared" si="139"/>
        <v>0</v>
      </c>
    </row>
    <row r="1279" spans="59:65">
      <c r="BG1279" s="556" t="str">
        <f t="shared" si="133"/>
        <v>O</v>
      </c>
      <c r="BH1279" s="556" t="str">
        <f t="shared" si="134"/>
        <v/>
      </c>
      <c r="BI1279" s="556" t="str">
        <f t="shared" si="135"/>
        <v/>
      </c>
      <c r="BJ1279" s="556">
        <f t="shared" si="136"/>
        <v>0</v>
      </c>
      <c r="BK1279" s="556">
        <f t="shared" si="137"/>
        <v>0</v>
      </c>
      <c r="BL1279" s="556" t="str">
        <f t="shared" si="138"/>
        <v/>
      </c>
      <c r="BM1279" s="497">
        <f t="shared" si="139"/>
        <v>0</v>
      </c>
    </row>
    <row r="1280" spans="59:65">
      <c r="BG1280" s="556" t="str">
        <f t="shared" si="133"/>
        <v>O</v>
      </c>
      <c r="BH1280" s="556" t="str">
        <f t="shared" si="134"/>
        <v/>
      </c>
      <c r="BI1280" s="556" t="str">
        <f t="shared" si="135"/>
        <v/>
      </c>
      <c r="BJ1280" s="556">
        <f t="shared" si="136"/>
        <v>0</v>
      </c>
      <c r="BK1280" s="556">
        <f t="shared" si="137"/>
        <v>0</v>
      </c>
      <c r="BL1280" s="556" t="str">
        <f t="shared" si="138"/>
        <v/>
      </c>
      <c r="BM1280" s="497">
        <f t="shared" si="139"/>
        <v>0</v>
      </c>
    </row>
    <row r="1281" spans="59:65">
      <c r="BG1281" s="556" t="str">
        <f t="shared" si="133"/>
        <v>O</v>
      </c>
      <c r="BH1281" s="556" t="str">
        <f t="shared" si="134"/>
        <v/>
      </c>
      <c r="BI1281" s="556" t="str">
        <f t="shared" si="135"/>
        <v/>
      </c>
      <c r="BJ1281" s="556">
        <f t="shared" si="136"/>
        <v>0</v>
      </c>
      <c r="BK1281" s="556">
        <f t="shared" si="137"/>
        <v>0</v>
      </c>
      <c r="BL1281" s="556" t="str">
        <f t="shared" si="138"/>
        <v/>
      </c>
      <c r="BM1281" s="497">
        <f t="shared" si="139"/>
        <v>0</v>
      </c>
    </row>
    <row r="1282" spans="59:65">
      <c r="BG1282" s="556" t="str">
        <f t="shared" si="133"/>
        <v>O</v>
      </c>
      <c r="BH1282" s="556" t="str">
        <f t="shared" si="134"/>
        <v/>
      </c>
      <c r="BI1282" s="556" t="str">
        <f t="shared" si="135"/>
        <v/>
      </c>
      <c r="BJ1282" s="556">
        <f t="shared" si="136"/>
        <v>0</v>
      </c>
      <c r="BK1282" s="556">
        <f t="shared" si="137"/>
        <v>0</v>
      </c>
      <c r="BL1282" s="556" t="str">
        <f t="shared" si="138"/>
        <v/>
      </c>
      <c r="BM1282" s="497">
        <f t="shared" si="139"/>
        <v>0</v>
      </c>
    </row>
    <row r="1283" spans="59:65">
      <c r="BG1283" s="556" t="str">
        <f t="shared" ref="BG1283:BG1346" si="140">IF(LEFT(AY1283,2)="98","X","O")</f>
        <v>O</v>
      </c>
      <c r="BH1283" s="556" t="str">
        <f t="shared" ref="BH1283:BH1346" si="141">IF(IFERROR(SEARCH("45",$AY1283,1),0)&gt;0,"Y","")</f>
        <v/>
      </c>
      <c r="BI1283" s="556" t="str">
        <f t="shared" ref="BI1283:BI1346" si="142">IF(IFERROR(SEARCH("86",$AY1283,1),0)&gt;0,"Y","")</f>
        <v/>
      </c>
      <c r="BJ1283" s="556">
        <f t="shared" ref="BJ1283:BJ1346" si="143">IF(L1283="",K1283,IF(M1283="",K1283&amp;","&amp;L1283,IF(N1283="",K1283&amp;","&amp;L1283&amp;","&amp;M1283,K1283&amp;","&amp;L1283&amp;","&amp;M1283&amp;","&amp;N1283)))</f>
        <v>0</v>
      </c>
      <c r="BK1283" s="556">
        <f t="shared" ref="BK1283:BK1346" si="144">IF(P1283="",O1283,IF(Q1283="",O1283&amp;","&amp;P1283,IF(R1283="",O1283&amp;","&amp;P1283&amp;","&amp;Q1283,IO1283&amp;","&amp;P1283&amp;","&amp;Q1283&amp;","&amp;R1283)))</f>
        <v>0</v>
      </c>
      <c r="BL1283" s="556" t="str">
        <f t="shared" ref="BL1283:BL1346" si="145">IF(S1283=0,"",S1283)</f>
        <v/>
      </c>
      <c r="BM1283" s="497">
        <f t="shared" ref="BM1283:BM1346" si="146">A1283</f>
        <v>0</v>
      </c>
    </row>
    <row r="1284" spans="59:65">
      <c r="BG1284" s="556" t="str">
        <f t="shared" si="140"/>
        <v>O</v>
      </c>
      <c r="BH1284" s="556" t="str">
        <f t="shared" si="141"/>
        <v/>
      </c>
      <c r="BI1284" s="556" t="str">
        <f t="shared" si="142"/>
        <v/>
      </c>
      <c r="BJ1284" s="556">
        <f t="shared" si="143"/>
        <v>0</v>
      </c>
      <c r="BK1284" s="556">
        <f t="shared" si="144"/>
        <v>0</v>
      </c>
      <c r="BL1284" s="556" t="str">
        <f t="shared" si="145"/>
        <v/>
      </c>
      <c r="BM1284" s="497">
        <f t="shared" si="146"/>
        <v>0</v>
      </c>
    </row>
    <row r="1285" spans="59:65">
      <c r="BG1285" s="556" t="str">
        <f t="shared" si="140"/>
        <v>O</v>
      </c>
      <c r="BH1285" s="556" t="str">
        <f t="shared" si="141"/>
        <v/>
      </c>
      <c r="BI1285" s="556" t="str">
        <f t="shared" si="142"/>
        <v/>
      </c>
      <c r="BJ1285" s="556">
        <f t="shared" si="143"/>
        <v>0</v>
      </c>
      <c r="BK1285" s="556">
        <f t="shared" si="144"/>
        <v>0</v>
      </c>
      <c r="BL1285" s="556" t="str">
        <f t="shared" si="145"/>
        <v/>
      </c>
      <c r="BM1285" s="497">
        <f t="shared" si="146"/>
        <v>0</v>
      </c>
    </row>
    <row r="1286" spans="59:65">
      <c r="BG1286" s="556" t="str">
        <f t="shared" si="140"/>
        <v>O</v>
      </c>
      <c r="BH1286" s="556" t="str">
        <f t="shared" si="141"/>
        <v/>
      </c>
      <c r="BI1286" s="556" t="str">
        <f t="shared" si="142"/>
        <v/>
      </c>
      <c r="BJ1286" s="556">
        <f t="shared" si="143"/>
        <v>0</v>
      </c>
      <c r="BK1286" s="556">
        <f t="shared" si="144"/>
        <v>0</v>
      </c>
      <c r="BL1286" s="556" t="str">
        <f t="shared" si="145"/>
        <v/>
      </c>
      <c r="BM1286" s="497">
        <f t="shared" si="146"/>
        <v>0</v>
      </c>
    </row>
    <row r="1287" spans="59:65">
      <c r="BG1287" s="556" t="str">
        <f t="shared" si="140"/>
        <v>O</v>
      </c>
      <c r="BH1287" s="556" t="str">
        <f t="shared" si="141"/>
        <v/>
      </c>
      <c r="BI1287" s="556" t="str">
        <f t="shared" si="142"/>
        <v/>
      </c>
      <c r="BJ1287" s="556">
        <f t="shared" si="143"/>
        <v>0</v>
      </c>
      <c r="BK1287" s="556">
        <f t="shared" si="144"/>
        <v>0</v>
      </c>
      <c r="BL1287" s="556" t="str">
        <f t="shared" si="145"/>
        <v/>
      </c>
      <c r="BM1287" s="497">
        <f t="shared" si="146"/>
        <v>0</v>
      </c>
    </row>
    <row r="1288" spans="59:65">
      <c r="BG1288" s="556" t="str">
        <f t="shared" si="140"/>
        <v>O</v>
      </c>
      <c r="BH1288" s="556" t="str">
        <f t="shared" si="141"/>
        <v/>
      </c>
      <c r="BI1288" s="556" t="str">
        <f t="shared" si="142"/>
        <v/>
      </c>
      <c r="BJ1288" s="556">
        <f t="shared" si="143"/>
        <v>0</v>
      </c>
      <c r="BK1288" s="556">
        <f t="shared" si="144"/>
        <v>0</v>
      </c>
      <c r="BL1288" s="556" t="str">
        <f t="shared" si="145"/>
        <v/>
      </c>
      <c r="BM1288" s="497">
        <f t="shared" si="146"/>
        <v>0</v>
      </c>
    </row>
    <row r="1289" spans="59:65">
      <c r="BG1289" s="556" t="str">
        <f t="shared" si="140"/>
        <v>O</v>
      </c>
      <c r="BH1289" s="556" t="str">
        <f t="shared" si="141"/>
        <v/>
      </c>
      <c r="BI1289" s="556" t="str">
        <f t="shared" si="142"/>
        <v/>
      </c>
      <c r="BJ1289" s="556">
        <f t="shared" si="143"/>
        <v>0</v>
      </c>
      <c r="BK1289" s="556">
        <f t="shared" si="144"/>
        <v>0</v>
      </c>
      <c r="BL1289" s="556" t="str">
        <f t="shared" si="145"/>
        <v/>
      </c>
      <c r="BM1289" s="497">
        <f t="shared" si="146"/>
        <v>0</v>
      </c>
    </row>
    <row r="1290" spans="59:65">
      <c r="BG1290" s="556" t="str">
        <f t="shared" si="140"/>
        <v>O</v>
      </c>
      <c r="BH1290" s="556" t="str">
        <f t="shared" si="141"/>
        <v/>
      </c>
      <c r="BI1290" s="556" t="str">
        <f t="shared" si="142"/>
        <v/>
      </c>
      <c r="BJ1290" s="556">
        <f t="shared" si="143"/>
        <v>0</v>
      </c>
      <c r="BK1290" s="556">
        <f t="shared" si="144"/>
        <v>0</v>
      </c>
      <c r="BL1290" s="556" t="str">
        <f t="shared" si="145"/>
        <v/>
      </c>
      <c r="BM1290" s="497">
        <f t="shared" si="146"/>
        <v>0</v>
      </c>
    </row>
    <row r="1291" spans="59:65">
      <c r="BG1291" s="556" t="str">
        <f t="shared" si="140"/>
        <v>O</v>
      </c>
      <c r="BH1291" s="556" t="str">
        <f t="shared" si="141"/>
        <v/>
      </c>
      <c r="BI1291" s="556" t="str">
        <f t="shared" si="142"/>
        <v/>
      </c>
      <c r="BJ1291" s="556">
        <f t="shared" si="143"/>
        <v>0</v>
      </c>
      <c r="BK1291" s="556">
        <f t="shared" si="144"/>
        <v>0</v>
      </c>
      <c r="BL1291" s="556" t="str">
        <f t="shared" si="145"/>
        <v/>
      </c>
      <c r="BM1291" s="497">
        <f t="shared" si="146"/>
        <v>0</v>
      </c>
    </row>
    <row r="1292" spans="59:65">
      <c r="BG1292" s="556" t="str">
        <f t="shared" si="140"/>
        <v>O</v>
      </c>
      <c r="BH1292" s="556" t="str">
        <f t="shared" si="141"/>
        <v/>
      </c>
      <c r="BI1292" s="556" t="str">
        <f t="shared" si="142"/>
        <v/>
      </c>
      <c r="BJ1292" s="556">
        <f t="shared" si="143"/>
        <v>0</v>
      </c>
      <c r="BK1292" s="556">
        <f t="shared" si="144"/>
        <v>0</v>
      </c>
      <c r="BL1292" s="556" t="str">
        <f t="shared" si="145"/>
        <v/>
      </c>
      <c r="BM1292" s="497">
        <f t="shared" si="146"/>
        <v>0</v>
      </c>
    </row>
    <row r="1293" spans="59:65">
      <c r="BG1293" s="556" t="str">
        <f t="shared" si="140"/>
        <v>O</v>
      </c>
      <c r="BH1293" s="556" t="str">
        <f t="shared" si="141"/>
        <v/>
      </c>
      <c r="BI1293" s="556" t="str">
        <f t="shared" si="142"/>
        <v/>
      </c>
      <c r="BJ1293" s="556">
        <f t="shared" si="143"/>
        <v>0</v>
      </c>
      <c r="BK1293" s="556">
        <f t="shared" si="144"/>
        <v>0</v>
      </c>
      <c r="BL1293" s="556" t="str">
        <f t="shared" si="145"/>
        <v/>
      </c>
      <c r="BM1293" s="497">
        <f t="shared" si="146"/>
        <v>0</v>
      </c>
    </row>
    <row r="1294" spans="59:65">
      <c r="BG1294" s="556" t="str">
        <f t="shared" si="140"/>
        <v>O</v>
      </c>
      <c r="BH1294" s="556" t="str">
        <f t="shared" si="141"/>
        <v/>
      </c>
      <c r="BI1294" s="556" t="str">
        <f t="shared" si="142"/>
        <v/>
      </c>
      <c r="BJ1294" s="556">
        <f t="shared" si="143"/>
        <v>0</v>
      </c>
      <c r="BK1294" s="556">
        <f t="shared" si="144"/>
        <v>0</v>
      </c>
      <c r="BL1294" s="556" t="str">
        <f t="shared" si="145"/>
        <v/>
      </c>
      <c r="BM1294" s="497">
        <f t="shared" si="146"/>
        <v>0</v>
      </c>
    </row>
    <row r="1295" spans="59:65">
      <c r="BG1295" s="556" t="str">
        <f t="shared" si="140"/>
        <v>O</v>
      </c>
      <c r="BH1295" s="556" t="str">
        <f t="shared" si="141"/>
        <v/>
      </c>
      <c r="BI1295" s="556" t="str">
        <f t="shared" si="142"/>
        <v/>
      </c>
      <c r="BJ1295" s="556">
        <f t="shared" si="143"/>
        <v>0</v>
      </c>
      <c r="BK1295" s="556">
        <f t="shared" si="144"/>
        <v>0</v>
      </c>
      <c r="BL1295" s="556" t="str">
        <f t="shared" si="145"/>
        <v/>
      </c>
      <c r="BM1295" s="497">
        <f t="shared" si="146"/>
        <v>0</v>
      </c>
    </row>
    <row r="1296" spans="59:65">
      <c r="BG1296" s="556" t="str">
        <f t="shared" si="140"/>
        <v>O</v>
      </c>
      <c r="BH1296" s="556" t="str">
        <f t="shared" si="141"/>
        <v/>
      </c>
      <c r="BI1296" s="556" t="str">
        <f t="shared" si="142"/>
        <v/>
      </c>
      <c r="BJ1296" s="556">
        <f t="shared" si="143"/>
        <v>0</v>
      </c>
      <c r="BK1296" s="556">
        <f t="shared" si="144"/>
        <v>0</v>
      </c>
      <c r="BL1296" s="556" t="str">
        <f t="shared" si="145"/>
        <v/>
      </c>
      <c r="BM1296" s="497">
        <f t="shared" si="146"/>
        <v>0</v>
      </c>
    </row>
    <row r="1297" spans="59:65">
      <c r="BG1297" s="556" t="str">
        <f t="shared" si="140"/>
        <v>O</v>
      </c>
      <c r="BH1297" s="556" t="str">
        <f t="shared" si="141"/>
        <v/>
      </c>
      <c r="BI1297" s="556" t="str">
        <f t="shared" si="142"/>
        <v/>
      </c>
      <c r="BJ1297" s="556">
        <f t="shared" si="143"/>
        <v>0</v>
      </c>
      <c r="BK1297" s="556">
        <f t="shared" si="144"/>
        <v>0</v>
      </c>
      <c r="BL1297" s="556" t="str">
        <f t="shared" si="145"/>
        <v/>
      </c>
      <c r="BM1297" s="497">
        <f t="shared" si="146"/>
        <v>0</v>
      </c>
    </row>
    <row r="1298" spans="59:65">
      <c r="BG1298" s="556" t="str">
        <f t="shared" si="140"/>
        <v>O</v>
      </c>
      <c r="BH1298" s="556" t="str">
        <f t="shared" si="141"/>
        <v/>
      </c>
      <c r="BI1298" s="556" t="str">
        <f t="shared" si="142"/>
        <v/>
      </c>
      <c r="BJ1298" s="556">
        <f t="shared" si="143"/>
        <v>0</v>
      </c>
      <c r="BK1298" s="556">
        <f t="shared" si="144"/>
        <v>0</v>
      </c>
      <c r="BL1298" s="556" t="str">
        <f t="shared" si="145"/>
        <v/>
      </c>
      <c r="BM1298" s="497">
        <f t="shared" si="146"/>
        <v>0</v>
      </c>
    </row>
    <row r="1299" spans="59:65">
      <c r="BG1299" s="556" t="str">
        <f t="shared" si="140"/>
        <v>O</v>
      </c>
      <c r="BH1299" s="556" t="str">
        <f t="shared" si="141"/>
        <v/>
      </c>
      <c r="BI1299" s="556" t="str">
        <f t="shared" si="142"/>
        <v/>
      </c>
      <c r="BJ1299" s="556">
        <f t="shared" si="143"/>
        <v>0</v>
      </c>
      <c r="BK1299" s="556">
        <f t="shared" si="144"/>
        <v>0</v>
      </c>
      <c r="BL1299" s="556" t="str">
        <f t="shared" si="145"/>
        <v/>
      </c>
      <c r="BM1299" s="497">
        <f t="shared" si="146"/>
        <v>0</v>
      </c>
    </row>
    <row r="1300" spans="59:65">
      <c r="BG1300" s="556" t="str">
        <f t="shared" si="140"/>
        <v>O</v>
      </c>
      <c r="BH1300" s="556" t="str">
        <f t="shared" si="141"/>
        <v/>
      </c>
      <c r="BI1300" s="556" t="str">
        <f t="shared" si="142"/>
        <v/>
      </c>
      <c r="BJ1300" s="556">
        <f t="shared" si="143"/>
        <v>0</v>
      </c>
      <c r="BK1300" s="556">
        <f t="shared" si="144"/>
        <v>0</v>
      </c>
      <c r="BL1300" s="556" t="str">
        <f t="shared" si="145"/>
        <v/>
      </c>
      <c r="BM1300" s="497">
        <f t="shared" si="146"/>
        <v>0</v>
      </c>
    </row>
    <row r="1301" spans="59:65">
      <c r="BG1301" s="556" t="str">
        <f t="shared" si="140"/>
        <v>O</v>
      </c>
      <c r="BH1301" s="556" t="str">
        <f t="shared" si="141"/>
        <v/>
      </c>
      <c r="BI1301" s="556" t="str">
        <f t="shared" si="142"/>
        <v/>
      </c>
      <c r="BJ1301" s="556">
        <f t="shared" si="143"/>
        <v>0</v>
      </c>
      <c r="BK1301" s="556">
        <f t="shared" si="144"/>
        <v>0</v>
      </c>
      <c r="BL1301" s="556" t="str">
        <f t="shared" si="145"/>
        <v/>
      </c>
      <c r="BM1301" s="497">
        <f t="shared" si="146"/>
        <v>0</v>
      </c>
    </row>
    <row r="1302" spans="59:65">
      <c r="BG1302" s="556" t="str">
        <f t="shared" si="140"/>
        <v>O</v>
      </c>
      <c r="BH1302" s="556" t="str">
        <f t="shared" si="141"/>
        <v/>
      </c>
      <c r="BI1302" s="556" t="str">
        <f t="shared" si="142"/>
        <v/>
      </c>
      <c r="BJ1302" s="556">
        <f t="shared" si="143"/>
        <v>0</v>
      </c>
      <c r="BK1302" s="556">
        <f t="shared" si="144"/>
        <v>0</v>
      </c>
      <c r="BL1302" s="556" t="str">
        <f t="shared" si="145"/>
        <v/>
      </c>
      <c r="BM1302" s="497">
        <f t="shared" si="146"/>
        <v>0</v>
      </c>
    </row>
    <row r="1303" spans="59:65">
      <c r="BG1303" s="556" t="str">
        <f t="shared" si="140"/>
        <v>O</v>
      </c>
      <c r="BH1303" s="556" t="str">
        <f t="shared" si="141"/>
        <v/>
      </c>
      <c r="BI1303" s="556" t="str">
        <f t="shared" si="142"/>
        <v/>
      </c>
      <c r="BJ1303" s="556">
        <f t="shared" si="143"/>
        <v>0</v>
      </c>
      <c r="BK1303" s="556">
        <f t="shared" si="144"/>
        <v>0</v>
      </c>
      <c r="BL1303" s="556" t="str">
        <f t="shared" si="145"/>
        <v/>
      </c>
      <c r="BM1303" s="497">
        <f t="shared" si="146"/>
        <v>0</v>
      </c>
    </row>
    <row r="1304" spans="59:65">
      <c r="BG1304" s="556" t="str">
        <f t="shared" si="140"/>
        <v>O</v>
      </c>
      <c r="BH1304" s="556" t="str">
        <f t="shared" si="141"/>
        <v/>
      </c>
      <c r="BI1304" s="556" t="str">
        <f t="shared" si="142"/>
        <v/>
      </c>
      <c r="BJ1304" s="556">
        <f t="shared" si="143"/>
        <v>0</v>
      </c>
      <c r="BK1304" s="556">
        <f t="shared" si="144"/>
        <v>0</v>
      </c>
      <c r="BL1304" s="556" t="str">
        <f t="shared" si="145"/>
        <v/>
      </c>
      <c r="BM1304" s="497">
        <f t="shared" si="146"/>
        <v>0</v>
      </c>
    </row>
    <row r="1305" spans="59:65">
      <c r="BG1305" s="556" t="str">
        <f t="shared" si="140"/>
        <v>O</v>
      </c>
      <c r="BH1305" s="556" t="str">
        <f t="shared" si="141"/>
        <v/>
      </c>
      <c r="BI1305" s="556" t="str">
        <f t="shared" si="142"/>
        <v/>
      </c>
      <c r="BJ1305" s="556">
        <f t="shared" si="143"/>
        <v>0</v>
      </c>
      <c r="BK1305" s="556">
        <f t="shared" si="144"/>
        <v>0</v>
      </c>
      <c r="BL1305" s="556" t="str">
        <f t="shared" si="145"/>
        <v/>
      </c>
      <c r="BM1305" s="497">
        <f t="shared" si="146"/>
        <v>0</v>
      </c>
    </row>
    <row r="1306" spans="59:65">
      <c r="BG1306" s="556" t="str">
        <f t="shared" si="140"/>
        <v>O</v>
      </c>
      <c r="BH1306" s="556" t="str">
        <f t="shared" si="141"/>
        <v/>
      </c>
      <c r="BI1306" s="556" t="str">
        <f t="shared" si="142"/>
        <v/>
      </c>
      <c r="BJ1306" s="556">
        <f t="shared" si="143"/>
        <v>0</v>
      </c>
      <c r="BK1306" s="556">
        <f t="shared" si="144"/>
        <v>0</v>
      </c>
      <c r="BL1306" s="556" t="str">
        <f t="shared" si="145"/>
        <v/>
      </c>
      <c r="BM1306" s="497">
        <f t="shared" si="146"/>
        <v>0</v>
      </c>
    </row>
    <row r="1307" spans="59:65">
      <c r="BG1307" s="556" t="str">
        <f t="shared" si="140"/>
        <v>O</v>
      </c>
      <c r="BH1307" s="556" t="str">
        <f t="shared" si="141"/>
        <v/>
      </c>
      <c r="BI1307" s="556" t="str">
        <f t="shared" si="142"/>
        <v/>
      </c>
      <c r="BJ1307" s="556">
        <f t="shared" si="143"/>
        <v>0</v>
      </c>
      <c r="BK1307" s="556">
        <f t="shared" si="144"/>
        <v>0</v>
      </c>
      <c r="BL1307" s="556" t="str">
        <f t="shared" si="145"/>
        <v/>
      </c>
      <c r="BM1307" s="497">
        <f t="shared" si="146"/>
        <v>0</v>
      </c>
    </row>
    <row r="1308" spans="59:65">
      <c r="BG1308" s="556" t="str">
        <f t="shared" si="140"/>
        <v>O</v>
      </c>
      <c r="BH1308" s="556" t="str">
        <f t="shared" si="141"/>
        <v/>
      </c>
      <c r="BI1308" s="556" t="str">
        <f t="shared" si="142"/>
        <v/>
      </c>
      <c r="BJ1308" s="556">
        <f t="shared" si="143"/>
        <v>0</v>
      </c>
      <c r="BK1308" s="556">
        <f t="shared" si="144"/>
        <v>0</v>
      </c>
      <c r="BL1308" s="556" t="str">
        <f t="shared" si="145"/>
        <v/>
      </c>
      <c r="BM1308" s="497">
        <f t="shared" si="146"/>
        <v>0</v>
      </c>
    </row>
    <row r="1309" spans="59:65">
      <c r="BG1309" s="556" t="str">
        <f t="shared" si="140"/>
        <v>O</v>
      </c>
      <c r="BH1309" s="556" t="str">
        <f t="shared" si="141"/>
        <v/>
      </c>
      <c r="BI1309" s="556" t="str">
        <f t="shared" si="142"/>
        <v/>
      </c>
      <c r="BJ1309" s="556">
        <f t="shared" si="143"/>
        <v>0</v>
      </c>
      <c r="BK1309" s="556">
        <f t="shared" si="144"/>
        <v>0</v>
      </c>
      <c r="BL1309" s="556" t="str">
        <f t="shared" si="145"/>
        <v/>
      </c>
      <c r="BM1309" s="497">
        <f t="shared" si="146"/>
        <v>0</v>
      </c>
    </row>
    <row r="1310" spans="59:65">
      <c r="BG1310" s="556" t="str">
        <f t="shared" si="140"/>
        <v>O</v>
      </c>
      <c r="BH1310" s="556" t="str">
        <f t="shared" si="141"/>
        <v/>
      </c>
      <c r="BI1310" s="556" t="str">
        <f t="shared" si="142"/>
        <v/>
      </c>
      <c r="BJ1310" s="556">
        <f t="shared" si="143"/>
        <v>0</v>
      </c>
      <c r="BK1310" s="556">
        <f t="shared" si="144"/>
        <v>0</v>
      </c>
      <c r="BL1310" s="556" t="str">
        <f t="shared" si="145"/>
        <v/>
      </c>
      <c r="BM1310" s="497">
        <f t="shared" si="146"/>
        <v>0</v>
      </c>
    </row>
    <row r="1311" spans="59:65">
      <c r="BG1311" s="556" t="str">
        <f t="shared" si="140"/>
        <v>O</v>
      </c>
      <c r="BH1311" s="556" t="str">
        <f t="shared" si="141"/>
        <v/>
      </c>
      <c r="BI1311" s="556" t="str">
        <f t="shared" si="142"/>
        <v/>
      </c>
      <c r="BJ1311" s="556">
        <f t="shared" si="143"/>
        <v>0</v>
      </c>
      <c r="BK1311" s="556">
        <f t="shared" si="144"/>
        <v>0</v>
      </c>
      <c r="BL1311" s="556" t="str">
        <f t="shared" si="145"/>
        <v/>
      </c>
      <c r="BM1311" s="497">
        <f t="shared" si="146"/>
        <v>0</v>
      </c>
    </row>
    <row r="1312" spans="59:65">
      <c r="BG1312" s="556" t="str">
        <f t="shared" si="140"/>
        <v>O</v>
      </c>
      <c r="BH1312" s="556" t="str">
        <f t="shared" si="141"/>
        <v/>
      </c>
      <c r="BI1312" s="556" t="str">
        <f t="shared" si="142"/>
        <v/>
      </c>
      <c r="BJ1312" s="556">
        <f t="shared" si="143"/>
        <v>0</v>
      </c>
      <c r="BK1312" s="556">
        <f t="shared" si="144"/>
        <v>0</v>
      </c>
      <c r="BL1312" s="556" t="str">
        <f t="shared" si="145"/>
        <v/>
      </c>
      <c r="BM1312" s="497">
        <f t="shared" si="146"/>
        <v>0</v>
      </c>
    </row>
    <row r="1313" spans="59:65">
      <c r="BG1313" s="556" t="str">
        <f t="shared" si="140"/>
        <v>O</v>
      </c>
      <c r="BH1313" s="556" t="str">
        <f t="shared" si="141"/>
        <v/>
      </c>
      <c r="BI1313" s="556" t="str">
        <f t="shared" si="142"/>
        <v/>
      </c>
      <c r="BJ1313" s="556">
        <f t="shared" si="143"/>
        <v>0</v>
      </c>
      <c r="BK1313" s="556">
        <f t="shared" si="144"/>
        <v>0</v>
      </c>
      <c r="BL1313" s="556" t="str">
        <f t="shared" si="145"/>
        <v/>
      </c>
      <c r="BM1313" s="497">
        <f t="shared" si="146"/>
        <v>0</v>
      </c>
    </row>
    <row r="1314" spans="59:65">
      <c r="BG1314" s="556" t="str">
        <f t="shared" si="140"/>
        <v>O</v>
      </c>
      <c r="BH1314" s="556" t="str">
        <f t="shared" si="141"/>
        <v/>
      </c>
      <c r="BI1314" s="556" t="str">
        <f t="shared" si="142"/>
        <v/>
      </c>
      <c r="BJ1314" s="556">
        <f t="shared" si="143"/>
        <v>0</v>
      </c>
      <c r="BK1314" s="556">
        <f t="shared" si="144"/>
        <v>0</v>
      </c>
      <c r="BL1314" s="556" t="str">
        <f t="shared" si="145"/>
        <v/>
      </c>
      <c r="BM1314" s="497">
        <f t="shared" si="146"/>
        <v>0</v>
      </c>
    </row>
    <row r="1315" spans="59:65">
      <c r="BG1315" s="556" t="str">
        <f t="shared" si="140"/>
        <v>O</v>
      </c>
      <c r="BH1315" s="556" t="str">
        <f t="shared" si="141"/>
        <v/>
      </c>
      <c r="BI1315" s="556" t="str">
        <f t="shared" si="142"/>
        <v/>
      </c>
      <c r="BJ1315" s="556">
        <f t="shared" si="143"/>
        <v>0</v>
      </c>
      <c r="BK1315" s="556">
        <f t="shared" si="144"/>
        <v>0</v>
      </c>
      <c r="BL1315" s="556" t="str">
        <f t="shared" si="145"/>
        <v/>
      </c>
      <c r="BM1315" s="497">
        <f t="shared" si="146"/>
        <v>0</v>
      </c>
    </row>
    <row r="1316" spans="59:65">
      <c r="BG1316" s="556" t="str">
        <f t="shared" si="140"/>
        <v>O</v>
      </c>
      <c r="BH1316" s="556" t="str">
        <f t="shared" si="141"/>
        <v/>
      </c>
      <c r="BI1316" s="556" t="str">
        <f t="shared" si="142"/>
        <v/>
      </c>
      <c r="BJ1316" s="556">
        <f t="shared" si="143"/>
        <v>0</v>
      </c>
      <c r="BK1316" s="556">
        <f t="shared" si="144"/>
        <v>0</v>
      </c>
      <c r="BL1316" s="556" t="str">
        <f t="shared" si="145"/>
        <v/>
      </c>
      <c r="BM1316" s="497">
        <f t="shared" si="146"/>
        <v>0</v>
      </c>
    </row>
    <row r="1317" spans="59:65">
      <c r="BG1317" s="556" t="str">
        <f t="shared" si="140"/>
        <v>O</v>
      </c>
      <c r="BH1317" s="556" t="str">
        <f t="shared" si="141"/>
        <v/>
      </c>
      <c r="BI1317" s="556" t="str">
        <f t="shared" si="142"/>
        <v/>
      </c>
      <c r="BJ1317" s="556">
        <f t="shared" si="143"/>
        <v>0</v>
      </c>
      <c r="BK1317" s="556">
        <f t="shared" si="144"/>
        <v>0</v>
      </c>
      <c r="BL1317" s="556" t="str">
        <f t="shared" si="145"/>
        <v/>
      </c>
      <c r="BM1317" s="497">
        <f t="shared" si="146"/>
        <v>0</v>
      </c>
    </row>
    <row r="1318" spans="59:65">
      <c r="BG1318" s="556" t="str">
        <f t="shared" si="140"/>
        <v>O</v>
      </c>
      <c r="BH1318" s="556" t="str">
        <f t="shared" si="141"/>
        <v/>
      </c>
      <c r="BI1318" s="556" t="str">
        <f t="shared" si="142"/>
        <v/>
      </c>
      <c r="BJ1318" s="556">
        <f t="shared" si="143"/>
        <v>0</v>
      </c>
      <c r="BK1318" s="556">
        <f t="shared" si="144"/>
        <v>0</v>
      </c>
      <c r="BL1318" s="556" t="str">
        <f t="shared" si="145"/>
        <v/>
      </c>
      <c r="BM1318" s="497">
        <f t="shared" si="146"/>
        <v>0</v>
      </c>
    </row>
    <row r="1319" spans="59:65">
      <c r="BG1319" s="556" t="str">
        <f t="shared" si="140"/>
        <v>O</v>
      </c>
      <c r="BH1319" s="556" t="str">
        <f t="shared" si="141"/>
        <v/>
      </c>
      <c r="BI1319" s="556" t="str">
        <f t="shared" si="142"/>
        <v/>
      </c>
      <c r="BJ1319" s="556">
        <f t="shared" si="143"/>
        <v>0</v>
      </c>
      <c r="BK1319" s="556">
        <f t="shared" si="144"/>
        <v>0</v>
      </c>
      <c r="BL1319" s="556" t="str">
        <f t="shared" si="145"/>
        <v/>
      </c>
      <c r="BM1319" s="497">
        <f t="shared" si="146"/>
        <v>0</v>
      </c>
    </row>
    <row r="1320" spans="59:65">
      <c r="BG1320" s="556" t="str">
        <f t="shared" si="140"/>
        <v>O</v>
      </c>
      <c r="BH1320" s="556" t="str">
        <f t="shared" si="141"/>
        <v/>
      </c>
      <c r="BI1320" s="556" t="str">
        <f t="shared" si="142"/>
        <v/>
      </c>
      <c r="BJ1320" s="556">
        <f t="shared" si="143"/>
        <v>0</v>
      </c>
      <c r="BK1320" s="556">
        <f t="shared" si="144"/>
        <v>0</v>
      </c>
      <c r="BL1320" s="556" t="str">
        <f t="shared" si="145"/>
        <v/>
      </c>
      <c r="BM1320" s="497">
        <f t="shared" si="146"/>
        <v>0</v>
      </c>
    </row>
    <row r="1321" spans="59:65">
      <c r="BG1321" s="556" t="str">
        <f t="shared" si="140"/>
        <v>O</v>
      </c>
      <c r="BH1321" s="556" t="str">
        <f t="shared" si="141"/>
        <v/>
      </c>
      <c r="BI1321" s="556" t="str">
        <f t="shared" si="142"/>
        <v/>
      </c>
      <c r="BJ1321" s="556">
        <f t="shared" si="143"/>
        <v>0</v>
      </c>
      <c r="BK1321" s="556">
        <f t="shared" si="144"/>
        <v>0</v>
      </c>
      <c r="BL1321" s="556" t="str">
        <f t="shared" si="145"/>
        <v/>
      </c>
      <c r="BM1321" s="497">
        <f t="shared" si="146"/>
        <v>0</v>
      </c>
    </row>
    <row r="1322" spans="59:65">
      <c r="BG1322" s="556" t="str">
        <f t="shared" si="140"/>
        <v>O</v>
      </c>
      <c r="BH1322" s="556" t="str">
        <f t="shared" si="141"/>
        <v/>
      </c>
      <c r="BI1322" s="556" t="str">
        <f t="shared" si="142"/>
        <v/>
      </c>
      <c r="BJ1322" s="556">
        <f t="shared" si="143"/>
        <v>0</v>
      </c>
      <c r="BK1322" s="556">
        <f t="shared" si="144"/>
        <v>0</v>
      </c>
      <c r="BL1322" s="556" t="str">
        <f t="shared" si="145"/>
        <v/>
      </c>
      <c r="BM1322" s="497">
        <f t="shared" si="146"/>
        <v>0</v>
      </c>
    </row>
    <row r="1323" spans="59:65">
      <c r="BG1323" s="556" t="str">
        <f t="shared" si="140"/>
        <v>O</v>
      </c>
      <c r="BH1323" s="556" t="str">
        <f t="shared" si="141"/>
        <v/>
      </c>
      <c r="BI1323" s="556" t="str">
        <f t="shared" si="142"/>
        <v/>
      </c>
      <c r="BJ1323" s="556">
        <f t="shared" si="143"/>
        <v>0</v>
      </c>
      <c r="BK1323" s="556">
        <f t="shared" si="144"/>
        <v>0</v>
      </c>
      <c r="BL1323" s="556" t="str">
        <f t="shared" si="145"/>
        <v/>
      </c>
      <c r="BM1323" s="497">
        <f t="shared" si="146"/>
        <v>0</v>
      </c>
    </row>
    <row r="1324" spans="59:65">
      <c r="BG1324" s="556" t="str">
        <f t="shared" si="140"/>
        <v>O</v>
      </c>
      <c r="BH1324" s="556" t="str">
        <f t="shared" si="141"/>
        <v/>
      </c>
      <c r="BI1324" s="556" t="str">
        <f t="shared" si="142"/>
        <v/>
      </c>
      <c r="BJ1324" s="556">
        <f t="shared" si="143"/>
        <v>0</v>
      </c>
      <c r="BK1324" s="556">
        <f t="shared" si="144"/>
        <v>0</v>
      </c>
      <c r="BL1324" s="556" t="str">
        <f t="shared" si="145"/>
        <v/>
      </c>
      <c r="BM1324" s="497">
        <f t="shared" si="146"/>
        <v>0</v>
      </c>
    </row>
    <row r="1325" spans="59:65">
      <c r="BG1325" s="556" t="str">
        <f t="shared" si="140"/>
        <v>O</v>
      </c>
      <c r="BH1325" s="556" t="str">
        <f t="shared" si="141"/>
        <v/>
      </c>
      <c r="BI1325" s="556" t="str">
        <f t="shared" si="142"/>
        <v/>
      </c>
      <c r="BJ1325" s="556">
        <f t="shared" si="143"/>
        <v>0</v>
      </c>
      <c r="BK1325" s="556">
        <f t="shared" si="144"/>
        <v>0</v>
      </c>
      <c r="BL1325" s="556" t="str">
        <f t="shared" si="145"/>
        <v/>
      </c>
      <c r="BM1325" s="497">
        <f t="shared" si="146"/>
        <v>0</v>
      </c>
    </row>
    <row r="1326" spans="59:65">
      <c r="BG1326" s="556" t="str">
        <f t="shared" si="140"/>
        <v>O</v>
      </c>
      <c r="BH1326" s="556" t="str">
        <f t="shared" si="141"/>
        <v/>
      </c>
      <c r="BI1326" s="556" t="str">
        <f t="shared" si="142"/>
        <v/>
      </c>
      <c r="BJ1326" s="556">
        <f t="shared" si="143"/>
        <v>0</v>
      </c>
      <c r="BK1326" s="556">
        <f t="shared" si="144"/>
        <v>0</v>
      </c>
      <c r="BL1326" s="556" t="str">
        <f t="shared" si="145"/>
        <v/>
      </c>
      <c r="BM1326" s="497">
        <f t="shared" si="146"/>
        <v>0</v>
      </c>
    </row>
    <row r="1327" spans="59:65">
      <c r="BG1327" s="556" t="str">
        <f t="shared" si="140"/>
        <v>O</v>
      </c>
      <c r="BH1327" s="556" t="str">
        <f t="shared" si="141"/>
        <v/>
      </c>
      <c r="BI1327" s="556" t="str">
        <f t="shared" si="142"/>
        <v/>
      </c>
      <c r="BJ1327" s="556">
        <f t="shared" si="143"/>
        <v>0</v>
      </c>
      <c r="BK1327" s="556">
        <f t="shared" si="144"/>
        <v>0</v>
      </c>
      <c r="BL1327" s="556" t="str">
        <f t="shared" si="145"/>
        <v/>
      </c>
      <c r="BM1327" s="497">
        <f t="shared" si="146"/>
        <v>0</v>
      </c>
    </row>
    <row r="1328" spans="59:65">
      <c r="BG1328" s="556" t="str">
        <f t="shared" si="140"/>
        <v>O</v>
      </c>
      <c r="BH1328" s="556" t="str">
        <f t="shared" si="141"/>
        <v/>
      </c>
      <c r="BI1328" s="556" t="str">
        <f t="shared" si="142"/>
        <v/>
      </c>
      <c r="BJ1328" s="556">
        <f t="shared" si="143"/>
        <v>0</v>
      </c>
      <c r="BK1328" s="556">
        <f t="shared" si="144"/>
        <v>0</v>
      </c>
      <c r="BL1328" s="556" t="str">
        <f t="shared" si="145"/>
        <v/>
      </c>
      <c r="BM1328" s="497">
        <f t="shared" si="146"/>
        <v>0</v>
      </c>
    </row>
    <row r="1329" spans="59:65">
      <c r="BG1329" s="556" t="str">
        <f t="shared" si="140"/>
        <v>O</v>
      </c>
      <c r="BH1329" s="556" t="str">
        <f t="shared" si="141"/>
        <v/>
      </c>
      <c r="BI1329" s="556" t="str">
        <f t="shared" si="142"/>
        <v/>
      </c>
      <c r="BJ1329" s="556">
        <f t="shared" si="143"/>
        <v>0</v>
      </c>
      <c r="BK1329" s="556">
        <f t="shared" si="144"/>
        <v>0</v>
      </c>
      <c r="BL1329" s="556" t="str">
        <f t="shared" si="145"/>
        <v/>
      </c>
      <c r="BM1329" s="497">
        <f t="shared" si="146"/>
        <v>0</v>
      </c>
    </row>
    <row r="1330" spans="59:65">
      <c r="BG1330" s="556" t="str">
        <f t="shared" si="140"/>
        <v>O</v>
      </c>
      <c r="BH1330" s="556" t="str">
        <f t="shared" si="141"/>
        <v/>
      </c>
      <c r="BI1330" s="556" t="str">
        <f t="shared" si="142"/>
        <v/>
      </c>
      <c r="BJ1330" s="556">
        <f t="shared" si="143"/>
        <v>0</v>
      </c>
      <c r="BK1330" s="556">
        <f t="shared" si="144"/>
        <v>0</v>
      </c>
      <c r="BL1330" s="556" t="str">
        <f t="shared" si="145"/>
        <v/>
      </c>
      <c r="BM1330" s="497">
        <f t="shared" si="146"/>
        <v>0</v>
      </c>
    </row>
    <row r="1331" spans="59:65">
      <c r="BG1331" s="556" t="str">
        <f t="shared" si="140"/>
        <v>O</v>
      </c>
      <c r="BH1331" s="556" t="str">
        <f t="shared" si="141"/>
        <v/>
      </c>
      <c r="BI1331" s="556" t="str">
        <f t="shared" si="142"/>
        <v/>
      </c>
      <c r="BJ1331" s="556">
        <f t="shared" si="143"/>
        <v>0</v>
      </c>
      <c r="BK1331" s="556">
        <f t="shared" si="144"/>
        <v>0</v>
      </c>
      <c r="BL1331" s="556" t="str">
        <f t="shared" si="145"/>
        <v/>
      </c>
      <c r="BM1331" s="497">
        <f t="shared" si="146"/>
        <v>0</v>
      </c>
    </row>
    <row r="1332" spans="59:65">
      <c r="BG1332" s="556" t="str">
        <f t="shared" si="140"/>
        <v>O</v>
      </c>
      <c r="BH1332" s="556" t="str">
        <f t="shared" si="141"/>
        <v/>
      </c>
      <c r="BI1332" s="556" t="str">
        <f t="shared" si="142"/>
        <v/>
      </c>
      <c r="BJ1332" s="556">
        <f t="shared" si="143"/>
        <v>0</v>
      </c>
      <c r="BK1332" s="556">
        <f t="shared" si="144"/>
        <v>0</v>
      </c>
      <c r="BL1332" s="556" t="str">
        <f t="shared" si="145"/>
        <v/>
      </c>
      <c r="BM1332" s="497">
        <f t="shared" si="146"/>
        <v>0</v>
      </c>
    </row>
    <row r="1333" spans="59:65">
      <c r="BG1333" s="556" t="str">
        <f t="shared" si="140"/>
        <v>O</v>
      </c>
      <c r="BH1333" s="556" t="str">
        <f t="shared" si="141"/>
        <v/>
      </c>
      <c r="BI1333" s="556" t="str">
        <f t="shared" si="142"/>
        <v/>
      </c>
      <c r="BJ1333" s="556">
        <f t="shared" si="143"/>
        <v>0</v>
      </c>
      <c r="BK1333" s="556">
        <f t="shared" si="144"/>
        <v>0</v>
      </c>
      <c r="BL1333" s="556" t="str">
        <f t="shared" si="145"/>
        <v/>
      </c>
      <c r="BM1333" s="497">
        <f t="shared" si="146"/>
        <v>0</v>
      </c>
    </row>
    <row r="1334" spans="59:65">
      <c r="BG1334" s="556" t="str">
        <f t="shared" si="140"/>
        <v>O</v>
      </c>
      <c r="BH1334" s="556" t="str">
        <f t="shared" si="141"/>
        <v/>
      </c>
      <c r="BI1334" s="556" t="str">
        <f t="shared" si="142"/>
        <v/>
      </c>
      <c r="BJ1334" s="556">
        <f t="shared" si="143"/>
        <v>0</v>
      </c>
      <c r="BK1334" s="556">
        <f t="shared" si="144"/>
        <v>0</v>
      </c>
      <c r="BL1334" s="556" t="str">
        <f t="shared" si="145"/>
        <v/>
      </c>
      <c r="BM1334" s="497">
        <f t="shared" si="146"/>
        <v>0</v>
      </c>
    </row>
    <row r="1335" spans="59:65">
      <c r="BG1335" s="556" t="str">
        <f t="shared" si="140"/>
        <v>O</v>
      </c>
      <c r="BH1335" s="556" t="str">
        <f t="shared" si="141"/>
        <v/>
      </c>
      <c r="BI1335" s="556" t="str">
        <f t="shared" si="142"/>
        <v/>
      </c>
      <c r="BJ1335" s="556">
        <f t="shared" si="143"/>
        <v>0</v>
      </c>
      <c r="BK1335" s="556">
        <f t="shared" si="144"/>
        <v>0</v>
      </c>
      <c r="BL1335" s="556" t="str">
        <f t="shared" si="145"/>
        <v/>
      </c>
      <c r="BM1335" s="497">
        <f t="shared" si="146"/>
        <v>0</v>
      </c>
    </row>
    <row r="1336" spans="59:65">
      <c r="BG1336" s="556" t="str">
        <f t="shared" si="140"/>
        <v>O</v>
      </c>
      <c r="BH1336" s="556" t="str">
        <f t="shared" si="141"/>
        <v/>
      </c>
      <c r="BI1336" s="556" t="str">
        <f t="shared" si="142"/>
        <v/>
      </c>
      <c r="BJ1336" s="556">
        <f t="shared" si="143"/>
        <v>0</v>
      </c>
      <c r="BK1336" s="556">
        <f t="shared" si="144"/>
        <v>0</v>
      </c>
      <c r="BL1336" s="556" t="str">
        <f t="shared" si="145"/>
        <v/>
      </c>
      <c r="BM1336" s="497">
        <f t="shared" si="146"/>
        <v>0</v>
      </c>
    </row>
    <row r="1337" spans="59:65">
      <c r="BG1337" s="556" t="str">
        <f t="shared" si="140"/>
        <v>O</v>
      </c>
      <c r="BH1337" s="556" t="str">
        <f t="shared" si="141"/>
        <v/>
      </c>
      <c r="BI1337" s="556" t="str">
        <f t="shared" si="142"/>
        <v/>
      </c>
      <c r="BJ1337" s="556">
        <f t="shared" si="143"/>
        <v>0</v>
      </c>
      <c r="BK1337" s="556">
        <f t="shared" si="144"/>
        <v>0</v>
      </c>
      <c r="BL1337" s="556" t="str">
        <f t="shared" si="145"/>
        <v/>
      </c>
      <c r="BM1337" s="497">
        <f t="shared" si="146"/>
        <v>0</v>
      </c>
    </row>
    <row r="1338" spans="59:65">
      <c r="BG1338" s="556" t="str">
        <f t="shared" si="140"/>
        <v>O</v>
      </c>
      <c r="BH1338" s="556" t="str">
        <f t="shared" si="141"/>
        <v/>
      </c>
      <c r="BI1338" s="556" t="str">
        <f t="shared" si="142"/>
        <v/>
      </c>
      <c r="BJ1338" s="556">
        <f t="shared" si="143"/>
        <v>0</v>
      </c>
      <c r="BK1338" s="556">
        <f t="shared" si="144"/>
        <v>0</v>
      </c>
      <c r="BL1338" s="556" t="str">
        <f t="shared" si="145"/>
        <v/>
      </c>
      <c r="BM1338" s="497">
        <f t="shared" si="146"/>
        <v>0</v>
      </c>
    </row>
    <row r="1339" spans="59:65">
      <c r="BG1339" s="556" t="str">
        <f t="shared" si="140"/>
        <v>O</v>
      </c>
      <c r="BH1339" s="556" t="str">
        <f t="shared" si="141"/>
        <v/>
      </c>
      <c r="BI1339" s="556" t="str">
        <f t="shared" si="142"/>
        <v/>
      </c>
      <c r="BJ1339" s="556">
        <f t="shared" si="143"/>
        <v>0</v>
      </c>
      <c r="BK1339" s="556">
        <f t="shared" si="144"/>
        <v>0</v>
      </c>
      <c r="BL1339" s="556" t="str">
        <f t="shared" si="145"/>
        <v/>
      </c>
      <c r="BM1339" s="497">
        <f t="shared" si="146"/>
        <v>0</v>
      </c>
    </row>
    <row r="1340" spans="59:65">
      <c r="BG1340" s="556" t="str">
        <f t="shared" si="140"/>
        <v>O</v>
      </c>
      <c r="BH1340" s="556" t="str">
        <f t="shared" si="141"/>
        <v/>
      </c>
      <c r="BI1340" s="556" t="str">
        <f t="shared" si="142"/>
        <v/>
      </c>
      <c r="BJ1340" s="556">
        <f t="shared" si="143"/>
        <v>0</v>
      </c>
      <c r="BK1340" s="556">
        <f t="shared" si="144"/>
        <v>0</v>
      </c>
      <c r="BL1340" s="556" t="str">
        <f t="shared" si="145"/>
        <v/>
      </c>
      <c r="BM1340" s="497">
        <f t="shared" si="146"/>
        <v>0</v>
      </c>
    </row>
    <row r="1341" spans="59:65">
      <c r="BG1341" s="556" t="str">
        <f t="shared" si="140"/>
        <v>O</v>
      </c>
      <c r="BH1341" s="556" t="str">
        <f t="shared" si="141"/>
        <v/>
      </c>
      <c r="BI1341" s="556" t="str">
        <f t="shared" si="142"/>
        <v/>
      </c>
      <c r="BJ1341" s="556">
        <f t="shared" si="143"/>
        <v>0</v>
      </c>
      <c r="BK1341" s="556">
        <f t="shared" si="144"/>
        <v>0</v>
      </c>
      <c r="BL1341" s="556" t="str">
        <f t="shared" si="145"/>
        <v/>
      </c>
      <c r="BM1341" s="497">
        <f t="shared" si="146"/>
        <v>0</v>
      </c>
    </row>
    <row r="1342" spans="59:65">
      <c r="BG1342" s="556" t="str">
        <f t="shared" si="140"/>
        <v>O</v>
      </c>
      <c r="BH1342" s="556" t="str">
        <f t="shared" si="141"/>
        <v/>
      </c>
      <c r="BI1342" s="556" t="str">
        <f t="shared" si="142"/>
        <v/>
      </c>
      <c r="BJ1342" s="556">
        <f t="shared" si="143"/>
        <v>0</v>
      </c>
      <c r="BK1342" s="556">
        <f t="shared" si="144"/>
        <v>0</v>
      </c>
      <c r="BL1342" s="556" t="str">
        <f t="shared" si="145"/>
        <v/>
      </c>
      <c r="BM1342" s="497">
        <f t="shared" si="146"/>
        <v>0</v>
      </c>
    </row>
    <row r="1343" spans="59:65">
      <c r="BG1343" s="556" t="str">
        <f t="shared" si="140"/>
        <v>O</v>
      </c>
      <c r="BH1343" s="556" t="str">
        <f t="shared" si="141"/>
        <v/>
      </c>
      <c r="BI1343" s="556" t="str">
        <f t="shared" si="142"/>
        <v/>
      </c>
      <c r="BJ1343" s="556">
        <f t="shared" si="143"/>
        <v>0</v>
      </c>
      <c r="BK1343" s="556">
        <f t="shared" si="144"/>
        <v>0</v>
      </c>
      <c r="BL1343" s="556" t="str">
        <f t="shared" si="145"/>
        <v/>
      </c>
      <c r="BM1343" s="497">
        <f t="shared" si="146"/>
        <v>0</v>
      </c>
    </row>
    <row r="1344" spans="59:65">
      <c r="BG1344" s="556" t="str">
        <f t="shared" si="140"/>
        <v>O</v>
      </c>
      <c r="BH1344" s="556" t="str">
        <f t="shared" si="141"/>
        <v/>
      </c>
      <c r="BI1344" s="556" t="str">
        <f t="shared" si="142"/>
        <v/>
      </c>
      <c r="BJ1344" s="556">
        <f t="shared" si="143"/>
        <v>0</v>
      </c>
      <c r="BK1344" s="556">
        <f t="shared" si="144"/>
        <v>0</v>
      </c>
      <c r="BL1344" s="556" t="str">
        <f t="shared" si="145"/>
        <v/>
      </c>
      <c r="BM1344" s="497">
        <f t="shared" si="146"/>
        <v>0</v>
      </c>
    </row>
    <row r="1345" spans="59:65">
      <c r="BG1345" s="556" t="str">
        <f t="shared" si="140"/>
        <v>O</v>
      </c>
      <c r="BH1345" s="556" t="str">
        <f t="shared" si="141"/>
        <v/>
      </c>
      <c r="BI1345" s="556" t="str">
        <f t="shared" si="142"/>
        <v/>
      </c>
      <c r="BJ1345" s="556">
        <f t="shared" si="143"/>
        <v>0</v>
      </c>
      <c r="BK1345" s="556">
        <f t="shared" si="144"/>
        <v>0</v>
      </c>
      <c r="BL1345" s="556" t="str">
        <f t="shared" si="145"/>
        <v/>
      </c>
      <c r="BM1345" s="497">
        <f t="shared" si="146"/>
        <v>0</v>
      </c>
    </row>
    <row r="1346" spans="59:65">
      <c r="BG1346" s="556" t="str">
        <f t="shared" si="140"/>
        <v>O</v>
      </c>
      <c r="BH1346" s="556" t="str">
        <f t="shared" si="141"/>
        <v/>
      </c>
      <c r="BI1346" s="556" t="str">
        <f t="shared" si="142"/>
        <v/>
      </c>
      <c r="BJ1346" s="556">
        <f t="shared" si="143"/>
        <v>0</v>
      </c>
      <c r="BK1346" s="556">
        <f t="shared" si="144"/>
        <v>0</v>
      </c>
      <c r="BL1346" s="556" t="str">
        <f t="shared" si="145"/>
        <v/>
      </c>
      <c r="BM1346" s="497">
        <f t="shared" si="146"/>
        <v>0</v>
      </c>
    </row>
    <row r="1347" spans="59:65">
      <c r="BG1347" s="556" t="str">
        <f t="shared" ref="BG1347:BG1410" si="147">IF(LEFT(AY1347,2)="98","X","O")</f>
        <v>O</v>
      </c>
      <c r="BH1347" s="556" t="str">
        <f t="shared" ref="BH1347:BH1410" si="148">IF(IFERROR(SEARCH("45",$AY1347,1),0)&gt;0,"Y","")</f>
        <v/>
      </c>
      <c r="BI1347" s="556" t="str">
        <f t="shared" ref="BI1347:BI1410" si="149">IF(IFERROR(SEARCH("86",$AY1347,1),0)&gt;0,"Y","")</f>
        <v/>
      </c>
      <c r="BJ1347" s="556">
        <f t="shared" ref="BJ1347:BJ1410" si="150">IF(L1347="",K1347,IF(M1347="",K1347&amp;","&amp;L1347,IF(N1347="",K1347&amp;","&amp;L1347&amp;","&amp;M1347,K1347&amp;","&amp;L1347&amp;","&amp;M1347&amp;","&amp;N1347)))</f>
        <v>0</v>
      </c>
      <c r="BK1347" s="556">
        <f t="shared" ref="BK1347:BK1410" si="151">IF(P1347="",O1347,IF(Q1347="",O1347&amp;","&amp;P1347,IF(R1347="",O1347&amp;","&amp;P1347&amp;","&amp;Q1347,IO1347&amp;","&amp;P1347&amp;","&amp;Q1347&amp;","&amp;R1347)))</f>
        <v>0</v>
      </c>
      <c r="BL1347" s="556" t="str">
        <f t="shared" ref="BL1347:BL1410" si="152">IF(S1347=0,"",S1347)</f>
        <v/>
      </c>
      <c r="BM1347" s="497">
        <f t="shared" ref="BM1347:BM1410" si="153">A1347</f>
        <v>0</v>
      </c>
    </row>
    <row r="1348" spans="59:65">
      <c r="BG1348" s="556" t="str">
        <f t="shared" si="147"/>
        <v>O</v>
      </c>
      <c r="BH1348" s="556" t="str">
        <f t="shared" si="148"/>
        <v/>
      </c>
      <c r="BI1348" s="556" t="str">
        <f t="shared" si="149"/>
        <v/>
      </c>
      <c r="BJ1348" s="556">
        <f t="shared" si="150"/>
        <v>0</v>
      </c>
      <c r="BK1348" s="556">
        <f t="shared" si="151"/>
        <v>0</v>
      </c>
      <c r="BL1348" s="556" t="str">
        <f t="shared" si="152"/>
        <v/>
      </c>
      <c r="BM1348" s="497">
        <f t="shared" si="153"/>
        <v>0</v>
      </c>
    </row>
    <row r="1349" spans="59:65">
      <c r="BG1349" s="556" t="str">
        <f t="shared" si="147"/>
        <v>O</v>
      </c>
      <c r="BH1349" s="556" t="str">
        <f t="shared" si="148"/>
        <v/>
      </c>
      <c r="BI1349" s="556" t="str">
        <f t="shared" si="149"/>
        <v/>
      </c>
      <c r="BJ1349" s="556">
        <f t="shared" si="150"/>
        <v>0</v>
      </c>
      <c r="BK1349" s="556">
        <f t="shared" si="151"/>
        <v>0</v>
      </c>
      <c r="BL1349" s="556" t="str">
        <f t="shared" si="152"/>
        <v/>
      </c>
      <c r="BM1349" s="497">
        <f t="shared" si="153"/>
        <v>0</v>
      </c>
    </row>
    <row r="1350" spans="59:65">
      <c r="BG1350" s="556" t="str">
        <f t="shared" si="147"/>
        <v>O</v>
      </c>
      <c r="BH1350" s="556" t="str">
        <f t="shared" si="148"/>
        <v/>
      </c>
      <c r="BI1350" s="556" t="str">
        <f t="shared" si="149"/>
        <v/>
      </c>
      <c r="BJ1350" s="556">
        <f t="shared" si="150"/>
        <v>0</v>
      </c>
      <c r="BK1350" s="556">
        <f t="shared" si="151"/>
        <v>0</v>
      </c>
      <c r="BL1350" s="556" t="str">
        <f t="shared" si="152"/>
        <v/>
      </c>
      <c r="BM1350" s="497">
        <f t="shared" si="153"/>
        <v>0</v>
      </c>
    </row>
    <row r="1351" spans="59:65">
      <c r="BG1351" s="556" t="str">
        <f t="shared" si="147"/>
        <v>O</v>
      </c>
      <c r="BH1351" s="556" t="str">
        <f t="shared" si="148"/>
        <v/>
      </c>
      <c r="BI1351" s="556" t="str">
        <f t="shared" si="149"/>
        <v/>
      </c>
      <c r="BJ1351" s="556">
        <f t="shared" si="150"/>
        <v>0</v>
      </c>
      <c r="BK1351" s="556">
        <f t="shared" si="151"/>
        <v>0</v>
      </c>
      <c r="BL1351" s="556" t="str">
        <f t="shared" si="152"/>
        <v/>
      </c>
      <c r="BM1351" s="497">
        <f t="shared" si="153"/>
        <v>0</v>
      </c>
    </row>
    <row r="1352" spans="59:65">
      <c r="BG1352" s="556" t="str">
        <f t="shared" si="147"/>
        <v>O</v>
      </c>
      <c r="BH1352" s="556" t="str">
        <f t="shared" si="148"/>
        <v/>
      </c>
      <c r="BI1352" s="556" t="str">
        <f t="shared" si="149"/>
        <v/>
      </c>
      <c r="BJ1352" s="556">
        <f t="shared" si="150"/>
        <v>0</v>
      </c>
      <c r="BK1352" s="556">
        <f t="shared" si="151"/>
        <v>0</v>
      </c>
      <c r="BL1352" s="556" t="str">
        <f t="shared" si="152"/>
        <v/>
      </c>
      <c r="BM1352" s="497">
        <f t="shared" si="153"/>
        <v>0</v>
      </c>
    </row>
    <row r="1353" spans="59:65">
      <c r="BG1353" s="556" t="str">
        <f t="shared" si="147"/>
        <v>O</v>
      </c>
      <c r="BH1353" s="556" t="str">
        <f t="shared" si="148"/>
        <v/>
      </c>
      <c r="BI1353" s="556" t="str">
        <f t="shared" si="149"/>
        <v/>
      </c>
      <c r="BJ1353" s="556">
        <f t="shared" si="150"/>
        <v>0</v>
      </c>
      <c r="BK1353" s="556">
        <f t="shared" si="151"/>
        <v>0</v>
      </c>
      <c r="BL1353" s="556" t="str">
        <f t="shared" si="152"/>
        <v/>
      </c>
      <c r="BM1353" s="497">
        <f t="shared" si="153"/>
        <v>0</v>
      </c>
    </row>
    <row r="1354" spans="59:65">
      <c r="BG1354" s="556" t="str">
        <f t="shared" si="147"/>
        <v>O</v>
      </c>
      <c r="BH1354" s="556" t="str">
        <f t="shared" si="148"/>
        <v/>
      </c>
      <c r="BI1354" s="556" t="str">
        <f t="shared" si="149"/>
        <v/>
      </c>
      <c r="BJ1354" s="556">
        <f t="shared" si="150"/>
        <v>0</v>
      </c>
      <c r="BK1354" s="556">
        <f t="shared" si="151"/>
        <v>0</v>
      </c>
      <c r="BL1354" s="556" t="str">
        <f t="shared" si="152"/>
        <v/>
      </c>
      <c r="BM1354" s="497">
        <f t="shared" si="153"/>
        <v>0</v>
      </c>
    </row>
    <row r="1355" spans="59:65">
      <c r="BG1355" s="556" t="str">
        <f t="shared" si="147"/>
        <v>O</v>
      </c>
      <c r="BH1355" s="556" t="str">
        <f t="shared" si="148"/>
        <v/>
      </c>
      <c r="BI1355" s="556" t="str">
        <f t="shared" si="149"/>
        <v/>
      </c>
      <c r="BJ1355" s="556">
        <f t="shared" si="150"/>
        <v>0</v>
      </c>
      <c r="BK1355" s="556">
        <f t="shared" si="151"/>
        <v>0</v>
      </c>
      <c r="BL1355" s="556" t="str">
        <f t="shared" si="152"/>
        <v/>
      </c>
      <c r="BM1355" s="497">
        <f t="shared" si="153"/>
        <v>0</v>
      </c>
    </row>
    <row r="1356" spans="59:65">
      <c r="BG1356" s="556" t="str">
        <f t="shared" si="147"/>
        <v>O</v>
      </c>
      <c r="BH1356" s="556" t="str">
        <f t="shared" si="148"/>
        <v/>
      </c>
      <c r="BI1356" s="556" t="str">
        <f t="shared" si="149"/>
        <v/>
      </c>
      <c r="BJ1356" s="556">
        <f t="shared" si="150"/>
        <v>0</v>
      </c>
      <c r="BK1356" s="556">
        <f t="shared" si="151"/>
        <v>0</v>
      </c>
      <c r="BL1356" s="556" t="str">
        <f t="shared" si="152"/>
        <v/>
      </c>
      <c r="BM1356" s="497">
        <f t="shared" si="153"/>
        <v>0</v>
      </c>
    </row>
    <row r="1357" spans="59:65">
      <c r="BG1357" s="556" t="str">
        <f t="shared" si="147"/>
        <v>O</v>
      </c>
      <c r="BH1357" s="556" t="str">
        <f t="shared" si="148"/>
        <v/>
      </c>
      <c r="BI1357" s="556" t="str">
        <f t="shared" si="149"/>
        <v/>
      </c>
      <c r="BJ1357" s="556">
        <f t="shared" si="150"/>
        <v>0</v>
      </c>
      <c r="BK1357" s="556">
        <f t="shared" si="151"/>
        <v>0</v>
      </c>
      <c r="BL1357" s="556" t="str">
        <f t="shared" si="152"/>
        <v/>
      </c>
      <c r="BM1357" s="497">
        <f t="shared" si="153"/>
        <v>0</v>
      </c>
    </row>
    <row r="1358" spans="59:65">
      <c r="BG1358" s="556" t="str">
        <f t="shared" si="147"/>
        <v>O</v>
      </c>
      <c r="BH1358" s="556" t="str">
        <f t="shared" si="148"/>
        <v/>
      </c>
      <c r="BI1358" s="556" t="str">
        <f t="shared" si="149"/>
        <v/>
      </c>
      <c r="BJ1358" s="556">
        <f t="shared" si="150"/>
        <v>0</v>
      </c>
      <c r="BK1358" s="556">
        <f t="shared" si="151"/>
        <v>0</v>
      </c>
      <c r="BL1358" s="556" t="str">
        <f t="shared" si="152"/>
        <v/>
      </c>
      <c r="BM1358" s="497">
        <f t="shared" si="153"/>
        <v>0</v>
      </c>
    </row>
    <row r="1359" spans="59:65">
      <c r="BG1359" s="556" t="str">
        <f t="shared" si="147"/>
        <v>O</v>
      </c>
      <c r="BH1359" s="556" t="str">
        <f t="shared" si="148"/>
        <v/>
      </c>
      <c r="BI1359" s="556" t="str">
        <f t="shared" si="149"/>
        <v/>
      </c>
      <c r="BJ1359" s="556">
        <f t="shared" si="150"/>
        <v>0</v>
      </c>
      <c r="BK1359" s="556">
        <f t="shared" si="151"/>
        <v>0</v>
      </c>
      <c r="BL1359" s="556" t="str">
        <f t="shared" si="152"/>
        <v/>
      </c>
      <c r="BM1359" s="497">
        <f t="shared" si="153"/>
        <v>0</v>
      </c>
    </row>
    <row r="1360" spans="59:65">
      <c r="BG1360" s="556" t="str">
        <f t="shared" si="147"/>
        <v>O</v>
      </c>
      <c r="BH1360" s="556" t="str">
        <f t="shared" si="148"/>
        <v/>
      </c>
      <c r="BI1360" s="556" t="str">
        <f t="shared" si="149"/>
        <v/>
      </c>
      <c r="BJ1360" s="556">
        <f t="shared" si="150"/>
        <v>0</v>
      </c>
      <c r="BK1360" s="556">
        <f t="shared" si="151"/>
        <v>0</v>
      </c>
      <c r="BL1360" s="556" t="str">
        <f t="shared" si="152"/>
        <v/>
      </c>
      <c r="BM1360" s="497">
        <f t="shared" si="153"/>
        <v>0</v>
      </c>
    </row>
    <row r="1361" spans="59:65">
      <c r="BG1361" s="556" t="str">
        <f t="shared" si="147"/>
        <v>O</v>
      </c>
      <c r="BH1361" s="556" t="str">
        <f t="shared" si="148"/>
        <v/>
      </c>
      <c r="BI1361" s="556" t="str">
        <f t="shared" si="149"/>
        <v/>
      </c>
      <c r="BJ1361" s="556">
        <f t="shared" si="150"/>
        <v>0</v>
      </c>
      <c r="BK1361" s="556">
        <f t="shared" si="151"/>
        <v>0</v>
      </c>
      <c r="BL1361" s="556" t="str">
        <f t="shared" si="152"/>
        <v/>
      </c>
      <c r="BM1361" s="497">
        <f t="shared" si="153"/>
        <v>0</v>
      </c>
    </row>
    <row r="1362" spans="59:65">
      <c r="BG1362" s="556" t="str">
        <f t="shared" si="147"/>
        <v>O</v>
      </c>
      <c r="BH1362" s="556" t="str">
        <f t="shared" si="148"/>
        <v/>
      </c>
      <c r="BI1362" s="556" t="str">
        <f t="shared" si="149"/>
        <v/>
      </c>
      <c r="BJ1362" s="556">
        <f t="shared" si="150"/>
        <v>0</v>
      </c>
      <c r="BK1362" s="556">
        <f t="shared" si="151"/>
        <v>0</v>
      </c>
      <c r="BL1362" s="556" t="str">
        <f t="shared" si="152"/>
        <v/>
      </c>
      <c r="BM1362" s="497">
        <f t="shared" si="153"/>
        <v>0</v>
      </c>
    </row>
    <row r="1363" spans="59:65">
      <c r="BG1363" s="556" t="str">
        <f t="shared" si="147"/>
        <v>O</v>
      </c>
      <c r="BH1363" s="556" t="str">
        <f t="shared" si="148"/>
        <v/>
      </c>
      <c r="BI1363" s="556" t="str">
        <f t="shared" si="149"/>
        <v/>
      </c>
      <c r="BJ1363" s="556">
        <f t="shared" si="150"/>
        <v>0</v>
      </c>
      <c r="BK1363" s="556">
        <f t="shared" si="151"/>
        <v>0</v>
      </c>
      <c r="BL1363" s="556" t="str">
        <f t="shared" si="152"/>
        <v/>
      </c>
      <c r="BM1363" s="497">
        <f t="shared" si="153"/>
        <v>0</v>
      </c>
    </row>
    <row r="1364" spans="59:65">
      <c r="BG1364" s="556" t="str">
        <f t="shared" si="147"/>
        <v>O</v>
      </c>
      <c r="BH1364" s="556" t="str">
        <f t="shared" si="148"/>
        <v/>
      </c>
      <c r="BI1364" s="556" t="str">
        <f t="shared" si="149"/>
        <v/>
      </c>
      <c r="BJ1364" s="556">
        <f t="shared" si="150"/>
        <v>0</v>
      </c>
      <c r="BK1364" s="556">
        <f t="shared" si="151"/>
        <v>0</v>
      </c>
      <c r="BL1364" s="556" t="str">
        <f t="shared" si="152"/>
        <v/>
      </c>
      <c r="BM1364" s="497">
        <f t="shared" si="153"/>
        <v>0</v>
      </c>
    </row>
    <row r="1365" spans="59:65">
      <c r="BG1365" s="556" t="str">
        <f t="shared" si="147"/>
        <v>O</v>
      </c>
      <c r="BH1365" s="556" t="str">
        <f t="shared" si="148"/>
        <v/>
      </c>
      <c r="BI1365" s="556" t="str">
        <f t="shared" si="149"/>
        <v/>
      </c>
      <c r="BJ1365" s="556">
        <f t="shared" si="150"/>
        <v>0</v>
      </c>
      <c r="BK1365" s="556">
        <f t="shared" si="151"/>
        <v>0</v>
      </c>
      <c r="BL1365" s="556" t="str">
        <f t="shared" si="152"/>
        <v/>
      </c>
      <c r="BM1365" s="497">
        <f t="shared" si="153"/>
        <v>0</v>
      </c>
    </row>
    <row r="1366" spans="59:65">
      <c r="BG1366" s="556" t="str">
        <f t="shared" si="147"/>
        <v>O</v>
      </c>
      <c r="BH1366" s="556" t="str">
        <f t="shared" si="148"/>
        <v/>
      </c>
      <c r="BI1366" s="556" t="str">
        <f t="shared" si="149"/>
        <v/>
      </c>
      <c r="BJ1366" s="556">
        <f t="shared" si="150"/>
        <v>0</v>
      </c>
      <c r="BK1366" s="556">
        <f t="shared" si="151"/>
        <v>0</v>
      </c>
      <c r="BL1366" s="556" t="str">
        <f t="shared" si="152"/>
        <v/>
      </c>
      <c r="BM1366" s="497">
        <f t="shared" si="153"/>
        <v>0</v>
      </c>
    </row>
    <row r="1367" spans="59:65">
      <c r="BG1367" s="556" t="str">
        <f t="shared" si="147"/>
        <v>O</v>
      </c>
      <c r="BH1367" s="556" t="str">
        <f t="shared" si="148"/>
        <v/>
      </c>
      <c r="BI1367" s="556" t="str">
        <f t="shared" si="149"/>
        <v/>
      </c>
      <c r="BJ1367" s="556">
        <f t="shared" si="150"/>
        <v>0</v>
      </c>
      <c r="BK1367" s="556">
        <f t="shared" si="151"/>
        <v>0</v>
      </c>
      <c r="BL1367" s="556" t="str">
        <f t="shared" si="152"/>
        <v/>
      </c>
      <c r="BM1367" s="497">
        <f t="shared" si="153"/>
        <v>0</v>
      </c>
    </row>
    <row r="1368" spans="59:65">
      <c r="BG1368" s="556" t="str">
        <f t="shared" si="147"/>
        <v>O</v>
      </c>
      <c r="BH1368" s="556" t="str">
        <f t="shared" si="148"/>
        <v/>
      </c>
      <c r="BI1368" s="556" t="str">
        <f t="shared" si="149"/>
        <v/>
      </c>
      <c r="BJ1368" s="556">
        <f t="shared" si="150"/>
        <v>0</v>
      </c>
      <c r="BK1368" s="556">
        <f t="shared" si="151"/>
        <v>0</v>
      </c>
      <c r="BL1368" s="556" t="str">
        <f t="shared" si="152"/>
        <v/>
      </c>
      <c r="BM1368" s="497">
        <f t="shared" si="153"/>
        <v>0</v>
      </c>
    </row>
    <row r="1369" spans="59:65">
      <c r="BG1369" s="556" t="str">
        <f t="shared" si="147"/>
        <v>O</v>
      </c>
      <c r="BH1369" s="556" t="str">
        <f t="shared" si="148"/>
        <v/>
      </c>
      <c r="BI1369" s="556" t="str">
        <f t="shared" si="149"/>
        <v/>
      </c>
      <c r="BJ1369" s="556">
        <f t="shared" si="150"/>
        <v>0</v>
      </c>
      <c r="BK1369" s="556">
        <f t="shared" si="151"/>
        <v>0</v>
      </c>
      <c r="BL1369" s="556" t="str">
        <f t="shared" si="152"/>
        <v/>
      </c>
      <c r="BM1369" s="497">
        <f t="shared" si="153"/>
        <v>0</v>
      </c>
    </row>
    <row r="1370" spans="59:65">
      <c r="BG1370" s="556" t="str">
        <f t="shared" si="147"/>
        <v>O</v>
      </c>
      <c r="BH1370" s="556" t="str">
        <f t="shared" si="148"/>
        <v/>
      </c>
      <c r="BI1370" s="556" t="str">
        <f t="shared" si="149"/>
        <v/>
      </c>
      <c r="BJ1370" s="556">
        <f t="shared" si="150"/>
        <v>0</v>
      </c>
      <c r="BK1370" s="556">
        <f t="shared" si="151"/>
        <v>0</v>
      </c>
      <c r="BL1370" s="556" t="str">
        <f t="shared" si="152"/>
        <v/>
      </c>
      <c r="BM1370" s="497">
        <f t="shared" si="153"/>
        <v>0</v>
      </c>
    </row>
    <row r="1371" spans="59:65">
      <c r="BG1371" s="556" t="str">
        <f t="shared" si="147"/>
        <v>O</v>
      </c>
      <c r="BH1371" s="556" t="str">
        <f t="shared" si="148"/>
        <v/>
      </c>
      <c r="BI1371" s="556" t="str">
        <f t="shared" si="149"/>
        <v/>
      </c>
      <c r="BJ1371" s="556">
        <f t="shared" si="150"/>
        <v>0</v>
      </c>
      <c r="BK1371" s="556">
        <f t="shared" si="151"/>
        <v>0</v>
      </c>
      <c r="BL1371" s="556" t="str">
        <f t="shared" si="152"/>
        <v/>
      </c>
      <c r="BM1371" s="497">
        <f t="shared" si="153"/>
        <v>0</v>
      </c>
    </row>
    <row r="1372" spans="59:65">
      <c r="BG1372" s="556" t="str">
        <f t="shared" si="147"/>
        <v>O</v>
      </c>
      <c r="BH1372" s="556" t="str">
        <f t="shared" si="148"/>
        <v/>
      </c>
      <c r="BI1372" s="556" t="str">
        <f t="shared" si="149"/>
        <v/>
      </c>
      <c r="BJ1372" s="556">
        <f t="shared" si="150"/>
        <v>0</v>
      </c>
      <c r="BK1372" s="556">
        <f t="shared" si="151"/>
        <v>0</v>
      </c>
      <c r="BL1372" s="556" t="str">
        <f t="shared" si="152"/>
        <v/>
      </c>
      <c r="BM1372" s="497">
        <f t="shared" si="153"/>
        <v>0</v>
      </c>
    </row>
    <row r="1373" spans="59:65">
      <c r="BG1373" s="556" t="str">
        <f t="shared" si="147"/>
        <v>O</v>
      </c>
      <c r="BH1373" s="556" t="str">
        <f t="shared" si="148"/>
        <v/>
      </c>
      <c r="BI1373" s="556" t="str">
        <f t="shared" si="149"/>
        <v/>
      </c>
      <c r="BJ1373" s="556">
        <f t="shared" si="150"/>
        <v>0</v>
      </c>
      <c r="BK1373" s="556">
        <f t="shared" si="151"/>
        <v>0</v>
      </c>
      <c r="BL1373" s="556" t="str">
        <f t="shared" si="152"/>
        <v/>
      </c>
      <c r="BM1373" s="497">
        <f t="shared" si="153"/>
        <v>0</v>
      </c>
    </row>
    <row r="1374" spans="59:65">
      <c r="BG1374" s="556" t="str">
        <f t="shared" si="147"/>
        <v>O</v>
      </c>
      <c r="BH1374" s="556" t="str">
        <f t="shared" si="148"/>
        <v/>
      </c>
      <c r="BI1374" s="556" t="str">
        <f t="shared" si="149"/>
        <v/>
      </c>
      <c r="BJ1374" s="556">
        <f t="shared" si="150"/>
        <v>0</v>
      </c>
      <c r="BK1374" s="556">
        <f t="shared" si="151"/>
        <v>0</v>
      </c>
      <c r="BL1374" s="556" t="str">
        <f t="shared" si="152"/>
        <v/>
      </c>
      <c r="BM1374" s="497">
        <f t="shared" si="153"/>
        <v>0</v>
      </c>
    </row>
    <row r="1375" spans="59:65">
      <c r="BG1375" s="556" t="str">
        <f t="shared" si="147"/>
        <v>O</v>
      </c>
      <c r="BH1375" s="556" t="str">
        <f t="shared" si="148"/>
        <v/>
      </c>
      <c r="BI1375" s="556" t="str">
        <f t="shared" si="149"/>
        <v/>
      </c>
      <c r="BJ1375" s="556">
        <f t="shared" si="150"/>
        <v>0</v>
      </c>
      <c r="BK1375" s="556">
        <f t="shared" si="151"/>
        <v>0</v>
      </c>
      <c r="BL1375" s="556" t="str">
        <f t="shared" si="152"/>
        <v/>
      </c>
      <c r="BM1375" s="497">
        <f t="shared" si="153"/>
        <v>0</v>
      </c>
    </row>
    <row r="1376" spans="59:65">
      <c r="BG1376" s="556" t="str">
        <f t="shared" si="147"/>
        <v>O</v>
      </c>
      <c r="BH1376" s="556" t="str">
        <f t="shared" si="148"/>
        <v/>
      </c>
      <c r="BI1376" s="556" t="str">
        <f t="shared" si="149"/>
        <v/>
      </c>
      <c r="BJ1376" s="556">
        <f t="shared" si="150"/>
        <v>0</v>
      </c>
      <c r="BK1376" s="556">
        <f t="shared" si="151"/>
        <v>0</v>
      </c>
      <c r="BL1376" s="556" t="str">
        <f t="shared" si="152"/>
        <v/>
      </c>
      <c r="BM1376" s="497">
        <f t="shared" si="153"/>
        <v>0</v>
      </c>
    </row>
    <row r="1377" spans="59:65">
      <c r="BG1377" s="556" t="str">
        <f t="shared" si="147"/>
        <v>O</v>
      </c>
      <c r="BH1377" s="556" t="str">
        <f t="shared" si="148"/>
        <v/>
      </c>
      <c r="BI1377" s="556" t="str">
        <f t="shared" si="149"/>
        <v/>
      </c>
      <c r="BJ1377" s="556">
        <f t="shared" si="150"/>
        <v>0</v>
      </c>
      <c r="BK1377" s="556">
        <f t="shared" si="151"/>
        <v>0</v>
      </c>
      <c r="BL1377" s="556" t="str">
        <f t="shared" si="152"/>
        <v/>
      </c>
      <c r="BM1377" s="497">
        <f t="shared" si="153"/>
        <v>0</v>
      </c>
    </row>
    <row r="1378" spans="59:65">
      <c r="BG1378" s="556" t="str">
        <f t="shared" si="147"/>
        <v>O</v>
      </c>
      <c r="BH1378" s="556" t="str">
        <f t="shared" si="148"/>
        <v/>
      </c>
      <c r="BI1378" s="556" t="str">
        <f t="shared" si="149"/>
        <v/>
      </c>
      <c r="BJ1378" s="556">
        <f t="shared" si="150"/>
        <v>0</v>
      </c>
      <c r="BK1378" s="556">
        <f t="shared" si="151"/>
        <v>0</v>
      </c>
      <c r="BL1378" s="556" t="str">
        <f t="shared" si="152"/>
        <v/>
      </c>
      <c r="BM1378" s="497">
        <f t="shared" si="153"/>
        <v>0</v>
      </c>
    </row>
    <row r="1379" spans="59:65">
      <c r="BG1379" s="556" t="str">
        <f t="shared" si="147"/>
        <v>O</v>
      </c>
      <c r="BH1379" s="556" t="str">
        <f t="shared" si="148"/>
        <v/>
      </c>
      <c r="BI1379" s="556" t="str">
        <f t="shared" si="149"/>
        <v/>
      </c>
      <c r="BJ1379" s="556">
        <f t="shared" si="150"/>
        <v>0</v>
      </c>
      <c r="BK1379" s="556">
        <f t="shared" si="151"/>
        <v>0</v>
      </c>
      <c r="BL1379" s="556" t="str">
        <f t="shared" si="152"/>
        <v/>
      </c>
      <c r="BM1379" s="497">
        <f t="shared" si="153"/>
        <v>0</v>
      </c>
    </row>
    <row r="1380" spans="59:65">
      <c r="BG1380" s="556" t="str">
        <f t="shared" si="147"/>
        <v>O</v>
      </c>
      <c r="BH1380" s="556" t="str">
        <f t="shared" si="148"/>
        <v/>
      </c>
      <c r="BI1380" s="556" t="str">
        <f t="shared" si="149"/>
        <v/>
      </c>
      <c r="BJ1380" s="556">
        <f t="shared" si="150"/>
        <v>0</v>
      </c>
      <c r="BK1380" s="556">
        <f t="shared" si="151"/>
        <v>0</v>
      </c>
      <c r="BL1380" s="556" t="str">
        <f t="shared" si="152"/>
        <v/>
      </c>
      <c r="BM1380" s="497">
        <f t="shared" si="153"/>
        <v>0</v>
      </c>
    </row>
    <row r="1381" spans="59:65">
      <c r="BG1381" s="556" t="str">
        <f t="shared" si="147"/>
        <v>O</v>
      </c>
      <c r="BH1381" s="556" t="str">
        <f t="shared" si="148"/>
        <v/>
      </c>
      <c r="BI1381" s="556" t="str">
        <f t="shared" si="149"/>
        <v/>
      </c>
      <c r="BJ1381" s="556">
        <f t="shared" si="150"/>
        <v>0</v>
      </c>
      <c r="BK1381" s="556">
        <f t="shared" si="151"/>
        <v>0</v>
      </c>
      <c r="BL1381" s="556" t="str">
        <f t="shared" si="152"/>
        <v/>
      </c>
      <c r="BM1381" s="497">
        <f t="shared" si="153"/>
        <v>0</v>
      </c>
    </row>
    <row r="1382" spans="59:65">
      <c r="BG1382" s="556" t="str">
        <f t="shared" si="147"/>
        <v>O</v>
      </c>
      <c r="BH1382" s="556" t="str">
        <f t="shared" si="148"/>
        <v/>
      </c>
      <c r="BI1382" s="556" t="str">
        <f t="shared" si="149"/>
        <v/>
      </c>
      <c r="BJ1382" s="556">
        <f t="shared" si="150"/>
        <v>0</v>
      </c>
      <c r="BK1382" s="556">
        <f t="shared" si="151"/>
        <v>0</v>
      </c>
      <c r="BL1382" s="556" t="str">
        <f t="shared" si="152"/>
        <v/>
      </c>
      <c r="BM1382" s="497">
        <f t="shared" si="153"/>
        <v>0</v>
      </c>
    </row>
    <row r="1383" spans="59:65">
      <c r="BG1383" s="556" t="str">
        <f t="shared" si="147"/>
        <v>O</v>
      </c>
      <c r="BH1383" s="556" t="str">
        <f t="shared" si="148"/>
        <v/>
      </c>
      <c r="BI1383" s="556" t="str">
        <f t="shared" si="149"/>
        <v/>
      </c>
      <c r="BJ1383" s="556">
        <f t="shared" si="150"/>
        <v>0</v>
      </c>
      <c r="BK1383" s="556">
        <f t="shared" si="151"/>
        <v>0</v>
      </c>
      <c r="BL1383" s="556" t="str">
        <f t="shared" si="152"/>
        <v/>
      </c>
      <c r="BM1383" s="497">
        <f t="shared" si="153"/>
        <v>0</v>
      </c>
    </row>
    <row r="1384" spans="59:65">
      <c r="BG1384" s="556" t="str">
        <f t="shared" si="147"/>
        <v>O</v>
      </c>
      <c r="BH1384" s="556" t="str">
        <f t="shared" si="148"/>
        <v/>
      </c>
      <c r="BI1384" s="556" t="str">
        <f t="shared" si="149"/>
        <v/>
      </c>
      <c r="BJ1384" s="556">
        <f t="shared" si="150"/>
        <v>0</v>
      </c>
      <c r="BK1384" s="556">
        <f t="shared" si="151"/>
        <v>0</v>
      </c>
      <c r="BL1384" s="556" t="str">
        <f t="shared" si="152"/>
        <v/>
      </c>
      <c r="BM1384" s="497">
        <f t="shared" si="153"/>
        <v>0</v>
      </c>
    </row>
    <row r="1385" spans="59:65">
      <c r="BG1385" s="556" t="str">
        <f t="shared" si="147"/>
        <v>O</v>
      </c>
      <c r="BH1385" s="556" t="str">
        <f t="shared" si="148"/>
        <v/>
      </c>
      <c r="BI1385" s="556" t="str">
        <f t="shared" si="149"/>
        <v/>
      </c>
      <c r="BJ1385" s="556">
        <f t="shared" si="150"/>
        <v>0</v>
      </c>
      <c r="BK1385" s="556">
        <f t="shared" si="151"/>
        <v>0</v>
      </c>
      <c r="BL1385" s="556" t="str">
        <f t="shared" si="152"/>
        <v/>
      </c>
      <c r="BM1385" s="497">
        <f t="shared" si="153"/>
        <v>0</v>
      </c>
    </row>
    <row r="1386" spans="59:65">
      <c r="BG1386" s="556" t="str">
        <f t="shared" si="147"/>
        <v>O</v>
      </c>
      <c r="BH1386" s="556" t="str">
        <f t="shared" si="148"/>
        <v/>
      </c>
      <c r="BI1386" s="556" t="str">
        <f t="shared" si="149"/>
        <v/>
      </c>
      <c r="BJ1386" s="556">
        <f t="shared" si="150"/>
        <v>0</v>
      </c>
      <c r="BK1386" s="556">
        <f t="shared" si="151"/>
        <v>0</v>
      </c>
      <c r="BL1386" s="556" t="str">
        <f t="shared" si="152"/>
        <v/>
      </c>
      <c r="BM1386" s="497">
        <f t="shared" si="153"/>
        <v>0</v>
      </c>
    </row>
    <row r="1387" spans="59:65">
      <c r="BG1387" s="556" t="str">
        <f t="shared" si="147"/>
        <v>O</v>
      </c>
      <c r="BH1387" s="556" t="str">
        <f t="shared" si="148"/>
        <v/>
      </c>
      <c r="BI1387" s="556" t="str">
        <f t="shared" si="149"/>
        <v/>
      </c>
      <c r="BJ1387" s="556">
        <f t="shared" si="150"/>
        <v>0</v>
      </c>
      <c r="BK1387" s="556">
        <f t="shared" si="151"/>
        <v>0</v>
      </c>
      <c r="BL1387" s="556" t="str">
        <f t="shared" si="152"/>
        <v/>
      </c>
      <c r="BM1387" s="497">
        <f t="shared" si="153"/>
        <v>0</v>
      </c>
    </row>
    <row r="1388" spans="59:65">
      <c r="BG1388" s="556" t="str">
        <f t="shared" si="147"/>
        <v>O</v>
      </c>
      <c r="BH1388" s="556" t="str">
        <f t="shared" si="148"/>
        <v/>
      </c>
      <c r="BI1388" s="556" t="str">
        <f t="shared" si="149"/>
        <v/>
      </c>
      <c r="BJ1388" s="556">
        <f t="shared" si="150"/>
        <v>0</v>
      </c>
      <c r="BK1388" s="556">
        <f t="shared" si="151"/>
        <v>0</v>
      </c>
      <c r="BL1388" s="556" t="str">
        <f t="shared" si="152"/>
        <v/>
      </c>
      <c r="BM1388" s="497">
        <f t="shared" si="153"/>
        <v>0</v>
      </c>
    </row>
    <row r="1389" spans="59:65">
      <c r="BG1389" s="556" t="str">
        <f t="shared" si="147"/>
        <v>O</v>
      </c>
      <c r="BH1389" s="556" t="str">
        <f t="shared" si="148"/>
        <v/>
      </c>
      <c r="BI1389" s="556" t="str">
        <f t="shared" si="149"/>
        <v/>
      </c>
      <c r="BJ1389" s="556">
        <f t="shared" si="150"/>
        <v>0</v>
      </c>
      <c r="BK1389" s="556">
        <f t="shared" si="151"/>
        <v>0</v>
      </c>
      <c r="BL1389" s="556" t="str">
        <f t="shared" si="152"/>
        <v/>
      </c>
      <c r="BM1389" s="497">
        <f t="shared" si="153"/>
        <v>0</v>
      </c>
    </row>
    <row r="1390" spans="59:65">
      <c r="BG1390" s="556" t="str">
        <f t="shared" si="147"/>
        <v>O</v>
      </c>
      <c r="BH1390" s="556" t="str">
        <f t="shared" si="148"/>
        <v/>
      </c>
      <c r="BI1390" s="556" t="str">
        <f t="shared" si="149"/>
        <v/>
      </c>
      <c r="BJ1390" s="556">
        <f t="shared" si="150"/>
        <v>0</v>
      </c>
      <c r="BK1390" s="556">
        <f t="shared" si="151"/>
        <v>0</v>
      </c>
      <c r="BL1390" s="556" t="str">
        <f t="shared" si="152"/>
        <v/>
      </c>
      <c r="BM1390" s="497">
        <f t="shared" si="153"/>
        <v>0</v>
      </c>
    </row>
    <row r="1391" spans="59:65">
      <c r="BG1391" s="556" t="str">
        <f t="shared" si="147"/>
        <v>O</v>
      </c>
      <c r="BH1391" s="556" t="str">
        <f t="shared" si="148"/>
        <v/>
      </c>
      <c r="BI1391" s="556" t="str">
        <f t="shared" si="149"/>
        <v/>
      </c>
      <c r="BJ1391" s="556">
        <f t="shared" si="150"/>
        <v>0</v>
      </c>
      <c r="BK1391" s="556">
        <f t="shared" si="151"/>
        <v>0</v>
      </c>
      <c r="BL1391" s="556" t="str">
        <f t="shared" si="152"/>
        <v/>
      </c>
      <c r="BM1391" s="497">
        <f t="shared" si="153"/>
        <v>0</v>
      </c>
    </row>
    <row r="1392" spans="59:65">
      <c r="BG1392" s="556" t="str">
        <f t="shared" si="147"/>
        <v>O</v>
      </c>
      <c r="BH1392" s="556" t="str">
        <f t="shared" si="148"/>
        <v/>
      </c>
      <c r="BI1392" s="556" t="str">
        <f t="shared" si="149"/>
        <v/>
      </c>
      <c r="BJ1392" s="556">
        <f t="shared" si="150"/>
        <v>0</v>
      </c>
      <c r="BK1392" s="556">
        <f t="shared" si="151"/>
        <v>0</v>
      </c>
      <c r="BL1392" s="556" t="str">
        <f t="shared" si="152"/>
        <v/>
      </c>
      <c r="BM1392" s="497">
        <f t="shared" si="153"/>
        <v>0</v>
      </c>
    </row>
    <row r="1393" spans="59:65">
      <c r="BG1393" s="556" t="str">
        <f t="shared" si="147"/>
        <v>O</v>
      </c>
      <c r="BH1393" s="556" t="str">
        <f t="shared" si="148"/>
        <v/>
      </c>
      <c r="BI1393" s="556" t="str">
        <f t="shared" si="149"/>
        <v/>
      </c>
      <c r="BJ1393" s="556">
        <f t="shared" si="150"/>
        <v>0</v>
      </c>
      <c r="BK1393" s="556">
        <f t="shared" si="151"/>
        <v>0</v>
      </c>
      <c r="BL1393" s="556" t="str">
        <f t="shared" si="152"/>
        <v/>
      </c>
      <c r="BM1393" s="497">
        <f t="shared" si="153"/>
        <v>0</v>
      </c>
    </row>
    <row r="1394" spans="59:65">
      <c r="BG1394" s="556" t="str">
        <f t="shared" si="147"/>
        <v>O</v>
      </c>
      <c r="BH1394" s="556" t="str">
        <f t="shared" si="148"/>
        <v/>
      </c>
      <c r="BI1394" s="556" t="str">
        <f t="shared" si="149"/>
        <v/>
      </c>
      <c r="BJ1394" s="556">
        <f t="shared" si="150"/>
        <v>0</v>
      </c>
      <c r="BK1394" s="556">
        <f t="shared" si="151"/>
        <v>0</v>
      </c>
      <c r="BL1394" s="556" t="str">
        <f t="shared" si="152"/>
        <v/>
      </c>
      <c r="BM1394" s="497">
        <f t="shared" si="153"/>
        <v>0</v>
      </c>
    </row>
    <row r="1395" spans="59:65">
      <c r="BG1395" s="556" t="str">
        <f t="shared" si="147"/>
        <v>O</v>
      </c>
      <c r="BH1395" s="556" t="str">
        <f t="shared" si="148"/>
        <v/>
      </c>
      <c r="BI1395" s="556" t="str">
        <f t="shared" si="149"/>
        <v/>
      </c>
      <c r="BJ1395" s="556">
        <f t="shared" si="150"/>
        <v>0</v>
      </c>
      <c r="BK1395" s="556">
        <f t="shared" si="151"/>
        <v>0</v>
      </c>
      <c r="BL1395" s="556" t="str">
        <f t="shared" si="152"/>
        <v/>
      </c>
      <c r="BM1395" s="497">
        <f t="shared" si="153"/>
        <v>0</v>
      </c>
    </row>
    <row r="1396" spans="59:65">
      <c r="BG1396" s="556" t="str">
        <f t="shared" si="147"/>
        <v>O</v>
      </c>
      <c r="BH1396" s="556" t="str">
        <f t="shared" si="148"/>
        <v/>
      </c>
      <c r="BI1396" s="556" t="str">
        <f t="shared" si="149"/>
        <v/>
      </c>
      <c r="BJ1396" s="556">
        <f t="shared" si="150"/>
        <v>0</v>
      </c>
      <c r="BK1396" s="556">
        <f t="shared" si="151"/>
        <v>0</v>
      </c>
      <c r="BL1396" s="556" t="str">
        <f t="shared" si="152"/>
        <v/>
      </c>
      <c r="BM1396" s="497">
        <f t="shared" si="153"/>
        <v>0</v>
      </c>
    </row>
    <row r="1397" spans="59:65">
      <c r="BG1397" s="556" t="str">
        <f t="shared" si="147"/>
        <v>O</v>
      </c>
      <c r="BH1397" s="556" t="str">
        <f t="shared" si="148"/>
        <v/>
      </c>
      <c r="BI1397" s="556" t="str">
        <f t="shared" si="149"/>
        <v/>
      </c>
      <c r="BJ1397" s="556">
        <f t="shared" si="150"/>
        <v>0</v>
      </c>
      <c r="BK1397" s="556">
        <f t="shared" si="151"/>
        <v>0</v>
      </c>
      <c r="BL1397" s="556" t="str">
        <f t="shared" si="152"/>
        <v/>
      </c>
      <c r="BM1397" s="497">
        <f t="shared" si="153"/>
        <v>0</v>
      </c>
    </row>
    <row r="1398" spans="59:65">
      <c r="BG1398" s="556" t="str">
        <f t="shared" si="147"/>
        <v>O</v>
      </c>
      <c r="BH1398" s="556" t="str">
        <f t="shared" si="148"/>
        <v/>
      </c>
      <c r="BI1398" s="556" t="str">
        <f t="shared" si="149"/>
        <v/>
      </c>
      <c r="BJ1398" s="556">
        <f t="shared" si="150"/>
        <v>0</v>
      </c>
      <c r="BK1398" s="556">
        <f t="shared" si="151"/>
        <v>0</v>
      </c>
      <c r="BL1398" s="556" t="str">
        <f t="shared" si="152"/>
        <v/>
      </c>
      <c r="BM1398" s="497">
        <f t="shared" si="153"/>
        <v>0</v>
      </c>
    </row>
    <row r="1399" spans="59:65">
      <c r="BG1399" s="556" t="str">
        <f t="shared" si="147"/>
        <v>O</v>
      </c>
      <c r="BH1399" s="556" t="str">
        <f t="shared" si="148"/>
        <v/>
      </c>
      <c r="BI1399" s="556" t="str">
        <f t="shared" si="149"/>
        <v/>
      </c>
      <c r="BJ1399" s="556">
        <f t="shared" si="150"/>
        <v>0</v>
      </c>
      <c r="BK1399" s="556">
        <f t="shared" si="151"/>
        <v>0</v>
      </c>
      <c r="BL1399" s="556" t="str">
        <f t="shared" si="152"/>
        <v/>
      </c>
      <c r="BM1399" s="497">
        <f t="shared" si="153"/>
        <v>0</v>
      </c>
    </row>
    <row r="1400" spans="59:65">
      <c r="BG1400" s="556" t="str">
        <f t="shared" si="147"/>
        <v>O</v>
      </c>
      <c r="BH1400" s="556" t="str">
        <f t="shared" si="148"/>
        <v/>
      </c>
      <c r="BI1400" s="556" t="str">
        <f t="shared" si="149"/>
        <v/>
      </c>
      <c r="BJ1400" s="556">
        <f t="shared" si="150"/>
        <v>0</v>
      </c>
      <c r="BK1400" s="556">
        <f t="shared" si="151"/>
        <v>0</v>
      </c>
      <c r="BL1400" s="556" t="str">
        <f t="shared" si="152"/>
        <v/>
      </c>
      <c r="BM1400" s="497">
        <f t="shared" si="153"/>
        <v>0</v>
      </c>
    </row>
    <row r="1401" spans="59:65">
      <c r="BG1401" s="556" t="str">
        <f t="shared" si="147"/>
        <v>O</v>
      </c>
      <c r="BH1401" s="556" t="str">
        <f t="shared" si="148"/>
        <v/>
      </c>
      <c r="BI1401" s="556" t="str">
        <f t="shared" si="149"/>
        <v/>
      </c>
      <c r="BJ1401" s="556">
        <f t="shared" si="150"/>
        <v>0</v>
      </c>
      <c r="BK1401" s="556">
        <f t="shared" si="151"/>
        <v>0</v>
      </c>
      <c r="BL1401" s="556" t="str">
        <f t="shared" si="152"/>
        <v/>
      </c>
      <c r="BM1401" s="497">
        <f t="shared" si="153"/>
        <v>0</v>
      </c>
    </row>
    <row r="1402" spans="59:65">
      <c r="BG1402" s="556" t="str">
        <f t="shared" si="147"/>
        <v>O</v>
      </c>
      <c r="BH1402" s="556" t="str">
        <f t="shared" si="148"/>
        <v/>
      </c>
      <c r="BI1402" s="556" t="str">
        <f t="shared" si="149"/>
        <v/>
      </c>
      <c r="BJ1402" s="556">
        <f t="shared" si="150"/>
        <v>0</v>
      </c>
      <c r="BK1402" s="556">
        <f t="shared" si="151"/>
        <v>0</v>
      </c>
      <c r="BL1402" s="556" t="str">
        <f t="shared" si="152"/>
        <v/>
      </c>
      <c r="BM1402" s="497">
        <f t="shared" si="153"/>
        <v>0</v>
      </c>
    </row>
    <row r="1403" spans="59:65">
      <c r="BG1403" s="556" t="str">
        <f t="shared" si="147"/>
        <v>O</v>
      </c>
      <c r="BH1403" s="556" t="str">
        <f t="shared" si="148"/>
        <v/>
      </c>
      <c r="BI1403" s="556" t="str">
        <f t="shared" si="149"/>
        <v/>
      </c>
      <c r="BJ1403" s="556">
        <f t="shared" si="150"/>
        <v>0</v>
      </c>
      <c r="BK1403" s="556">
        <f t="shared" si="151"/>
        <v>0</v>
      </c>
      <c r="BL1403" s="556" t="str">
        <f t="shared" si="152"/>
        <v/>
      </c>
      <c r="BM1403" s="497">
        <f t="shared" si="153"/>
        <v>0</v>
      </c>
    </row>
    <row r="1404" spans="59:65">
      <c r="BG1404" s="556" t="str">
        <f t="shared" si="147"/>
        <v>O</v>
      </c>
      <c r="BH1404" s="556" t="str">
        <f t="shared" si="148"/>
        <v/>
      </c>
      <c r="BI1404" s="556" t="str">
        <f t="shared" si="149"/>
        <v/>
      </c>
      <c r="BJ1404" s="556">
        <f t="shared" si="150"/>
        <v>0</v>
      </c>
      <c r="BK1404" s="556">
        <f t="shared" si="151"/>
        <v>0</v>
      </c>
      <c r="BL1404" s="556" t="str">
        <f t="shared" si="152"/>
        <v/>
      </c>
      <c r="BM1404" s="497">
        <f t="shared" si="153"/>
        <v>0</v>
      </c>
    </row>
    <row r="1405" spans="59:65">
      <c r="BG1405" s="556" t="str">
        <f t="shared" si="147"/>
        <v>O</v>
      </c>
      <c r="BH1405" s="556" t="str">
        <f t="shared" si="148"/>
        <v/>
      </c>
      <c r="BI1405" s="556" t="str">
        <f t="shared" si="149"/>
        <v/>
      </c>
      <c r="BJ1405" s="556">
        <f t="shared" si="150"/>
        <v>0</v>
      </c>
      <c r="BK1405" s="556">
        <f t="shared" si="151"/>
        <v>0</v>
      </c>
      <c r="BL1405" s="556" t="str">
        <f t="shared" si="152"/>
        <v/>
      </c>
      <c r="BM1405" s="497">
        <f t="shared" si="153"/>
        <v>0</v>
      </c>
    </row>
    <row r="1406" spans="59:65">
      <c r="BG1406" s="556" t="str">
        <f t="shared" si="147"/>
        <v>O</v>
      </c>
      <c r="BH1406" s="556" t="str">
        <f t="shared" si="148"/>
        <v/>
      </c>
      <c r="BI1406" s="556" t="str">
        <f t="shared" si="149"/>
        <v/>
      </c>
      <c r="BJ1406" s="556">
        <f t="shared" si="150"/>
        <v>0</v>
      </c>
      <c r="BK1406" s="556">
        <f t="shared" si="151"/>
        <v>0</v>
      </c>
      <c r="BL1406" s="556" t="str">
        <f t="shared" si="152"/>
        <v/>
      </c>
      <c r="BM1406" s="497">
        <f t="shared" si="153"/>
        <v>0</v>
      </c>
    </row>
    <row r="1407" spans="59:65">
      <c r="BG1407" s="556" t="str">
        <f t="shared" si="147"/>
        <v>O</v>
      </c>
      <c r="BH1407" s="556" t="str">
        <f t="shared" si="148"/>
        <v/>
      </c>
      <c r="BI1407" s="556" t="str">
        <f t="shared" si="149"/>
        <v/>
      </c>
      <c r="BJ1407" s="556">
        <f t="shared" si="150"/>
        <v>0</v>
      </c>
      <c r="BK1407" s="556">
        <f t="shared" si="151"/>
        <v>0</v>
      </c>
      <c r="BL1407" s="556" t="str">
        <f t="shared" si="152"/>
        <v/>
      </c>
      <c r="BM1407" s="497">
        <f t="shared" si="153"/>
        <v>0</v>
      </c>
    </row>
    <row r="1408" spans="59:65">
      <c r="BG1408" s="556" t="str">
        <f t="shared" si="147"/>
        <v>O</v>
      </c>
      <c r="BH1408" s="556" t="str">
        <f t="shared" si="148"/>
        <v/>
      </c>
      <c r="BI1408" s="556" t="str">
        <f t="shared" si="149"/>
        <v/>
      </c>
      <c r="BJ1408" s="556">
        <f t="shared" si="150"/>
        <v>0</v>
      </c>
      <c r="BK1408" s="556">
        <f t="shared" si="151"/>
        <v>0</v>
      </c>
      <c r="BL1408" s="556" t="str">
        <f t="shared" si="152"/>
        <v/>
      </c>
      <c r="BM1408" s="497">
        <f t="shared" si="153"/>
        <v>0</v>
      </c>
    </row>
    <row r="1409" spans="59:65">
      <c r="BG1409" s="556" t="str">
        <f t="shared" si="147"/>
        <v>O</v>
      </c>
      <c r="BH1409" s="556" t="str">
        <f t="shared" si="148"/>
        <v/>
      </c>
      <c r="BI1409" s="556" t="str">
        <f t="shared" si="149"/>
        <v/>
      </c>
      <c r="BJ1409" s="556">
        <f t="shared" si="150"/>
        <v>0</v>
      </c>
      <c r="BK1409" s="556">
        <f t="shared" si="151"/>
        <v>0</v>
      </c>
      <c r="BL1409" s="556" t="str">
        <f t="shared" si="152"/>
        <v/>
      </c>
      <c r="BM1409" s="497">
        <f t="shared" si="153"/>
        <v>0</v>
      </c>
    </row>
    <row r="1410" spans="59:65">
      <c r="BG1410" s="556" t="str">
        <f t="shared" si="147"/>
        <v>O</v>
      </c>
      <c r="BH1410" s="556" t="str">
        <f t="shared" si="148"/>
        <v/>
      </c>
      <c r="BI1410" s="556" t="str">
        <f t="shared" si="149"/>
        <v/>
      </c>
      <c r="BJ1410" s="556">
        <f t="shared" si="150"/>
        <v>0</v>
      </c>
      <c r="BK1410" s="556">
        <f t="shared" si="151"/>
        <v>0</v>
      </c>
      <c r="BL1410" s="556" t="str">
        <f t="shared" si="152"/>
        <v/>
      </c>
      <c r="BM1410" s="497">
        <f t="shared" si="153"/>
        <v>0</v>
      </c>
    </row>
    <row r="1411" spans="59:65">
      <c r="BG1411" s="556" t="str">
        <f t="shared" ref="BG1411:BG1474" si="154">IF(LEFT(AY1411,2)="98","X","O")</f>
        <v>O</v>
      </c>
      <c r="BH1411" s="556" t="str">
        <f t="shared" ref="BH1411:BH1474" si="155">IF(IFERROR(SEARCH("45",$AY1411,1),0)&gt;0,"Y","")</f>
        <v/>
      </c>
      <c r="BI1411" s="556" t="str">
        <f t="shared" ref="BI1411:BI1474" si="156">IF(IFERROR(SEARCH("86",$AY1411,1),0)&gt;0,"Y","")</f>
        <v/>
      </c>
      <c r="BJ1411" s="556">
        <f t="shared" ref="BJ1411:BJ1474" si="157">IF(L1411="",K1411,IF(M1411="",K1411&amp;","&amp;L1411,IF(N1411="",K1411&amp;","&amp;L1411&amp;","&amp;M1411,K1411&amp;","&amp;L1411&amp;","&amp;M1411&amp;","&amp;N1411)))</f>
        <v>0</v>
      </c>
      <c r="BK1411" s="556">
        <f t="shared" ref="BK1411:BK1474" si="158">IF(P1411="",O1411,IF(Q1411="",O1411&amp;","&amp;P1411,IF(R1411="",O1411&amp;","&amp;P1411&amp;","&amp;Q1411,IO1411&amp;","&amp;P1411&amp;","&amp;Q1411&amp;","&amp;R1411)))</f>
        <v>0</v>
      </c>
      <c r="BL1411" s="556" t="str">
        <f t="shared" ref="BL1411:BL1474" si="159">IF(S1411=0,"",S1411)</f>
        <v/>
      </c>
      <c r="BM1411" s="497">
        <f t="shared" ref="BM1411:BM1474" si="160">A1411</f>
        <v>0</v>
      </c>
    </row>
    <row r="1412" spans="59:65">
      <c r="BG1412" s="556" t="str">
        <f t="shared" si="154"/>
        <v>O</v>
      </c>
      <c r="BH1412" s="556" t="str">
        <f t="shared" si="155"/>
        <v/>
      </c>
      <c r="BI1412" s="556" t="str">
        <f t="shared" si="156"/>
        <v/>
      </c>
      <c r="BJ1412" s="556">
        <f t="shared" si="157"/>
        <v>0</v>
      </c>
      <c r="BK1412" s="556">
        <f t="shared" si="158"/>
        <v>0</v>
      </c>
      <c r="BL1412" s="556" t="str">
        <f t="shared" si="159"/>
        <v/>
      </c>
      <c r="BM1412" s="497">
        <f t="shared" si="160"/>
        <v>0</v>
      </c>
    </row>
    <row r="1413" spans="59:65">
      <c r="BG1413" s="556" t="str">
        <f t="shared" si="154"/>
        <v>O</v>
      </c>
      <c r="BH1413" s="556" t="str">
        <f t="shared" si="155"/>
        <v/>
      </c>
      <c r="BI1413" s="556" t="str">
        <f t="shared" si="156"/>
        <v/>
      </c>
      <c r="BJ1413" s="556">
        <f t="shared" si="157"/>
        <v>0</v>
      </c>
      <c r="BK1413" s="556">
        <f t="shared" si="158"/>
        <v>0</v>
      </c>
      <c r="BL1413" s="556" t="str">
        <f t="shared" si="159"/>
        <v/>
      </c>
      <c r="BM1413" s="497">
        <f t="shared" si="160"/>
        <v>0</v>
      </c>
    </row>
    <row r="1414" spans="59:65">
      <c r="BG1414" s="556" t="str">
        <f t="shared" si="154"/>
        <v>O</v>
      </c>
      <c r="BH1414" s="556" t="str">
        <f t="shared" si="155"/>
        <v/>
      </c>
      <c r="BI1414" s="556" t="str">
        <f t="shared" si="156"/>
        <v/>
      </c>
      <c r="BJ1414" s="556">
        <f t="shared" si="157"/>
        <v>0</v>
      </c>
      <c r="BK1414" s="556">
        <f t="shared" si="158"/>
        <v>0</v>
      </c>
      <c r="BL1414" s="556" t="str">
        <f t="shared" si="159"/>
        <v/>
      </c>
      <c r="BM1414" s="497">
        <f t="shared" si="160"/>
        <v>0</v>
      </c>
    </row>
    <row r="1415" spans="59:65">
      <c r="BG1415" s="556" t="str">
        <f t="shared" si="154"/>
        <v>O</v>
      </c>
      <c r="BH1415" s="556" t="str">
        <f t="shared" si="155"/>
        <v/>
      </c>
      <c r="BI1415" s="556" t="str">
        <f t="shared" si="156"/>
        <v/>
      </c>
      <c r="BJ1415" s="556">
        <f t="shared" si="157"/>
        <v>0</v>
      </c>
      <c r="BK1415" s="556">
        <f t="shared" si="158"/>
        <v>0</v>
      </c>
      <c r="BL1415" s="556" t="str">
        <f t="shared" si="159"/>
        <v/>
      </c>
      <c r="BM1415" s="497">
        <f t="shared" si="160"/>
        <v>0</v>
      </c>
    </row>
    <row r="1416" spans="59:65">
      <c r="BG1416" s="556" t="str">
        <f t="shared" si="154"/>
        <v>O</v>
      </c>
      <c r="BH1416" s="556" t="str">
        <f t="shared" si="155"/>
        <v/>
      </c>
      <c r="BI1416" s="556" t="str">
        <f t="shared" si="156"/>
        <v/>
      </c>
      <c r="BJ1416" s="556">
        <f t="shared" si="157"/>
        <v>0</v>
      </c>
      <c r="BK1416" s="556">
        <f t="shared" si="158"/>
        <v>0</v>
      </c>
      <c r="BL1416" s="556" t="str">
        <f t="shared" si="159"/>
        <v/>
      </c>
      <c r="BM1416" s="497">
        <f t="shared" si="160"/>
        <v>0</v>
      </c>
    </row>
    <row r="1417" spans="59:65">
      <c r="BG1417" s="556" t="str">
        <f t="shared" si="154"/>
        <v>O</v>
      </c>
      <c r="BH1417" s="556" t="str">
        <f t="shared" si="155"/>
        <v/>
      </c>
      <c r="BI1417" s="556" t="str">
        <f t="shared" si="156"/>
        <v/>
      </c>
      <c r="BJ1417" s="556">
        <f t="shared" si="157"/>
        <v>0</v>
      </c>
      <c r="BK1417" s="556">
        <f t="shared" si="158"/>
        <v>0</v>
      </c>
      <c r="BL1417" s="556" t="str">
        <f t="shared" si="159"/>
        <v/>
      </c>
      <c r="BM1417" s="497">
        <f t="shared" si="160"/>
        <v>0</v>
      </c>
    </row>
    <row r="1418" spans="59:65">
      <c r="BG1418" s="556" t="str">
        <f t="shared" si="154"/>
        <v>O</v>
      </c>
      <c r="BH1418" s="556" t="str">
        <f t="shared" si="155"/>
        <v/>
      </c>
      <c r="BI1418" s="556" t="str">
        <f t="shared" si="156"/>
        <v/>
      </c>
      <c r="BJ1418" s="556">
        <f t="shared" si="157"/>
        <v>0</v>
      </c>
      <c r="BK1418" s="556">
        <f t="shared" si="158"/>
        <v>0</v>
      </c>
      <c r="BL1418" s="556" t="str">
        <f t="shared" si="159"/>
        <v/>
      </c>
      <c r="BM1418" s="497">
        <f t="shared" si="160"/>
        <v>0</v>
      </c>
    </row>
    <row r="1419" spans="59:65">
      <c r="BG1419" s="556" t="str">
        <f t="shared" si="154"/>
        <v>O</v>
      </c>
      <c r="BH1419" s="556" t="str">
        <f t="shared" si="155"/>
        <v/>
      </c>
      <c r="BI1419" s="556" t="str">
        <f t="shared" si="156"/>
        <v/>
      </c>
      <c r="BJ1419" s="556">
        <f t="shared" si="157"/>
        <v>0</v>
      </c>
      <c r="BK1419" s="556">
        <f t="shared" si="158"/>
        <v>0</v>
      </c>
      <c r="BL1419" s="556" t="str">
        <f t="shared" si="159"/>
        <v/>
      </c>
      <c r="BM1419" s="497">
        <f t="shared" si="160"/>
        <v>0</v>
      </c>
    </row>
    <row r="1420" spans="59:65">
      <c r="BG1420" s="556" t="str">
        <f t="shared" si="154"/>
        <v>O</v>
      </c>
      <c r="BH1420" s="556" t="str">
        <f t="shared" si="155"/>
        <v/>
      </c>
      <c r="BI1420" s="556" t="str">
        <f t="shared" si="156"/>
        <v/>
      </c>
      <c r="BJ1420" s="556">
        <f t="shared" si="157"/>
        <v>0</v>
      </c>
      <c r="BK1420" s="556">
        <f t="shared" si="158"/>
        <v>0</v>
      </c>
      <c r="BL1420" s="556" t="str">
        <f t="shared" si="159"/>
        <v/>
      </c>
      <c r="BM1420" s="497">
        <f t="shared" si="160"/>
        <v>0</v>
      </c>
    </row>
    <row r="1421" spans="59:65">
      <c r="BG1421" s="556" t="str">
        <f t="shared" si="154"/>
        <v>O</v>
      </c>
      <c r="BH1421" s="556" t="str">
        <f t="shared" si="155"/>
        <v/>
      </c>
      <c r="BI1421" s="556" t="str">
        <f t="shared" si="156"/>
        <v/>
      </c>
      <c r="BJ1421" s="556">
        <f t="shared" si="157"/>
        <v>0</v>
      </c>
      <c r="BK1421" s="556">
        <f t="shared" si="158"/>
        <v>0</v>
      </c>
      <c r="BL1421" s="556" t="str">
        <f t="shared" si="159"/>
        <v/>
      </c>
      <c r="BM1421" s="497">
        <f t="shared" si="160"/>
        <v>0</v>
      </c>
    </row>
    <row r="1422" spans="59:65">
      <c r="BG1422" s="556" t="str">
        <f t="shared" si="154"/>
        <v>O</v>
      </c>
      <c r="BH1422" s="556" t="str">
        <f t="shared" si="155"/>
        <v/>
      </c>
      <c r="BI1422" s="556" t="str">
        <f t="shared" si="156"/>
        <v/>
      </c>
      <c r="BJ1422" s="556">
        <f t="shared" si="157"/>
        <v>0</v>
      </c>
      <c r="BK1422" s="556">
        <f t="shared" si="158"/>
        <v>0</v>
      </c>
      <c r="BL1422" s="556" t="str">
        <f t="shared" si="159"/>
        <v/>
      </c>
      <c r="BM1422" s="497">
        <f t="shared" si="160"/>
        <v>0</v>
      </c>
    </row>
    <row r="1423" spans="59:65">
      <c r="BG1423" s="556" t="str">
        <f t="shared" si="154"/>
        <v>O</v>
      </c>
      <c r="BH1423" s="556" t="str">
        <f t="shared" si="155"/>
        <v/>
      </c>
      <c r="BI1423" s="556" t="str">
        <f t="shared" si="156"/>
        <v/>
      </c>
      <c r="BJ1423" s="556">
        <f t="shared" si="157"/>
        <v>0</v>
      </c>
      <c r="BK1423" s="556">
        <f t="shared" si="158"/>
        <v>0</v>
      </c>
      <c r="BL1423" s="556" t="str">
        <f t="shared" si="159"/>
        <v/>
      </c>
      <c r="BM1423" s="497">
        <f t="shared" si="160"/>
        <v>0</v>
      </c>
    </row>
    <row r="1424" spans="59:65">
      <c r="BG1424" s="556" t="str">
        <f t="shared" si="154"/>
        <v>O</v>
      </c>
      <c r="BH1424" s="556" t="str">
        <f t="shared" si="155"/>
        <v/>
      </c>
      <c r="BI1424" s="556" t="str">
        <f t="shared" si="156"/>
        <v/>
      </c>
      <c r="BJ1424" s="556">
        <f t="shared" si="157"/>
        <v>0</v>
      </c>
      <c r="BK1424" s="556">
        <f t="shared" si="158"/>
        <v>0</v>
      </c>
      <c r="BL1424" s="556" t="str">
        <f t="shared" si="159"/>
        <v/>
      </c>
      <c r="BM1424" s="497">
        <f t="shared" si="160"/>
        <v>0</v>
      </c>
    </row>
    <row r="1425" spans="59:65">
      <c r="BG1425" s="556" t="str">
        <f t="shared" si="154"/>
        <v>O</v>
      </c>
      <c r="BH1425" s="556" t="str">
        <f t="shared" si="155"/>
        <v/>
      </c>
      <c r="BI1425" s="556" t="str">
        <f t="shared" si="156"/>
        <v/>
      </c>
      <c r="BJ1425" s="556">
        <f t="shared" si="157"/>
        <v>0</v>
      </c>
      <c r="BK1425" s="556">
        <f t="shared" si="158"/>
        <v>0</v>
      </c>
      <c r="BL1425" s="556" t="str">
        <f t="shared" si="159"/>
        <v/>
      </c>
      <c r="BM1425" s="497">
        <f t="shared" si="160"/>
        <v>0</v>
      </c>
    </row>
    <row r="1426" spans="59:65">
      <c r="BG1426" s="556" t="str">
        <f t="shared" si="154"/>
        <v>O</v>
      </c>
      <c r="BH1426" s="556" t="str">
        <f t="shared" si="155"/>
        <v/>
      </c>
      <c r="BI1426" s="556" t="str">
        <f t="shared" si="156"/>
        <v/>
      </c>
      <c r="BJ1426" s="556">
        <f t="shared" si="157"/>
        <v>0</v>
      </c>
      <c r="BK1426" s="556">
        <f t="shared" si="158"/>
        <v>0</v>
      </c>
      <c r="BL1426" s="556" t="str">
        <f t="shared" si="159"/>
        <v/>
      </c>
      <c r="BM1426" s="497">
        <f t="shared" si="160"/>
        <v>0</v>
      </c>
    </row>
    <row r="1427" spans="59:65">
      <c r="BG1427" s="556" t="str">
        <f t="shared" si="154"/>
        <v>O</v>
      </c>
      <c r="BH1427" s="556" t="str">
        <f t="shared" si="155"/>
        <v/>
      </c>
      <c r="BI1427" s="556" t="str">
        <f t="shared" si="156"/>
        <v/>
      </c>
      <c r="BJ1427" s="556">
        <f t="shared" si="157"/>
        <v>0</v>
      </c>
      <c r="BK1427" s="556">
        <f t="shared" si="158"/>
        <v>0</v>
      </c>
      <c r="BL1427" s="556" t="str">
        <f t="shared" si="159"/>
        <v/>
      </c>
      <c r="BM1427" s="497">
        <f t="shared" si="160"/>
        <v>0</v>
      </c>
    </row>
    <row r="1428" spans="59:65">
      <c r="BG1428" s="556" t="str">
        <f t="shared" si="154"/>
        <v>O</v>
      </c>
      <c r="BH1428" s="556" t="str">
        <f t="shared" si="155"/>
        <v/>
      </c>
      <c r="BI1428" s="556" t="str">
        <f t="shared" si="156"/>
        <v/>
      </c>
      <c r="BJ1428" s="556">
        <f t="shared" si="157"/>
        <v>0</v>
      </c>
      <c r="BK1428" s="556">
        <f t="shared" si="158"/>
        <v>0</v>
      </c>
      <c r="BL1428" s="556" t="str">
        <f t="shared" si="159"/>
        <v/>
      </c>
      <c r="BM1428" s="497">
        <f t="shared" si="160"/>
        <v>0</v>
      </c>
    </row>
    <row r="1429" spans="59:65">
      <c r="BG1429" s="556" t="str">
        <f t="shared" si="154"/>
        <v>O</v>
      </c>
      <c r="BH1429" s="556" t="str">
        <f t="shared" si="155"/>
        <v/>
      </c>
      <c r="BI1429" s="556" t="str">
        <f t="shared" si="156"/>
        <v/>
      </c>
      <c r="BJ1429" s="556">
        <f t="shared" si="157"/>
        <v>0</v>
      </c>
      <c r="BK1429" s="556">
        <f t="shared" si="158"/>
        <v>0</v>
      </c>
      <c r="BL1429" s="556" t="str">
        <f t="shared" si="159"/>
        <v/>
      </c>
      <c r="BM1429" s="497">
        <f t="shared" si="160"/>
        <v>0</v>
      </c>
    </row>
    <row r="1430" spans="59:65">
      <c r="BG1430" s="556" t="str">
        <f t="shared" si="154"/>
        <v>O</v>
      </c>
      <c r="BH1430" s="556" t="str">
        <f t="shared" si="155"/>
        <v/>
      </c>
      <c r="BI1430" s="556" t="str">
        <f t="shared" si="156"/>
        <v/>
      </c>
      <c r="BJ1430" s="556">
        <f t="shared" si="157"/>
        <v>0</v>
      </c>
      <c r="BK1430" s="556">
        <f t="shared" si="158"/>
        <v>0</v>
      </c>
      <c r="BL1430" s="556" t="str">
        <f t="shared" si="159"/>
        <v/>
      </c>
      <c r="BM1430" s="497">
        <f t="shared" si="160"/>
        <v>0</v>
      </c>
    </row>
    <row r="1431" spans="59:65">
      <c r="BG1431" s="556" t="str">
        <f t="shared" si="154"/>
        <v>O</v>
      </c>
      <c r="BH1431" s="556" t="str">
        <f t="shared" si="155"/>
        <v/>
      </c>
      <c r="BI1431" s="556" t="str">
        <f t="shared" si="156"/>
        <v/>
      </c>
      <c r="BJ1431" s="556">
        <f t="shared" si="157"/>
        <v>0</v>
      </c>
      <c r="BK1431" s="556">
        <f t="shared" si="158"/>
        <v>0</v>
      </c>
      <c r="BL1431" s="556" t="str">
        <f t="shared" si="159"/>
        <v/>
      </c>
      <c r="BM1431" s="497">
        <f t="shared" si="160"/>
        <v>0</v>
      </c>
    </row>
    <row r="1432" spans="59:65">
      <c r="BG1432" s="556" t="str">
        <f t="shared" si="154"/>
        <v>O</v>
      </c>
      <c r="BH1432" s="556" t="str">
        <f t="shared" si="155"/>
        <v/>
      </c>
      <c r="BI1432" s="556" t="str">
        <f t="shared" si="156"/>
        <v/>
      </c>
      <c r="BJ1432" s="556">
        <f t="shared" si="157"/>
        <v>0</v>
      </c>
      <c r="BK1432" s="556">
        <f t="shared" si="158"/>
        <v>0</v>
      </c>
      <c r="BL1432" s="556" t="str">
        <f t="shared" si="159"/>
        <v/>
      </c>
      <c r="BM1432" s="497">
        <f t="shared" si="160"/>
        <v>0</v>
      </c>
    </row>
    <row r="1433" spans="59:65">
      <c r="BG1433" s="556" t="str">
        <f t="shared" si="154"/>
        <v>O</v>
      </c>
      <c r="BH1433" s="556" t="str">
        <f t="shared" si="155"/>
        <v/>
      </c>
      <c r="BI1433" s="556" t="str">
        <f t="shared" si="156"/>
        <v/>
      </c>
      <c r="BJ1433" s="556">
        <f t="shared" si="157"/>
        <v>0</v>
      </c>
      <c r="BK1433" s="556">
        <f t="shared" si="158"/>
        <v>0</v>
      </c>
      <c r="BL1433" s="556" t="str">
        <f t="shared" si="159"/>
        <v/>
      </c>
      <c r="BM1433" s="497">
        <f t="shared" si="160"/>
        <v>0</v>
      </c>
    </row>
    <row r="1434" spans="59:65">
      <c r="BG1434" s="556" t="str">
        <f t="shared" si="154"/>
        <v>O</v>
      </c>
      <c r="BH1434" s="556" t="str">
        <f t="shared" si="155"/>
        <v/>
      </c>
      <c r="BI1434" s="556" t="str">
        <f t="shared" si="156"/>
        <v/>
      </c>
      <c r="BJ1434" s="556">
        <f t="shared" si="157"/>
        <v>0</v>
      </c>
      <c r="BK1434" s="556">
        <f t="shared" si="158"/>
        <v>0</v>
      </c>
      <c r="BL1434" s="556" t="str">
        <f t="shared" si="159"/>
        <v/>
      </c>
      <c r="BM1434" s="497">
        <f t="shared" si="160"/>
        <v>0</v>
      </c>
    </row>
    <row r="1435" spans="59:65">
      <c r="BG1435" s="556" t="str">
        <f t="shared" si="154"/>
        <v>O</v>
      </c>
      <c r="BH1435" s="556" t="str">
        <f t="shared" si="155"/>
        <v/>
      </c>
      <c r="BI1435" s="556" t="str">
        <f t="shared" si="156"/>
        <v/>
      </c>
      <c r="BJ1435" s="556">
        <f t="shared" si="157"/>
        <v>0</v>
      </c>
      <c r="BK1435" s="556">
        <f t="shared" si="158"/>
        <v>0</v>
      </c>
      <c r="BL1435" s="556" t="str">
        <f t="shared" si="159"/>
        <v/>
      </c>
      <c r="BM1435" s="497">
        <f t="shared" si="160"/>
        <v>0</v>
      </c>
    </row>
    <row r="1436" spans="59:65">
      <c r="BG1436" s="556" t="str">
        <f t="shared" si="154"/>
        <v>O</v>
      </c>
      <c r="BH1436" s="556" t="str">
        <f t="shared" si="155"/>
        <v/>
      </c>
      <c r="BI1436" s="556" t="str">
        <f t="shared" si="156"/>
        <v/>
      </c>
      <c r="BJ1436" s="556">
        <f t="shared" si="157"/>
        <v>0</v>
      </c>
      <c r="BK1436" s="556">
        <f t="shared" si="158"/>
        <v>0</v>
      </c>
      <c r="BL1436" s="556" t="str">
        <f t="shared" si="159"/>
        <v/>
      </c>
      <c r="BM1436" s="497">
        <f t="shared" si="160"/>
        <v>0</v>
      </c>
    </row>
    <row r="1437" spans="59:65">
      <c r="BG1437" s="556" t="str">
        <f t="shared" si="154"/>
        <v>O</v>
      </c>
      <c r="BH1437" s="556" t="str">
        <f t="shared" si="155"/>
        <v/>
      </c>
      <c r="BI1437" s="556" t="str">
        <f t="shared" si="156"/>
        <v/>
      </c>
      <c r="BJ1437" s="556">
        <f t="shared" si="157"/>
        <v>0</v>
      </c>
      <c r="BK1437" s="556">
        <f t="shared" si="158"/>
        <v>0</v>
      </c>
      <c r="BL1437" s="556" t="str">
        <f t="shared" si="159"/>
        <v/>
      </c>
      <c r="BM1437" s="497">
        <f t="shared" si="160"/>
        <v>0</v>
      </c>
    </row>
    <row r="1438" spans="59:65">
      <c r="BG1438" s="556" t="str">
        <f t="shared" si="154"/>
        <v>O</v>
      </c>
      <c r="BH1438" s="556" t="str">
        <f t="shared" si="155"/>
        <v/>
      </c>
      <c r="BI1438" s="556" t="str">
        <f t="shared" si="156"/>
        <v/>
      </c>
      <c r="BJ1438" s="556">
        <f t="shared" si="157"/>
        <v>0</v>
      </c>
      <c r="BK1438" s="556">
        <f t="shared" si="158"/>
        <v>0</v>
      </c>
      <c r="BL1438" s="556" t="str">
        <f t="shared" si="159"/>
        <v/>
      </c>
      <c r="BM1438" s="497">
        <f t="shared" si="160"/>
        <v>0</v>
      </c>
    </row>
    <row r="1439" spans="59:65">
      <c r="BG1439" s="556" t="str">
        <f t="shared" si="154"/>
        <v>O</v>
      </c>
      <c r="BH1439" s="556" t="str">
        <f t="shared" si="155"/>
        <v/>
      </c>
      <c r="BI1439" s="556" t="str">
        <f t="shared" si="156"/>
        <v/>
      </c>
      <c r="BJ1439" s="556">
        <f t="shared" si="157"/>
        <v>0</v>
      </c>
      <c r="BK1439" s="556">
        <f t="shared" si="158"/>
        <v>0</v>
      </c>
      <c r="BL1439" s="556" t="str">
        <f t="shared" si="159"/>
        <v/>
      </c>
      <c r="BM1439" s="497">
        <f t="shared" si="160"/>
        <v>0</v>
      </c>
    </row>
    <row r="1440" spans="59:65">
      <c r="BG1440" s="556" t="str">
        <f t="shared" si="154"/>
        <v>O</v>
      </c>
      <c r="BH1440" s="556" t="str">
        <f t="shared" si="155"/>
        <v/>
      </c>
      <c r="BI1440" s="556" t="str">
        <f t="shared" si="156"/>
        <v/>
      </c>
      <c r="BJ1440" s="556">
        <f t="shared" si="157"/>
        <v>0</v>
      </c>
      <c r="BK1440" s="556">
        <f t="shared" si="158"/>
        <v>0</v>
      </c>
      <c r="BL1440" s="556" t="str">
        <f t="shared" si="159"/>
        <v/>
      </c>
      <c r="BM1440" s="497">
        <f t="shared" si="160"/>
        <v>0</v>
      </c>
    </row>
    <row r="1441" spans="59:65">
      <c r="BG1441" s="556" t="str">
        <f t="shared" si="154"/>
        <v>O</v>
      </c>
      <c r="BH1441" s="556" t="str">
        <f t="shared" si="155"/>
        <v/>
      </c>
      <c r="BI1441" s="556" t="str">
        <f t="shared" si="156"/>
        <v/>
      </c>
      <c r="BJ1441" s="556">
        <f t="shared" si="157"/>
        <v>0</v>
      </c>
      <c r="BK1441" s="556">
        <f t="shared" si="158"/>
        <v>0</v>
      </c>
      <c r="BL1441" s="556" t="str">
        <f t="shared" si="159"/>
        <v/>
      </c>
      <c r="BM1441" s="497">
        <f t="shared" si="160"/>
        <v>0</v>
      </c>
    </row>
    <row r="1442" spans="59:65">
      <c r="BG1442" s="556" t="str">
        <f t="shared" si="154"/>
        <v>O</v>
      </c>
      <c r="BH1442" s="556" t="str">
        <f t="shared" si="155"/>
        <v/>
      </c>
      <c r="BI1442" s="556" t="str">
        <f t="shared" si="156"/>
        <v/>
      </c>
      <c r="BJ1442" s="556">
        <f t="shared" si="157"/>
        <v>0</v>
      </c>
      <c r="BK1442" s="556">
        <f t="shared" si="158"/>
        <v>0</v>
      </c>
      <c r="BL1442" s="556" t="str">
        <f t="shared" si="159"/>
        <v/>
      </c>
      <c r="BM1442" s="497">
        <f t="shared" si="160"/>
        <v>0</v>
      </c>
    </row>
    <row r="1443" spans="59:65">
      <c r="BG1443" s="556" t="str">
        <f t="shared" si="154"/>
        <v>O</v>
      </c>
      <c r="BH1443" s="556" t="str">
        <f t="shared" si="155"/>
        <v/>
      </c>
      <c r="BI1443" s="556" t="str">
        <f t="shared" si="156"/>
        <v/>
      </c>
      <c r="BJ1443" s="556">
        <f t="shared" si="157"/>
        <v>0</v>
      </c>
      <c r="BK1443" s="556">
        <f t="shared" si="158"/>
        <v>0</v>
      </c>
      <c r="BL1443" s="556" t="str">
        <f t="shared" si="159"/>
        <v/>
      </c>
      <c r="BM1443" s="497">
        <f t="shared" si="160"/>
        <v>0</v>
      </c>
    </row>
    <row r="1444" spans="59:65">
      <c r="BG1444" s="556" t="str">
        <f t="shared" si="154"/>
        <v>O</v>
      </c>
      <c r="BH1444" s="556" t="str">
        <f t="shared" si="155"/>
        <v/>
      </c>
      <c r="BI1444" s="556" t="str">
        <f t="shared" si="156"/>
        <v/>
      </c>
      <c r="BJ1444" s="556">
        <f t="shared" si="157"/>
        <v>0</v>
      </c>
      <c r="BK1444" s="556">
        <f t="shared" si="158"/>
        <v>0</v>
      </c>
      <c r="BL1444" s="556" t="str">
        <f t="shared" si="159"/>
        <v/>
      </c>
      <c r="BM1444" s="497">
        <f t="shared" si="160"/>
        <v>0</v>
      </c>
    </row>
    <row r="1445" spans="59:65">
      <c r="BG1445" s="556" t="str">
        <f t="shared" si="154"/>
        <v>O</v>
      </c>
      <c r="BH1445" s="556" t="str">
        <f t="shared" si="155"/>
        <v/>
      </c>
      <c r="BI1445" s="556" t="str">
        <f t="shared" si="156"/>
        <v/>
      </c>
      <c r="BJ1445" s="556">
        <f t="shared" si="157"/>
        <v>0</v>
      </c>
      <c r="BK1445" s="556">
        <f t="shared" si="158"/>
        <v>0</v>
      </c>
      <c r="BL1445" s="556" t="str">
        <f t="shared" si="159"/>
        <v/>
      </c>
      <c r="BM1445" s="497">
        <f t="shared" si="160"/>
        <v>0</v>
      </c>
    </row>
    <row r="1446" spans="59:65">
      <c r="BG1446" s="556" t="str">
        <f t="shared" si="154"/>
        <v>O</v>
      </c>
      <c r="BH1446" s="556" t="str">
        <f t="shared" si="155"/>
        <v/>
      </c>
      <c r="BI1446" s="556" t="str">
        <f t="shared" si="156"/>
        <v/>
      </c>
      <c r="BJ1446" s="556">
        <f t="shared" si="157"/>
        <v>0</v>
      </c>
      <c r="BK1446" s="556">
        <f t="shared" si="158"/>
        <v>0</v>
      </c>
      <c r="BL1446" s="556" t="str">
        <f t="shared" si="159"/>
        <v/>
      </c>
      <c r="BM1446" s="497">
        <f t="shared" si="160"/>
        <v>0</v>
      </c>
    </row>
    <row r="1447" spans="59:65">
      <c r="BG1447" s="556" t="str">
        <f t="shared" si="154"/>
        <v>O</v>
      </c>
      <c r="BH1447" s="556" t="str">
        <f t="shared" si="155"/>
        <v/>
      </c>
      <c r="BI1447" s="556" t="str">
        <f t="shared" si="156"/>
        <v/>
      </c>
      <c r="BJ1447" s="556">
        <f t="shared" si="157"/>
        <v>0</v>
      </c>
      <c r="BK1447" s="556">
        <f t="shared" si="158"/>
        <v>0</v>
      </c>
      <c r="BL1447" s="556" t="str">
        <f t="shared" si="159"/>
        <v/>
      </c>
      <c r="BM1447" s="497">
        <f t="shared" si="160"/>
        <v>0</v>
      </c>
    </row>
    <row r="1448" spans="59:65">
      <c r="BG1448" s="556" t="str">
        <f t="shared" si="154"/>
        <v>O</v>
      </c>
      <c r="BH1448" s="556" t="str">
        <f t="shared" si="155"/>
        <v/>
      </c>
      <c r="BI1448" s="556" t="str">
        <f t="shared" si="156"/>
        <v/>
      </c>
      <c r="BJ1448" s="556">
        <f t="shared" si="157"/>
        <v>0</v>
      </c>
      <c r="BK1448" s="556">
        <f t="shared" si="158"/>
        <v>0</v>
      </c>
      <c r="BL1448" s="556" t="str">
        <f t="shared" si="159"/>
        <v/>
      </c>
      <c r="BM1448" s="497">
        <f t="shared" si="160"/>
        <v>0</v>
      </c>
    </row>
    <row r="1449" spans="59:65">
      <c r="BG1449" s="556" t="str">
        <f t="shared" si="154"/>
        <v>O</v>
      </c>
      <c r="BH1449" s="556" t="str">
        <f t="shared" si="155"/>
        <v/>
      </c>
      <c r="BI1449" s="556" t="str">
        <f t="shared" si="156"/>
        <v/>
      </c>
      <c r="BJ1449" s="556">
        <f t="shared" si="157"/>
        <v>0</v>
      </c>
      <c r="BK1449" s="556">
        <f t="shared" si="158"/>
        <v>0</v>
      </c>
      <c r="BL1449" s="556" t="str">
        <f t="shared" si="159"/>
        <v/>
      </c>
      <c r="BM1449" s="497">
        <f t="shared" si="160"/>
        <v>0</v>
      </c>
    </row>
    <row r="1450" spans="59:65">
      <c r="BG1450" s="556" t="str">
        <f t="shared" si="154"/>
        <v>O</v>
      </c>
      <c r="BH1450" s="556" t="str">
        <f t="shared" si="155"/>
        <v/>
      </c>
      <c r="BI1450" s="556" t="str">
        <f t="shared" si="156"/>
        <v/>
      </c>
      <c r="BJ1450" s="556">
        <f t="shared" si="157"/>
        <v>0</v>
      </c>
      <c r="BK1450" s="556">
        <f t="shared" si="158"/>
        <v>0</v>
      </c>
      <c r="BL1450" s="556" t="str">
        <f t="shared" si="159"/>
        <v/>
      </c>
      <c r="BM1450" s="497">
        <f t="shared" si="160"/>
        <v>0</v>
      </c>
    </row>
    <row r="1451" spans="59:65">
      <c r="BG1451" s="556" t="str">
        <f t="shared" si="154"/>
        <v>O</v>
      </c>
      <c r="BH1451" s="556" t="str">
        <f t="shared" si="155"/>
        <v/>
      </c>
      <c r="BI1451" s="556" t="str">
        <f t="shared" si="156"/>
        <v/>
      </c>
      <c r="BJ1451" s="556">
        <f t="shared" si="157"/>
        <v>0</v>
      </c>
      <c r="BK1451" s="556">
        <f t="shared" si="158"/>
        <v>0</v>
      </c>
      <c r="BL1451" s="556" t="str">
        <f t="shared" si="159"/>
        <v/>
      </c>
      <c r="BM1451" s="497">
        <f t="shared" si="160"/>
        <v>0</v>
      </c>
    </row>
    <row r="1452" spans="59:65">
      <c r="BG1452" s="556" t="str">
        <f t="shared" si="154"/>
        <v>O</v>
      </c>
      <c r="BH1452" s="556" t="str">
        <f t="shared" si="155"/>
        <v/>
      </c>
      <c r="BI1452" s="556" t="str">
        <f t="shared" si="156"/>
        <v/>
      </c>
      <c r="BJ1452" s="556">
        <f t="shared" si="157"/>
        <v>0</v>
      </c>
      <c r="BK1452" s="556">
        <f t="shared" si="158"/>
        <v>0</v>
      </c>
      <c r="BL1452" s="556" t="str">
        <f t="shared" si="159"/>
        <v/>
      </c>
      <c r="BM1452" s="497">
        <f t="shared" si="160"/>
        <v>0</v>
      </c>
    </row>
    <row r="1453" spans="59:65">
      <c r="BG1453" s="556" t="str">
        <f t="shared" si="154"/>
        <v>O</v>
      </c>
      <c r="BH1453" s="556" t="str">
        <f t="shared" si="155"/>
        <v/>
      </c>
      <c r="BI1453" s="556" t="str">
        <f t="shared" si="156"/>
        <v/>
      </c>
      <c r="BJ1453" s="556">
        <f t="shared" si="157"/>
        <v>0</v>
      </c>
      <c r="BK1453" s="556">
        <f t="shared" si="158"/>
        <v>0</v>
      </c>
      <c r="BL1453" s="556" t="str">
        <f t="shared" si="159"/>
        <v/>
      </c>
      <c r="BM1453" s="497">
        <f t="shared" si="160"/>
        <v>0</v>
      </c>
    </row>
    <row r="1454" spans="59:65">
      <c r="BG1454" s="556" t="str">
        <f t="shared" si="154"/>
        <v>O</v>
      </c>
      <c r="BH1454" s="556" t="str">
        <f t="shared" si="155"/>
        <v/>
      </c>
      <c r="BI1454" s="556" t="str">
        <f t="shared" si="156"/>
        <v/>
      </c>
      <c r="BJ1454" s="556">
        <f t="shared" si="157"/>
        <v>0</v>
      </c>
      <c r="BK1454" s="556">
        <f t="shared" si="158"/>
        <v>0</v>
      </c>
      <c r="BL1454" s="556" t="str">
        <f t="shared" si="159"/>
        <v/>
      </c>
      <c r="BM1454" s="497">
        <f t="shared" si="160"/>
        <v>0</v>
      </c>
    </row>
    <row r="1455" spans="59:65">
      <c r="BG1455" s="556" t="str">
        <f t="shared" si="154"/>
        <v>O</v>
      </c>
      <c r="BH1455" s="556" t="str">
        <f t="shared" si="155"/>
        <v/>
      </c>
      <c r="BI1455" s="556" t="str">
        <f t="shared" si="156"/>
        <v/>
      </c>
      <c r="BJ1455" s="556">
        <f t="shared" si="157"/>
        <v>0</v>
      </c>
      <c r="BK1455" s="556">
        <f t="shared" si="158"/>
        <v>0</v>
      </c>
      <c r="BL1455" s="556" t="str">
        <f t="shared" si="159"/>
        <v/>
      </c>
      <c r="BM1455" s="497">
        <f t="shared" si="160"/>
        <v>0</v>
      </c>
    </row>
    <row r="1456" spans="59:65">
      <c r="BG1456" s="556" t="str">
        <f t="shared" si="154"/>
        <v>O</v>
      </c>
      <c r="BH1456" s="556" t="str">
        <f t="shared" si="155"/>
        <v/>
      </c>
      <c r="BI1456" s="556" t="str">
        <f t="shared" si="156"/>
        <v/>
      </c>
      <c r="BJ1456" s="556">
        <f t="shared" si="157"/>
        <v>0</v>
      </c>
      <c r="BK1456" s="556">
        <f t="shared" si="158"/>
        <v>0</v>
      </c>
      <c r="BL1456" s="556" t="str">
        <f t="shared" si="159"/>
        <v/>
      </c>
      <c r="BM1456" s="497">
        <f t="shared" si="160"/>
        <v>0</v>
      </c>
    </row>
    <row r="1457" spans="59:65">
      <c r="BG1457" s="556" t="str">
        <f t="shared" si="154"/>
        <v>O</v>
      </c>
      <c r="BH1457" s="556" t="str">
        <f t="shared" si="155"/>
        <v/>
      </c>
      <c r="BI1457" s="556" t="str">
        <f t="shared" si="156"/>
        <v/>
      </c>
      <c r="BJ1457" s="556">
        <f t="shared" si="157"/>
        <v>0</v>
      </c>
      <c r="BK1457" s="556">
        <f t="shared" si="158"/>
        <v>0</v>
      </c>
      <c r="BL1457" s="556" t="str">
        <f t="shared" si="159"/>
        <v/>
      </c>
      <c r="BM1457" s="497">
        <f t="shared" si="160"/>
        <v>0</v>
      </c>
    </row>
    <row r="1458" spans="59:65">
      <c r="BG1458" s="556" t="str">
        <f t="shared" si="154"/>
        <v>O</v>
      </c>
      <c r="BH1458" s="556" t="str">
        <f t="shared" si="155"/>
        <v/>
      </c>
      <c r="BI1458" s="556" t="str">
        <f t="shared" si="156"/>
        <v/>
      </c>
      <c r="BJ1458" s="556">
        <f t="shared" si="157"/>
        <v>0</v>
      </c>
      <c r="BK1458" s="556">
        <f t="shared" si="158"/>
        <v>0</v>
      </c>
      <c r="BL1458" s="556" t="str">
        <f t="shared" si="159"/>
        <v/>
      </c>
      <c r="BM1458" s="497">
        <f t="shared" si="160"/>
        <v>0</v>
      </c>
    </row>
    <row r="1459" spans="59:65">
      <c r="BG1459" s="556" t="str">
        <f t="shared" si="154"/>
        <v>O</v>
      </c>
      <c r="BH1459" s="556" t="str">
        <f t="shared" si="155"/>
        <v/>
      </c>
      <c r="BI1459" s="556" t="str">
        <f t="shared" si="156"/>
        <v/>
      </c>
      <c r="BJ1459" s="556">
        <f t="shared" si="157"/>
        <v>0</v>
      </c>
      <c r="BK1459" s="556">
        <f t="shared" si="158"/>
        <v>0</v>
      </c>
      <c r="BL1459" s="556" t="str">
        <f t="shared" si="159"/>
        <v/>
      </c>
      <c r="BM1459" s="497">
        <f t="shared" si="160"/>
        <v>0</v>
      </c>
    </row>
    <row r="1460" spans="59:65">
      <c r="BG1460" s="556" t="str">
        <f t="shared" si="154"/>
        <v>O</v>
      </c>
      <c r="BH1460" s="556" t="str">
        <f t="shared" si="155"/>
        <v/>
      </c>
      <c r="BI1460" s="556" t="str">
        <f t="shared" si="156"/>
        <v/>
      </c>
      <c r="BJ1460" s="556">
        <f t="shared" si="157"/>
        <v>0</v>
      </c>
      <c r="BK1460" s="556">
        <f t="shared" si="158"/>
        <v>0</v>
      </c>
      <c r="BL1460" s="556" t="str">
        <f t="shared" si="159"/>
        <v/>
      </c>
      <c r="BM1460" s="497">
        <f t="shared" si="160"/>
        <v>0</v>
      </c>
    </row>
    <row r="1461" spans="59:65">
      <c r="BG1461" s="556" t="str">
        <f t="shared" si="154"/>
        <v>O</v>
      </c>
      <c r="BH1461" s="556" t="str">
        <f t="shared" si="155"/>
        <v/>
      </c>
      <c r="BI1461" s="556" t="str">
        <f t="shared" si="156"/>
        <v/>
      </c>
      <c r="BJ1461" s="556">
        <f t="shared" si="157"/>
        <v>0</v>
      </c>
      <c r="BK1461" s="556">
        <f t="shared" si="158"/>
        <v>0</v>
      </c>
      <c r="BL1461" s="556" t="str">
        <f t="shared" si="159"/>
        <v/>
      </c>
      <c r="BM1461" s="497">
        <f t="shared" si="160"/>
        <v>0</v>
      </c>
    </row>
    <row r="1462" spans="59:65">
      <c r="BG1462" s="556" t="str">
        <f t="shared" si="154"/>
        <v>O</v>
      </c>
      <c r="BH1462" s="556" t="str">
        <f t="shared" si="155"/>
        <v/>
      </c>
      <c r="BI1462" s="556" t="str">
        <f t="shared" si="156"/>
        <v/>
      </c>
      <c r="BJ1462" s="556">
        <f t="shared" si="157"/>
        <v>0</v>
      </c>
      <c r="BK1462" s="556">
        <f t="shared" si="158"/>
        <v>0</v>
      </c>
      <c r="BL1462" s="556" t="str">
        <f t="shared" si="159"/>
        <v/>
      </c>
      <c r="BM1462" s="497">
        <f t="shared" si="160"/>
        <v>0</v>
      </c>
    </row>
    <row r="1463" spans="59:65">
      <c r="BG1463" s="556" t="str">
        <f t="shared" si="154"/>
        <v>O</v>
      </c>
      <c r="BH1463" s="556" t="str">
        <f t="shared" si="155"/>
        <v/>
      </c>
      <c r="BI1463" s="556" t="str">
        <f t="shared" si="156"/>
        <v/>
      </c>
      <c r="BJ1463" s="556">
        <f t="shared" si="157"/>
        <v>0</v>
      </c>
      <c r="BK1463" s="556">
        <f t="shared" si="158"/>
        <v>0</v>
      </c>
      <c r="BL1463" s="556" t="str">
        <f t="shared" si="159"/>
        <v/>
      </c>
      <c r="BM1463" s="497">
        <f t="shared" si="160"/>
        <v>0</v>
      </c>
    </row>
    <row r="1464" spans="59:65">
      <c r="BG1464" s="556" t="str">
        <f t="shared" si="154"/>
        <v>O</v>
      </c>
      <c r="BH1464" s="556" t="str">
        <f t="shared" si="155"/>
        <v/>
      </c>
      <c r="BI1464" s="556" t="str">
        <f t="shared" si="156"/>
        <v/>
      </c>
      <c r="BJ1464" s="556">
        <f t="shared" si="157"/>
        <v>0</v>
      </c>
      <c r="BK1464" s="556">
        <f t="shared" si="158"/>
        <v>0</v>
      </c>
      <c r="BL1464" s="556" t="str">
        <f t="shared" si="159"/>
        <v/>
      </c>
      <c r="BM1464" s="497">
        <f t="shared" si="160"/>
        <v>0</v>
      </c>
    </row>
    <row r="1465" spans="59:65">
      <c r="BG1465" s="556" t="str">
        <f t="shared" si="154"/>
        <v>O</v>
      </c>
      <c r="BH1465" s="556" t="str">
        <f t="shared" si="155"/>
        <v/>
      </c>
      <c r="BI1465" s="556" t="str">
        <f t="shared" si="156"/>
        <v/>
      </c>
      <c r="BJ1465" s="556">
        <f t="shared" si="157"/>
        <v>0</v>
      </c>
      <c r="BK1465" s="556">
        <f t="shared" si="158"/>
        <v>0</v>
      </c>
      <c r="BL1465" s="556" t="str">
        <f t="shared" si="159"/>
        <v/>
      </c>
      <c r="BM1465" s="497">
        <f t="shared" si="160"/>
        <v>0</v>
      </c>
    </row>
    <row r="1466" spans="59:65">
      <c r="BG1466" s="556" t="str">
        <f t="shared" si="154"/>
        <v>O</v>
      </c>
      <c r="BH1466" s="556" t="str">
        <f t="shared" si="155"/>
        <v/>
      </c>
      <c r="BI1466" s="556" t="str">
        <f t="shared" si="156"/>
        <v/>
      </c>
      <c r="BJ1466" s="556">
        <f t="shared" si="157"/>
        <v>0</v>
      </c>
      <c r="BK1466" s="556">
        <f t="shared" si="158"/>
        <v>0</v>
      </c>
      <c r="BL1466" s="556" t="str">
        <f t="shared" si="159"/>
        <v/>
      </c>
      <c r="BM1466" s="497">
        <f t="shared" si="160"/>
        <v>0</v>
      </c>
    </row>
    <row r="1467" spans="59:65">
      <c r="BG1467" s="556" t="str">
        <f t="shared" si="154"/>
        <v>O</v>
      </c>
      <c r="BH1467" s="556" t="str">
        <f t="shared" si="155"/>
        <v/>
      </c>
      <c r="BI1467" s="556" t="str">
        <f t="shared" si="156"/>
        <v/>
      </c>
      <c r="BJ1467" s="556">
        <f t="shared" si="157"/>
        <v>0</v>
      </c>
      <c r="BK1467" s="556">
        <f t="shared" si="158"/>
        <v>0</v>
      </c>
      <c r="BL1467" s="556" t="str">
        <f t="shared" si="159"/>
        <v/>
      </c>
      <c r="BM1467" s="497">
        <f t="shared" si="160"/>
        <v>0</v>
      </c>
    </row>
    <row r="1468" spans="59:65">
      <c r="BG1468" s="556" t="str">
        <f t="shared" si="154"/>
        <v>O</v>
      </c>
      <c r="BH1468" s="556" t="str">
        <f t="shared" si="155"/>
        <v/>
      </c>
      <c r="BI1468" s="556" t="str">
        <f t="shared" si="156"/>
        <v/>
      </c>
      <c r="BJ1468" s="556">
        <f t="shared" si="157"/>
        <v>0</v>
      </c>
      <c r="BK1468" s="556">
        <f t="shared" si="158"/>
        <v>0</v>
      </c>
      <c r="BL1468" s="556" t="str">
        <f t="shared" si="159"/>
        <v/>
      </c>
      <c r="BM1468" s="497">
        <f t="shared" si="160"/>
        <v>0</v>
      </c>
    </row>
    <row r="1469" spans="59:65">
      <c r="BG1469" s="556" t="str">
        <f t="shared" si="154"/>
        <v>O</v>
      </c>
      <c r="BH1469" s="556" t="str">
        <f t="shared" si="155"/>
        <v/>
      </c>
      <c r="BI1469" s="556" t="str">
        <f t="shared" si="156"/>
        <v/>
      </c>
      <c r="BJ1469" s="556">
        <f t="shared" si="157"/>
        <v>0</v>
      </c>
      <c r="BK1469" s="556">
        <f t="shared" si="158"/>
        <v>0</v>
      </c>
      <c r="BL1469" s="556" t="str">
        <f t="shared" si="159"/>
        <v/>
      </c>
      <c r="BM1469" s="497">
        <f t="shared" si="160"/>
        <v>0</v>
      </c>
    </row>
    <row r="1470" spans="59:65">
      <c r="BG1470" s="556" t="str">
        <f t="shared" si="154"/>
        <v>O</v>
      </c>
      <c r="BH1470" s="556" t="str">
        <f t="shared" si="155"/>
        <v/>
      </c>
      <c r="BI1470" s="556" t="str">
        <f t="shared" si="156"/>
        <v/>
      </c>
      <c r="BJ1470" s="556">
        <f t="shared" si="157"/>
        <v>0</v>
      </c>
      <c r="BK1470" s="556">
        <f t="shared" si="158"/>
        <v>0</v>
      </c>
      <c r="BL1470" s="556" t="str">
        <f t="shared" si="159"/>
        <v/>
      </c>
      <c r="BM1470" s="497">
        <f t="shared" si="160"/>
        <v>0</v>
      </c>
    </row>
    <row r="1471" spans="59:65">
      <c r="BG1471" s="556" t="str">
        <f t="shared" si="154"/>
        <v>O</v>
      </c>
      <c r="BH1471" s="556" t="str">
        <f t="shared" si="155"/>
        <v/>
      </c>
      <c r="BI1471" s="556" t="str">
        <f t="shared" si="156"/>
        <v/>
      </c>
      <c r="BJ1471" s="556">
        <f t="shared" si="157"/>
        <v>0</v>
      </c>
      <c r="BK1471" s="556">
        <f t="shared" si="158"/>
        <v>0</v>
      </c>
      <c r="BL1471" s="556" t="str">
        <f t="shared" si="159"/>
        <v/>
      </c>
      <c r="BM1471" s="497">
        <f t="shared" si="160"/>
        <v>0</v>
      </c>
    </row>
    <row r="1472" spans="59:65">
      <c r="BG1472" s="556" t="str">
        <f t="shared" si="154"/>
        <v>O</v>
      </c>
      <c r="BH1472" s="556" t="str">
        <f t="shared" si="155"/>
        <v/>
      </c>
      <c r="BI1472" s="556" t="str">
        <f t="shared" si="156"/>
        <v/>
      </c>
      <c r="BJ1472" s="556">
        <f t="shared" si="157"/>
        <v>0</v>
      </c>
      <c r="BK1472" s="556">
        <f t="shared" si="158"/>
        <v>0</v>
      </c>
      <c r="BL1472" s="556" t="str">
        <f t="shared" si="159"/>
        <v/>
      </c>
      <c r="BM1472" s="497">
        <f t="shared" si="160"/>
        <v>0</v>
      </c>
    </row>
    <row r="1473" spans="59:65">
      <c r="BG1473" s="556" t="str">
        <f t="shared" si="154"/>
        <v>O</v>
      </c>
      <c r="BH1473" s="556" t="str">
        <f t="shared" si="155"/>
        <v/>
      </c>
      <c r="BI1473" s="556" t="str">
        <f t="shared" si="156"/>
        <v/>
      </c>
      <c r="BJ1473" s="556">
        <f t="shared" si="157"/>
        <v>0</v>
      </c>
      <c r="BK1473" s="556">
        <f t="shared" si="158"/>
        <v>0</v>
      </c>
      <c r="BL1473" s="556" t="str">
        <f t="shared" si="159"/>
        <v/>
      </c>
      <c r="BM1473" s="497">
        <f t="shared" si="160"/>
        <v>0</v>
      </c>
    </row>
    <row r="1474" spans="59:65">
      <c r="BG1474" s="556" t="str">
        <f t="shared" si="154"/>
        <v>O</v>
      </c>
      <c r="BH1474" s="556" t="str">
        <f t="shared" si="155"/>
        <v/>
      </c>
      <c r="BI1474" s="556" t="str">
        <f t="shared" si="156"/>
        <v/>
      </c>
      <c r="BJ1474" s="556">
        <f t="shared" si="157"/>
        <v>0</v>
      </c>
      <c r="BK1474" s="556">
        <f t="shared" si="158"/>
        <v>0</v>
      </c>
      <c r="BL1474" s="556" t="str">
        <f t="shared" si="159"/>
        <v/>
      </c>
      <c r="BM1474" s="497">
        <f t="shared" si="160"/>
        <v>0</v>
      </c>
    </row>
    <row r="1475" spans="59:65">
      <c r="BG1475" s="556" t="str">
        <f t="shared" ref="BG1475:BG1538" si="161">IF(LEFT(AY1475,2)="98","X","O")</f>
        <v>O</v>
      </c>
      <c r="BH1475" s="556" t="str">
        <f t="shared" ref="BH1475:BH1538" si="162">IF(IFERROR(SEARCH("45",$AY1475,1),0)&gt;0,"Y","")</f>
        <v/>
      </c>
      <c r="BI1475" s="556" t="str">
        <f t="shared" ref="BI1475:BI1538" si="163">IF(IFERROR(SEARCH("86",$AY1475,1),0)&gt;0,"Y","")</f>
        <v/>
      </c>
      <c r="BJ1475" s="556">
        <f t="shared" ref="BJ1475:BJ1538" si="164">IF(L1475="",K1475,IF(M1475="",K1475&amp;","&amp;L1475,IF(N1475="",K1475&amp;","&amp;L1475&amp;","&amp;M1475,K1475&amp;","&amp;L1475&amp;","&amp;M1475&amp;","&amp;N1475)))</f>
        <v>0</v>
      </c>
      <c r="BK1475" s="556">
        <f t="shared" ref="BK1475:BK1538" si="165">IF(P1475="",O1475,IF(Q1475="",O1475&amp;","&amp;P1475,IF(R1475="",O1475&amp;","&amp;P1475&amp;","&amp;Q1475,IO1475&amp;","&amp;P1475&amp;","&amp;Q1475&amp;","&amp;R1475)))</f>
        <v>0</v>
      </c>
      <c r="BL1475" s="556" t="str">
        <f t="shared" ref="BL1475:BL1538" si="166">IF(S1475=0,"",S1475)</f>
        <v/>
      </c>
      <c r="BM1475" s="497">
        <f t="shared" ref="BM1475:BM1538" si="167">A1475</f>
        <v>0</v>
      </c>
    </row>
    <row r="1476" spans="59:65">
      <c r="BG1476" s="556" t="str">
        <f t="shared" si="161"/>
        <v>O</v>
      </c>
      <c r="BH1476" s="556" t="str">
        <f t="shared" si="162"/>
        <v/>
      </c>
      <c r="BI1476" s="556" t="str">
        <f t="shared" si="163"/>
        <v/>
      </c>
      <c r="BJ1476" s="556">
        <f t="shared" si="164"/>
        <v>0</v>
      </c>
      <c r="BK1476" s="556">
        <f t="shared" si="165"/>
        <v>0</v>
      </c>
      <c r="BL1476" s="556" t="str">
        <f t="shared" si="166"/>
        <v/>
      </c>
      <c r="BM1476" s="497">
        <f t="shared" si="167"/>
        <v>0</v>
      </c>
    </row>
    <row r="1477" spans="59:65">
      <c r="BG1477" s="556" t="str">
        <f t="shared" si="161"/>
        <v>O</v>
      </c>
      <c r="BH1477" s="556" t="str">
        <f t="shared" si="162"/>
        <v/>
      </c>
      <c r="BI1477" s="556" t="str">
        <f t="shared" si="163"/>
        <v/>
      </c>
      <c r="BJ1477" s="556">
        <f t="shared" si="164"/>
        <v>0</v>
      </c>
      <c r="BK1477" s="556">
        <f t="shared" si="165"/>
        <v>0</v>
      </c>
      <c r="BL1477" s="556" t="str">
        <f t="shared" si="166"/>
        <v/>
      </c>
      <c r="BM1477" s="497">
        <f t="shared" si="167"/>
        <v>0</v>
      </c>
    </row>
    <row r="1478" spans="59:65">
      <c r="BG1478" s="556" t="str">
        <f t="shared" si="161"/>
        <v>O</v>
      </c>
      <c r="BH1478" s="556" t="str">
        <f t="shared" si="162"/>
        <v/>
      </c>
      <c r="BI1478" s="556" t="str">
        <f t="shared" si="163"/>
        <v/>
      </c>
      <c r="BJ1478" s="556">
        <f t="shared" si="164"/>
        <v>0</v>
      </c>
      <c r="BK1478" s="556">
        <f t="shared" si="165"/>
        <v>0</v>
      </c>
      <c r="BL1478" s="556" t="str">
        <f t="shared" si="166"/>
        <v/>
      </c>
      <c r="BM1478" s="497">
        <f t="shared" si="167"/>
        <v>0</v>
      </c>
    </row>
    <row r="1479" spans="59:65">
      <c r="BG1479" s="556" t="str">
        <f t="shared" si="161"/>
        <v>O</v>
      </c>
      <c r="BH1479" s="556" t="str">
        <f t="shared" si="162"/>
        <v/>
      </c>
      <c r="BI1479" s="556" t="str">
        <f t="shared" si="163"/>
        <v/>
      </c>
      <c r="BJ1479" s="556">
        <f t="shared" si="164"/>
        <v>0</v>
      </c>
      <c r="BK1479" s="556">
        <f t="shared" si="165"/>
        <v>0</v>
      </c>
      <c r="BL1479" s="556" t="str">
        <f t="shared" si="166"/>
        <v/>
      </c>
      <c r="BM1479" s="497">
        <f t="shared" si="167"/>
        <v>0</v>
      </c>
    </row>
    <row r="1480" spans="59:65">
      <c r="BG1480" s="556" t="str">
        <f t="shared" si="161"/>
        <v>O</v>
      </c>
      <c r="BH1480" s="556" t="str">
        <f t="shared" si="162"/>
        <v/>
      </c>
      <c r="BI1480" s="556" t="str">
        <f t="shared" si="163"/>
        <v/>
      </c>
      <c r="BJ1480" s="556">
        <f t="shared" si="164"/>
        <v>0</v>
      </c>
      <c r="BK1480" s="556">
        <f t="shared" si="165"/>
        <v>0</v>
      </c>
      <c r="BL1480" s="556" t="str">
        <f t="shared" si="166"/>
        <v/>
      </c>
      <c r="BM1480" s="497">
        <f t="shared" si="167"/>
        <v>0</v>
      </c>
    </row>
    <row r="1481" spans="59:65">
      <c r="BG1481" s="556" t="str">
        <f t="shared" si="161"/>
        <v>O</v>
      </c>
      <c r="BH1481" s="556" t="str">
        <f t="shared" si="162"/>
        <v/>
      </c>
      <c r="BI1481" s="556" t="str">
        <f t="shared" si="163"/>
        <v/>
      </c>
      <c r="BJ1481" s="556">
        <f t="shared" si="164"/>
        <v>0</v>
      </c>
      <c r="BK1481" s="556">
        <f t="shared" si="165"/>
        <v>0</v>
      </c>
      <c r="BL1481" s="556" t="str">
        <f t="shared" si="166"/>
        <v/>
      </c>
      <c r="BM1481" s="497">
        <f t="shared" si="167"/>
        <v>0</v>
      </c>
    </row>
    <row r="1482" spans="59:65">
      <c r="BG1482" s="556" t="str">
        <f t="shared" si="161"/>
        <v>O</v>
      </c>
      <c r="BH1482" s="556" t="str">
        <f t="shared" si="162"/>
        <v/>
      </c>
      <c r="BI1482" s="556" t="str">
        <f t="shared" si="163"/>
        <v/>
      </c>
      <c r="BJ1482" s="556">
        <f t="shared" si="164"/>
        <v>0</v>
      </c>
      <c r="BK1482" s="556">
        <f t="shared" si="165"/>
        <v>0</v>
      </c>
      <c r="BL1482" s="556" t="str">
        <f t="shared" si="166"/>
        <v/>
      </c>
      <c r="BM1482" s="497">
        <f t="shared" si="167"/>
        <v>0</v>
      </c>
    </row>
    <row r="1483" spans="59:65">
      <c r="BG1483" s="556" t="str">
        <f t="shared" si="161"/>
        <v>O</v>
      </c>
      <c r="BH1483" s="556" t="str">
        <f t="shared" si="162"/>
        <v/>
      </c>
      <c r="BI1483" s="556" t="str">
        <f t="shared" si="163"/>
        <v/>
      </c>
      <c r="BJ1483" s="556">
        <f t="shared" si="164"/>
        <v>0</v>
      </c>
      <c r="BK1483" s="556">
        <f t="shared" si="165"/>
        <v>0</v>
      </c>
      <c r="BL1483" s="556" t="str">
        <f t="shared" si="166"/>
        <v/>
      </c>
      <c r="BM1483" s="497">
        <f t="shared" si="167"/>
        <v>0</v>
      </c>
    </row>
    <row r="1484" spans="59:65">
      <c r="BG1484" s="556" t="str">
        <f t="shared" si="161"/>
        <v>O</v>
      </c>
      <c r="BH1484" s="556" t="str">
        <f t="shared" si="162"/>
        <v/>
      </c>
      <c r="BI1484" s="556" t="str">
        <f t="shared" si="163"/>
        <v/>
      </c>
      <c r="BJ1484" s="556">
        <f t="shared" si="164"/>
        <v>0</v>
      </c>
      <c r="BK1484" s="556">
        <f t="shared" si="165"/>
        <v>0</v>
      </c>
      <c r="BL1484" s="556" t="str">
        <f t="shared" si="166"/>
        <v/>
      </c>
      <c r="BM1484" s="497">
        <f t="shared" si="167"/>
        <v>0</v>
      </c>
    </row>
    <row r="1485" spans="59:65">
      <c r="BG1485" s="556" t="str">
        <f t="shared" si="161"/>
        <v>O</v>
      </c>
      <c r="BH1485" s="556" t="str">
        <f t="shared" si="162"/>
        <v/>
      </c>
      <c r="BI1485" s="556" t="str">
        <f t="shared" si="163"/>
        <v/>
      </c>
      <c r="BJ1485" s="556">
        <f t="shared" si="164"/>
        <v>0</v>
      </c>
      <c r="BK1485" s="556">
        <f t="shared" si="165"/>
        <v>0</v>
      </c>
      <c r="BL1485" s="556" t="str">
        <f t="shared" si="166"/>
        <v/>
      </c>
      <c r="BM1485" s="497">
        <f t="shared" si="167"/>
        <v>0</v>
      </c>
    </row>
    <row r="1486" spans="59:65">
      <c r="BG1486" s="556" t="str">
        <f t="shared" si="161"/>
        <v>O</v>
      </c>
      <c r="BH1486" s="556" t="str">
        <f t="shared" si="162"/>
        <v/>
      </c>
      <c r="BI1486" s="556" t="str">
        <f t="shared" si="163"/>
        <v/>
      </c>
      <c r="BJ1486" s="556">
        <f t="shared" si="164"/>
        <v>0</v>
      </c>
      <c r="BK1486" s="556">
        <f t="shared" si="165"/>
        <v>0</v>
      </c>
      <c r="BL1486" s="556" t="str">
        <f t="shared" si="166"/>
        <v/>
      </c>
      <c r="BM1486" s="497">
        <f t="shared" si="167"/>
        <v>0</v>
      </c>
    </row>
    <row r="1487" spans="59:65">
      <c r="BG1487" s="556" t="str">
        <f t="shared" si="161"/>
        <v>O</v>
      </c>
      <c r="BH1487" s="556" t="str">
        <f t="shared" si="162"/>
        <v/>
      </c>
      <c r="BI1487" s="556" t="str">
        <f t="shared" si="163"/>
        <v/>
      </c>
      <c r="BJ1487" s="556">
        <f t="shared" si="164"/>
        <v>0</v>
      </c>
      <c r="BK1487" s="556">
        <f t="shared" si="165"/>
        <v>0</v>
      </c>
      <c r="BL1487" s="556" t="str">
        <f t="shared" si="166"/>
        <v/>
      </c>
      <c r="BM1487" s="497">
        <f t="shared" si="167"/>
        <v>0</v>
      </c>
    </row>
    <row r="1488" spans="59:65">
      <c r="BG1488" s="556" t="str">
        <f t="shared" si="161"/>
        <v>O</v>
      </c>
      <c r="BH1488" s="556" t="str">
        <f t="shared" si="162"/>
        <v/>
      </c>
      <c r="BI1488" s="556" t="str">
        <f t="shared" si="163"/>
        <v/>
      </c>
      <c r="BJ1488" s="556">
        <f t="shared" si="164"/>
        <v>0</v>
      </c>
      <c r="BK1488" s="556">
        <f t="shared" si="165"/>
        <v>0</v>
      </c>
      <c r="BL1488" s="556" t="str">
        <f t="shared" si="166"/>
        <v/>
      </c>
      <c r="BM1488" s="497">
        <f t="shared" si="167"/>
        <v>0</v>
      </c>
    </row>
    <row r="1489" spans="59:65">
      <c r="BG1489" s="556" t="str">
        <f t="shared" si="161"/>
        <v>O</v>
      </c>
      <c r="BH1489" s="556" t="str">
        <f t="shared" si="162"/>
        <v/>
      </c>
      <c r="BI1489" s="556" t="str">
        <f t="shared" si="163"/>
        <v/>
      </c>
      <c r="BJ1489" s="556">
        <f t="shared" si="164"/>
        <v>0</v>
      </c>
      <c r="BK1489" s="556">
        <f t="shared" si="165"/>
        <v>0</v>
      </c>
      <c r="BL1489" s="556" t="str">
        <f t="shared" si="166"/>
        <v/>
      </c>
      <c r="BM1489" s="497">
        <f t="shared" si="167"/>
        <v>0</v>
      </c>
    </row>
    <row r="1490" spans="59:65">
      <c r="BG1490" s="556" t="str">
        <f t="shared" si="161"/>
        <v>O</v>
      </c>
      <c r="BH1490" s="556" t="str">
        <f t="shared" si="162"/>
        <v/>
      </c>
      <c r="BI1490" s="556" t="str">
        <f t="shared" si="163"/>
        <v/>
      </c>
      <c r="BJ1490" s="556">
        <f t="shared" si="164"/>
        <v>0</v>
      </c>
      <c r="BK1490" s="556">
        <f t="shared" si="165"/>
        <v>0</v>
      </c>
      <c r="BL1490" s="556" t="str">
        <f t="shared" si="166"/>
        <v/>
      </c>
      <c r="BM1490" s="497">
        <f t="shared" si="167"/>
        <v>0</v>
      </c>
    </row>
    <row r="1491" spans="59:65">
      <c r="BG1491" s="556" t="str">
        <f t="shared" si="161"/>
        <v>O</v>
      </c>
      <c r="BH1491" s="556" t="str">
        <f t="shared" si="162"/>
        <v/>
      </c>
      <c r="BI1491" s="556" t="str">
        <f t="shared" si="163"/>
        <v/>
      </c>
      <c r="BJ1491" s="556">
        <f t="shared" si="164"/>
        <v>0</v>
      </c>
      <c r="BK1491" s="556">
        <f t="shared" si="165"/>
        <v>0</v>
      </c>
      <c r="BL1491" s="556" t="str">
        <f t="shared" si="166"/>
        <v/>
      </c>
      <c r="BM1491" s="497">
        <f t="shared" si="167"/>
        <v>0</v>
      </c>
    </row>
    <row r="1492" spans="59:65">
      <c r="BG1492" s="556" t="str">
        <f t="shared" si="161"/>
        <v>O</v>
      </c>
      <c r="BH1492" s="556" t="str">
        <f t="shared" si="162"/>
        <v/>
      </c>
      <c r="BI1492" s="556" t="str">
        <f t="shared" si="163"/>
        <v/>
      </c>
      <c r="BJ1492" s="556">
        <f t="shared" si="164"/>
        <v>0</v>
      </c>
      <c r="BK1492" s="556">
        <f t="shared" si="165"/>
        <v>0</v>
      </c>
      <c r="BL1492" s="556" t="str">
        <f t="shared" si="166"/>
        <v/>
      </c>
      <c r="BM1492" s="497">
        <f t="shared" si="167"/>
        <v>0</v>
      </c>
    </row>
    <row r="1493" spans="59:65">
      <c r="BG1493" s="556" t="str">
        <f t="shared" si="161"/>
        <v>O</v>
      </c>
      <c r="BH1493" s="556" t="str">
        <f t="shared" si="162"/>
        <v/>
      </c>
      <c r="BI1493" s="556" t="str">
        <f t="shared" si="163"/>
        <v/>
      </c>
      <c r="BJ1493" s="556">
        <f t="shared" si="164"/>
        <v>0</v>
      </c>
      <c r="BK1493" s="556">
        <f t="shared" si="165"/>
        <v>0</v>
      </c>
      <c r="BL1493" s="556" t="str">
        <f t="shared" si="166"/>
        <v/>
      </c>
      <c r="BM1493" s="497">
        <f t="shared" si="167"/>
        <v>0</v>
      </c>
    </row>
    <row r="1494" spans="59:65">
      <c r="BG1494" s="556" t="str">
        <f t="shared" si="161"/>
        <v>O</v>
      </c>
      <c r="BH1494" s="556" t="str">
        <f t="shared" si="162"/>
        <v/>
      </c>
      <c r="BI1494" s="556" t="str">
        <f t="shared" si="163"/>
        <v/>
      </c>
      <c r="BJ1494" s="556">
        <f t="shared" si="164"/>
        <v>0</v>
      </c>
      <c r="BK1494" s="556">
        <f t="shared" si="165"/>
        <v>0</v>
      </c>
      <c r="BL1494" s="556" t="str">
        <f t="shared" si="166"/>
        <v/>
      </c>
      <c r="BM1494" s="497">
        <f t="shared" si="167"/>
        <v>0</v>
      </c>
    </row>
    <row r="1495" spans="59:65">
      <c r="BG1495" s="556" t="str">
        <f t="shared" si="161"/>
        <v>O</v>
      </c>
      <c r="BH1495" s="556" t="str">
        <f t="shared" si="162"/>
        <v/>
      </c>
      <c r="BI1495" s="556" t="str">
        <f t="shared" si="163"/>
        <v/>
      </c>
      <c r="BJ1495" s="556">
        <f t="shared" si="164"/>
        <v>0</v>
      </c>
      <c r="BK1495" s="556">
        <f t="shared" si="165"/>
        <v>0</v>
      </c>
      <c r="BL1495" s="556" t="str">
        <f t="shared" si="166"/>
        <v/>
      </c>
      <c r="BM1495" s="497">
        <f t="shared" si="167"/>
        <v>0</v>
      </c>
    </row>
    <row r="1496" spans="59:65">
      <c r="BG1496" s="556" t="str">
        <f t="shared" si="161"/>
        <v>O</v>
      </c>
      <c r="BH1496" s="556" t="str">
        <f t="shared" si="162"/>
        <v/>
      </c>
      <c r="BI1496" s="556" t="str">
        <f t="shared" si="163"/>
        <v/>
      </c>
      <c r="BJ1496" s="556">
        <f t="shared" si="164"/>
        <v>0</v>
      </c>
      <c r="BK1496" s="556">
        <f t="shared" si="165"/>
        <v>0</v>
      </c>
      <c r="BL1496" s="556" t="str">
        <f t="shared" si="166"/>
        <v/>
      </c>
      <c r="BM1496" s="497">
        <f t="shared" si="167"/>
        <v>0</v>
      </c>
    </row>
    <row r="1497" spans="59:65">
      <c r="BG1497" s="556" t="str">
        <f t="shared" si="161"/>
        <v>O</v>
      </c>
      <c r="BH1497" s="556" t="str">
        <f t="shared" si="162"/>
        <v/>
      </c>
      <c r="BI1497" s="556" t="str">
        <f t="shared" si="163"/>
        <v/>
      </c>
      <c r="BJ1497" s="556">
        <f t="shared" si="164"/>
        <v>0</v>
      </c>
      <c r="BK1497" s="556">
        <f t="shared" si="165"/>
        <v>0</v>
      </c>
      <c r="BL1497" s="556" t="str">
        <f t="shared" si="166"/>
        <v/>
      </c>
      <c r="BM1497" s="497">
        <f t="shared" si="167"/>
        <v>0</v>
      </c>
    </row>
    <row r="1498" spans="59:65">
      <c r="BG1498" s="556" t="str">
        <f t="shared" si="161"/>
        <v>O</v>
      </c>
      <c r="BH1498" s="556" t="str">
        <f t="shared" si="162"/>
        <v/>
      </c>
      <c r="BI1498" s="556" t="str">
        <f t="shared" si="163"/>
        <v/>
      </c>
      <c r="BJ1498" s="556">
        <f t="shared" si="164"/>
        <v>0</v>
      </c>
      <c r="BK1498" s="556">
        <f t="shared" si="165"/>
        <v>0</v>
      </c>
      <c r="BL1498" s="556" t="str">
        <f t="shared" si="166"/>
        <v/>
      </c>
      <c r="BM1498" s="497">
        <f t="shared" si="167"/>
        <v>0</v>
      </c>
    </row>
    <row r="1499" spans="59:65">
      <c r="BG1499" s="556" t="str">
        <f t="shared" si="161"/>
        <v>O</v>
      </c>
      <c r="BH1499" s="556" t="str">
        <f t="shared" si="162"/>
        <v/>
      </c>
      <c r="BI1499" s="556" t="str">
        <f t="shared" si="163"/>
        <v/>
      </c>
      <c r="BJ1499" s="556">
        <f t="shared" si="164"/>
        <v>0</v>
      </c>
      <c r="BK1499" s="556">
        <f t="shared" si="165"/>
        <v>0</v>
      </c>
      <c r="BL1499" s="556" t="str">
        <f t="shared" si="166"/>
        <v/>
      </c>
      <c r="BM1499" s="497">
        <f t="shared" si="167"/>
        <v>0</v>
      </c>
    </row>
    <row r="1500" spans="59:65">
      <c r="BG1500" s="556" t="str">
        <f t="shared" si="161"/>
        <v>O</v>
      </c>
      <c r="BH1500" s="556" t="str">
        <f t="shared" si="162"/>
        <v/>
      </c>
      <c r="BI1500" s="556" t="str">
        <f t="shared" si="163"/>
        <v/>
      </c>
      <c r="BJ1500" s="556">
        <f t="shared" si="164"/>
        <v>0</v>
      </c>
      <c r="BK1500" s="556">
        <f t="shared" si="165"/>
        <v>0</v>
      </c>
      <c r="BL1500" s="556" t="str">
        <f t="shared" si="166"/>
        <v/>
      </c>
      <c r="BM1500" s="497">
        <f t="shared" si="167"/>
        <v>0</v>
      </c>
    </row>
    <row r="1501" spans="59:65">
      <c r="BG1501" s="556" t="str">
        <f t="shared" si="161"/>
        <v>O</v>
      </c>
      <c r="BH1501" s="556" t="str">
        <f t="shared" si="162"/>
        <v/>
      </c>
      <c r="BI1501" s="556" t="str">
        <f t="shared" si="163"/>
        <v/>
      </c>
      <c r="BJ1501" s="556">
        <f t="shared" si="164"/>
        <v>0</v>
      </c>
      <c r="BK1501" s="556">
        <f t="shared" si="165"/>
        <v>0</v>
      </c>
      <c r="BL1501" s="556" t="str">
        <f t="shared" si="166"/>
        <v/>
      </c>
      <c r="BM1501" s="497">
        <f t="shared" si="167"/>
        <v>0</v>
      </c>
    </row>
    <row r="1502" spans="59:65">
      <c r="BG1502" s="556" t="str">
        <f t="shared" si="161"/>
        <v>O</v>
      </c>
      <c r="BH1502" s="556" t="str">
        <f t="shared" si="162"/>
        <v/>
      </c>
      <c r="BI1502" s="556" t="str">
        <f t="shared" si="163"/>
        <v/>
      </c>
      <c r="BJ1502" s="556">
        <f t="shared" si="164"/>
        <v>0</v>
      </c>
      <c r="BK1502" s="556">
        <f t="shared" si="165"/>
        <v>0</v>
      </c>
      <c r="BL1502" s="556" t="str">
        <f t="shared" si="166"/>
        <v/>
      </c>
      <c r="BM1502" s="497">
        <f t="shared" si="167"/>
        <v>0</v>
      </c>
    </row>
    <row r="1503" spans="59:65">
      <c r="BG1503" s="556" t="str">
        <f t="shared" si="161"/>
        <v>O</v>
      </c>
      <c r="BH1503" s="556" t="str">
        <f t="shared" si="162"/>
        <v/>
      </c>
      <c r="BI1503" s="556" t="str">
        <f t="shared" si="163"/>
        <v/>
      </c>
      <c r="BJ1503" s="556">
        <f t="shared" si="164"/>
        <v>0</v>
      </c>
      <c r="BK1503" s="556">
        <f t="shared" si="165"/>
        <v>0</v>
      </c>
      <c r="BL1503" s="556" t="str">
        <f t="shared" si="166"/>
        <v/>
      </c>
      <c r="BM1503" s="497">
        <f t="shared" si="167"/>
        <v>0</v>
      </c>
    </row>
    <row r="1504" spans="59:65">
      <c r="BG1504" s="556" t="str">
        <f t="shared" si="161"/>
        <v>O</v>
      </c>
      <c r="BH1504" s="556" t="str">
        <f t="shared" si="162"/>
        <v/>
      </c>
      <c r="BI1504" s="556" t="str">
        <f t="shared" si="163"/>
        <v/>
      </c>
      <c r="BJ1504" s="556">
        <f t="shared" si="164"/>
        <v>0</v>
      </c>
      <c r="BK1504" s="556">
        <f t="shared" si="165"/>
        <v>0</v>
      </c>
      <c r="BL1504" s="556" t="str">
        <f t="shared" si="166"/>
        <v/>
      </c>
      <c r="BM1504" s="497">
        <f t="shared" si="167"/>
        <v>0</v>
      </c>
    </row>
    <row r="1505" spans="59:65">
      <c r="BG1505" s="556" t="str">
        <f t="shared" si="161"/>
        <v>O</v>
      </c>
      <c r="BH1505" s="556" t="str">
        <f t="shared" si="162"/>
        <v/>
      </c>
      <c r="BI1505" s="556" t="str">
        <f t="shared" si="163"/>
        <v/>
      </c>
      <c r="BJ1505" s="556">
        <f t="shared" si="164"/>
        <v>0</v>
      </c>
      <c r="BK1505" s="556">
        <f t="shared" si="165"/>
        <v>0</v>
      </c>
      <c r="BL1505" s="556" t="str">
        <f t="shared" si="166"/>
        <v/>
      </c>
      <c r="BM1505" s="497">
        <f t="shared" si="167"/>
        <v>0</v>
      </c>
    </row>
    <row r="1506" spans="59:65">
      <c r="BG1506" s="556" t="str">
        <f t="shared" si="161"/>
        <v>O</v>
      </c>
      <c r="BH1506" s="556" t="str">
        <f t="shared" si="162"/>
        <v/>
      </c>
      <c r="BI1506" s="556" t="str">
        <f t="shared" si="163"/>
        <v/>
      </c>
      <c r="BJ1506" s="556">
        <f t="shared" si="164"/>
        <v>0</v>
      </c>
      <c r="BK1506" s="556">
        <f t="shared" si="165"/>
        <v>0</v>
      </c>
      <c r="BL1506" s="556" t="str">
        <f t="shared" si="166"/>
        <v/>
      </c>
      <c r="BM1506" s="497">
        <f t="shared" si="167"/>
        <v>0</v>
      </c>
    </row>
    <row r="1507" spans="59:65">
      <c r="BG1507" s="556" t="str">
        <f t="shared" si="161"/>
        <v>O</v>
      </c>
      <c r="BH1507" s="556" t="str">
        <f t="shared" si="162"/>
        <v/>
      </c>
      <c r="BI1507" s="556" t="str">
        <f t="shared" si="163"/>
        <v/>
      </c>
      <c r="BJ1507" s="556">
        <f t="shared" si="164"/>
        <v>0</v>
      </c>
      <c r="BK1507" s="556">
        <f t="shared" si="165"/>
        <v>0</v>
      </c>
      <c r="BL1507" s="556" t="str">
        <f t="shared" si="166"/>
        <v/>
      </c>
      <c r="BM1507" s="497">
        <f t="shared" si="167"/>
        <v>0</v>
      </c>
    </row>
    <row r="1508" spans="59:65">
      <c r="BG1508" s="556" t="str">
        <f t="shared" si="161"/>
        <v>O</v>
      </c>
      <c r="BH1508" s="556" t="str">
        <f t="shared" si="162"/>
        <v/>
      </c>
      <c r="BI1508" s="556" t="str">
        <f t="shared" si="163"/>
        <v/>
      </c>
      <c r="BJ1508" s="556">
        <f t="shared" si="164"/>
        <v>0</v>
      </c>
      <c r="BK1508" s="556">
        <f t="shared" si="165"/>
        <v>0</v>
      </c>
      <c r="BL1508" s="556" t="str">
        <f t="shared" si="166"/>
        <v/>
      </c>
      <c r="BM1508" s="497">
        <f t="shared" si="167"/>
        <v>0</v>
      </c>
    </row>
    <row r="1509" spans="59:65">
      <c r="BG1509" s="556" t="str">
        <f t="shared" si="161"/>
        <v>O</v>
      </c>
      <c r="BH1509" s="556" t="str">
        <f t="shared" si="162"/>
        <v/>
      </c>
      <c r="BI1509" s="556" t="str">
        <f t="shared" si="163"/>
        <v/>
      </c>
      <c r="BJ1509" s="556">
        <f t="shared" si="164"/>
        <v>0</v>
      </c>
      <c r="BK1509" s="556">
        <f t="shared" si="165"/>
        <v>0</v>
      </c>
      <c r="BL1509" s="556" t="str">
        <f t="shared" si="166"/>
        <v/>
      </c>
      <c r="BM1509" s="497">
        <f t="shared" si="167"/>
        <v>0</v>
      </c>
    </row>
    <row r="1510" spans="59:65">
      <c r="BG1510" s="556" t="str">
        <f t="shared" si="161"/>
        <v>O</v>
      </c>
      <c r="BH1510" s="556" t="str">
        <f t="shared" si="162"/>
        <v/>
      </c>
      <c r="BI1510" s="556" t="str">
        <f t="shared" si="163"/>
        <v/>
      </c>
      <c r="BJ1510" s="556">
        <f t="shared" si="164"/>
        <v>0</v>
      </c>
      <c r="BK1510" s="556">
        <f t="shared" si="165"/>
        <v>0</v>
      </c>
      <c r="BL1510" s="556" t="str">
        <f t="shared" si="166"/>
        <v/>
      </c>
      <c r="BM1510" s="497">
        <f t="shared" si="167"/>
        <v>0</v>
      </c>
    </row>
    <row r="1511" spans="59:65">
      <c r="BG1511" s="556" t="str">
        <f t="shared" si="161"/>
        <v>O</v>
      </c>
      <c r="BH1511" s="556" t="str">
        <f t="shared" si="162"/>
        <v/>
      </c>
      <c r="BI1511" s="556" t="str">
        <f t="shared" si="163"/>
        <v/>
      </c>
      <c r="BJ1511" s="556">
        <f t="shared" si="164"/>
        <v>0</v>
      </c>
      <c r="BK1511" s="556">
        <f t="shared" si="165"/>
        <v>0</v>
      </c>
      <c r="BL1511" s="556" t="str">
        <f t="shared" si="166"/>
        <v/>
      </c>
      <c r="BM1511" s="497">
        <f t="shared" si="167"/>
        <v>0</v>
      </c>
    </row>
    <row r="1512" spans="59:65">
      <c r="BG1512" s="556" t="str">
        <f t="shared" si="161"/>
        <v>O</v>
      </c>
      <c r="BH1512" s="556" t="str">
        <f t="shared" si="162"/>
        <v/>
      </c>
      <c r="BI1512" s="556" t="str">
        <f t="shared" si="163"/>
        <v/>
      </c>
      <c r="BJ1512" s="556">
        <f t="shared" si="164"/>
        <v>0</v>
      </c>
      <c r="BK1512" s="556">
        <f t="shared" si="165"/>
        <v>0</v>
      </c>
      <c r="BL1512" s="556" t="str">
        <f t="shared" si="166"/>
        <v/>
      </c>
      <c r="BM1512" s="497">
        <f t="shared" si="167"/>
        <v>0</v>
      </c>
    </row>
    <row r="1513" spans="59:65">
      <c r="BG1513" s="556" t="str">
        <f t="shared" si="161"/>
        <v>O</v>
      </c>
      <c r="BH1513" s="556" t="str">
        <f t="shared" si="162"/>
        <v/>
      </c>
      <c r="BI1513" s="556" t="str">
        <f t="shared" si="163"/>
        <v/>
      </c>
      <c r="BJ1513" s="556">
        <f t="shared" si="164"/>
        <v>0</v>
      </c>
      <c r="BK1513" s="556">
        <f t="shared" si="165"/>
        <v>0</v>
      </c>
      <c r="BL1513" s="556" t="str">
        <f t="shared" si="166"/>
        <v/>
      </c>
      <c r="BM1513" s="497">
        <f t="shared" si="167"/>
        <v>0</v>
      </c>
    </row>
    <row r="1514" spans="59:65">
      <c r="BG1514" s="556" t="str">
        <f t="shared" si="161"/>
        <v>O</v>
      </c>
      <c r="BH1514" s="556" t="str">
        <f t="shared" si="162"/>
        <v/>
      </c>
      <c r="BI1514" s="556" t="str">
        <f t="shared" si="163"/>
        <v/>
      </c>
      <c r="BJ1514" s="556">
        <f t="shared" si="164"/>
        <v>0</v>
      </c>
      <c r="BK1514" s="556">
        <f t="shared" si="165"/>
        <v>0</v>
      </c>
      <c r="BL1514" s="556" t="str">
        <f t="shared" si="166"/>
        <v/>
      </c>
      <c r="BM1514" s="497">
        <f t="shared" si="167"/>
        <v>0</v>
      </c>
    </row>
    <row r="1515" spans="59:65">
      <c r="BG1515" s="556" t="str">
        <f t="shared" si="161"/>
        <v>O</v>
      </c>
      <c r="BH1515" s="556" t="str">
        <f t="shared" si="162"/>
        <v/>
      </c>
      <c r="BI1515" s="556" t="str">
        <f t="shared" si="163"/>
        <v/>
      </c>
      <c r="BJ1515" s="556">
        <f t="shared" si="164"/>
        <v>0</v>
      </c>
      <c r="BK1515" s="556">
        <f t="shared" si="165"/>
        <v>0</v>
      </c>
      <c r="BL1515" s="556" t="str">
        <f t="shared" si="166"/>
        <v/>
      </c>
      <c r="BM1515" s="497">
        <f t="shared" si="167"/>
        <v>0</v>
      </c>
    </row>
    <row r="1516" spans="59:65">
      <c r="BG1516" s="556" t="str">
        <f t="shared" si="161"/>
        <v>O</v>
      </c>
      <c r="BH1516" s="556" t="str">
        <f t="shared" si="162"/>
        <v/>
      </c>
      <c r="BI1516" s="556" t="str">
        <f t="shared" si="163"/>
        <v/>
      </c>
      <c r="BJ1516" s="556">
        <f t="shared" si="164"/>
        <v>0</v>
      </c>
      <c r="BK1516" s="556">
        <f t="shared" si="165"/>
        <v>0</v>
      </c>
      <c r="BL1516" s="556" t="str">
        <f t="shared" si="166"/>
        <v/>
      </c>
      <c r="BM1516" s="497">
        <f t="shared" si="167"/>
        <v>0</v>
      </c>
    </row>
    <row r="1517" spans="59:65">
      <c r="BG1517" s="556" t="str">
        <f t="shared" si="161"/>
        <v>O</v>
      </c>
      <c r="BH1517" s="556" t="str">
        <f t="shared" si="162"/>
        <v/>
      </c>
      <c r="BI1517" s="556" t="str">
        <f t="shared" si="163"/>
        <v/>
      </c>
      <c r="BJ1517" s="556">
        <f t="shared" si="164"/>
        <v>0</v>
      </c>
      <c r="BK1517" s="556">
        <f t="shared" si="165"/>
        <v>0</v>
      </c>
      <c r="BL1517" s="556" t="str">
        <f t="shared" si="166"/>
        <v/>
      </c>
      <c r="BM1517" s="497">
        <f t="shared" si="167"/>
        <v>0</v>
      </c>
    </row>
    <row r="1518" spans="59:65">
      <c r="BG1518" s="556" t="str">
        <f t="shared" si="161"/>
        <v>O</v>
      </c>
      <c r="BH1518" s="556" t="str">
        <f t="shared" si="162"/>
        <v/>
      </c>
      <c r="BI1518" s="556" t="str">
        <f t="shared" si="163"/>
        <v/>
      </c>
      <c r="BJ1518" s="556">
        <f t="shared" si="164"/>
        <v>0</v>
      </c>
      <c r="BK1518" s="556">
        <f t="shared" si="165"/>
        <v>0</v>
      </c>
      <c r="BL1518" s="556" t="str">
        <f t="shared" si="166"/>
        <v/>
      </c>
      <c r="BM1518" s="497">
        <f t="shared" si="167"/>
        <v>0</v>
      </c>
    </row>
    <row r="1519" spans="59:65">
      <c r="BG1519" s="556" t="str">
        <f t="shared" si="161"/>
        <v>O</v>
      </c>
      <c r="BH1519" s="556" t="str">
        <f t="shared" si="162"/>
        <v/>
      </c>
      <c r="BI1519" s="556" t="str">
        <f t="shared" si="163"/>
        <v/>
      </c>
      <c r="BJ1519" s="556">
        <f t="shared" si="164"/>
        <v>0</v>
      </c>
      <c r="BK1519" s="556">
        <f t="shared" si="165"/>
        <v>0</v>
      </c>
      <c r="BL1519" s="556" t="str">
        <f t="shared" si="166"/>
        <v/>
      </c>
      <c r="BM1519" s="497">
        <f t="shared" si="167"/>
        <v>0</v>
      </c>
    </row>
    <row r="1520" spans="59:65">
      <c r="BG1520" s="556" t="str">
        <f t="shared" si="161"/>
        <v>O</v>
      </c>
      <c r="BH1520" s="556" t="str">
        <f t="shared" si="162"/>
        <v/>
      </c>
      <c r="BI1520" s="556" t="str">
        <f t="shared" si="163"/>
        <v/>
      </c>
      <c r="BJ1520" s="556">
        <f t="shared" si="164"/>
        <v>0</v>
      </c>
      <c r="BK1520" s="556">
        <f t="shared" si="165"/>
        <v>0</v>
      </c>
      <c r="BL1520" s="556" t="str">
        <f t="shared" si="166"/>
        <v/>
      </c>
      <c r="BM1520" s="497">
        <f t="shared" si="167"/>
        <v>0</v>
      </c>
    </row>
    <row r="1521" spans="59:65">
      <c r="BG1521" s="556" t="str">
        <f t="shared" si="161"/>
        <v>O</v>
      </c>
      <c r="BH1521" s="556" t="str">
        <f t="shared" si="162"/>
        <v/>
      </c>
      <c r="BI1521" s="556" t="str">
        <f t="shared" si="163"/>
        <v/>
      </c>
      <c r="BJ1521" s="556">
        <f t="shared" si="164"/>
        <v>0</v>
      </c>
      <c r="BK1521" s="556">
        <f t="shared" si="165"/>
        <v>0</v>
      </c>
      <c r="BL1521" s="556" t="str">
        <f t="shared" si="166"/>
        <v/>
      </c>
      <c r="BM1521" s="497">
        <f t="shared" si="167"/>
        <v>0</v>
      </c>
    </row>
    <row r="1522" spans="59:65">
      <c r="BG1522" s="556" t="str">
        <f t="shared" si="161"/>
        <v>O</v>
      </c>
      <c r="BH1522" s="556" t="str">
        <f t="shared" si="162"/>
        <v/>
      </c>
      <c r="BI1522" s="556" t="str">
        <f t="shared" si="163"/>
        <v/>
      </c>
      <c r="BJ1522" s="556">
        <f t="shared" si="164"/>
        <v>0</v>
      </c>
      <c r="BK1522" s="556">
        <f t="shared" si="165"/>
        <v>0</v>
      </c>
      <c r="BL1522" s="556" t="str">
        <f t="shared" si="166"/>
        <v/>
      </c>
      <c r="BM1522" s="497">
        <f t="shared" si="167"/>
        <v>0</v>
      </c>
    </row>
    <row r="1523" spans="59:65">
      <c r="BG1523" s="556" t="str">
        <f t="shared" si="161"/>
        <v>O</v>
      </c>
      <c r="BH1523" s="556" t="str">
        <f t="shared" si="162"/>
        <v/>
      </c>
      <c r="BI1523" s="556" t="str">
        <f t="shared" si="163"/>
        <v/>
      </c>
      <c r="BJ1523" s="556">
        <f t="shared" si="164"/>
        <v>0</v>
      </c>
      <c r="BK1523" s="556">
        <f t="shared" si="165"/>
        <v>0</v>
      </c>
      <c r="BL1523" s="556" t="str">
        <f t="shared" si="166"/>
        <v/>
      </c>
      <c r="BM1523" s="497">
        <f t="shared" si="167"/>
        <v>0</v>
      </c>
    </row>
    <row r="1524" spans="59:65">
      <c r="BG1524" s="556" t="str">
        <f t="shared" si="161"/>
        <v>O</v>
      </c>
      <c r="BH1524" s="556" t="str">
        <f t="shared" si="162"/>
        <v/>
      </c>
      <c r="BI1524" s="556" t="str">
        <f t="shared" si="163"/>
        <v/>
      </c>
      <c r="BJ1524" s="556">
        <f t="shared" si="164"/>
        <v>0</v>
      </c>
      <c r="BK1524" s="556">
        <f t="shared" si="165"/>
        <v>0</v>
      </c>
      <c r="BL1524" s="556" t="str">
        <f t="shared" si="166"/>
        <v/>
      </c>
      <c r="BM1524" s="497">
        <f t="shared" si="167"/>
        <v>0</v>
      </c>
    </row>
    <row r="1525" spans="59:65">
      <c r="BG1525" s="556" t="str">
        <f t="shared" si="161"/>
        <v>O</v>
      </c>
      <c r="BH1525" s="556" t="str">
        <f t="shared" si="162"/>
        <v/>
      </c>
      <c r="BI1525" s="556" t="str">
        <f t="shared" si="163"/>
        <v/>
      </c>
      <c r="BJ1525" s="556">
        <f t="shared" si="164"/>
        <v>0</v>
      </c>
      <c r="BK1525" s="556">
        <f t="shared" si="165"/>
        <v>0</v>
      </c>
      <c r="BL1525" s="556" t="str">
        <f t="shared" si="166"/>
        <v/>
      </c>
      <c r="BM1525" s="497">
        <f t="shared" si="167"/>
        <v>0</v>
      </c>
    </row>
    <row r="1526" spans="59:65">
      <c r="BG1526" s="556" t="str">
        <f t="shared" si="161"/>
        <v>O</v>
      </c>
      <c r="BH1526" s="556" t="str">
        <f t="shared" si="162"/>
        <v/>
      </c>
      <c r="BI1526" s="556" t="str">
        <f t="shared" si="163"/>
        <v/>
      </c>
      <c r="BJ1526" s="556">
        <f t="shared" si="164"/>
        <v>0</v>
      </c>
      <c r="BK1526" s="556">
        <f t="shared" si="165"/>
        <v>0</v>
      </c>
      <c r="BL1526" s="556" t="str">
        <f t="shared" si="166"/>
        <v/>
      </c>
      <c r="BM1526" s="497">
        <f t="shared" si="167"/>
        <v>0</v>
      </c>
    </row>
    <row r="1527" spans="59:65">
      <c r="BG1527" s="556" t="str">
        <f t="shared" si="161"/>
        <v>O</v>
      </c>
      <c r="BH1527" s="556" t="str">
        <f t="shared" si="162"/>
        <v/>
      </c>
      <c r="BI1527" s="556" t="str">
        <f t="shared" si="163"/>
        <v/>
      </c>
      <c r="BJ1527" s="556">
        <f t="shared" si="164"/>
        <v>0</v>
      </c>
      <c r="BK1527" s="556">
        <f t="shared" si="165"/>
        <v>0</v>
      </c>
      <c r="BL1527" s="556" t="str">
        <f t="shared" si="166"/>
        <v/>
      </c>
      <c r="BM1527" s="497">
        <f t="shared" si="167"/>
        <v>0</v>
      </c>
    </row>
    <row r="1528" spans="59:65">
      <c r="BG1528" s="556" t="str">
        <f t="shared" si="161"/>
        <v>O</v>
      </c>
      <c r="BH1528" s="556" t="str">
        <f t="shared" si="162"/>
        <v/>
      </c>
      <c r="BI1528" s="556" t="str">
        <f t="shared" si="163"/>
        <v/>
      </c>
      <c r="BJ1528" s="556">
        <f t="shared" si="164"/>
        <v>0</v>
      </c>
      <c r="BK1528" s="556">
        <f t="shared" si="165"/>
        <v>0</v>
      </c>
      <c r="BL1528" s="556" t="str">
        <f t="shared" si="166"/>
        <v/>
      </c>
      <c r="BM1528" s="497">
        <f t="shared" si="167"/>
        <v>0</v>
      </c>
    </row>
    <row r="1529" spans="59:65">
      <c r="BG1529" s="556" t="str">
        <f t="shared" si="161"/>
        <v>O</v>
      </c>
      <c r="BH1529" s="556" t="str">
        <f t="shared" si="162"/>
        <v/>
      </c>
      <c r="BI1529" s="556" t="str">
        <f t="shared" si="163"/>
        <v/>
      </c>
      <c r="BJ1529" s="556">
        <f t="shared" si="164"/>
        <v>0</v>
      </c>
      <c r="BK1529" s="556">
        <f t="shared" si="165"/>
        <v>0</v>
      </c>
      <c r="BL1529" s="556" t="str">
        <f t="shared" si="166"/>
        <v/>
      </c>
      <c r="BM1529" s="497">
        <f t="shared" si="167"/>
        <v>0</v>
      </c>
    </row>
    <row r="1530" spans="59:65">
      <c r="BG1530" s="556" t="str">
        <f t="shared" si="161"/>
        <v>O</v>
      </c>
      <c r="BH1530" s="556" t="str">
        <f t="shared" si="162"/>
        <v/>
      </c>
      <c r="BI1530" s="556" t="str">
        <f t="shared" si="163"/>
        <v/>
      </c>
      <c r="BJ1530" s="556">
        <f t="shared" si="164"/>
        <v>0</v>
      </c>
      <c r="BK1530" s="556">
        <f t="shared" si="165"/>
        <v>0</v>
      </c>
      <c r="BL1530" s="556" t="str">
        <f t="shared" si="166"/>
        <v/>
      </c>
      <c r="BM1530" s="497">
        <f t="shared" si="167"/>
        <v>0</v>
      </c>
    </row>
    <row r="1531" spans="59:65">
      <c r="BG1531" s="556" t="str">
        <f t="shared" si="161"/>
        <v>O</v>
      </c>
      <c r="BH1531" s="556" t="str">
        <f t="shared" si="162"/>
        <v/>
      </c>
      <c r="BI1531" s="556" t="str">
        <f t="shared" si="163"/>
        <v/>
      </c>
      <c r="BJ1531" s="556">
        <f t="shared" si="164"/>
        <v>0</v>
      </c>
      <c r="BK1531" s="556">
        <f t="shared" si="165"/>
        <v>0</v>
      </c>
      <c r="BL1531" s="556" t="str">
        <f t="shared" si="166"/>
        <v/>
      </c>
      <c r="BM1531" s="497">
        <f t="shared" si="167"/>
        <v>0</v>
      </c>
    </row>
    <row r="1532" spans="59:65">
      <c r="BG1532" s="556" t="str">
        <f t="shared" si="161"/>
        <v>O</v>
      </c>
      <c r="BH1532" s="556" t="str">
        <f t="shared" si="162"/>
        <v/>
      </c>
      <c r="BI1532" s="556" t="str">
        <f t="shared" si="163"/>
        <v/>
      </c>
      <c r="BJ1532" s="556">
        <f t="shared" si="164"/>
        <v>0</v>
      </c>
      <c r="BK1532" s="556">
        <f t="shared" si="165"/>
        <v>0</v>
      </c>
      <c r="BL1532" s="556" t="str">
        <f t="shared" si="166"/>
        <v/>
      </c>
      <c r="BM1532" s="497">
        <f t="shared" si="167"/>
        <v>0</v>
      </c>
    </row>
    <row r="1533" spans="59:65">
      <c r="BG1533" s="556" t="str">
        <f t="shared" si="161"/>
        <v>O</v>
      </c>
      <c r="BH1533" s="556" t="str">
        <f t="shared" si="162"/>
        <v/>
      </c>
      <c r="BI1533" s="556" t="str">
        <f t="shared" si="163"/>
        <v/>
      </c>
      <c r="BJ1533" s="556">
        <f t="shared" si="164"/>
        <v>0</v>
      </c>
      <c r="BK1533" s="556">
        <f t="shared" si="165"/>
        <v>0</v>
      </c>
      <c r="BL1533" s="556" t="str">
        <f t="shared" si="166"/>
        <v/>
      </c>
      <c r="BM1533" s="497">
        <f t="shared" si="167"/>
        <v>0</v>
      </c>
    </row>
    <row r="1534" spans="59:65">
      <c r="BG1534" s="556" t="str">
        <f t="shared" si="161"/>
        <v>O</v>
      </c>
      <c r="BH1534" s="556" t="str">
        <f t="shared" si="162"/>
        <v/>
      </c>
      <c r="BI1534" s="556" t="str">
        <f t="shared" si="163"/>
        <v/>
      </c>
      <c r="BJ1534" s="556">
        <f t="shared" si="164"/>
        <v>0</v>
      </c>
      <c r="BK1534" s="556">
        <f t="shared" si="165"/>
        <v>0</v>
      </c>
      <c r="BL1534" s="556" t="str">
        <f t="shared" si="166"/>
        <v/>
      </c>
      <c r="BM1534" s="497">
        <f t="shared" si="167"/>
        <v>0</v>
      </c>
    </row>
    <row r="1535" spans="59:65">
      <c r="BG1535" s="556" t="str">
        <f t="shared" si="161"/>
        <v>O</v>
      </c>
      <c r="BH1535" s="556" t="str">
        <f t="shared" si="162"/>
        <v/>
      </c>
      <c r="BI1535" s="556" t="str">
        <f t="shared" si="163"/>
        <v/>
      </c>
      <c r="BJ1535" s="556">
        <f t="shared" si="164"/>
        <v>0</v>
      </c>
      <c r="BK1535" s="556">
        <f t="shared" si="165"/>
        <v>0</v>
      </c>
      <c r="BL1535" s="556" t="str">
        <f t="shared" si="166"/>
        <v/>
      </c>
      <c r="BM1535" s="497">
        <f t="shared" si="167"/>
        <v>0</v>
      </c>
    </row>
    <row r="1536" spans="59:65">
      <c r="BG1536" s="556" t="str">
        <f t="shared" si="161"/>
        <v>O</v>
      </c>
      <c r="BH1536" s="556" t="str">
        <f t="shared" si="162"/>
        <v/>
      </c>
      <c r="BI1536" s="556" t="str">
        <f t="shared" si="163"/>
        <v/>
      </c>
      <c r="BJ1536" s="556">
        <f t="shared" si="164"/>
        <v>0</v>
      </c>
      <c r="BK1536" s="556">
        <f t="shared" si="165"/>
        <v>0</v>
      </c>
      <c r="BL1536" s="556" t="str">
        <f t="shared" si="166"/>
        <v/>
      </c>
      <c r="BM1536" s="497">
        <f t="shared" si="167"/>
        <v>0</v>
      </c>
    </row>
    <row r="1537" spans="59:65">
      <c r="BG1537" s="556" t="str">
        <f t="shared" si="161"/>
        <v>O</v>
      </c>
      <c r="BH1537" s="556" t="str">
        <f t="shared" si="162"/>
        <v/>
      </c>
      <c r="BI1537" s="556" t="str">
        <f t="shared" si="163"/>
        <v/>
      </c>
      <c r="BJ1537" s="556">
        <f t="shared" si="164"/>
        <v>0</v>
      </c>
      <c r="BK1537" s="556">
        <f t="shared" si="165"/>
        <v>0</v>
      </c>
      <c r="BL1537" s="556" t="str">
        <f t="shared" si="166"/>
        <v/>
      </c>
      <c r="BM1537" s="497">
        <f t="shared" si="167"/>
        <v>0</v>
      </c>
    </row>
    <row r="1538" spans="59:65">
      <c r="BG1538" s="556" t="str">
        <f t="shared" si="161"/>
        <v>O</v>
      </c>
      <c r="BH1538" s="556" t="str">
        <f t="shared" si="162"/>
        <v/>
      </c>
      <c r="BI1538" s="556" t="str">
        <f t="shared" si="163"/>
        <v/>
      </c>
      <c r="BJ1538" s="556">
        <f t="shared" si="164"/>
        <v>0</v>
      </c>
      <c r="BK1538" s="556">
        <f t="shared" si="165"/>
        <v>0</v>
      </c>
      <c r="BL1538" s="556" t="str">
        <f t="shared" si="166"/>
        <v/>
      </c>
      <c r="BM1538" s="497">
        <f t="shared" si="167"/>
        <v>0</v>
      </c>
    </row>
    <row r="1539" spans="59:65">
      <c r="BG1539" s="556" t="str">
        <f t="shared" ref="BG1539:BG1602" si="168">IF(LEFT(AY1539,2)="98","X","O")</f>
        <v>O</v>
      </c>
      <c r="BH1539" s="556" t="str">
        <f t="shared" ref="BH1539:BH1602" si="169">IF(IFERROR(SEARCH("45",$AY1539,1),0)&gt;0,"Y","")</f>
        <v/>
      </c>
      <c r="BI1539" s="556" t="str">
        <f t="shared" ref="BI1539:BI1602" si="170">IF(IFERROR(SEARCH("86",$AY1539,1),0)&gt;0,"Y","")</f>
        <v/>
      </c>
      <c r="BJ1539" s="556">
        <f t="shared" ref="BJ1539:BJ1602" si="171">IF(L1539="",K1539,IF(M1539="",K1539&amp;","&amp;L1539,IF(N1539="",K1539&amp;","&amp;L1539&amp;","&amp;M1539,K1539&amp;","&amp;L1539&amp;","&amp;M1539&amp;","&amp;N1539)))</f>
        <v>0</v>
      </c>
      <c r="BK1539" s="556">
        <f t="shared" ref="BK1539:BK1602" si="172">IF(P1539="",O1539,IF(Q1539="",O1539&amp;","&amp;P1539,IF(R1539="",O1539&amp;","&amp;P1539&amp;","&amp;Q1539,IO1539&amp;","&amp;P1539&amp;","&amp;Q1539&amp;","&amp;R1539)))</f>
        <v>0</v>
      </c>
      <c r="BL1539" s="556" t="str">
        <f t="shared" ref="BL1539:BL1602" si="173">IF(S1539=0,"",S1539)</f>
        <v/>
      </c>
      <c r="BM1539" s="497">
        <f t="shared" ref="BM1539:BM1602" si="174">A1539</f>
        <v>0</v>
      </c>
    </row>
    <row r="1540" spans="59:65">
      <c r="BG1540" s="556" t="str">
        <f t="shared" si="168"/>
        <v>O</v>
      </c>
      <c r="BH1540" s="556" t="str">
        <f t="shared" si="169"/>
        <v/>
      </c>
      <c r="BI1540" s="556" t="str">
        <f t="shared" si="170"/>
        <v/>
      </c>
      <c r="BJ1540" s="556">
        <f t="shared" si="171"/>
        <v>0</v>
      </c>
      <c r="BK1540" s="556">
        <f t="shared" si="172"/>
        <v>0</v>
      </c>
      <c r="BL1540" s="556" t="str">
        <f t="shared" si="173"/>
        <v/>
      </c>
      <c r="BM1540" s="497">
        <f t="shared" si="174"/>
        <v>0</v>
      </c>
    </row>
    <row r="1541" spans="59:65">
      <c r="BG1541" s="556" t="str">
        <f t="shared" si="168"/>
        <v>O</v>
      </c>
      <c r="BH1541" s="556" t="str">
        <f t="shared" si="169"/>
        <v/>
      </c>
      <c r="BI1541" s="556" t="str">
        <f t="shared" si="170"/>
        <v/>
      </c>
      <c r="BJ1541" s="556">
        <f t="shared" si="171"/>
        <v>0</v>
      </c>
      <c r="BK1541" s="556">
        <f t="shared" si="172"/>
        <v>0</v>
      </c>
      <c r="BL1541" s="556" t="str">
        <f t="shared" si="173"/>
        <v/>
      </c>
      <c r="BM1541" s="497">
        <f t="shared" si="174"/>
        <v>0</v>
      </c>
    </row>
    <row r="1542" spans="59:65">
      <c r="BG1542" s="556" t="str">
        <f t="shared" si="168"/>
        <v>O</v>
      </c>
      <c r="BH1542" s="556" t="str">
        <f t="shared" si="169"/>
        <v/>
      </c>
      <c r="BI1542" s="556" t="str">
        <f t="shared" si="170"/>
        <v/>
      </c>
      <c r="BJ1542" s="556">
        <f t="shared" si="171"/>
        <v>0</v>
      </c>
      <c r="BK1542" s="556">
        <f t="shared" si="172"/>
        <v>0</v>
      </c>
      <c r="BL1542" s="556" t="str">
        <f t="shared" si="173"/>
        <v/>
      </c>
      <c r="BM1542" s="497">
        <f t="shared" si="174"/>
        <v>0</v>
      </c>
    </row>
    <row r="1543" spans="59:65">
      <c r="BG1543" s="556" t="str">
        <f t="shared" si="168"/>
        <v>O</v>
      </c>
      <c r="BH1543" s="556" t="str">
        <f t="shared" si="169"/>
        <v/>
      </c>
      <c r="BI1543" s="556" t="str">
        <f t="shared" si="170"/>
        <v/>
      </c>
      <c r="BJ1543" s="556">
        <f t="shared" si="171"/>
        <v>0</v>
      </c>
      <c r="BK1543" s="556">
        <f t="shared" si="172"/>
        <v>0</v>
      </c>
      <c r="BL1543" s="556" t="str">
        <f t="shared" si="173"/>
        <v/>
      </c>
      <c r="BM1543" s="497">
        <f t="shared" si="174"/>
        <v>0</v>
      </c>
    </row>
    <row r="1544" spans="59:65">
      <c r="BG1544" s="556" t="str">
        <f t="shared" si="168"/>
        <v>O</v>
      </c>
      <c r="BH1544" s="556" t="str">
        <f t="shared" si="169"/>
        <v/>
      </c>
      <c r="BI1544" s="556" t="str">
        <f t="shared" si="170"/>
        <v/>
      </c>
      <c r="BJ1544" s="556">
        <f t="shared" si="171"/>
        <v>0</v>
      </c>
      <c r="BK1544" s="556">
        <f t="shared" si="172"/>
        <v>0</v>
      </c>
      <c r="BL1544" s="556" t="str">
        <f t="shared" si="173"/>
        <v/>
      </c>
      <c r="BM1544" s="497">
        <f t="shared" si="174"/>
        <v>0</v>
      </c>
    </row>
    <row r="1545" spans="59:65">
      <c r="BG1545" s="556" t="str">
        <f t="shared" si="168"/>
        <v>O</v>
      </c>
      <c r="BH1545" s="556" t="str">
        <f t="shared" si="169"/>
        <v/>
      </c>
      <c r="BI1545" s="556" t="str">
        <f t="shared" si="170"/>
        <v/>
      </c>
      <c r="BJ1545" s="556">
        <f t="shared" si="171"/>
        <v>0</v>
      </c>
      <c r="BK1545" s="556">
        <f t="shared" si="172"/>
        <v>0</v>
      </c>
      <c r="BL1545" s="556" t="str">
        <f t="shared" si="173"/>
        <v/>
      </c>
      <c r="BM1545" s="497">
        <f t="shared" si="174"/>
        <v>0</v>
      </c>
    </row>
    <row r="1546" spans="59:65">
      <c r="BG1546" s="556" t="str">
        <f t="shared" si="168"/>
        <v>O</v>
      </c>
      <c r="BH1546" s="556" t="str">
        <f t="shared" si="169"/>
        <v/>
      </c>
      <c r="BI1546" s="556" t="str">
        <f t="shared" si="170"/>
        <v/>
      </c>
      <c r="BJ1546" s="556">
        <f t="shared" si="171"/>
        <v>0</v>
      </c>
      <c r="BK1546" s="556">
        <f t="shared" si="172"/>
        <v>0</v>
      </c>
      <c r="BL1546" s="556" t="str">
        <f t="shared" si="173"/>
        <v/>
      </c>
      <c r="BM1546" s="497">
        <f t="shared" si="174"/>
        <v>0</v>
      </c>
    </row>
    <row r="1547" spans="59:65">
      <c r="BG1547" s="556" t="str">
        <f t="shared" si="168"/>
        <v>O</v>
      </c>
      <c r="BH1547" s="556" t="str">
        <f t="shared" si="169"/>
        <v/>
      </c>
      <c r="BI1547" s="556" t="str">
        <f t="shared" si="170"/>
        <v/>
      </c>
      <c r="BJ1547" s="556">
        <f t="shared" si="171"/>
        <v>0</v>
      </c>
      <c r="BK1547" s="556">
        <f t="shared" si="172"/>
        <v>0</v>
      </c>
      <c r="BL1547" s="556" t="str">
        <f t="shared" si="173"/>
        <v/>
      </c>
      <c r="BM1547" s="497">
        <f t="shared" si="174"/>
        <v>0</v>
      </c>
    </row>
    <row r="1548" spans="59:65">
      <c r="BG1548" s="556" t="str">
        <f t="shared" si="168"/>
        <v>O</v>
      </c>
      <c r="BH1548" s="556" t="str">
        <f t="shared" si="169"/>
        <v/>
      </c>
      <c r="BI1548" s="556" t="str">
        <f t="shared" si="170"/>
        <v/>
      </c>
      <c r="BJ1548" s="556">
        <f t="shared" si="171"/>
        <v>0</v>
      </c>
      <c r="BK1548" s="556">
        <f t="shared" si="172"/>
        <v>0</v>
      </c>
      <c r="BL1548" s="556" t="str">
        <f t="shared" si="173"/>
        <v/>
      </c>
      <c r="BM1548" s="497">
        <f t="shared" si="174"/>
        <v>0</v>
      </c>
    </row>
    <row r="1549" spans="59:65">
      <c r="BG1549" s="556" t="str">
        <f t="shared" si="168"/>
        <v>O</v>
      </c>
      <c r="BH1549" s="556" t="str">
        <f t="shared" si="169"/>
        <v/>
      </c>
      <c r="BI1549" s="556" t="str">
        <f t="shared" si="170"/>
        <v/>
      </c>
      <c r="BJ1549" s="556">
        <f t="shared" si="171"/>
        <v>0</v>
      </c>
      <c r="BK1549" s="556">
        <f t="shared" si="172"/>
        <v>0</v>
      </c>
      <c r="BL1549" s="556" t="str">
        <f t="shared" si="173"/>
        <v/>
      </c>
      <c r="BM1549" s="497">
        <f t="shared" si="174"/>
        <v>0</v>
      </c>
    </row>
    <row r="1550" spans="59:65">
      <c r="BG1550" s="556" t="str">
        <f t="shared" si="168"/>
        <v>O</v>
      </c>
      <c r="BH1550" s="556" t="str">
        <f t="shared" si="169"/>
        <v/>
      </c>
      <c r="BI1550" s="556" t="str">
        <f t="shared" si="170"/>
        <v/>
      </c>
      <c r="BJ1550" s="556">
        <f t="shared" si="171"/>
        <v>0</v>
      </c>
      <c r="BK1550" s="556">
        <f t="shared" si="172"/>
        <v>0</v>
      </c>
      <c r="BL1550" s="556" t="str">
        <f t="shared" si="173"/>
        <v/>
      </c>
      <c r="BM1550" s="497">
        <f t="shared" si="174"/>
        <v>0</v>
      </c>
    </row>
    <row r="1551" spans="59:65">
      <c r="BG1551" s="556" t="str">
        <f t="shared" si="168"/>
        <v>O</v>
      </c>
      <c r="BH1551" s="556" t="str">
        <f t="shared" si="169"/>
        <v/>
      </c>
      <c r="BI1551" s="556" t="str">
        <f t="shared" si="170"/>
        <v/>
      </c>
      <c r="BJ1551" s="556">
        <f t="shared" si="171"/>
        <v>0</v>
      </c>
      <c r="BK1551" s="556">
        <f t="shared" si="172"/>
        <v>0</v>
      </c>
      <c r="BL1551" s="556" t="str">
        <f t="shared" si="173"/>
        <v/>
      </c>
      <c r="BM1551" s="497">
        <f t="shared" si="174"/>
        <v>0</v>
      </c>
    </row>
    <row r="1552" spans="59:65">
      <c r="BG1552" s="556" t="str">
        <f t="shared" si="168"/>
        <v>O</v>
      </c>
      <c r="BH1552" s="556" t="str">
        <f t="shared" si="169"/>
        <v/>
      </c>
      <c r="BI1552" s="556" t="str">
        <f t="shared" si="170"/>
        <v/>
      </c>
      <c r="BJ1552" s="556">
        <f t="shared" si="171"/>
        <v>0</v>
      </c>
      <c r="BK1552" s="556">
        <f t="shared" si="172"/>
        <v>0</v>
      </c>
      <c r="BL1552" s="556" t="str">
        <f t="shared" si="173"/>
        <v/>
      </c>
      <c r="BM1552" s="497">
        <f t="shared" si="174"/>
        <v>0</v>
      </c>
    </row>
    <row r="1553" spans="59:65">
      <c r="BG1553" s="556" t="str">
        <f t="shared" si="168"/>
        <v>O</v>
      </c>
      <c r="BH1553" s="556" t="str">
        <f t="shared" si="169"/>
        <v/>
      </c>
      <c r="BI1553" s="556" t="str">
        <f t="shared" si="170"/>
        <v/>
      </c>
      <c r="BJ1553" s="556">
        <f t="shared" si="171"/>
        <v>0</v>
      </c>
      <c r="BK1553" s="556">
        <f t="shared" si="172"/>
        <v>0</v>
      </c>
      <c r="BL1553" s="556" t="str">
        <f t="shared" si="173"/>
        <v/>
      </c>
      <c r="BM1553" s="497">
        <f t="shared" si="174"/>
        <v>0</v>
      </c>
    </row>
    <row r="1554" spans="59:65">
      <c r="BG1554" s="556" t="str">
        <f t="shared" si="168"/>
        <v>O</v>
      </c>
      <c r="BH1554" s="556" t="str">
        <f t="shared" si="169"/>
        <v/>
      </c>
      <c r="BI1554" s="556" t="str">
        <f t="shared" si="170"/>
        <v/>
      </c>
      <c r="BJ1554" s="556">
        <f t="shared" si="171"/>
        <v>0</v>
      </c>
      <c r="BK1554" s="556">
        <f t="shared" si="172"/>
        <v>0</v>
      </c>
      <c r="BL1554" s="556" t="str">
        <f t="shared" si="173"/>
        <v/>
      </c>
      <c r="BM1554" s="497">
        <f t="shared" si="174"/>
        <v>0</v>
      </c>
    </row>
    <row r="1555" spans="59:65">
      <c r="BG1555" s="556" t="str">
        <f t="shared" si="168"/>
        <v>O</v>
      </c>
      <c r="BH1555" s="556" t="str">
        <f t="shared" si="169"/>
        <v/>
      </c>
      <c r="BI1555" s="556" t="str">
        <f t="shared" si="170"/>
        <v/>
      </c>
      <c r="BJ1555" s="556">
        <f t="shared" si="171"/>
        <v>0</v>
      </c>
      <c r="BK1555" s="556">
        <f t="shared" si="172"/>
        <v>0</v>
      </c>
      <c r="BL1555" s="556" t="str">
        <f t="shared" si="173"/>
        <v/>
      </c>
      <c r="BM1555" s="497">
        <f t="shared" si="174"/>
        <v>0</v>
      </c>
    </row>
    <row r="1556" spans="59:65">
      <c r="BG1556" s="556" t="str">
        <f t="shared" si="168"/>
        <v>O</v>
      </c>
      <c r="BH1556" s="556" t="str">
        <f t="shared" si="169"/>
        <v/>
      </c>
      <c r="BI1556" s="556" t="str">
        <f t="shared" si="170"/>
        <v/>
      </c>
      <c r="BJ1556" s="556">
        <f t="shared" si="171"/>
        <v>0</v>
      </c>
      <c r="BK1556" s="556">
        <f t="shared" si="172"/>
        <v>0</v>
      </c>
      <c r="BL1556" s="556" t="str">
        <f t="shared" si="173"/>
        <v/>
      </c>
      <c r="BM1556" s="497">
        <f t="shared" si="174"/>
        <v>0</v>
      </c>
    </row>
    <row r="1557" spans="59:65">
      <c r="BG1557" s="556" t="str">
        <f t="shared" si="168"/>
        <v>O</v>
      </c>
      <c r="BH1557" s="556" t="str">
        <f t="shared" si="169"/>
        <v/>
      </c>
      <c r="BI1557" s="556" t="str">
        <f t="shared" si="170"/>
        <v/>
      </c>
      <c r="BJ1557" s="556">
        <f t="shared" si="171"/>
        <v>0</v>
      </c>
      <c r="BK1557" s="556">
        <f t="shared" si="172"/>
        <v>0</v>
      </c>
      <c r="BL1557" s="556" t="str">
        <f t="shared" si="173"/>
        <v/>
      </c>
      <c r="BM1557" s="497">
        <f t="shared" si="174"/>
        <v>0</v>
      </c>
    </row>
    <row r="1558" spans="59:65">
      <c r="BG1558" s="556" t="str">
        <f t="shared" si="168"/>
        <v>O</v>
      </c>
      <c r="BH1558" s="556" t="str">
        <f t="shared" si="169"/>
        <v/>
      </c>
      <c r="BI1558" s="556" t="str">
        <f t="shared" si="170"/>
        <v/>
      </c>
      <c r="BJ1558" s="556">
        <f t="shared" si="171"/>
        <v>0</v>
      </c>
      <c r="BK1558" s="556">
        <f t="shared" si="172"/>
        <v>0</v>
      </c>
      <c r="BL1558" s="556" t="str">
        <f t="shared" si="173"/>
        <v/>
      </c>
      <c r="BM1558" s="497">
        <f t="shared" si="174"/>
        <v>0</v>
      </c>
    </row>
    <row r="1559" spans="59:65">
      <c r="BG1559" s="556" t="str">
        <f t="shared" si="168"/>
        <v>O</v>
      </c>
      <c r="BH1559" s="556" t="str">
        <f t="shared" si="169"/>
        <v/>
      </c>
      <c r="BI1559" s="556" t="str">
        <f t="shared" si="170"/>
        <v/>
      </c>
      <c r="BJ1559" s="556">
        <f t="shared" si="171"/>
        <v>0</v>
      </c>
      <c r="BK1559" s="556">
        <f t="shared" si="172"/>
        <v>0</v>
      </c>
      <c r="BL1559" s="556" t="str">
        <f t="shared" si="173"/>
        <v/>
      </c>
      <c r="BM1559" s="497">
        <f t="shared" si="174"/>
        <v>0</v>
      </c>
    </row>
    <row r="1560" spans="59:65">
      <c r="BG1560" s="556" t="str">
        <f t="shared" si="168"/>
        <v>O</v>
      </c>
      <c r="BH1560" s="556" t="str">
        <f t="shared" si="169"/>
        <v/>
      </c>
      <c r="BI1560" s="556" t="str">
        <f t="shared" si="170"/>
        <v/>
      </c>
      <c r="BJ1560" s="556">
        <f t="shared" si="171"/>
        <v>0</v>
      </c>
      <c r="BK1560" s="556">
        <f t="shared" si="172"/>
        <v>0</v>
      </c>
      <c r="BL1560" s="556" t="str">
        <f t="shared" si="173"/>
        <v/>
      </c>
      <c r="BM1560" s="497">
        <f t="shared" si="174"/>
        <v>0</v>
      </c>
    </row>
    <row r="1561" spans="59:65">
      <c r="BG1561" s="556" t="str">
        <f t="shared" si="168"/>
        <v>O</v>
      </c>
      <c r="BH1561" s="556" t="str">
        <f t="shared" si="169"/>
        <v/>
      </c>
      <c r="BI1561" s="556" t="str">
        <f t="shared" si="170"/>
        <v/>
      </c>
      <c r="BJ1561" s="556">
        <f t="shared" si="171"/>
        <v>0</v>
      </c>
      <c r="BK1561" s="556">
        <f t="shared" si="172"/>
        <v>0</v>
      </c>
      <c r="BL1561" s="556" t="str">
        <f t="shared" si="173"/>
        <v/>
      </c>
      <c r="BM1561" s="497">
        <f t="shared" si="174"/>
        <v>0</v>
      </c>
    </row>
    <row r="1562" spans="59:65">
      <c r="BG1562" s="556" t="str">
        <f t="shared" si="168"/>
        <v>O</v>
      </c>
      <c r="BH1562" s="556" t="str">
        <f t="shared" si="169"/>
        <v/>
      </c>
      <c r="BI1562" s="556" t="str">
        <f t="shared" si="170"/>
        <v/>
      </c>
      <c r="BJ1562" s="556">
        <f t="shared" si="171"/>
        <v>0</v>
      </c>
      <c r="BK1562" s="556">
        <f t="shared" si="172"/>
        <v>0</v>
      </c>
      <c r="BL1562" s="556" t="str">
        <f t="shared" si="173"/>
        <v/>
      </c>
      <c r="BM1562" s="497">
        <f t="shared" si="174"/>
        <v>0</v>
      </c>
    </row>
    <row r="1563" spans="59:65">
      <c r="BG1563" s="556" t="str">
        <f t="shared" si="168"/>
        <v>O</v>
      </c>
      <c r="BH1563" s="556" t="str">
        <f t="shared" si="169"/>
        <v/>
      </c>
      <c r="BI1563" s="556" t="str">
        <f t="shared" si="170"/>
        <v/>
      </c>
      <c r="BJ1563" s="556">
        <f t="shared" si="171"/>
        <v>0</v>
      </c>
      <c r="BK1563" s="556">
        <f t="shared" si="172"/>
        <v>0</v>
      </c>
      <c r="BL1563" s="556" t="str">
        <f t="shared" si="173"/>
        <v/>
      </c>
      <c r="BM1563" s="497">
        <f t="shared" si="174"/>
        <v>0</v>
      </c>
    </row>
    <row r="1564" spans="59:65">
      <c r="BG1564" s="556" t="str">
        <f t="shared" si="168"/>
        <v>O</v>
      </c>
      <c r="BH1564" s="556" t="str">
        <f t="shared" si="169"/>
        <v/>
      </c>
      <c r="BI1564" s="556" t="str">
        <f t="shared" si="170"/>
        <v/>
      </c>
      <c r="BJ1564" s="556">
        <f t="shared" si="171"/>
        <v>0</v>
      </c>
      <c r="BK1564" s="556">
        <f t="shared" si="172"/>
        <v>0</v>
      </c>
      <c r="BL1564" s="556" t="str">
        <f t="shared" si="173"/>
        <v/>
      </c>
      <c r="BM1564" s="497">
        <f t="shared" si="174"/>
        <v>0</v>
      </c>
    </row>
    <row r="1565" spans="59:65">
      <c r="BG1565" s="556" t="str">
        <f t="shared" si="168"/>
        <v>O</v>
      </c>
      <c r="BH1565" s="556" t="str">
        <f t="shared" si="169"/>
        <v/>
      </c>
      <c r="BI1565" s="556" t="str">
        <f t="shared" si="170"/>
        <v/>
      </c>
      <c r="BJ1565" s="556">
        <f t="shared" si="171"/>
        <v>0</v>
      </c>
      <c r="BK1565" s="556">
        <f t="shared" si="172"/>
        <v>0</v>
      </c>
      <c r="BL1565" s="556" t="str">
        <f t="shared" si="173"/>
        <v/>
      </c>
      <c r="BM1565" s="497">
        <f t="shared" si="174"/>
        <v>0</v>
      </c>
    </row>
    <row r="1566" spans="59:65">
      <c r="BG1566" s="556" t="str">
        <f t="shared" si="168"/>
        <v>O</v>
      </c>
      <c r="BH1566" s="556" t="str">
        <f t="shared" si="169"/>
        <v/>
      </c>
      <c r="BI1566" s="556" t="str">
        <f t="shared" si="170"/>
        <v/>
      </c>
      <c r="BJ1566" s="556">
        <f t="shared" si="171"/>
        <v>0</v>
      </c>
      <c r="BK1566" s="556">
        <f t="shared" si="172"/>
        <v>0</v>
      </c>
      <c r="BL1566" s="556" t="str">
        <f t="shared" si="173"/>
        <v/>
      </c>
      <c r="BM1566" s="497">
        <f t="shared" si="174"/>
        <v>0</v>
      </c>
    </row>
    <row r="1567" spans="59:65">
      <c r="BG1567" s="556" t="str">
        <f t="shared" si="168"/>
        <v>O</v>
      </c>
      <c r="BH1567" s="556" t="str">
        <f t="shared" si="169"/>
        <v/>
      </c>
      <c r="BI1567" s="556" t="str">
        <f t="shared" si="170"/>
        <v/>
      </c>
      <c r="BJ1567" s="556">
        <f t="shared" si="171"/>
        <v>0</v>
      </c>
      <c r="BK1567" s="556">
        <f t="shared" si="172"/>
        <v>0</v>
      </c>
      <c r="BL1567" s="556" t="str">
        <f t="shared" si="173"/>
        <v/>
      </c>
      <c r="BM1567" s="497">
        <f t="shared" si="174"/>
        <v>0</v>
      </c>
    </row>
    <row r="1568" spans="59:65">
      <c r="BG1568" s="556" t="str">
        <f t="shared" si="168"/>
        <v>O</v>
      </c>
      <c r="BH1568" s="556" t="str">
        <f t="shared" si="169"/>
        <v/>
      </c>
      <c r="BI1568" s="556" t="str">
        <f t="shared" si="170"/>
        <v/>
      </c>
      <c r="BJ1568" s="556">
        <f t="shared" si="171"/>
        <v>0</v>
      </c>
      <c r="BK1568" s="556">
        <f t="shared" si="172"/>
        <v>0</v>
      </c>
      <c r="BL1568" s="556" t="str">
        <f t="shared" si="173"/>
        <v/>
      </c>
      <c r="BM1568" s="497">
        <f t="shared" si="174"/>
        <v>0</v>
      </c>
    </row>
    <row r="1569" spans="59:65">
      <c r="BG1569" s="556" t="str">
        <f t="shared" si="168"/>
        <v>O</v>
      </c>
      <c r="BH1569" s="556" t="str">
        <f t="shared" si="169"/>
        <v/>
      </c>
      <c r="BI1569" s="556" t="str">
        <f t="shared" si="170"/>
        <v/>
      </c>
      <c r="BJ1569" s="556">
        <f t="shared" si="171"/>
        <v>0</v>
      </c>
      <c r="BK1569" s="556">
        <f t="shared" si="172"/>
        <v>0</v>
      </c>
      <c r="BL1569" s="556" t="str">
        <f t="shared" si="173"/>
        <v/>
      </c>
      <c r="BM1569" s="497">
        <f t="shared" si="174"/>
        <v>0</v>
      </c>
    </row>
    <row r="1570" spans="59:65">
      <c r="BG1570" s="556" t="str">
        <f t="shared" si="168"/>
        <v>O</v>
      </c>
      <c r="BH1570" s="556" t="str">
        <f t="shared" si="169"/>
        <v/>
      </c>
      <c r="BI1570" s="556" t="str">
        <f t="shared" si="170"/>
        <v/>
      </c>
      <c r="BJ1570" s="556">
        <f t="shared" si="171"/>
        <v>0</v>
      </c>
      <c r="BK1570" s="556">
        <f t="shared" si="172"/>
        <v>0</v>
      </c>
      <c r="BL1570" s="556" t="str">
        <f t="shared" si="173"/>
        <v/>
      </c>
      <c r="BM1570" s="497">
        <f t="shared" si="174"/>
        <v>0</v>
      </c>
    </row>
    <row r="1571" spans="59:65">
      <c r="BG1571" s="556" t="str">
        <f t="shared" si="168"/>
        <v>O</v>
      </c>
      <c r="BH1571" s="556" t="str">
        <f t="shared" si="169"/>
        <v/>
      </c>
      <c r="BI1571" s="556" t="str">
        <f t="shared" si="170"/>
        <v/>
      </c>
      <c r="BJ1571" s="556">
        <f t="shared" si="171"/>
        <v>0</v>
      </c>
      <c r="BK1571" s="556">
        <f t="shared" si="172"/>
        <v>0</v>
      </c>
      <c r="BL1571" s="556" t="str">
        <f t="shared" si="173"/>
        <v/>
      </c>
      <c r="BM1571" s="497">
        <f t="shared" si="174"/>
        <v>0</v>
      </c>
    </row>
    <row r="1572" spans="59:65">
      <c r="BG1572" s="556" t="str">
        <f t="shared" si="168"/>
        <v>O</v>
      </c>
      <c r="BH1572" s="556" t="str">
        <f t="shared" si="169"/>
        <v/>
      </c>
      <c r="BI1572" s="556" t="str">
        <f t="shared" si="170"/>
        <v/>
      </c>
      <c r="BJ1572" s="556">
        <f t="shared" si="171"/>
        <v>0</v>
      </c>
      <c r="BK1572" s="556">
        <f t="shared" si="172"/>
        <v>0</v>
      </c>
      <c r="BL1572" s="556" t="str">
        <f t="shared" si="173"/>
        <v/>
      </c>
      <c r="BM1572" s="497">
        <f t="shared" si="174"/>
        <v>0</v>
      </c>
    </row>
    <row r="1573" spans="59:65">
      <c r="BG1573" s="556" t="str">
        <f t="shared" si="168"/>
        <v>O</v>
      </c>
      <c r="BH1573" s="556" t="str">
        <f t="shared" si="169"/>
        <v/>
      </c>
      <c r="BI1573" s="556" t="str">
        <f t="shared" si="170"/>
        <v/>
      </c>
      <c r="BJ1573" s="556">
        <f t="shared" si="171"/>
        <v>0</v>
      </c>
      <c r="BK1573" s="556">
        <f t="shared" si="172"/>
        <v>0</v>
      </c>
      <c r="BL1573" s="556" t="str">
        <f t="shared" si="173"/>
        <v/>
      </c>
      <c r="BM1573" s="497">
        <f t="shared" si="174"/>
        <v>0</v>
      </c>
    </row>
    <row r="1574" spans="59:65">
      <c r="BG1574" s="556" t="str">
        <f t="shared" si="168"/>
        <v>O</v>
      </c>
      <c r="BH1574" s="556" t="str">
        <f t="shared" si="169"/>
        <v/>
      </c>
      <c r="BI1574" s="556" t="str">
        <f t="shared" si="170"/>
        <v/>
      </c>
      <c r="BJ1574" s="556">
        <f t="shared" si="171"/>
        <v>0</v>
      </c>
      <c r="BK1574" s="556">
        <f t="shared" si="172"/>
        <v>0</v>
      </c>
      <c r="BL1574" s="556" t="str">
        <f t="shared" si="173"/>
        <v/>
      </c>
      <c r="BM1574" s="497">
        <f t="shared" si="174"/>
        <v>0</v>
      </c>
    </row>
    <row r="1575" spans="59:65">
      <c r="BG1575" s="556" t="str">
        <f t="shared" si="168"/>
        <v>O</v>
      </c>
      <c r="BH1575" s="556" t="str">
        <f t="shared" si="169"/>
        <v/>
      </c>
      <c r="BI1575" s="556" t="str">
        <f t="shared" si="170"/>
        <v/>
      </c>
      <c r="BJ1575" s="556">
        <f t="shared" si="171"/>
        <v>0</v>
      </c>
      <c r="BK1575" s="556">
        <f t="shared" si="172"/>
        <v>0</v>
      </c>
      <c r="BL1575" s="556" t="str">
        <f t="shared" si="173"/>
        <v/>
      </c>
      <c r="BM1575" s="497">
        <f t="shared" si="174"/>
        <v>0</v>
      </c>
    </row>
    <row r="1576" spans="59:65">
      <c r="BG1576" s="556" t="str">
        <f t="shared" si="168"/>
        <v>O</v>
      </c>
      <c r="BH1576" s="556" t="str">
        <f t="shared" si="169"/>
        <v/>
      </c>
      <c r="BI1576" s="556" t="str">
        <f t="shared" si="170"/>
        <v/>
      </c>
      <c r="BJ1576" s="556">
        <f t="shared" si="171"/>
        <v>0</v>
      </c>
      <c r="BK1576" s="556">
        <f t="shared" si="172"/>
        <v>0</v>
      </c>
      <c r="BL1576" s="556" t="str">
        <f t="shared" si="173"/>
        <v/>
      </c>
      <c r="BM1576" s="497">
        <f t="shared" si="174"/>
        <v>0</v>
      </c>
    </row>
    <row r="1577" spans="59:65">
      <c r="BG1577" s="556" t="str">
        <f t="shared" si="168"/>
        <v>O</v>
      </c>
      <c r="BH1577" s="556" t="str">
        <f t="shared" si="169"/>
        <v/>
      </c>
      <c r="BI1577" s="556" t="str">
        <f t="shared" si="170"/>
        <v/>
      </c>
      <c r="BJ1577" s="556">
        <f t="shared" si="171"/>
        <v>0</v>
      </c>
      <c r="BK1577" s="556">
        <f t="shared" si="172"/>
        <v>0</v>
      </c>
      <c r="BL1577" s="556" t="str">
        <f t="shared" si="173"/>
        <v/>
      </c>
      <c r="BM1577" s="497">
        <f t="shared" si="174"/>
        <v>0</v>
      </c>
    </row>
    <row r="1578" spans="59:65">
      <c r="BG1578" s="556" t="str">
        <f t="shared" si="168"/>
        <v>O</v>
      </c>
      <c r="BH1578" s="556" t="str">
        <f t="shared" si="169"/>
        <v/>
      </c>
      <c r="BI1578" s="556" t="str">
        <f t="shared" si="170"/>
        <v/>
      </c>
      <c r="BJ1578" s="556">
        <f t="shared" si="171"/>
        <v>0</v>
      </c>
      <c r="BK1578" s="556">
        <f t="shared" si="172"/>
        <v>0</v>
      </c>
      <c r="BL1578" s="556" t="str">
        <f t="shared" si="173"/>
        <v/>
      </c>
      <c r="BM1578" s="497">
        <f t="shared" si="174"/>
        <v>0</v>
      </c>
    </row>
    <row r="1579" spans="59:65">
      <c r="BG1579" s="556" t="str">
        <f t="shared" si="168"/>
        <v>O</v>
      </c>
      <c r="BH1579" s="556" t="str">
        <f t="shared" si="169"/>
        <v/>
      </c>
      <c r="BI1579" s="556" t="str">
        <f t="shared" si="170"/>
        <v/>
      </c>
      <c r="BJ1579" s="556">
        <f t="shared" si="171"/>
        <v>0</v>
      </c>
      <c r="BK1579" s="556">
        <f t="shared" si="172"/>
        <v>0</v>
      </c>
      <c r="BL1579" s="556" t="str">
        <f t="shared" si="173"/>
        <v/>
      </c>
      <c r="BM1579" s="497">
        <f t="shared" si="174"/>
        <v>0</v>
      </c>
    </row>
    <row r="1580" spans="59:65">
      <c r="BG1580" s="556" t="str">
        <f t="shared" si="168"/>
        <v>O</v>
      </c>
      <c r="BH1580" s="556" t="str">
        <f t="shared" si="169"/>
        <v/>
      </c>
      <c r="BI1580" s="556" t="str">
        <f t="shared" si="170"/>
        <v/>
      </c>
      <c r="BJ1580" s="556">
        <f t="shared" si="171"/>
        <v>0</v>
      </c>
      <c r="BK1580" s="556">
        <f t="shared" si="172"/>
        <v>0</v>
      </c>
      <c r="BL1580" s="556" t="str">
        <f t="shared" si="173"/>
        <v/>
      </c>
      <c r="BM1580" s="497">
        <f t="shared" si="174"/>
        <v>0</v>
      </c>
    </row>
    <row r="1581" spans="59:65">
      <c r="BG1581" s="556" t="str">
        <f t="shared" si="168"/>
        <v>O</v>
      </c>
      <c r="BH1581" s="556" t="str">
        <f t="shared" si="169"/>
        <v/>
      </c>
      <c r="BI1581" s="556" t="str">
        <f t="shared" si="170"/>
        <v/>
      </c>
      <c r="BJ1581" s="556">
        <f t="shared" si="171"/>
        <v>0</v>
      </c>
      <c r="BK1581" s="556">
        <f t="shared" si="172"/>
        <v>0</v>
      </c>
      <c r="BL1581" s="556" t="str">
        <f t="shared" si="173"/>
        <v/>
      </c>
      <c r="BM1581" s="497">
        <f t="shared" si="174"/>
        <v>0</v>
      </c>
    </row>
    <row r="1582" spans="59:65">
      <c r="BG1582" s="556" t="str">
        <f t="shared" si="168"/>
        <v>O</v>
      </c>
      <c r="BH1582" s="556" t="str">
        <f t="shared" si="169"/>
        <v/>
      </c>
      <c r="BI1582" s="556" t="str">
        <f t="shared" si="170"/>
        <v/>
      </c>
      <c r="BJ1582" s="556">
        <f t="shared" si="171"/>
        <v>0</v>
      </c>
      <c r="BK1582" s="556">
        <f t="shared" si="172"/>
        <v>0</v>
      </c>
      <c r="BL1582" s="556" t="str">
        <f t="shared" si="173"/>
        <v/>
      </c>
      <c r="BM1582" s="497">
        <f t="shared" si="174"/>
        <v>0</v>
      </c>
    </row>
    <row r="1583" spans="59:65">
      <c r="BG1583" s="556" t="str">
        <f t="shared" si="168"/>
        <v>O</v>
      </c>
      <c r="BH1583" s="556" t="str">
        <f t="shared" si="169"/>
        <v/>
      </c>
      <c r="BI1583" s="556" t="str">
        <f t="shared" si="170"/>
        <v/>
      </c>
      <c r="BJ1583" s="556">
        <f t="shared" si="171"/>
        <v>0</v>
      </c>
      <c r="BK1583" s="556">
        <f t="shared" si="172"/>
        <v>0</v>
      </c>
      <c r="BL1583" s="556" t="str">
        <f t="shared" si="173"/>
        <v/>
      </c>
      <c r="BM1583" s="497">
        <f t="shared" si="174"/>
        <v>0</v>
      </c>
    </row>
    <row r="1584" spans="59:65">
      <c r="BG1584" s="556" t="str">
        <f t="shared" si="168"/>
        <v>O</v>
      </c>
      <c r="BH1584" s="556" t="str">
        <f t="shared" si="169"/>
        <v/>
      </c>
      <c r="BI1584" s="556" t="str">
        <f t="shared" si="170"/>
        <v/>
      </c>
      <c r="BJ1584" s="556">
        <f t="shared" si="171"/>
        <v>0</v>
      </c>
      <c r="BK1584" s="556">
        <f t="shared" si="172"/>
        <v>0</v>
      </c>
      <c r="BL1584" s="556" t="str">
        <f t="shared" si="173"/>
        <v/>
      </c>
      <c r="BM1584" s="497">
        <f t="shared" si="174"/>
        <v>0</v>
      </c>
    </row>
    <row r="1585" spans="59:65">
      <c r="BG1585" s="556" t="str">
        <f t="shared" si="168"/>
        <v>O</v>
      </c>
      <c r="BH1585" s="556" t="str">
        <f t="shared" si="169"/>
        <v/>
      </c>
      <c r="BI1585" s="556" t="str">
        <f t="shared" si="170"/>
        <v/>
      </c>
      <c r="BJ1585" s="556">
        <f t="shared" si="171"/>
        <v>0</v>
      </c>
      <c r="BK1585" s="556">
        <f t="shared" si="172"/>
        <v>0</v>
      </c>
      <c r="BL1585" s="556" t="str">
        <f t="shared" si="173"/>
        <v/>
      </c>
      <c r="BM1585" s="497">
        <f t="shared" si="174"/>
        <v>0</v>
      </c>
    </row>
    <row r="1586" spans="59:65">
      <c r="BG1586" s="556" t="str">
        <f t="shared" si="168"/>
        <v>O</v>
      </c>
      <c r="BH1586" s="556" t="str">
        <f t="shared" si="169"/>
        <v/>
      </c>
      <c r="BI1586" s="556" t="str">
        <f t="shared" si="170"/>
        <v/>
      </c>
      <c r="BJ1586" s="556">
        <f t="shared" si="171"/>
        <v>0</v>
      </c>
      <c r="BK1586" s="556">
        <f t="shared" si="172"/>
        <v>0</v>
      </c>
      <c r="BL1586" s="556" t="str">
        <f t="shared" si="173"/>
        <v/>
      </c>
      <c r="BM1586" s="497">
        <f t="shared" si="174"/>
        <v>0</v>
      </c>
    </row>
    <row r="1587" spans="59:65">
      <c r="BG1587" s="556" t="str">
        <f t="shared" si="168"/>
        <v>O</v>
      </c>
      <c r="BH1587" s="556" t="str">
        <f t="shared" si="169"/>
        <v/>
      </c>
      <c r="BI1587" s="556" t="str">
        <f t="shared" si="170"/>
        <v/>
      </c>
      <c r="BJ1587" s="556">
        <f t="shared" si="171"/>
        <v>0</v>
      </c>
      <c r="BK1587" s="556">
        <f t="shared" si="172"/>
        <v>0</v>
      </c>
      <c r="BL1587" s="556" t="str">
        <f t="shared" si="173"/>
        <v/>
      </c>
      <c r="BM1587" s="497">
        <f t="shared" si="174"/>
        <v>0</v>
      </c>
    </row>
    <row r="1588" spans="59:65">
      <c r="BG1588" s="556" t="str">
        <f t="shared" si="168"/>
        <v>O</v>
      </c>
      <c r="BH1588" s="556" t="str">
        <f t="shared" si="169"/>
        <v/>
      </c>
      <c r="BI1588" s="556" t="str">
        <f t="shared" si="170"/>
        <v/>
      </c>
      <c r="BJ1588" s="556">
        <f t="shared" si="171"/>
        <v>0</v>
      </c>
      <c r="BK1588" s="556">
        <f t="shared" si="172"/>
        <v>0</v>
      </c>
      <c r="BL1588" s="556" t="str">
        <f t="shared" si="173"/>
        <v/>
      </c>
      <c r="BM1588" s="497">
        <f t="shared" si="174"/>
        <v>0</v>
      </c>
    </row>
    <row r="1589" spans="59:65">
      <c r="BG1589" s="556" t="str">
        <f t="shared" si="168"/>
        <v>O</v>
      </c>
      <c r="BH1589" s="556" t="str">
        <f t="shared" si="169"/>
        <v/>
      </c>
      <c r="BI1589" s="556" t="str">
        <f t="shared" si="170"/>
        <v/>
      </c>
      <c r="BJ1589" s="556">
        <f t="shared" si="171"/>
        <v>0</v>
      </c>
      <c r="BK1589" s="556">
        <f t="shared" si="172"/>
        <v>0</v>
      </c>
      <c r="BL1589" s="556" t="str">
        <f t="shared" si="173"/>
        <v/>
      </c>
      <c r="BM1589" s="497">
        <f t="shared" si="174"/>
        <v>0</v>
      </c>
    </row>
    <row r="1590" spans="59:65">
      <c r="BG1590" s="556" t="str">
        <f t="shared" si="168"/>
        <v>O</v>
      </c>
      <c r="BH1590" s="556" t="str">
        <f t="shared" si="169"/>
        <v/>
      </c>
      <c r="BI1590" s="556" t="str">
        <f t="shared" si="170"/>
        <v/>
      </c>
      <c r="BJ1590" s="556">
        <f t="shared" si="171"/>
        <v>0</v>
      </c>
      <c r="BK1590" s="556">
        <f t="shared" si="172"/>
        <v>0</v>
      </c>
      <c r="BL1590" s="556" t="str">
        <f t="shared" si="173"/>
        <v/>
      </c>
      <c r="BM1590" s="497">
        <f t="shared" si="174"/>
        <v>0</v>
      </c>
    </row>
    <row r="1591" spans="59:65">
      <c r="BG1591" s="556" t="str">
        <f t="shared" si="168"/>
        <v>O</v>
      </c>
      <c r="BH1591" s="556" t="str">
        <f t="shared" si="169"/>
        <v/>
      </c>
      <c r="BI1591" s="556" t="str">
        <f t="shared" si="170"/>
        <v/>
      </c>
      <c r="BJ1591" s="556">
        <f t="shared" si="171"/>
        <v>0</v>
      </c>
      <c r="BK1591" s="556">
        <f t="shared" si="172"/>
        <v>0</v>
      </c>
      <c r="BL1591" s="556" t="str">
        <f t="shared" si="173"/>
        <v/>
      </c>
      <c r="BM1591" s="497">
        <f t="shared" si="174"/>
        <v>0</v>
      </c>
    </row>
    <row r="1592" spans="59:65">
      <c r="BG1592" s="556" t="str">
        <f t="shared" si="168"/>
        <v>O</v>
      </c>
      <c r="BH1592" s="556" t="str">
        <f t="shared" si="169"/>
        <v/>
      </c>
      <c r="BI1592" s="556" t="str">
        <f t="shared" si="170"/>
        <v/>
      </c>
      <c r="BJ1592" s="556">
        <f t="shared" si="171"/>
        <v>0</v>
      </c>
      <c r="BK1592" s="556">
        <f t="shared" si="172"/>
        <v>0</v>
      </c>
      <c r="BL1592" s="556" t="str">
        <f t="shared" si="173"/>
        <v/>
      </c>
      <c r="BM1592" s="497">
        <f t="shared" si="174"/>
        <v>0</v>
      </c>
    </row>
    <row r="1593" spans="59:65">
      <c r="BG1593" s="556" t="str">
        <f t="shared" si="168"/>
        <v>O</v>
      </c>
      <c r="BH1593" s="556" t="str">
        <f t="shared" si="169"/>
        <v/>
      </c>
      <c r="BI1593" s="556" t="str">
        <f t="shared" si="170"/>
        <v/>
      </c>
      <c r="BJ1593" s="556">
        <f t="shared" si="171"/>
        <v>0</v>
      </c>
      <c r="BK1593" s="556">
        <f t="shared" si="172"/>
        <v>0</v>
      </c>
      <c r="BL1593" s="556" t="str">
        <f t="shared" si="173"/>
        <v/>
      </c>
      <c r="BM1593" s="497">
        <f t="shared" si="174"/>
        <v>0</v>
      </c>
    </row>
    <row r="1594" spans="59:65">
      <c r="BG1594" s="556" t="str">
        <f t="shared" si="168"/>
        <v>O</v>
      </c>
      <c r="BH1594" s="556" t="str">
        <f t="shared" si="169"/>
        <v/>
      </c>
      <c r="BI1594" s="556" t="str">
        <f t="shared" si="170"/>
        <v/>
      </c>
      <c r="BJ1594" s="556">
        <f t="shared" si="171"/>
        <v>0</v>
      </c>
      <c r="BK1594" s="556">
        <f t="shared" si="172"/>
        <v>0</v>
      </c>
      <c r="BL1594" s="556" t="str">
        <f t="shared" si="173"/>
        <v/>
      </c>
      <c r="BM1594" s="497">
        <f t="shared" si="174"/>
        <v>0</v>
      </c>
    </row>
    <row r="1595" spans="59:65">
      <c r="BG1595" s="556" t="str">
        <f t="shared" si="168"/>
        <v>O</v>
      </c>
      <c r="BH1595" s="556" t="str">
        <f t="shared" si="169"/>
        <v/>
      </c>
      <c r="BI1595" s="556" t="str">
        <f t="shared" si="170"/>
        <v/>
      </c>
      <c r="BJ1595" s="556">
        <f t="shared" si="171"/>
        <v>0</v>
      </c>
      <c r="BK1595" s="556">
        <f t="shared" si="172"/>
        <v>0</v>
      </c>
      <c r="BL1595" s="556" t="str">
        <f t="shared" si="173"/>
        <v/>
      </c>
      <c r="BM1595" s="497">
        <f t="shared" si="174"/>
        <v>0</v>
      </c>
    </row>
    <row r="1596" spans="59:65">
      <c r="BG1596" s="556" t="str">
        <f t="shared" si="168"/>
        <v>O</v>
      </c>
      <c r="BH1596" s="556" t="str">
        <f t="shared" si="169"/>
        <v/>
      </c>
      <c r="BI1596" s="556" t="str">
        <f t="shared" si="170"/>
        <v/>
      </c>
      <c r="BJ1596" s="556">
        <f t="shared" si="171"/>
        <v>0</v>
      </c>
      <c r="BK1596" s="556">
        <f t="shared" si="172"/>
        <v>0</v>
      </c>
      <c r="BL1596" s="556" t="str">
        <f t="shared" si="173"/>
        <v/>
      </c>
      <c r="BM1596" s="497">
        <f t="shared" si="174"/>
        <v>0</v>
      </c>
    </row>
    <row r="1597" spans="59:65">
      <c r="BG1597" s="556" t="str">
        <f t="shared" si="168"/>
        <v>O</v>
      </c>
      <c r="BH1597" s="556" t="str">
        <f t="shared" si="169"/>
        <v/>
      </c>
      <c r="BI1597" s="556" t="str">
        <f t="shared" si="170"/>
        <v/>
      </c>
      <c r="BJ1597" s="556">
        <f t="shared" si="171"/>
        <v>0</v>
      </c>
      <c r="BK1597" s="556">
        <f t="shared" si="172"/>
        <v>0</v>
      </c>
      <c r="BL1597" s="556" t="str">
        <f t="shared" si="173"/>
        <v/>
      </c>
      <c r="BM1597" s="497">
        <f t="shared" si="174"/>
        <v>0</v>
      </c>
    </row>
    <row r="1598" spans="59:65">
      <c r="BG1598" s="556" t="str">
        <f t="shared" si="168"/>
        <v>O</v>
      </c>
      <c r="BH1598" s="556" t="str">
        <f t="shared" si="169"/>
        <v/>
      </c>
      <c r="BI1598" s="556" t="str">
        <f t="shared" si="170"/>
        <v/>
      </c>
      <c r="BJ1598" s="556">
        <f t="shared" si="171"/>
        <v>0</v>
      </c>
      <c r="BK1598" s="556">
        <f t="shared" si="172"/>
        <v>0</v>
      </c>
      <c r="BL1598" s="556" t="str">
        <f t="shared" si="173"/>
        <v/>
      </c>
      <c r="BM1598" s="497">
        <f t="shared" si="174"/>
        <v>0</v>
      </c>
    </row>
    <row r="1599" spans="59:65">
      <c r="BG1599" s="556" t="str">
        <f t="shared" si="168"/>
        <v>O</v>
      </c>
      <c r="BH1599" s="556" t="str">
        <f t="shared" si="169"/>
        <v/>
      </c>
      <c r="BI1599" s="556" t="str">
        <f t="shared" si="170"/>
        <v/>
      </c>
      <c r="BJ1599" s="556">
        <f t="shared" si="171"/>
        <v>0</v>
      </c>
      <c r="BK1599" s="556">
        <f t="shared" si="172"/>
        <v>0</v>
      </c>
      <c r="BL1599" s="556" t="str">
        <f t="shared" si="173"/>
        <v/>
      </c>
      <c r="BM1599" s="497">
        <f t="shared" si="174"/>
        <v>0</v>
      </c>
    </row>
    <row r="1600" spans="59:65">
      <c r="BG1600" s="556" t="str">
        <f t="shared" si="168"/>
        <v>O</v>
      </c>
      <c r="BH1600" s="556" t="str">
        <f t="shared" si="169"/>
        <v/>
      </c>
      <c r="BI1600" s="556" t="str">
        <f t="shared" si="170"/>
        <v/>
      </c>
      <c r="BJ1600" s="556">
        <f t="shared" si="171"/>
        <v>0</v>
      </c>
      <c r="BK1600" s="556">
        <f t="shared" si="172"/>
        <v>0</v>
      </c>
      <c r="BL1600" s="556" t="str">
        <f t="shared" si="173"/>
        <v/>
      </c>
      <c r="BM1600" s="497">
        <f t="shared" si="174"/>
        <v>0</v>
      </c>
    </row>
    <row r="1601" spans="59:65">
      <c r="BG1601" s="556" t="str">
        <f t="shared" si="168"/>
        <v>O</v>
      </c>
      <c r="BH1601" s="556" t="str">
        <f t="shared" si="169"/>
        <v/>
      </c>
      <c r="BI1601" s="556" t="str">
        <f t="shared" si="170"/>
        <v/>
      </c>
      <c r="BJ1601" s="556">
        <f t="shared" si="171"/>
        <v>0</v>
      </c>
      <c r="BK1601" s="556">
        <f t="shared" si="172"/>
        <v>0</v>
      </c>
      <c r="BL1601" s="556" t="str">
        <f t="shared" si="173"/>
        <v/>
      </c>
      <c r="BM1601" s="497">
        <f t="shared" si="174"/>
        <v>0</v>
      </c>
    </row>
    <row r="1602" spans="59:65">
      <c r="BG1602" s="556" t="str">
        <f t="shared" si="168"/>
        <v>O</v>
      </c>
      <c r="BH1602" s="556" t="str">
        <f t="shared" si="169"/>
        <v/>
      </c>
      <c r="BI1602" s="556" t="str">
        <f t="shared" si="170"/>
        <v/>
      </c>
      <c r="BJ1602" s="556">
        <f t="shared" si="171"/>
        <v>0</v>
      </c>
      <c r="BK1602" s="556">
        <f t="shared" si="172"/>
        <v>0</v>
      </c>
      <c r="BL1602" s="556" t="str">
        <f t="shared" si="173"/>
        <v/>
      </c>
      <c r="BM1602" s="497">
        <f t="shared" si="174"/>
        <v>0</v>
      </c>
    </row>
    <row r="1603" spans="59:65">
      <c r="BG1603" s="556" t="str">
        <f t="shared" ref="BG1603:BG1666" si="175">IF(LEFT(AY1603,2)="98","X","O")</f>
        <v>O</v>
      </c>
      <c r="BH1603" s="556" t="str">
        <f t="shared" ref="BH1603:BH1666" si="176">IF(IFERROR(SEARCH("45",$AY1603,1),0)&gt;0,"Y","")</f>
        <v/>
      </c>
      <c r="BI1603" s="556" t="str">
        <f t="shared" ref="BI1603:BI1666" si="177">IF(IFERROR(SEARCH("86",$AY1603,1),0)&gt;0,"Y","")</f>
        <v/>
      </c>
      <c r="BJ1603" s="556">
        <f t="shared" ref="BJ1603:BJ1666" si="178">IF(L1603="",K1603,IF(M1603="",K1603&amp;","&amp;L1603,IF(N1603="",K1603&amp;","&amp;L1603&amp;","&amp;M1603,K1603&amp;","&amp;L1603&amp;","&amp;M1603&amp;","&amp;N1603)))</f>
        <v>0</v>
      </c>
      <c r="BK1603" s="556">
        <f t="shared" ref="BK1603:BK1666" si="179">IF(P1603="",O1603,IF(Q1603="",O1603&amp;","&amp;P1603,IF(R1603="",O1603&amp;","&amp;P1603&amp;","&amp;Q1603,IO1603&amp;","&amp;P1603&amp;","&amp;Q1603&amp;","&amp;R1603)))</f>
        <v>0</v>
      </c>
      <c r="BL1603" s="556" t="str">
        <f t="shared" ref="BL1603:BL1666" si="180">IF(S1603=0,"",S1603)</f>
        <v/>
      </c>
      <c r="BM1603" s="497">
        <f t="shared" ref="BM1603:BM1666" si="181">A1603</f>
        <v>0</v>
      </c>
    </row>
    <row r="1604" spans="59:65">
      <c r="BG1604" s="556" t="str">
        <f t="shared" si="175"/>
        <v>O</v>
      </c>
      <c r="BH1604" s="556" t="str">
        <f t="shared" si="176"/>
        <v/>
      </c>
      <c r="BI1604" s="556" t="str">
        <f t="shared" si="177"/>
        <v/>
      </c>
      <c r="BJ1604" s="556">
        <f t="shared" si="178"/>
        <v>0</v>
      </c>
      <c r="BK1604" s="556">
        <f t="shared" si="179"/>
        <v>0</v>
      </c>
      <c r="BL1604" s="556" t="str">
        <f t="shared" si="180"/>
        <v/>
      </c>
      <c r="BM1604" s="497">
        <f t="shared" si="181"/>
        <v>0</v>
      </c>
    </row>
    <row r="1605" spans="59:65">
      <c r="BG1605" s="556" t="str">
        <f t="shared" si="175"/>
        <v>O</v>
      </c>
      <c r="BH1605" s="556" t="str">
        <f t="shared" si="176"/>
        <v/>
      </c>
      <c r="BI1605" s="556" t="str">
        <f t="shared" si="177"/>
        <v/>
      </c>
      <c r="BJ1605" s="556">
        <f t="shared" si="178"/>
        <v>0</v>
      </c>
      <c r="BK1605" s="556">
        <f t="shared" si="179"/>
        <v>0</v>
      </c>
      <c r="BL1605" s="556" t="str">
        <f t="shared" si="180"/>
        <v/>
      </c>
      <c r="BM1605" s="497">
        <f t="shared" si="181"/>
        <v>0</v>
      </c>
    </row>
    <row r="1606" spans="59:65">
      <c r="BG1606" s="556" t="str">
        <f t="shared" si="175"/>
        <v>O</v>
      </c>
      <c r="BH1606" s="556" t="str">
        <f t="shared" si="176"/>
        <v/>
      </c>
      <c r="BI1606" s="556" t="str">
        <f t="shared" si="177"/>
        <v/>
      </c>
      <c r="BJ1606" s="556">
        <f t="shared" si="178"/>
        <v>0</v>
      </c>
      <c r="BK1606" s="556">
        <f t="shared" si="179"/>
        <v>0</v>
      </c>
      <c r="BL1606" s="556" t="str">
        <f t="shared" si="180"/>
        <v/>
      </c>
      <c r="BM1606" s="497">
        <f t="shared" si="181"/>
        <v>0</v>
      </c>
    </row>
    <row r="1607" spans="59:65">
      <c r="BG1607" s="556" t="str">
        <f t="shared" si="175"/>
        <v>O</v>
      </c>
      <c r="BH1607" s="556" t="str">
        <f t="shared" si="176"/>
        <v/>
      </c>
      <c r="BI1607" s="556" t="str">
        <f t="shared" si="177"/>
        <v/>
      </c>
      <c r="BJ1607" s="556">
        <f t="shared" si="178"/>
        <v>0</v>
      </c>
      <c r="BK1607" s="556">
        <f t="shared" si="179"/>
        <v>0</v>
      </c>
      <c r="BL1607" s="556" t="str">
        <f t="shared" si="180"/>
        <v/>
      </c>
      <c r="BM1607" s="497">
        <f t="shared" si="181"/>
        <v>0</v>
      </c>
    </row>
    <row r="1608" spans="59:65">
      <c r="BG1608" s="556" t="str">
        <f t="shared" si="175"/>
        <v>O</v>
      </c>
      <c r="BH1608" s="556" t="str">
        <f t="shared" si="176"/>
        <v/>
      </c>
      <c r="BI1608" s="556" t="str">
        <f t="shared" si="177"/>
        <v/>
      </c>
      <c r="BJ1608" s="556">
        <f t="shared" si="178"/>
        <v>0</v>
      </c>
      <c r="BK1608" s="556">
        <f t="shared" si="179"/>
        <v>0</v>
      </c>
      <c r="BL1608" s="556" t="str">
        <f t="shared" si="180"/>
        <v/>
      </c>
      <c r="BM1608" s="497">
        <f t="shared" si="181"/>
        <v>0</v>
      </c>
    </row>
    <row r="1609" spans="59:65">
      <c r="BG1609" s="556" t="str">
        <f t="shared" si="175"/>
        <v>O</v>
      </c>
      <c r="BH1609" s="556" t="str">
        <f t="shared" si="176"/>
        <v/>
      </c>
      <c r="BI1609" s="556" t="str">
        <f t="shared" si="177"/>
        <v/>
      </c>
      <c r="BJ1609" s="556">
        <f t="shared" si="178"/>
        <v>0</v>
      </c>
      <c r="BK1609" s="556">
        <f t="shared" si="179"/>
        <v>0</v>
      </c>
      <c r="BL1609" s="556" t="str">
        <f t="shared" si="180"/>
        <v/>
      </c>
      <c r="BM1609" s="497">
        <f t="shared" si="181"/>
        <v>0</v>
      </c>
    </row>
    <row r="1610" spans="59:65">
      <c r="BG1610" s="556" t="str">
        <f t="shared" si="175"/>
        <v>O</v>
      </c>
      <c r="BH1610" s="556" t="str">
        <f t="shared" si="176"/>
        <v/>
      </c>
      <c r="BI1610" s="556" t="str">
        <f t="shared" si="177"/>
        <v/>
      </c>
      <c r="BJ1610" s="556">
        <f t="shared" si="178"/>
        <v>0</v>
      </c>
      <c r="BK1610" s="556">
        <f t="shared" si="179"/>
        <v>0</v>
      </c>
      <c r="BL1610" s="556" t="str">
        <f t="shared" si="180"/>
        <v/>
      </c>
      <c r="BM1610" s="497">
        <f t="shared" si="181"/>
        <v>0</v>
      </c>
    </row>
    <row r="1611" spans="59:65">
      <c r="BG1611" s="556" t="str">
        <f t="shared" si="175"/>
        <v>O</v>
      </c>
      <c r="BH1611" s="556" t="str">
        <f t="shared" si="176"/>
        <v/>
      </c>
      <c r="BI1611" s="556" t="str">
        <f t="shared" si="177"/>
        <v/>
      </c>
      <c r="BJ1611" s="556">
        <f t="shared" si="178"/>
        <v>0</v>
      </c>
      <c r="BK1611" s="556">
        <f t="shared" si="179"/>
        <v>0</v>
      </c>
      <c r="BL1611" s="556" t="str">
        <f t="shared" si="180"/>
        <v/>
      </c>
      <c r="BM1611" s="497">
        <f t="shared" si="181"/>
        <v>0</v>
      </c>
    </row>
    <row r="1612" spans="59:65">
      <c r="BG1612" s="556" t="str">
        <f t="shared" si="175"/>
        <v>O</v>
      </c>
      <c r="BH1612" s="556" t="str">
        <f t="shared" si="176"/>
        <v/>
      </c>
      <c r="BI1612" s="556" t="str">
        <f t="shared" si="177"/>
        <v/>
      </c>
      <c r="BJ1612" s="556">
        <f t="shared" si="178"/>
        <v>0</v>
      </c>
      <c r="BK1612" s="556">
        <f t="shared" si="179"/>
        <v>0</v>
      </c>
      <c r="BL1612" s="556" t="str">
        <f t="shared" si="180"/>
        <v/>
      </c>
      <c r="BM1612" s="497">
        <f t="shared" si="181"/>
        <v>0</v>
      </c>
    </row>
    <row r="1613" spans="59:65">
      <c r="BG1613" s="556" t="str">
        <f t="shared" si="175"/>
        <v>O</v>
      </c>
      <c r="BH1613" s="556" t="str">
        <f t="shared" si="176"/>
        <v/>
      </c>
      <c r="BI1613" s="556" t="str">
        <f t="shared" si="177"/>
        <v/>
      </c>
      <c r="BJ1613" s="556">
        <f t="shared" si="178"/>
        <v>0</v>
      </c>
      <c r="BK1613" s="556">
        <f t="shared" si="179"/>
        <v>0</v>
      </c>
      <c r="BL1613" s="556" t="str">
        <f t="shared" si="180"/>
        <v/>
      </c>
      <c r="BM1613" s="497">
        <f t="shared" si="181"/>
        <v>0</v>
      </c>
    </row>
    <row r="1614" spans="59:65">
      <c r="BG1614" s="556" t="str">
        <f t="shared" si="175"/>
        <v>O</v>
      </c>
      <c r="BH1614" s="556" t="str">
        <f t="shared" si="176"/>
        <v/>
      </c>
      <c r="BI1614" s="556" t="str">
        <f t="shared" si="177"/>
        <v/>
      </c>
      <c r="BJ1614" s="556">
        <f t="shared" si="178"/>
        <v>0</v>
      </c>
      <c r="BK1614" s="556">
        <f t="shared" si="179"/>
        <v>0</v>
      </c>
      <c r="BL1614" s="556" t="str">
        <f t="shared" si="180"/>
        <v/>
      </c>
      <c r="BM1614" s="497">
        <f t="shared" si="181"/>
        <v>0</v>
      </c>
    </row>
    <row r="1615" spans="59:65">
      <c r="BG1615" s="556" t="str">
        <f t="shared" si="175"/>
        <v>O</v>
      </c>
      <c r="BH1615" s="556" t="str">
        <f t="shared" si="176"/>
        <v/>
      </c>
      <c r="BI1615" s="556" t="str">
        <f t="shared" si="177"/>
        <v/>
      </c>
      <c r="BJ1615" s="556">
        <f t="shared" si="178"/>
        <v>0</v>
      </c>
      <c r="BK1615" s="556">
        <f t="shared" si="179"/>
        <v>0</v>
      </c>
      <c r="BL1615" s="556" t="str">
        <f t="shared" si="180"/>
        <v/>
      </c>
      <c r="BM1615" s="497">
        <f t="shared" si="181"/>
        <v>0</v>
      </c>
    </row>
    <row r="1616" spans="59:65">
      <c r="BG1616" s="556" t="str">
        <f t="shared" si="175"/>
        <v>O</v>
      </c>
      <c r="BH1616" s="556" t="str">
        <f t="shared" si="176"/>
        <v/>
      </c>
      <c r="BI1616" s="556" t="str">
        <f t="shared" si="177"/>
        <v/>
      </c>
      <c r="BJ1616" s="556">
        <f t="shared" si="178"/>
        <v>0</v>
      </c>
      <c r="BK1616" s="556">
        <f t="shared" si="179"/>
        <v>0</v>
      </c>
      <c r="BL1616" s="556" t="str">
        <f t="shared" si="180"/>
        <v/>
      </c>
      <c r="BM1616" s="497">
        <f t="shared" si="181"/>
        <v>0</v>
      </c>
    </row>
    <row r="1617" spans="59:65">
      <c r="BG1617" s="556" t="str">
        <f t="shared" si="175"/>
        <v>O</v>
      </c>
      <c r="BH1617" s="556" t="str">
        <f t="shared" si="176"/>
        <v/>
      </c>
      <c r="BI1617" s="556" t="str">
        <f t="shared" si="177"/>
        <v/>
      </c>
      <c r="BJ1617" s="556">
        <f t="shared" si="178"/>
        <v>0</v>
      </c>
      <c r="BK1617" s="556">
        <f t="shared" si="179"/>
        <v>0</v>
      </c>
      <c r="BL1617" s="556" t="str">
        <f t="shared" si="180"/>
        <v/>
      </c>
      <c r="BM1617" s="497">
        <f t="shared" si="181"/>
        <v>0</v>
      </c>
    </row>
    <row r="1618" spans="59:65">
      <c r="BG1618" s="556" t="str">
        <f t="shared" si="175"/>
        <v>O</v>
      </c>
      <c r="BH1618" s="556" t="str">
        <f t="shared" si="176"/>
        <v/>
      </c>
      <c r="BI1618" s="556" t="str">
        <f t="shared" si="177"/>
        <v/>
      </c>
      <c r="BJ1618" s="556">
        <f t="shared" si="178"/>
        <v>0</v>
      </c>
      <c r="BK1618" s="556">
        <f t="shared" si="179"/>
        <v>0</v>
      </c>
      <c r="BL1618" s="556" t="str">
        <f t="shared" si="180"/>
        <v/>
      </c>
      <c r="BM1618" s="497">
        <f t="shared" si="181"/>
        <v>0</v>
      </c>
    </row>
    <row r="1619" spans="59:65">
      <c r="BG1619" s="556" t="str">
        <f t="shared" si="175"/>
        <v>O</v>
      </c>
      <c r="BH1619" s="556" t="str">
        <f t="shared" si="176"/>
        <v/>
      </c>
      <c r="BI1619" s="556" t="str">
        <f t="shared" si="177"/>
        <v/>
      </c>
      <c r="BJ1619" s="556">
        <f t="shared" si="178"/>
        <v>0</v>
      </c>
      <c r="BK1619" s="556">
        <f t="shared" si="179"/>
        <v>0</v>
      </c>
      <c r="BL1619" s="556" t="str">
        <f t="shared" si="180"/>
        <v/>
      </c>
      <c r="BM1619" s="497">
        <f t="shared" si="181"/>
        <v>0</v>
      </c>
    </row>
    <row r="1620" spans="59:65">
      <c r="BG1620" s="556" t="str">
        <f t="shared" si="175"/>
        <v>O</v>
      </c>
      <c r="BH1620" s="556" t="str">
        <f t="shared" si="176"/>
        <v/>
      </c>
      <c r="BI1620" s="556" t="str">
        <f t="shared" si="177"/>
        <v/>
      </c>
      <c r="BJ1620" s="556">
        <f t="shared" si="178"/>
        <v>0</v>
      </c>
      <c r="BK1620" s="556">
        <f t="shared" si="179"/>
        <v>0</v>
      </c>
      <c r="BL1620" s="556" t="str">
        <f t="shared" si="180"/>
        <v/>
      </c>
      <c r="BM1620" s="497">
        <f t="shared" si="181"/>
        <v>0</v>
      </c>
    </row>
    <row r="1621" spans="59:65">
      <c r="BG1621" s="556" t="str">
        <f t="shared" si="175"/>
        <v>O</v>
      </c>
      <c r="BH1621" s="556" t="str">
        <f t="shared" si="176"/>
        <v/>
      </c>
      <c r="BI1621" s="556" t="str">
        <f t="shared" si="177"/>
        <v/>
      </c>
      <c r="BJ1621" s="556">
        <f t="shared" si="178"/>
        <v>0</v>
      </c>
      <c r="BK1621" s="556">
        <f t="shared" si="179"/>
        <v>0</v>
      </c>
      <c r="BL1621" s="556" t="str">
        <f t="shared" si="180"/>
        <v/>
      </c>
      <c r="BM1621" s="497">
        <f t="shared" si="181"/>
        <v>0</v>
      </c>
    </row>
    <row r="1622" spans="59:65">
      <c r="BG1622" s="556" t="str">
        <f t="shared" si="175"/>
        <v>O</v>
      </c>
      <c r="BH1622" s="556" t="str">
        <f t="shared" si="176"/>
        <v/>
      </c>
      <c r="BI1622" s="556" t="str">
        <f t="shared" si="177"/>
        <v/>
      </c>
      <c r="BJ1622" s="556">
        <f t="shared" si="178"/>
        <v>0</v>
      </c>
      <c r="BK1622" s="556">
        <f t="shared" si="179"/>
        <v>0</v>
      </c>
      <c r="BL1622" s="556" t="str">
        <f t="shared" si="180"/>
        <v/>
      </c>
      <c r="BM1622" s="497">
        <f t="shared" si="181"/>
        <v>0</v>
      </c>
    </row>
    <row r="1623" spans="59:65">
      <c r="BG1623" s="556" t="str">
        <f t="shared" si="175"/>
        <v>O</v>
      </c>
      <c r="BH1623" s="556" t="str">
        <f t="shared" si="176"/>
        <v/>
      </c>
      <c r="BI1623" s="556" t="str">
        <f t="shared" si="177"/>
        <v/>
      </c>
      <c r="BJ1623" s="556">
        <f t="shared" si="178"/>
        <v>0</v>
      </c>
      <c r="BK1623" s="556">
        <f t="shared" si="179"/>
        <v>0</v>
      </c>
      <c r="BL1623" s="556" t="str">
        <f t="shared" si="180"/>
        <v/>
      </c>
      <c r="BM1623" s="497">
        <f t="shared" si="181"/>
        <v>0</v>
      </c>
    </row>
    <row r="1624" spans="59:65">
      <c r="BG1624" s="556" t="str">
        <f t="shared" si="175"/>
        <v>O</v>
      </c>
      <c r="BH1624" s="556" t="str">
        <f t="shared" si="176"/>
        <v/>
      </c>
      <c r="BI1624" s="556" t="str">
        <f t="shared" si="177"/>
        <v/>
      </c>
      <c r="BJ1624" s="556">
        <f t="shared" si="178"/>
        <v>0</v>
      </c>
      <c r="BK1624" s="556">
        <f t="shared" si="179"/>
        <v>0</v>
      </c>
      <c r="BL1624" s="556" t="str">
        <f t="shared" si="180"/>
        <v/>
      </c>
      <c r="BM1624" s="497">
        <f t="shared" si="181"/>
        <v>0</v>
      </c>
    </row>
    <row r="1625" spans="59:65">
      <c r="BG1625" s="556" t="str">
        <f t="shared" si="175"/>
        <v>O</v>
      </c>
      <c r="BH1625" s="556" t="str">
        <f t="shared" si="176"/>
        <v/>
      </c>
      <c r="BI1625" s="556" t="str">
        <f t="shared" si="177"/>
        <v/>
      </c>
      <c r="BJ1625" s="556">
        <f t="shared" si="178"/>
        <v>0</v>
      </c>
      <c r="BK1625" s="556">
        <f t="shared" si="179"/>
        <v>0</v>
      </c>
      <c r="BL1625" s="556" t="str">
        <f t="shared" si="180"/>
        <v/>
      </c>
      <c r="BM1625" s="497">
        <f t="shared" si="181"/>
        <v>0</v>
      </c>
    </row>
    <row r="1626" spans="59:65">
      <c r="BG1626" s="556" t="str">
        <f t="shared" si="175"/>
        <v>O</v>
      </c>
      <c r="BH1626" s="556" t="str">
        <f t="shared" si="176"/>
        <v/>
      </c>
      <c r="BI1626" s="556" t="str">
        <f t="shared" si="177"/>
        <v/>
      </c>
      <c r="BJ1626" s="556">
        <f t="shared" si="178"/>
        <v>0</v>
      </c>
      <c r="BK1626" s="556">
        <f t="shared" si="179"/>
        <v>0</v>
      </c>
      <c r="BL1626" s="556" t="str">
        <f t="shared" si="180"/>
        <v/>
      </c>
      <c r="BM1626" s="497">
        <f t="shared" si="181"/>
        <v>0</v>
      </c>
    </row>
    <row r="1627" spans="59:65">
      <c r="BG1627" s="556" t="str">
        <f t="shared" si="175"/>
        <v>O</v>
      </c>
      <c r="BH1627" s="556" t="str">
        <f t="shared" si="176"/>
        <v/>
      </c>
      <c r="BI1627" s="556" t="str">
        <f t="shared" si="177"/>
        <v/>
      </c>
      <c r="BJ1627" s="556">
        <f t="shared" si="178"/>
        <v>0</v>
      </c>
      <c r="BK1627" s="556">
        <f t="shared" si="179"/>
        <v>0</v>
      </c>
      <c r="BL1627" s="556" t="str">
        <f t="shared" si="180"/>
        <v/>
      </c>
      <c r="BM1627" s="497">
        <f t="shared" si="181"/>
        <v>0</v>
      </c>
    </row>
    <row r="1628" spans="59:65">
      <c r="BG1628" s="556" t="str">
        <f t="shared" si="175"/>
        <v>O</v>
      </c>
      <c r="BH1628" s="556" t="str">
        <f t="shared" si="176"/>
        <v/>
      </c>
      <c r="BI1628" s="556" t="str">
        <f t="shared" si="177"/>
        <v/>
      </c>
      <c r="BJ1628" s="556">
        <f t="shared" si="178"/>
        <v>0</v>
      </c>
      <c r="BK1628" s="556">
        <f t="shared" si="179"/>
        <v>0</v>
      </c>
      <c r="BL1628" s="556" t="str">
        <f t="shared" si="180"/>
        <v/>
      </c>
      <c r="BM1628" s="497">
        <f t="shared" si="181"/>
        <v>0</v>
      </c>
    </row>
    <row r="1629" spans="59:65">
      <c r="BG1629" s="556" t="str">
        <f t="shared" si="175"/>
        <v>O</v>
      </c>
      <c r="BH1629" s="556" t="str">
        <f t="shared" si="176"/>
        <v/>
      </c>
      <c r="BI1629" s="556" t="str">
        <f t="shared" si="177"/>
        <v/>
      </c>
      <c r="BJ1629" s="556">
        <f t="shared" si="178"/>
        <v>0</v>
      </c>
      <c r="BK1629" s="556">
        <f t="shared" si="179"/>
        <v>0</v>
      </c>
      <c r="BL1629" s="556" t="str">
        <f t="shared" si="180"/>
        <v/>
      </c>
      <c r="BM1629" s="497">
        <f t="shared" si="181"/>
        <v>0</v>
      </c>
    </row>
    <row r="1630" spans="59:65">
      <c r="BG1630" s="556" t="str">
        <f t="shared" si="175"/>
        <v>O</v>
      </c>
      <c r="BH1630" s="556" t="str">
        <f t="shared" si="176"/>
        <v/>
      </c>
      <c r="BI1630" s="556" t="str">
        <f t="shared" si="177"/>
        <v/>
      </c>
      <c r="BJ1630" s="556">
        <f t="shared" si="178"/>
        <v>0</v>
      </c>
      <c r="BK1630" s="556">
        <f t="shared" si="179"/>
        <v>0</v>
      </c>
      <c r="BL1630" s="556" t="str">
        <f t="shared" si="180"/>
        <v/>
      </c>
      <c r="BM1630" s="497">
        <f t="shared" si="181"/>
        <v>0</v>
      </c>
    </row>
    <row r="1631" spans="59:65">
      <c r="BG1631" s="556" t="str">
        <f t="shared" si="175"/>
        <v>O</v>
      </c>
      <c r="BH1631" s="556" t="str">
        <f t="shared" si="176"/>
        <v/>
      </c>
      <c r="BI1631" s="556" t="str">
        <f t="shared" si="177"/>
        <v/>
      </c>
      <c r="BJ1631" s="556">
        <f t="shared" si="178"/>
        <v>0</v>
      </c>
      <c r="BK1631" s="556">
        <f t="shared" si="179"/>
        <v>0</v>
      </c>
      <c r="BL1631" s="556" t="str">
        <f t="shared" si="180"/>
        <v/>
      </c>
      <c r="BM1631" s="497">
        <f t="shared" si="181"/>
        <v>0</v>
      </c>
    </row>
    <row r="1632" spans="59:65">
      <c r="BG1632" s="556" t="str">
        <f t="shared" si="175"/>
        <v>O</v>
      </c>
      <c r="BH1632" s="556" t="str">
        <f t="shared" si="176"/>
        <v/>
      </c>
      <c r="BI1632" s="556" t="str">
        <f t="shared" si="177"/>
        <v/>
      </c>
      <c r="BJ1632" s="556">
        <f t="shared" si="178"/>
        <v>0</v>
      </c>
      <c r="BK1632" s="556">
        <f t="shared" si="179"/>
        <v>0</v>
      </c>
      <c r="BL1632" s="556" t="str">
        <f t="shared" si="180"/>
        <v/>
      </c>
      <c r="BM1632" s="497">
        <f t="shared" si="181"/>
        <v>0</v>
      </c>
    </row>
    <row r="1633" spans="59:65">
      <c r="BG1633" s="556" t="str">
        <f t="shared" si="175"/>
        <v>O</v>
      </c>
      <c r="BH1633" s="556" t="str">
        <f t="shared" si="176"/>
        <v/>
      </c>
      <c r="BI1633" s="556" t="str">
        <f t="shared" si="177"/>
        <v/>
      </c>
      <c r="BJ1633" s="556">
        <f t="shared" si="178"/>
        <v>0</v>
      </c>
      <c r="BK1633" s="556">
        <f t="shared" si="179"/>
        <v>0</v>
      </c>
      <c r="BL1633" s="556" t="str">
        <f t="shared" si="180"/>
        <v/>
      </c>
      <c r="BM1633" s="497">
        <f t="shared" si="181"/>
        <v>0</v>
      </c>
    </row>
    <row r="1634" spans="59:65">
      <c r="BG1634" s="556" t="str">
        <f t="shared" si="175"/>
        <v>O</v>
      </c>
      <c r="BH1634" s="556" t="str">
        <f t="shared" si="176"/>
        <v/>
      </c>
      <c r="BI1634" s="556" t="str">
        <f t="shared" si="177"/>
        <v/>
      </c>
      <c r="BJ1634" s="556">
        <f t="shared" si="178"/>
        <v>0</v>
      </c>
      <c r="BK1634" s="556">
        <f t="shared" si="179"/>
        <v>0</v>
      </c>
      <c r="BL1634" s="556" t="str">
        <f t="shared" si="180"/>
        <v/>
      </c>
      <c r="BM1634" s="497">
        <f t="shared" si="181"/>
        <v>0</v>
      </c>
    </row>
    <row r="1635" spans="59:65">
      <c r="BG1635" s="556" t="str">
        <f t="shared" si="175"/>
        <v>O</v>
      </c>
      <c r="BH1635" s="556" t="str">
        <f t="shared" si="176"/>
        <v/>
      </c>
      <c r="BI1635" s="556" t="str">
        <f t="shared" si="177"/>
        <v/>
      </c>
      <c r="BJ1635" s="556">
        <f t="shared" si="178"/>
        <v>0</v>
      </c>
      <c r="BK1635" s="556">
        <f t="shared" si="179"/>
        <v>0</v>
      </c>
      <c r="BL1635" s="556" t="str">
        <f t="shared" si="180"/>
        <v/>
      </c>
      <c r="BM1635" s="497">
        <f t="shared" si="181"/>
        <v>0</v>
      </c>
    </row>
    <row r="1636" spans="59:65">
      <c r="BG1636" s="556" t="str">
        <f t="shared" si="175"/>
        <v>O</v>
      </c>
      <c r="BH1636" s="556" t="str">
        <f t="shared" si="176"/>
        <v/>
      </c>
      <c r="BI1636" s="556" t="str">
        <f t="shared" si="177"/>
        <v/>
      </c>
      <c r="BJ1636" s="556">
        <f t="shared" si="178"/>
        <v>0</v>
      </c>
      <c r="BK1636" s="556">
        <f t="shared" si="179"/>
        <v>0</v>
      </c>
      <c r="BL1636" s="556" t="str">
        <f t="shared" si="180"/>
        <v/>
      </c>
      <c r="BM1636" s="497">
        <f t="shared" si="181"/>
        <v>0</v>
      </c>
    </row>
    <row r="1637" spans="59:65">
      <c r="BG1637" s="556" t="str">
        <f t="shared" si="175"/>
        <v>O</v>
      </c>
      <c r="BH1637" s="556" t="str">
        <f t="shared" si="176"/>
        <v/>
      </c>
      <c r="BI1637" s="556" t="str">
        <f t="shared" si="177"/>
        <v/>
      </c>
      <c r="BJ1637" s="556">
        <f t="shared" si="178"/>
        <v>0</v>
      </c>
      <c r="BK1637" s="556">
        <f t="shared" si="179"/>
        <v>0</v>
      </c>
      <c r="BL1637" s="556" t="str">
        <f t="shared" si="180"/>
        <v/>
      </c>
      <c r="BM1637" s="497">
        <f t="shared" si="181"/>
        <v>0</v>
      </c>
    </row>
    <row r="1638" spans="59:65">
      <c r="BG1638" s="556" t="str">
        <f t="shared" si="175"/>
        <v>O</v>
      </c>
      <c r="BH1638" s="556" t="str">
        <f t="shared" si="176"/>
        <v/>
      </c>
      <c r="BI1638" s="556" t="str">
        <f t="shared" si="177"/>
        <v/>
      </c>
      <c r="BJ1638" s="556">
        <f t="shared" si="178"/>
        <v>0</v>
      </c>
      <c r="BK1638" s="556">
        <f t="shared" si="179"/>
        <v>0</v>
      </c>
      <c r="BL1638" s="556" t="str">
        <f t="shared" si="180"/>
        <v/>
      </c>
      <c r="BM1638" s="497">
        <f t="shared" si="181"/>
        <v>0</v>
      </c>
    </row>
    <row r="1639" spans="59:65">
      <c r="BG1639" s="556" t="str">
        <f t="shared" si="175"/>
        <v>O</v>
      </c>
      <c r="BH1639" s="556" t="str">
        <f t="shared" si="176"/>
        <v/>
      </c>
      <c r="BI1639" s="556" t="str">
        <f t="shared" si="177"/>
        <v/>
      </c>
      <c r="BJ1639" s="556">
        <f t="shared" si="178"/>
        <v>0</v>
      </c>
      <c r="BK1639" s="556">
        <f t="shared" si="179"/>
        <v>0</v>
      </c>
      <c r="BL1639" s="556" t="str">
        <f t="shared" si="180"/>
        <v/>
      </c>
      <c r="BM1639" s="497">
        <f t="shared" si="181"/>
        <v>0</v>
      </c>
    </row>
    <row r="1640" spans="59:65">
      <c r="BG1640" s="556" t="str">
        <f t="shared" si="175"/>
        <v>O</v>
      </c>
      <c r="BH1640" s="556" t="str">
        <f t="shared" si="176"/>
        <v/>
      </c>
      <c r="BI1640" s="556" t="str">
        <f t="shared" si="177"/>
        <v/>
      </c>
      <c r="BJ1640" s="556">
        <f t="shared" si="178"/>
        <v>0</v>
      </c>
      <c r="BK1640" s="556">
        <f t="shared" si="179"/>
        <v>0</v>
      </c>
      <c r="BL1640" s="556" t="str">
        <f t="shared" si="180"/>
        <v/>
      </c>
      <c r="BM1640" s="497">
        <f t="shared" si="181"/>
        <v>0</v>
      </c>
    </row>
    <row r="1641" spans="59:65">
      <c r="BG1641" s="556" t="str">
        <f t="shared" si="175"/>
        <v>O</v>
      </c>
      <c r="BH1641" s="556" t="str">
        <f t="shared" si="176"/>
        <v/>
      </c>
      <c r="BI1641" s="556" t="str">
        <f t="shared" si="177"/>
        <v/>
      </c>
      <c r="BJ1641" s="556">
        <f t="shared" si="178"/>
        <v>0</v>
      </c>
      <c r="BK1641" s="556">
        <f t="shared" si="179"/>
        <v>0</v>
      </c>
      <c r="BL1641" s="556" t="str">
        <f t="shared" si="180"/>
        <v/>
      </c>
      <c r="BM1641" s="497">
        <f t="shared" si="181"/>
        <v>0</v>
      </c>
    </row>
    <row r="1642" spans="59:65">
      <c r="BG1642" s="556" t="str">
        <f t="shared" si="175"/>
        <v>O</v>
      </c>
      <c r="BH1642" s="556" t="str">
        <f t="shared" si="176"/>
        <v/>
      </c>
      <c r="BI1642" s="556" t="str">
        <f t="shared" si="177"/>
        <v/>
      </c>
      <c r="BJ1642" s="556">
        <f t="shared" si="178"/>
        <v>0</v>
      </c>
      <c r="BK1642" s="556">
        <f t="shared" si="179"/>
        <v>0</v>
      </c>
      <c r="BL1642" s="556" t="str">
        <f t="shared" si="180"/>
        <v/>
      </c>
      <c r="BM1642" s="497">
        <f t="shared" si="181"/>
        <v>0</v>
      </c>
    </row>
    <row r="1643" spans="59:65">
      <c r="BG1643" s="556" t="str">
        <f t="shared" si="175"/>
        <v>O</v>
      </c>
      <c r="BH1643" s="556" t="str">
        <f t="shared" si="176"/>
        <v/>
      </c>
      <c r="BI1643" s="556" t="str">
        <f t="shared" si="177"/>
        <v/>
      </c>
      <c r="BJ1643" s="556">
        <f t="shared" si="178"/>
        <v>0</v>
      </c>
      <c r="BK1643" s="556">
        <f t="shared" si="179"/>
        <v>0</v>
      </c>
      <c r="BL1643" s="556" t="str">
        <f t="shared" si="180"/>
        <v/>
      </c>
      <c r="BM1643" s="497">
        <f t="shared" si="181"/>
        <v>0</v>
      </c>
    </row>
    <row r="1644" spans="59:65">
      <c r="BG1644" s="556" t="str">
        <f t="shared" si="175"/>
        <v>O</v>
      </c>
      <c r="BH1644" s="556" t="str">
        <f t="shared" si="176"/>
        <v/>
      </c>
      <c r="BI1644" s="556" t="str">
        <f t="shared" si="177"/>
        <v/>
      </c>
      <c r="BJ1644" s="556">
        <f t="shared" si="178"/>
        <v>0</v>
      </c>
      <c r="BK1644" s="556">
        <f t="shared" si="179"/>
        <v>0</v>
      </c>
      <c r="BL1644" s="556" t="str">
        <f t="shared" si="180"/>
        <v/>
      </c>
      <c r="BM1644" s="497">
        <f t="shared" si="181"/>
        <v>0</v>
      </c>
    </row>
    <row r="1645" spans="59:65">
      <c r="BG1645" s="556" t="str">
        <f t="shared" si="175"/>
        <v>O</v>
      </c>
      <c r="BH1645" s="556" t="str">
        <f t="shared" si="176"/>
        <v/>
      </c>
      <c r="BI1645" s="556" t="str">
        <f t="shared" si="177"/>
        <v/>
      </c>
      <c r="BJ1645" s="556">
        <f t="shared" si="178"/>
        <v>0</v>
      </c>
      <c r="BK1645" s="556">
        <f t="shared" si="179"/>
        <v>0</v>
      </c>
      <c r="BL1645" s="556" t="str">
        <f t="shared" si="180"/>
        <v/>
      </c>
      <c r="BM1645" s="497">
        <f t="shared" si="181"/>
        <v>0</v>
      </c>
    </row>
    <row r="1646" spans="59:65">
      <c r="BG1646" s="556" t="str">
        <f t="shared" si="175"/>
        <v>O</v>
      </c>
      <c r="BH1646" s="556" t="str">
        <f t="shared" si="176"/>
        <v/>
      </c>
      <c r="BI1646" s="556" t="str">
        <f t="shared" si="177"/>
        <v/>
      </c>
      <c r="BJ1646" s="556">
        <f t="shared" si="178"/>
        <v>0</v>
      </c>
      <c r="BK1646" s="556">
        <f t="shared" si="179"/>
        <v>0</v>
      </c>
      <c r="BL1646" s="556" t="str">
        <f t="shared" si="180"/>
        <v/>
      </c>
      <c r="BM1646" s="497">
        <f t="shared" si="181"/>
        <v>0</v>
      </c>
    </row>
    <row r="1647" spans="59:65">
      <c r="BG1647" s="556" t="str">
        <f t="shared" si="175"/>
        <v>O</v>
      </c>
      <c r="BH1647" s="556" t="str">
        <f t="shared" si="176"/>
        <v/>
      </c>
      <c r="BI1647" s="556" t="str">
        <f t="shared" si="177"/>
        <v/>
      </c>
      <c r="BJ1647" s="556">
        <f t="shared" si="178"/>
        <v>0</v>
      </c>
      <c r="BK1647" s="556">
        <f t="shared" si="179"/>
        <v>0</v>
      </c>
      <c r="BL1647" s="556" t="str">
        <f t="shared" si="180"/>
        <v/>
      </c>
      <c r="BM1647" s="497">
        <f t="shared" si="181"/>
        <v>0</v>
      </c>
    </row>
    <row r="1648" spans="59:65">
      <c r="BG1648" s="556" t="str">
        <f t="shared" si="175"/>
        <v>O</v>
      </c>
      <c r="BH1648" s="556" t="str">
        <f t="shared" si="176"/>
        <v/>
      </c>
      <c r="BI1648" s="556" t="str">
        <f t="shared" si="177"/>
        <v/>
      </c>
      <c r="BJ1648" s="556">
        <f t="shared" si="178"/>
        <v>0</v>
      </c>
      <c r="BK1648" s="556">
        <f t="shared" si="179"/>
        <v>0</v>
      </c>
      <c r="BL1648" s="556" t="str">
        <f t="shared" si="180"/>
        <v/>
      </c>
      <c r="BM1648" s="497">
        <f t="shared" si="181"/>
        <v>0</v>
      </c>
    </row>
    <row r="1649" spans="59:65">
      <c r="BG1649" s="556" t="str">
        <f t="shared" si="175"/>
        <v>O</v>
      </c>
      <c r="BH1649" s="556" t="str">
        <f t="shared" si="176"/>
        <v/>
      </c>
      <c r="BI1649" s="556" t="str">
        <f t="shared" si="177"/>
        <v/>
      </c>
      <c r="BJ1649" s="556">
        <f t="shared" si="178"/>
        <v>0</v>
      </c>
      <c r="BK1649" s="556">
        <f t="shared" si="179"/>
        <v>0</v>
      </c>
      <c r="BL1649" s="556" t="str">
        <f t="shared" si="180"/>
        <v/>
      </c>
      <c r="BM1649" s="497">
        <f t="shared" si="181"/>
        <v>0</v>
      </c>
    </row>
    <row r="1650" spans="59:65">
      <c r="BG1650" s="556" t="str">
        <f t="shared" si="175"/>
        <v>O</v>
      </c>
      <c r="BH1650" s="556" t="str">
        <f t="shared" si="176"/>
        <v/>
      </c>
      <c r="BI1650" s="556" t="str">
        <f t="shared" si="177"/>
        <v/>
      </c>
      <c r="BJ1650" s="556">
        <f t="shared" si="178"/>
        <v>0</v>
      </c>
      <c r="BK1650" s="556">
        <f t="shared" si="179"/>
        <v>0</v>
      </c>
      <c r="BL1650" s="556" t="str">
        <f t="shared" si="180"/>
        <v/>
      </c>
      <c r="BM1650" s="497">
        <f t="shared" si="181"/>
        <v>0</v>
      </c>
    </row>
    <row r="1651" spans="59:65">
      <c r="BG1651" s="556" t="str">
        <f t="shared" si="175"/>
        <v>O</v>
      </c>
      <c r="BH1651" s="556" t="str">
        <f t="shared" si="176"/>
        <v/>
      </c>
      <c r="BI1651" s="556" t="str">
        <f t="shared" si="177"/>
        <v/>
      </c>
      <c r="BJ1651" s="556">
        <f t="shared" si="178"/>
        <v>0</v>
      </c>
      <c r="BK1651" s="556">
        <f t="shared" si="179"/>
        <v>0</v>
      </c>
      <c r="BL1651" s="556" t="str">
        <f t="shared" si="180"/>
        <v/>
      </c>
      <c r="BM1651" s="497">
        <f t="shared" si="181"/>
        <v>0</v>
      </c>
    </row>
    <row r="1652" spans="59:65">
      <c r="BG1652" s="556" t="str">
        <f t="shared" si="175"/>
        <v>O</v>
      </c>
      <c r="BH1652" s="556" t="str">
        <f t="shared" si="176"/>
        <v/>
      </c>
      <c r="BI1652" s="556" t="str">
        <f t="shared" si="177"/>
        <v/>
      </c>
      <c r="BJ1652" s="556">
        <f t="shared" si="178"/>
        <v>0</v>
      </c>
      <c r="BK1652" s="556">
        <f t="shared" si="179"/>
        <v>0</v>
      </c>
      <c r="BL1652" s="556" t="str">
        <f t="shared" si="180"/>
        <v/>
      </c>
      <c r="BM1652" s="497">
        <f t="shared" si="181"/>
        <v>0</v>
      </c>
    </row>
    <row r="1653" spans="59:65">
      <c r="BG1653" s="556" t="str">
        <f t="shared" si="175"/>
        <v>O</v>
      </c>
      <c r="BH1653" s="556" t="str">
        <f t="shared" si="176"/>
        <v/>
      </c>
      <c r="BI1653" s="556" t="str">
        <f t="shared" si="177"/>
        <v/>
      </c>
      <c r="BJ1653" s="556">
        <f t="shared" si="178"/>
        <v>0</v>
      </c>
      <c r="BK1653" s="556">
        <f t="shared" si="179"/>
        <v>0</v>
      </c>
      <c r="BL1653" s="556" t="str">
        <f t="shared" si="180"/>
        <v/>
      </c>
      <c r="BM1653" s="497">
        <f t="shared" si="181"/>
        <v>0</v>
      </c>
    </row>
    <row r="1654" spans="59:65">
      <c r="BG1654" s="556" t="str">
        <f t="shared" si="175"/>
        <v>O</v>
      </c>
      <c r="BH1654" s="556" t="str">
        <f t="shared" si="176"/>
        <v/>
      </c>
      <c r="BI1654" s="556" t="str">
        <f t="shared" si="177"/>
        <v/>
      </c>
      <c r="BJ1654" s="556">
        <f t="shared" si="178"/>
        <v>0</v>
      </c>
      <c r="BK1654" s="556">
        <f t="shared" si="179"/>
        <v>0</v>
      </c>
      <c r="BL1654" s="556" t="str">
        <f t="shared" si="180"/>
        <v/>
      </c>
      <c r="BM1654" s="497">
        <f t="shared" si="181"/>
        <v>0</v>
      </c>
    </row>
    <row r="1655" spans="59:65">
      <c r="BG1655" s="556" t="str">
        <f t="shared" si="175"/>
        <v>O</v>
      </c>
      <c r="BH1655" s="556" t="str">
        <f t="shared" si="176"/>
        <v/>
      </c>
      <c r="BI1655" s="556" t="str">
        <f t="shared" si="177"/>
        <v/>
      </c>
      <c r="BJ1655" s="556">
        <f t="shared" si="178"/>
        <v>0</v>
      </c>
      <c r="BK1655" s="556">
        <f t="shared" si="179"/>
        <v>0</v>
      </c>
      <c r="BL1655" s="556" t="str">
        <f t="shared" si="180"/>
        <v/>
      </c>
      <c r="BM1655" s="497">
        <f t="shared" si="181"/>
        <v>0</v>
      </c>
    </row>
    <row r="1656" spans="59:65">
      <c r="BG1656" s="556" t="str">
        <f t="shared" si="175"/>
        <v>O</v>
      </c>
      <c r="BH1656" s="556" t="str">
        <f t="shared" si="176"/>
        <v/>
      </c>
      <c r="BI1656" s="556" t="str">
        <f t="shared" si="177"/>
        <v/>
      </c>
      <c r="BJ1656" s="556">
        <f t="shared" si="178"/>
        <v>0</v>
      </c>
      <c r="BK1656" s="556">
        <f t="shared" si="179"/>
        <v>0</v>
      </c>
      <c r="BL1656" s="556" t="str">
        <f t="shared" si="180"/>
        <v/>
      </c>
      <c r="BM1656" s="497">
        <f t="shared" si="181"/>
        <v>0</v>
      </c>
    </row>
    <row r="1657" spans="59:65">
      <c r="BG1657" s="556" t="str">
        <f t="shared" si="175"/>
        <v>O</v>
      </c>
      <c r="BH1657" s="556" t="str">
        <f t="shared" si="176"/>
        <v/>
      </c>
      <c r="BI1657" s="556" t="str">
        <f t="shared" si="177"/>
        <v/>
      </c>
      <c r="BJ1657" s="556">
        <f t="shared" si="178"/>
        <v>0</v>
      </c>
      <c r="BK1657" s="556">
        <f t="shared" si="179"/>
        <v>0</v>
      </c>
      <c r="BL1657" s="556" t="str">
        <f t="shared" si="180"/>
        <v/>
      </c>
      <c r="BM1657" s="497">
        <f t="shared" si="181"/>
        <v>0</v>
      </c>
    </row>
    <row r="1658" spans="59:65">
      <c r="BG1658" s="556" t="str">
        <f t="shared" si="175"/>
        <v>O</v>
      </c>
      <c r="BH1658" s="556" t="str">
        <f t="shared" si="176"/>
        <v/>
      </c>
      <c r="BI1658" s="556" t="str">
        <f t="shared" si="177"/>
        <v/>
      </c>
      <c r="BJ1658" s="556">
        <f t="shared" si="178"/>
        <v>0</v>
      </c>
      <c r="BK1658" s="556">
        <f t="shared" si="179"/>
        <v>0</v>
      </c>
      <c r="BL1658" s="556" t="str">
        <f t="shared" si="180"/>
        <v/>
      </c>
      <c r="BM1658" s="497">
        <f t="shared" si="181"/>
        <v>0</v>
      </c>
    </row>
    <row r="1659" spans="59:65">
      <c r="BG1659" s="556" t="str">
        <f t="shared" si="175"/>
        <v>O</v>
      </c>
      <c r="BH1659" s="556" t="str">
        <f t="shared" si="176"/>
        <v/>
      </c>
      <c r="BI1659" s="556" t="str">
        <f t="shared" si="177"/>
        <v/>
      </c>
      <c r="BJ1659" s="556">
        <f t="shared" si="178"/>
        <v>0</v>
      </c>
      <c r="BK1659" s="556">
        <f t="shared" si="179"/>
        <v>0</v>
      </c>
      <c r="BL1659" s="556" t="str">
        <f t="shared" si="180"/>
        <v/>
      </c>
      <c r="BM1659" s="497">
        <f t="shared" si="181"/>
        <v>0</v>
      </c>
    </row>
    <row r="1660" spans="59:65">
      <c r="BG1660" s="556" t="str">
        <f t="shared" si="175"/>
        <v>O</v>
      </c>
      <c r="BH1660" s="556" t="str">
        <f t="shared" si="176"/>
        <v/>
      </c>
      <c r="BI1660" s="556" t="str">
        <f t="shared" si="177"/>
        <v/>
      </c>
      <c r="BJ1660" s="556">
        <f t="shared" si="178"/>
        <v>0</v>
      </c>
      <c r="BK1660" s="556">
        <f t="shared" si="179"/>
        <v>0</v>
      </c>
      <c r="BL1660" s="556" t="str">
        <f t="shared" si="180"/>
        <v/>
      </c>
      <c r="BM1660" s="497">
        <f t="shared" si="181"/>
        <v>0</v>
      </c>
    </row>
    <row r="1661" spans="59:65">
      <c r="BG1661" s="556" t="str">
        <f t="shared" si="175"/>
        <v>O</v>
      </c>
      <c r="BH1661" s="556" t="str">
        <f t="shared" si="176"/>
        <v/>
      </c>
      <c r="BI1661" s="556" t="str">
        <f t="shared" si="177"/>
        <v/>
      </c>
      <c r="BJ1661" s="556">
        <f t="shared" si="178"/>
        <v>0</v>
      </c>
      <c r="BK1661" s="556">
        <f t="shared" si="179"/>
        <v>0</v>
      </c>
      <c r="BL1661" s="556" t="str">
        <f t="shared" si="180"/>
        <v/>
      </c>
      <c r="BM1661" s="497">
        <f t="shared" si="181"/>
        <v>0</v>
      </c>
    </row>
    <row r="1662" spans="59:65">
      <c r="BG1662" s="556" t="str">
        <f t="shared" si="175"/>
        <v>O</v>
      </c>
      <c r="BH1662" s="556" t="str">
        <f t="shared" si="176"/>
        <v/>
      </c>
      <c r="BI1662" s="556" t="str">
        <f t="shared" si="177"/>
        <v/>
      </c>
      <c r="BJ1662" s="556">
        <f t="shared" si="178"/>
        <v>0</v>
      </c>
      <c r="BK1662" s="556">
        <f t="shared" si="179"/>
        <v>0</v>
      </c>
      <c r="BL1662" s="556" t="str">
        <f t="shared" si="180"/>
        <v/>
      </c>
      <c r="BM1662" s="497">
        <f t="shared" si="181"/>
        <v>0</v>
      </c>
    </row>
    <row r="1663" spans="59:65">
      <c r="BG1663" s="556" t="str">
        <f t="shared" si="175"/>
        <v>O</v>
      </c>
      <c r="BH1663" s="556" t="str">
        <f t="shared" si="176"/>
        <v/>
      </c>
      <c r="BI1663" s="556" t="str">
        <f t="shared" si="177"/>
        <v/>
      </c>
      <c r="BJ1663" s="556">
        <f t="shared" si="178"/>
        <v>0</v>
      </c>
      <c r="BK1663" s="556">
        <f t="shared" si="179"/>
        <v>0</v>
      </c>
      <c r="BL1663" s="556" t="str">
        <f t="shared" si="180"/>
        <v/>
      </c>
      <c r="BM1663" s="497">
        <f t="shared" si="181"/>
        <v>0</v>
      </c>
    </row>
    <row r="1664" spans="59:65">
      <c r="BG1664" s="556" t="str">
        <f t="shared" si="175"/>
        <v>O</v>
      </c>
      <c r="BH1664" s="556" t="str">
        <f t="shared" si="176"/>
        <v/>
      </c>
      <c r="BI1664" s="556" t="str">
        <f t="shared" si="177"/>
        <v/>
      </c>
      <c r="BJ1664" s="556">
        <f t="shared" si="178"/>
        <v>0</v>
      </c>
      <c r="BK1664" s="556">
        <f t="shared" si="179"/>
        <v>0</v>
      </c>
      <c r="BL1664" s="556" t="str">
        <f t="shared" si="180"/>
        <v/>
      </c>
      <c r="BM1664" s="497">
        <f t="shared" si="181"/>
        <v>0</v>
      </c>
    </row>
    <row r="1665" spans="59:65">
      <c r="BG1665" s="556" t="str">
        <f t="shared" si="175"/>
        <v>O</v>
      </c>
      <c r="BH1665" s="556" t="str">
        <f t="shared" si="176"/>
        <v/>
      </c>
      <c r="BI1665" s="556" t="str">
        <f t="shared" si="177"/>
        <v/>
      </c>
      <c r="BJ1665" s="556">
        <f t="shared" si="178"/>
        <v>0</v>
      </c>
      <c r="BK1665" s="556">
        <f t="shared" si="179"/>
        <v>0</v>
      </c>
      <c r="BL1665" s="556" t="str">
        <f t="shared" si="180"/>
        <v/>
      </c>
      <c r="BM1665" s="497">
        <f t="shared" si="181"/>
        <v>0</v>
      </c>
    </row>
    <row r="1666" spans="59:65">
      <c r="BG1666" s="556" t="str">
        <f t="shared" si="175"/>
        <v>O</v>
      </c>
      <c r="BH1666" s="556" t="str">
        <f t="shared" si="176"/>
        <v/>
      </c>
      <c r="BI1666" s="556" t="str">
        <f t="shared" si="177"/>
        <v/>
      </c>
      <c r="BJ1666" s="556">
        <f t="shared" si="178"/>
        <v>0</v>
      </c>
      <c r="BK1666" s="556">
        <f t="shared" si="179"/>
        <v>0</v>
      </c>
      <c r="BL1666" s="556" t="str">
        <f t="shared" si="180"/>
        <v/>
      </c>
      <c r="BM1666" s="497">
        <f t="shared" si="181"/>
        <v>0</v>
      </c>
    </row>
    <row r="1667" spans="59:65">
      <c r="BG1667" s="556" t="str">
        <f t="shared" ref="BG1667:BG1730" si="182">IF(LEFT(AY1667,2)="98","X","O")</f>
        <v>O</v>
      </c>
      <c r="BH1667" s="556" t="str">
        <f t="shared" ref="BH1667:BH1730" si="183">IF(IFERROR(SEARCH("45",$AY1667,1),0)&gt;0,"Y","")</f>
        <v/>
      </c>
      <c r="BI1667" s="556" t="str">
        <f t="shared" ref="BI1667:BI1730" si="184">IF(IFERROR(SEARCH("86",$AY1667,1),0)&gt;0,"Y","")</f>
        <v/>
      </c>
      <c r="BJ1667" s="556">
        <f t="shared" ref="BJ1667:BJ1730" si="185">IF(L1667="",K1667,IF(M1667="",K1667&amp;","&amp;L1667,IF(N1667="",K1667&amp;","&amp;L1667&amp;","&amp;M1667,K1667&amp;","&amp;L1667&amp;","&amp;M1667&amp;","&amp;N1667)))</f>
        <v>0</v>
      </c>
      <c r="BK1667" s="556">
        <f t="shared" ref="BK1667:BK1730" si="186">IF(P1667="",O1667,IF(Q1667="",O1667&amp;","&amp;P1667,IF(R1667="",O1667&amp;","&amp;P1667&amp;","&amp;Q1667,IO1667&amp;","&amp;P1667&amp;","&amp;Q1667&amp;","&amp;R1667)))</f>
        <v>0</v>
      </c>
      <c r="BL1667" s="556" t="str">
        <f t="shared" ref="BL1667:BL1730" si="187">IF(S1667=0,"",S1667)</f>
        <v/>
      </c>
      <c r="BM1667" s="497">
        <f t="shared" ref="BM1667:BM1730" si="188">A1667</f>
        <v>0</v>
      </c>
    </row>
    <row r="1668" spans="59:65">
      <c r="BG1668" s="556" t="str">
        <f t="shared" si="182"/>
        <v>O</v>
      </c>
      <c r="BH1668" s="556" t="str">
        <f t="shared" si="183"/>
        <v/>
      </c>
      <c r="BI1668" s="556" t="str">
        <f t="shared" si="184"/>
        <v/>
      </c>
      <c r="BJ1668" s="556">
        <f t="shared" si="185"/>
        <v>0</v>
      </c>
      <c r="BK1668" s="556">
        <f t="shared" si="186"/>
        <v>0</v>
      </c>
      <c r="BL1668" s="556" t="str">
        <f t="shared" si="187"/>
        <v/>
      </c>
      <c r="BM1668" s="497">
        <f t="shared" si="188"/>
        <v>0</v>
      </c>
    </row>
    <row r="1669" spans="59:65">
      <c r="BG1669" s="556" t="str">
        <f t="shared" si="182"/>
        <v>O</v>
      </c>
      <c r="BH1669" s="556" t="str">
        <f t="shared" si="183"/>
        <v/>
      </c>
      <c r="BI1669" s="556" t="str">
        <f t="shared" si="184"/>
        <v/>
      </c>
      <c r="BJ1669" s="556">
        <f t="shared" si="185"/>
        <v>0</v>
      </c>
      <c r="BK1669" s="556">
        <f t="shared" si="186"/>
        <v>0</v>
      </c>
      <c r="BL1669" s="556" t="str">
        <f t="shared" si="187"/>
        <v/>
      </c>
      <c r="BM1669" s="497">
        <f t="shared" si="188"/>
        <v>0</v>
      </c>
    </row>
    <row r="1670" spans="59:65">
      <c r="BG1670" s="556" t="str">
        <f t="shared" si="182"/>
        <v>O</v>
      </c>
      <c r="BH1670" s="556" t="str">
        <f t="shared" si="183"/>
        <v/>
      </c>
      <c r="BI1670" s="556" t="str">
        <f t="shared" si="184"/>
        <v/>
      </c>
      <c r="BJ1670" s="556">
        <f t="shared" si="185"/>
        <v>0</v>
      </c>
      <c r="BK1670" s="556">
        <f t="shared" si="186"/>
        <v>0</v>
      </c>
      <c r="BL1670" s="556" t="str">
        <f t="shared" si="187"/>
        <v/>
      </c>
      <c r="BM1670" s="497">
        <f t="shared" si="188"/>
        <v>0</v>
      </c>
    </row>
    <row r="1671" spans="59:65">
      <c r="BG1671" s="556" t="str">
        <f t="shared" si="182"/>
        <v>O</v>
      </c>
      <c r="BH1671" s="556" t="str">
        <f t="shared" si="183"/>
        <v/>
      </c>
      <c r="BI1671" s="556" t="str">
        <f t="shared" si="184"/>
        <v/>
      </c>
      <c r="BJ1671" s="556">
        <f t="shared" si="185"/>
        <v>0</v>
      </c>
      <c r="BK1671" s="556">
        <f t="shared" si="186"/>
        <v>0</v>
      </c>
      <c r="BL1671" s="556" t="str">
        <f t="shared" si="187"/>
        <v/>
      </c>
      <c r="BM1671" s="497">
        <f t="shared" si="188"/>
        <v>0</v>
      </c>
    </row>
    <row r="1672" spans="59:65">
      <c r="BG1672" s="556" t="str">
        <f t="shared" si="182"/>
        <v>O</v>
      </c>
      <c r="BH1672" s="556" t="str">
        <f t="shared" si="183"/>
        <v/>
      </c>
      <c r="BI1672" s="556" t="str">
        <f t="shared" si="184"/>
        <v/>
      </c>
      <c r="BJ1672" s="556">
        <f t="shared" si="185"/>
        <v>0</v>
      </c>
      <c r="BK1672" s="556">
        <f t="shared" si="186"/>
        <v>0</v>
      </c>
      <c r="BL1672" s="556" t="str">
        <f t="shared" si="187"/>
        <v/>
      </c>
      <c r="BM1672" s="497">
        <f t="shared" si="188"/>
        <v>0</v>
      </c>
    </row>
    <row r="1673" spans="59:65">
      <c r="BG1673" s="556" t="str">
        <f t="shared" si="182"/>
        <v>O</v>
      </c>
      <c r="BH1673" s="556" t="str">
        <f t="shared" si="183"/>
        <v/>
      </c>
      <c r="BI1673" s="556" t="str">
        <f t="shared" si="184"/>
        <v/>
      </c>
      <c r="BJ1673" s="556">
        <f t="shared" si="185"/>
        <v>0</v>
      </c>
      <c r="BK1673" s="556">
        <f t="shared" si="186"/>
        <v>0</v>
      </c>
      <c r="BL1673" s="556" t="str">
        <f t="shared" si="187"/>
        <v/>
      </c>
      <c r="BM1673" s="497">
        <f t="shared" si="188"/>
        <v>0</v>
      </c>
    </row>
    <row r="1674" spans="59:65">
      <c r="BG1674" s="556" t="str">
        <f t="shared" si="182"/>
        <v>O</v>
      </c>
      <c r="BH1674" s="556" t="str">
        <f t="shared" si="183"/>
        <v/>
      </c>
      <c r="BI1674" s="556" t="str">
        <f t="shared" si="184"/>
        <v/>
      </c>
      <c r="BJ1674" s="556">
        <f t="shared" si="185"/>
        <v>0</v>
      </c>
      <c r="BK1674" s="556">
        <f t="shared" si="186"/>
        <v>0</v>
      </c>
      <c r="BL1674" s="556" t="str">
        <f t="shared" si="187"/>
        <v/>
      </c>
      <c r="BM1674" s="497">
        <f t="shared" si="188"/>
        <v>0</v>
      </c>
    </row>
    <row r="1675" spans="59:65">
      <c r="BG1675" s="556" t="str">
        <f t="shared" si="182"/>
        <v>O</v>
      </c>
      <c r="BH1675" s="556" t="str">
        <f t="shared" si="183"/>
        <v/>
      </c>
      <c r="BI1675" s="556" t="str">
        <f t="shared" si="184"/>
        <v/>
      </c>
      <c r="BJ1675" s="556">
        <f t="shared" si="185"/>
        <v>0</v>
      </c>
      <c r="BK1675" s="556">
        <f t="shared" si="186"/>
        <v>0</v>
      </c>
      <c r="BL1675" s="556" t="str">
        <f t="shared" si="187"/>
        <v/>
      </c>
      <c r="BM1675" s="497">
        <f t="shared" si="188"/>
        <v>0</v>
      </c>
    </row>
    <row r="1676" spans="59:65">
      <c r="BG1676" s="556" t="str">
        <f t="shared" si="182"/>
        <v>O</v>
      </c>
      <c r="BH1676" s="556" t="str">
        <f t="shared" si="183"/>
        <v/>
      </c>
      <c r="BI1676" s="556" t="str">
        <f t="shared" si="184"/>
        <v/>
      </c>
      <c r="BJ1676" s="556">
        <f t="shared" si="185"/>
        <v>0</v>
      </c>
      <c r="BK1676" s="556">
        <f t="shared" si="186"/>
        <v>0</v>
      </c>
      <c r="BL1676" s="556" t="str">
        <f t="shared" si="187"/>
        <v/>
      </c>
      <c r="BM1676" s="497">
        <f t="shared" si="188"/>
        <v>0</v>
      </c>
    </row>
    <row r="1677" spans="59:65">
      <c r="BG1677" s="556" t="str">
        <f t="shared" si="182"/>
        <v>O</v>
      </c>
      <c r="BH1677" s="556" t="str">
        <f t="shared" si="183"/>
        <v/>
      </c>
      <c r="BI1677" s="556" t="str">
        <f t="shared" si="184"/>
        <v/>
      </c>
      <c r="BJ1677" s="556">
        <f t="shared" si="185"/>
        <v>0</v>
      </c>
      <c r="BK1677" s="556">
        <f t="shared" si="186"/>
        <v>0</v>
      </c>
      <c r="BL1677" s="556" t="str">
        <f t="shared" si="187"/>
        <v/>
      </c>
      <c r="BM1677" s="497">
        <f t="shared" si="188"/>
        <v>0</v>
      </c>
    </row>
    <row r="1678" spans="59:65">
      <c r="BG1678" s="556" t="str">
        <f t="shared" si="182"/>
        <v>O</v>
      </c>
      <c r="BH1678" s="556" t="str">
        <f t="shared" si="183"/>
        <v/>
      </c>
      <c r="BI1678" s="556" t="str">
        <f t="shared" si="184"/>
        <v/>
      </c>
      <c r="BJ1678" s="556">
        <f t="shared" si="185"/>
        <v>0</v>
      </c>
      <c r="BK1678" s="556">
        <f t="shared" si="186"/>
        <v>0</v>
      </c>
      <c r="BL1678" s="556" t="str">
        <f t="shared" si="187"/>
        <v/>
      </c>
      <c r="BM1678" s="497">
        <f t="shared" si="188"/>
        <v>0</v>
      </c>
    </row>
    <row r="1679" spans="59:65">
      <c r="BG1679" s="556" t="str">
        <f t="shared" si="182"/>
        <v>O</v>
      </c>
      <c r="BH1679" s="556" t="str">
        <f t="shared" si="183"/>
        <v/>
      </c>
      <c r="BI1679" s="556" t="str">
        <f t="shared" si="184"/>
        <v/>
      </c>
      <c r="BJ1679" s="556">
        <f t="shared" si="185"/>
        <v>0</v>
      </c>
      <c r="BK1679" s="556">
        <f t="shared" si="186"/>
        <v>0</v>
      </c>
      <c r="BL1679" s="556" t="str">
        <f t="shared" si="187"/>
        <v/>
      </c>
      <c r="BM1679" s="497">
        <f t="shared" si="188"/>
        <v>0</v>
      </c>
    </row>
    <row r="1680" spans="59:65">
      <c r="BG1680" s="556" t="str">
        <f t="shared" si="182"/>
        <v>O</v>
      </c>
      <c r="BH1680" s="556" t="str">
        <f t="shared" si="183"/>
        <v/>
      </c>
      <c r="BI1680" s="556" t="str">
        <f t="shared" si="184"/>
        <v/>
      </c>
      <c r="BJ1680" s="556">
        <f t="shared" si="185"/>
        <v>0</v>
      </c>
      <c r="BK1680" s="556">
        <f t="shared" si="186"/>
        <v>0</v>
      </c>
      <c r="BL1680" s="556" t="str">
        <f t="shared" si="187"/>
        <v/>
      </c>
      <c r="BM1680" s="497">
        <f t="shared" si="188"/>
        <v>0</v>
      </c>
    </row>
    <row r="1681" spans="59:65">
      <c r="BG1681" s="556" t="str">
        <f t="shared" si="182"/>
        <v>O</v>
      </c>
      <c r="BH1681" s="556" t="str">
        <f t="shared" si="183"/>
        <v/>
      </c>
      <c r="BI1681" s="556" t="str">
        <f t="shared" si="184"/>
        <v/>
      </c>
      <c r="BJ1681" s="556">
        <f t="shared" si="185"/>
        <v>0</v>
      </c>
      <c r="BK1681" s="556">
        <f t="shared" si="186"/>
        <v>0</v>
      </c>
      <c r="BL1681" s="556" t="str">
        <f t="shared" si="187"/>
        <v/>
      </c>
      <c r="BM1681" s="497">
        <f t="shared" si="188"/>
        <v>0</v>
      </c>
    </row>
    <row r="1682" spans="59:65">
      <c r="BG1682" s="556" t="str">
        <f t="shared" si="182"/>
        <v>O</v>
      </c>
      <c r="BH1682" s="556" t="str">
        <f t="shared" si="183"/>
        <v/>
      </c>
      <c r="BI1682" s="556" t="str">
        <f t="shared" si="184"/>
        <v/>
      </c>
      <c r="BJ1682" s="556">
        <f t="shared" si="185"/>
        <v>0</v>
      </c>
      <c r="BK1682" s="556">
        <f t="shared" si="186"/>
        <v>0</v>
      </c>
      <c r="BL1682" s="556" t="str">
        <f t="shared" si="187"/>
        <v/>
      </c>
      <c r="BM1682" s="497">
        <f t="shared" si="188"/>
        <v>0</v>
      </c>
    </row>
    <row r="1683" spans="59:65">
      <c r="BG1683" s="556" t="str">
        <f t="shared" si="182"/>
        <v>O</v>
      </c>
      <c r="BH1683" s="556" t="str">
        <f t="shared" si="183"/>
        <v/>
      </c>
      <c r="BI1683" s="556" t="str">
        <f t="shared" si="184"/>
        <v/>
      </c>
      <c r="BJ1683" s="556">
        <f t="shared" si="185"/>
        <v>0</v>
      </c>
      <c r="BK1683" s="556">
        <f t="shared" si="186"/>
        <v>0</v>
      </c>
      <c r="BL1683" s="556" t="str">
        <f t="shared" si="187"/>
        <v/>
      </c>
      <c r="BM1683" s="497">
        <f t="shared" si="188"/>
        <v>0</v>
      </c>
    </row>
    <row r="1684" spans="59:65">
      <c r="BG1684" s="556" t="str">
        <f t="shared" si="182"/>
        <v>O</v>
      </c>
      <c r="BH1684" s="556" t="str">
        <f t="shared" si="183"/>
        <v/>
      </c>
      <c r="BI1684" s="556" t="str">
        <f t="shared" si="184"/>
        <v/>
      </c>
      <c r="BJ1684" s="556">
        <f t="shared" si="185"/>
        <v>0</v>
      </c>
      <c r="BK1684" s="556">
        <f t="shared" si="186"/>
        <v>0</v>
      </c>
      <c r="BL1684" s="556" t="str">
        <f t="shared" si="187"/>
        <v/>
      </c>
      <c r="BM1684" s="497">
        <f t="shared" si="188"/>
        <v>0</v>
      </c>
    </row>
    <row r="1685" spans="59:65">
      <c r="BG1685" s="556" t="str">
        <f t="shared" si="182"/>
        <v>O</v>
      </c>
      <c r="BH1685" s="556" t="str">
        <f t="shared" si="183"/>
        <v/>
      </c>
      <c r="BI1685" s="556" t="str">
        <f t="shared" si="184"/>
        <v/>
      </c>
      <c r="BJ1685" s="556">
        <f t="shared" si="185"/>
        <v>0</v>
      </c>
      <c r="BK1685" s="556">
        <f t="shared" si="186"/>
        <v>0</v>
      </c>
      <c r="BL1685" s="556" t="str">
        <f t="shared" si="187"/>
        <v/>
      </c>
      <c r="BM1685" s="497">
        <f t="shared" si="188"/>
        <v>0</v>
      </c>
    </row>
    <row r="1686" spans="59:65">
      <c r="BG1686" s="556" t="str">
        <f t="shared" si="182"/>
        <v>O</v>
      </c>
      <c r="BH1686" s="556" t="str">
        <f t="shared" si="183"/>
        <v/>
      </c>
      <c r="BI1686" s="556" t="str">
        <f t="shared" si="184"/>
        <v/>
      </c>
      <c r="BJ1686" s="556">
        <f t="shared" si="185"/>
        <v>0</v>
      </c>
      <c r="BK1686" s="556">
        <f t="shared" si="186"/>
        <v>0</v>
      </c>
      <c r="BL1686" s="556" t="str">
        <f t="shared" si="187"/>
        <v/>
      </c>
      <c r="BM1686" s="497">
        <f t="shared" si="188"/>
        <v>0</v>
      </c>
    </row>
    <row r="1687" spans="59:65">
      <c r="BG1687" s="556" t="str">
        <f t="shared" si="182"/>
        <v>O</v>
      </c>
      <c r="BH1687" s="556" t="str">
        <f t="shared" si="183"/>
        <v/>
      </c>
      <c r="BI1687" s="556" t="str">
        <f t="shared" si="184"/>
        <v/>
      </c>
      <c r="BJ1687" s="556">
        <f t="shared" si="185"/>
        <v>0</v>
      </c>
      <c r="BK1687" s="556">
        <f t="shared" si="186"/>
        <v>0</v>
      </c>
      <c r="BL1687" s="556" t="str">
        <f t="shared" si="187"/>
        <v/>
      </c>
      <c r="BM1687" s="497">
        <f t="shared" si="188"/>
        <v>0</v>
      </c>
    </row>
    <row r="1688" spans="59:65">
      <c r="BG1688" s="556" t="str">
        <f t="shared" si="182"/>
        <v>O</v>
      </c>
      <c r="BH1688" s="556" t="str">
        <f t="shared" si="183"/>
        <v/>
      </c>
      <c r="BI1688" s="556" t="str">
        <f t="shared" si="184"/>
        <v/>
      </c>
      <c r="BJ1688" s="556">
        <f t="shared" si="185"/>
        <v>0</v>
      </c>
      <c r="BK1688" s="556">
        <f t="shared" si="186"/>
        <v>0</v>
      </c>
      <c r="BL1688" s="556" t="str">
        <f t="shared" si="187"/>
        <v/>
      </c>
      <c r="BM1688" s="497">
        <f t="shared" si="188"/>
        <v>0</v>
      </c>
    </row>
    <row r="1689" spans="59:65">
      <c r="BG1689" s="556" t="str">
        <f t="shared" si="182"/>
        <v>O</v>
      </c>
      <c r="BH1689" s="556" t="str">
        <f t="shared" si="183"/>
        <v/>
      </c>
      <c r="BI1689" s="556" t="str">
        <f t="shared" si="184"/>
        <v/>
      </c>
      <c r="BJ1689" s="556">
        <f t="shared" si="185"/>
        <v>0</v>
      </c>
      <c r="BK1689" s="556">
        <f t="shared" si="186"/>
        <v>0</v>
      </c>
      <c r="BL1689" s="556" t="str">
        <f t="shared" si="187"/>
        <v/>
      </c>
      <c r="BM1689" s="497">
        <f t="shared" si="188"/>
        <v>0</v>
      </c>
    </row>
    <row r="1690" spans="59:65">
      <c r="BG1690" s="556" t="str">
        <f t="shared" si="182"/>
        <v>O</v>
      </c>
      <c r="BH1690" s="556" t="str">
        <f t="shared" si="183"/>
        <v/>
      </c>
      <c r="BI1690" s="556" t="str">
        <f t="shared" si="184"/>
        <v/>
      </c>
      <c r="BJ1690" s="556">
        <f t="shared" si="185"/>
        <v>0</v>
      </c>
      <c r="BK1690" s="556">
        <f t="shared" si="186"/>
        <v>0</v>
      </c>
      <c r="BL1690" s="556" t="str">
        <f t="shared" si="187"/>
        <v/>
      </c>
      <c r="BM1690" s="497">
        <f t="shared" si="188"/>
        <v>0</v>
      </c>
    </row>
    <row r="1691" spans="59:65">
      <c r="BG1691" s="556" t="str">
        <f t="shared" si="182"/>
        <v>O</v>
      </c>
      <c r="BH1691" s="556" t="str">
        <f t="shared" si="183"/>
        <v/>
      </c>
      <c r="BI1691" s="556" t="str">
        <f t="shared" si="184"/>
        <v/>
      </c>
      <c r="BJ1691" s="556">
        <f t="shared" si="185"/>
        <v>0</v>
      </c>
      <c r="BK1691" s="556">
        <f t="shared" si="186"/>
        <v>0</v>
      </c>
      <c r="BL1691" s="556" t="str">
        <f t="shared" si="187"/>
        <v/>
      </c>
      <c r="BM1691" s="497">
        <f t="shared" si="188"/>
        <v>0</v>
      </c>
    </row>
    <row r="1692" spans="59:65">
      <c r="BG1692" s="556" t="str">
        <f t="shared" si="182"/>
        <v>O</v>
      </c>
      <c r="BH1692" s="556" t="str">
        <f t="shared" si="183"/>
        <v/>
      </c>
      <c r="BI1692" s="556" t="str">
        <f t="shared" si="184"/>
        <v/>
      </c>
      <c r="BJ1692" s="556">
        <f t="shared" si="185"/>
        <v>0</v>
      </c>
      <c r="BK1692" s="556">
        <f t="shared" si="186"/>
        <v>0</v>
      </c>
      <c r="BL1692" s="556" t="str">
        <f t="shared" si="187"/>
        <v/>
      </c>
      <c r="BM1692" s="497">
        <f t="shared" si="188"/>
        <v>0</v>
      </c>
    </row>
    <row r="1693" spans="59:65">
      <c r="BG1693" s="556" t="str">
        <f t="shared" si="182"/>
        <v>O</v>
      </c>
      <c r="BH1693" s="556" t="str">
        <f t="shared" si="183"/>
        <v/>
      </c>
      <c r="BI1693" s="556" t="str">
        <f t="shared" si="184"/>
        <v/>
      </c>
      <c r="BJ1693" s="556">
        <f t="shared" si="185"/>
        <v>0</v>
      </c>
      <c r="BK1693" s="556">
        <f t="shared" si="186"/>
        <v>0</v>
      </c>
      <c r="BL1693" s="556" t="str">
        <f t="shared" si="187"/>
        <v/>
      </c>
      <c r="BM1693" s="497">
        <f t="shared" si="188"/>
        <v>0</v>
      </c>
    </row>
    <row r="1694" spans="59:65">
      <c r="BG1694" s="556" t="str">
        <f t="shared" si="182"/>
        <v>O</v>
      </c>
      <c r="BH1694" s="556" t="str">
        <f t="shared" si="183"/>
        <v/>
      </c>
      <c r="BI1694" s="556" t="str">
        <f t="shared" si="184"/>
        <v/>
      </c>
      <c r="BJ1694" s="556">
        <f t="shared" si="185"/>
        <v>0</v>
      </c>
      <c r="BK1694" s="556">
        <f t="shared" si="186"/>
        <v>0</v>
      </c>
      <c r="BL1694" s="556" t="str">
        <f t="shared" si="187"/>
        <v/>
      </c>
      <c r="BM1694" s="497">
        <f t="shared" si="188"/>
        <v>0</v>
      </c>
    </row>
    <row r="1695" spans="59:65">
      <c r="BG1695" s="556" t="str">
        <f t="shared" si="182"/>
        <v>O</v>
      </c>
      <c r="BH1695" s="556" t="str">
        <f t="shared" si="183"/>
        <v/>
      </c>
      <c r="BI1695" s="556" t="str">
        <f t="shared" si="184"/>
        <v/>
      </c>
      <c r="BJ1695" s="556">
        <f t="shared" si="185"/>
        <v>0</v>
      </c>
      <c r="BK1695" s="556">
        <f t="shared" si="186"/>
        <v>0</v>
      </c>
      <c r="BL1695" s="556" t="str">
        <f t="shared" si="187"/>
        <v/>
      </c>
      <c r="BM1695" s="497">
        <f t="shared" si="188"/>
        <v>0</v>
      </c>
    </row>
    <row r="1696" spans="59:65">
      <c r="BG1696" s="556" t="str">
        <f t="shared" si="182"/>
        <v>O</v>
      </c>
      <c r="BH1696" s="556" t="str">
        <f t="shared" si="183"/>
        <v/>
      </c>
      <c r="BI1696" s="556" t="str">
        <f t="shared" si="184"/>
        <v/>
      </c>
      <c r="BJ1696" s="556">
        <f t="shared" si="185"/>
        <v>0</v>
      </c>
      <c r="BK1696" s="556">
        <f t="shared" si="186"/>
        <v>0</v>
      </c>
      <c r="BL1696" s="556" t="str">
        <f t="shared" si="187"/>
        <v/>
      </c>
      <c r="BM1696" s="497">
        <f t="shared" si="188"/>
        <v>0</v>
      </c>
    </row>
    <row r="1697" spans="59:65">
      <c r="BG1697" s="556" t="str">
        <f t="shared" si="182"/>
        <v>O</v>
      </c>
      <c r="BH1697" s="556" t="str">
        <f t="shared" si="183"/>
        <v/>
      </c>
      <c r="BI1697" s="556" t="str">
        <f t="shared" si="184"/>
        <v/>
      </c>
      <c r="BJ1697" s="556">
        <f t="shared" si="185"/>
        <v>0</v>
      </c>
      <c r="BK1697" s="556">
        <f t="shared" si="186"/>
        <v>0</v>
      </c>
      <c r="BL1697" s="556" t="str">
        <f t="shared" si="187"/>
        <v/>
      </c>
      <c r="BM1697" s="497">
        <f t="shared" si="188"/>
        <v>0</v>
      </c>
    </row>
    <row r="1698" spans="59:65">
      <c r="BG1698" s="556" t="str">
        <f t="shared" si="182"/>
        <v>O</v>
      </c>
      <c r="BH1698" s="556" t="str">
        <f t="shared" si="183"/>
        <v/>
      </c>
      <c r="BI1698" s="556" t="str">
        <f t="shared" si="184"/>
        <v/>
      </c>
      <c r="BJ1698" s="556">
        <f t="shared" si="185"/>
        <v>0</v>
      </c>
      <c r="BK1698" s="556">
        <f t="shared" si="186"/>
        <v>0</v>
      </c>
      <c r="BL1698" s="556" t="str">
        <f t="shared" si="187"/>
        <v/>
      </c>
      <c r="BM1698" s="497">
        <f t="shared" si="188"/>
        <v>0</v>
      </c>
    </row>
    <row r="1699" spans="59:65">
      <c r="BG1699" s="556" t="str">
        <f t="shared" si="182"/>
        <v>O</v>
      </c>
      <c r="BH1699" s="556" t="str">
        <f t="shared" si="183"/>
        <v/>
      </c>
      <c r="BI1699" s="556" t="str">
        <f t="shared" si="184"/>
        <v/>
      </c>
      <c r="BJ1699" s="556">
        <f t="shared" si="185"/>
        <v>0</v>
      </c>
      <c r="BK1699" s="556">
        <f t="shared" si="186"/>
        <v>0</v>
      </c>
      <c r="BL1699" s="556" t="str">
        <f t="shared" si="187"/>
        <v/>
      </c>
      <c r="BM1699" s="497">
        <f t="shared" si="188"/>
        <v>0</v>
      </c>
    </row>
    <row r="1700" spans="59:65">
      <c r="BG1700" s="556" t="str">
        <f t="shared" si="182"/>
        <v>O</v>
      </c>
      <c r="BH1700" s="556" t="str">
        <f t="shared" si="183"/>
        <v/>
      </c>
      <c r="BI1700" s="556" t="str">
        <f t="shared" si="184"/>
        <v/>
      </c>
      <c r="BJ1700" s="556">
        <f t="shared" si="185"/>
        <v>0</v>
      </c>
      <c r="BK1700" s="556">
        <f t="shared" si="186"/>
        <v>0</v>
      </c>
      <c r="BL1700" s="556" t="str">
        <f t="shared" si="187"/>
        <v/>
      </c>
      <c r="BM1700" s="497">
        <f t="shared" si="188"/>
        <v>0</v>
      </c>
    </row>
    <row r="1701" spans="59:65">
      <c r="BG1701" s="556" t="str">
        <f t="shared" si="182"/>
        <v>O</v>
      </c>
      <c r="BH1701" s="556" t="str">
        <f t="shared" si="183"/>
        <v/>
      </c>
      <c r="BI1701" s="556" t="str">
        <f t="shared" si="184"/>
        <v/>
      </c>
      <c r="BJ1701" s="556">
        <f t="shared" si="185"/>
        <v>0</v>
      </c>
      <c r="BK1701" s="556">
        <f t="shared" si="186"/>
        <v>0</v>
      </c>
      <c r="BL1701" s="556" t="str">
        <f t="shared" si="187"/>
        <v/>
      </c>
      <c r="BM1701" s="497">
        <f t="shared" si="188"/>
        <v>0</v>
      </c>
    </row>
    <row r="1702" spans="59:65">
      <c r="BG1702" s="556" t="str">
        <f t="shared" si="182"/>
        <v>O</v>
      </c>
      <c r="BH1702" s="556" t="str">
        <f t="shared" si="183"/>
        <v/>
      </c>
      <c r="BI1702" s="556" t="str">
        <f t="shared" si="184"/>
        <v/>
      </c>
      <c r="BJ1702" s="556">
        <f t="shared" si="185"/>
        <v>0</v>
      </c>
      <c r="BK1702" s="556">
        <f t="shared" si="186"/>
        <v>0</v>
      </c>
      <c r="BL1702" s="556" t="str">
        <f t="shared" si="187"/>
        <v/>
      </c>
      <c r="BM1702" s="497">
        <f t="shared" si="188"/>
        <v>0</v>
      </c>
    </row>
    <row r="1703" spans="59:65">
      <c r="BG1703" s="556" t="str">
        <f t="shared" si="182"/>
        <v>O</v>
      </c>
      <c r="BH1703" s="556" t="str">
        <f t="shared" si="183"/>
        <v/>
      </c>
      <c r="BI1703" s="556" t="str">
        <f t="shared" si="184"/>
        <v/>
      </c>
      <c r="BJ1703" s="556">
        <f t="shared" si="185"/>
        <v>0</v>
      </c>
      <c r="BK1703" s="556">
        <f t="shared" si="186"/>
        <v>0</v>
      </c>
      <c r="BL1703" s="556" t="str">
        <f t="shared" si="187"/>
        <v/>
      </c>
      <c r="BM1703" s="497">
        <f t="shared" si="188"/>
        <v>0</v>
      </c>
    </row>
    <row r="1704" spans="59:65">
      <c r="BG1704" s="556" t="str">
        <f t="shared" si="182"/>
        <v>O</v>
      </c>
      <c r="BH1704" s="556" t="str">
        <f t="shared" si="183"/>
        <v/>
      </c>
      <c r="BI1704" s="556" t="str">
        <f t="shared" si="184"/>
        <v/>
      </c>
      <c r="BJ1704" s="556">
        <f t="shared" si="185"/>
        <v>0</v>
      </c>
      <c r="BK1704" s="556">
        <f t="shared" si="186"/>
        <v>0</v>
      </c>
      <c r="BL1704" s="556" t="str">
        <f t="shared" si="187"/>
        <v/>
      </c>
      <c r="BM1704" s="497">
        <f t="shared" si="188"/>
        <v>0</v>
      </c>
    </row>
    <row r="1705" spans="59:65">
      <c r="BG1705" s="556" t="str">
        <f t="shared" si="182"/>
        <v>O</v>
      </c>
      <c r="BH1705" s="556" t="str">
        <f t="shared" si="183"/>
        <v/>
      </c>
      <c r="BI1705" s="556" t="str">
        <f t="shared" si="184"/>
        <v/>
      </c>
      <c r="BJ1705" s="556">
        <f t="shared" si="185"/>
        <v>0</v>
      </c>
      <c r="BK1705" s="556">
        <f t="shared" si="186"/>
        <v>0</v>
      </c>
      <c r="BL1705" s="556" t="str">
        <f t="shared" si="187"/>
        <v/>
      </c>
      <c r="BM1705" s="497">
        <f t="shared" si="188"/>
        <v>0</v>
      </c>
    </row>
    <row r="1706" spans="59:65">
      <c r="BG1706" s="556" t="str">
        <f t="shared" si="182"/>
        <v>O</v>
      </c>
      <c r="BH1706" s="556" t="str">
        <f t="shared" si="183"/>
        <v/>
      </c>
      <c r="BI1706" s="556" t="str">
        <f t="shared" si="184"/>
        <v/>
      </c>
      <c r="BJ1706" s="556">
        <f t="shared" si="185"/>
        <v>0</v>
      </c>
      <c r="BK1706" s="556">
        <f t="shared" si="186"/>
        <v>0</v>
      </c>
      <c r="BL1706" s="556" t="str">
        <f t="shared" si="187"/>
        <v/>
      </c>
      <c r="BM1706" s="497">
        <f t="shared" si="188"/>
        <v>0</v>
      </c>
    </row>
    <row r="1707" spans="59:65">
      <c r="BG1707" s="556" t="str">
        <f t="shared" si="182"/>
        <v>O</v>
      </c>
      <c r="BH1707" s="556" t="str">
        <f t="shared" si="183"/>
        <v/>
      </c>
      <c r="BI1707" s="556" t="str">
        <f t="shared" si="184"/>
        <v/>
      </c>
      <c r="BJ1707" s="556">
        <f t="shared" si="185"/>
        <v>0</v>
      </c>
      <c r="BK1707" s="556">
        <f t="shared" si="186"/>
        <v>0</v>
      </c>
      <c r="BL1707" s="556" t="str">
        <f t="shared" si="187"/>
        <v/>
      </c>
      <c r="BM1707" s="497">
        <f t="shared" si="188"/>
        <v>0</v>
      </c>
    </row>
    <row r="1708" spans="59:65">
      <c r="BG1708" s="556" t="str">
        <f t="shared" si="182"/>
        <v>O</v>
      </c>
      <c r="BH1708" s="556" t="str">
        <f t="shared" si="183"/>
        <v/>
      </c>
      <c r="BI1708" s="556" t="str">
        <f t="shared" si="184"/>
        <v/>
      </c>
      <c r="BJ1708" s="556">
        <f t="shared" si="185"/>
        <v>0</v>
      </c>
      <c r="BK1708" s="556">
        <f t="shared" si="186"/>
        <v>0</v>
      </c>
      <c r="BL1708" s="556" t="str">
        <f t="shared" si="187"/>
        <v/>
      </c>
      <c r="BM1708" s="497">
        <f t="shared" si="188"/>
        <v>0</v>
      </c>
    </row>
    <row r="1709" spans="59:65">
      <c r="BG1709" s="556" t="str">
        <f t="shared" si="182"/>
        <v>O</v>
      </c>
      <c r="BH1709" s="556" t="str">
        <f t="shared" si="183"/>
        <v/>
      </c>
      <c r="BI1709" s="556" t="str">
        <f t="shared" si="184"/>
        <v/>
      </c>
      <c r="BJ1709" s="556">
        <f t="shared" si="185"/>
        <v>0</v>
      </c>
      <c r="BK1709" s="556">
        <f t="shared" si="186"/>
        <v>0</v>
      </c>
      <c r="BL1709" s="556" t="str">
        <f t="shared" si="187"/>
        <v/>
      </c>
      <c r="BM1709" s="497">
        <f t="shared" si="188"/>
        <v>0</v>
      </c>
    </row>
    <row r="1710" spans="59:65">
      <c r="BG1710" s="556" t="str">
        <f t="shared" si="182"/>
        <v>O</v>
      </c>
      <c r="BH1710" s="556" t="str">
        <f t="shared" si="183"/>
        <v/>
      </c>
      <c r="BI1710" s="556" t="str">
        <f t="shared" si="184"/>
        <v/>
      </c>
      <c r="BJ1710" s="556">
        <f t="shared" si="185"/>
        <v>0</v>
      </c>
      <c r="BK1710" s="556">
        <f t="shared" si="186"/>
        <v>0</v>
      </c>
      <c r="BL1710" s="556" t="str">
        <f t="shared" si="187"/>
        <v/>
      </c>
      <c r="BM1710" s="497">
        <f t="shared" si="188"/>
        <v>0</v>
      </c>
    </row>
    <row r="1711" spans="59:65">
      <c r="BG1711" s="556" t="str">
        <f t="shared" si="182"/>
        <v>O</v>
      </c>
      <c r="BH1711" s="556" t="str">
        <f t="shared" si="183"/>
        <v/>
      </c>
      <c r="BI1711" s="556" t="str">
        <f t="shared" si="184"/>
        <v/>
      </c>
      <c r="BJ1711" s="556">
        <f t="shared" si="185"/>
        <v>0</v>
      </c>
      <c r="BK1711" s="556">
        <f t="shared" si="186"/>
        <v>0</v>
      </c>
      <c r="BL1711" s="556" t="str">
        <f t="shared" si="187"/>
        <v/>
      </c>
      <c r="BM1711" s="497">
        <f t="shared" si="188"/>
        <v>0</v>
      </c>
    </row>
    <row r="1712" spans="59:65">
      <c r="BG1712" s="556" t="str">
        <f t="shared" si="182"/>
        <v>O</v>
      </c>
      <c r="BH1712" s="556" t="str">
        <f t="shared" si="183"/>
        <v/>
      </c>
      <c r="BI1712" s="556" t="str">
        <f t="shared" si="184"/>
        <v/>
      </c>
      <c r="BJ1712" s="556">
        <f t="shared" si="185"/>
        <v>0</v>
      </c>
      <c r="BK1712" s="556">
        <f t="shared" si="186"/>
        <v>0</v>
      </c>
      <c r="BL1712" s="556" t="str">
        <f t="shared" si="187"/>
        <v/>
      </c>
      <c r="BM1712" s="497">
        <f t="shared" si="188"/>
        <v>0</v>
      </c>
    </row>
    <row r="1713" spans="59:65">
      <c r="BG1713" s="556" t="str">
        <f t="shared" si="182"/>
        <v>O</v>
      </c>
      <c r="BH1713" s="556" t="str">
        <f t="shared" si="183"/>
        <v/>
      </c>
      <c r="BI1713" s="556" t="str">
        <f t="shared" si="184"/>
        <v/>
      </c>
      <c r="BJ1713" s="556">
        <f t="shared" si="185"/>
        <v>0</v>
      </c>
      <c r="BK1713" s="556">
        <f t="shared" si="186"/>
        <v>0</v>
      </c>
      <c r="BL1713" s="556" t="str">
        <f t="shared" si="187"/>
        <v/>
      </c>
      <c r="BM1713" s="497">
        <f t="shared" si="188"/>
        <v>0</v>
      </c>
    </row>
    <row r="1714" spans="59:65">
      <c r="BG1714" s="556" t="str">
        <f t="shared" si="182"/>
        <v>O</v>
      </c>
      <c r="BH1714" s="556" t="str">
        <f t="shared" si="183"/>
        <v/>
      </c>
      <c r="BI1714" s="556" t="str">
        <f t="shared" si="184"/>
        <v/>
      </c>
      <c r="BJ1714" s="556">
        <f t="shared" si="185"/>
        <v>0</v>
      </c>
      <c r="BK1714" s="556">
        <f t="shared" si="186"/>
        <v>0</v>
      </c>
      <c r="BL1714" s="556" t="str">
        <f t="shared" si="187"/>
        <v/>
      </c>
      <c r="BM1714" s="497">
        <f t="shared" si="188"/>
        <v>0</v>
      </c>
    </row>
    <row r="1715" spans="59:65">
      <c r="BG1715" s="556" t="str">
        <f t="shared" si="182"/>
        <v>O</v>
      </c>
      <c r="BH1715" s="556" t="str">
        <f t="shared" si="183"/>
        <v/>
      </c>
      <c r="BI1715" s="556" t="str">
        <f t="shared" si="184"/>
        <v/>
      </c>
      <c r="BJ1715" s="556">
        <f t="shared" si="185"/>
        <v>0</v>
      </c>
      <c r="BK1715" s="556">
        <f t="shared" si="186"/>
        <v>0</v>
      </c>
      <c r="BL1715" s="556" t="str">
        <f t="shared" si="187"/>
        <v/>
      </c>
      <c r="BM1715" s="497">
        <f t="shared" si="188"/>
        <v>0</v>
      </c>
    </row>
    <row r="1716" spans="59:65">
      <c r="BG1716" s="556" t="str">
        <f t="shared" si="182"/>
        <v>O</v>
      </c>
      <c r="BH1716" s="556" t="str">
        <f t="shared" si="183"/>
        <v/>
      </c>
      <c r="BI1716" s="556" t="str">
        <f t="shared" si="184"/>
        <v/>
      </c>
      <c r="BJ1716" s="556">
        <f t="shared" si="185"/>
        <v>0</v>
      </c>
      <c r="BK1716" s="556">
        <f t="shared" si="186"/>
        <v>0</v>
      </c>
      <c r="BL1716" s="556" t="str">
        <f t="shared" si="187"/>
        <v/>
      </c>
      <c r="BM1716" s="497">
        <f t="shared" si="188"/>
        <v>0</v>
      </c>
    </row>
    <row r="1717" spans="59:65">
      <c r="BG1717" s="556" t="str">
        <f t="shared" si="182"/>
        <v>O</v>
      </c>
      <c r="BH1717" s="556" t="str">
        <f t="shared" si="183"/>
        <v/>
      </c>
      <c r="BI1717" s="556" t="str">
        <f t="shared" si="184"/>
        <v/>
      </c>
      <c r="BJ1717" s="556">
        <f t="shared" si="185"/>
        <v>0</v>
      </c>
      <c r="BK1717" s="556">
        <f t="shared" si="186"/>
        <v>0</v>
      </c>
      <c r="BL1717" s="556" t="str">
        <f t="shared" si="187"/>
        <v/>
      </c>
      <c r="BM1717" s="497">
        <f t="shared" si="188"/>
        <v>0</v>
      </c>
    </row>
    <row r="1718" spans="59:65">
      <c r="BG1718" s="556" t="str">
        <f t="shared" si="182"/>
        <v>O</v>
      </c>
      <c r="BH1718" s="556" t="str">
        <f t="shared" si="183"/>
        <v/>
      </c>
      <c r="BI1718" s="556" t="str">
        <f t="shared" si="184"/>
        <v/>
      </c>
      <c r="BJ1718" s="556">
        <f t="shared" si="185"/>
        <v>0</v>
      </c>
      <c r="BK1718" s="556">
        <f t="shared" si="186"/>
        <v>0</v>
      </c>
      <c r="BL1718" s="556" t="str">
        <f t="shared" si="187"/>
        <v/>
      </c>
      <c r="BM1718" s="497">
        <f t="shared" si="188"/>
        <v>0</v>
      </c>
    </row>
    <row r="1719" spans="59:65">
      <c r="BG1719" s="556" t="str">
        <f t="shared" si="182"/>
        <v>O</v>
      </c>
      <c r="BH1719" s="556" t="str">
        <f t="shared" si="183"/>
        <v/>
      </c>
      <c r="BI1719" s="556" t="str">
        <f t="shared" si="184"/>
        <v/>
      </c>
      <c r="BJ1719" s="556">
        <f t="shared" si="185"/>
        <v>0</v>
      </c>
      <c r="BK1719" s="556">
        <f t="shared" si="186"/>
        <v>0</v>
      </c>
      <c r="BL1719" s="556" t="str">
        <f t="shared" si="187"/>
        <v/>
      </c>
      <c r="BM1719" s="497">
        <f t="shared" si="188"/>
        <v>0</v>
      </c>
    </row>
    <row r="1720" spans="59:65">
      <c r="BG1720" s="556" t="str">
        <f t="shared" si="182"/>
        <v>O</v>
      </c>
      <c r="BH1720" s="556" t="str">
        <f t="shared" si="183"/>
        <v/>
      </c>
      <c r="BI1720" s="556" t="str">
        <f t="shared" si="184"/>
        <v/>
      </c>
      <c r="BJ1720" s="556">
        <f t="shared" si="185"/>
        <v>0</v>
      </c>
      <c r="BK1720" s="556">
        <f t="shared" si="186"/>
        <v>0</v>
      </c>
      <c r="BL1720" s="556" t="str">
        <f t="shared" si="187"/>
        <v/>
      </c>
      <c r="BM1720" s="497">
        <f t="shared" si="188"/>
        <v>0</v>
      </c>
    </row>
    <row r="1721" spans="59:65">
      <c r="BG1721" s="556" t="str">
        <f t="shared" si="182"/>
        <v>O</v>
      </c>
      <c r="BH1721" s="556" t="str">
        <f t="shared" si="183"/>
        <v/>
      </c>
      <c r="BI1721" s="556" t="str">
        <f t="shared" si="184"/>
        <v/>
      </c>
      <c r="BJ1721" s="556">
        <f t="shared" si="185"/>
        <v>0</v>
      </c>
      <c r="BK1721" s="556">
        <f t="shared" si="186"/>
        <v>0</v>
      </c>
      <c r="BL1721" s="556" t="str">
        <f t="shared" si="187"/>
        <v/>
      </c>
      <c r="BM1721" s="497">
        <f t="shared" si="188"/>
        <v>0</v>
      </c>
    </row>
    <row r="1722" spans="59:65">
      <c r="BG1722" s="556" t="str">
        <f t="shared" si="182"/>
        <v>O</v>
      </c>
      <c r="BH1722" s="556" t="str">
        <f t="shared" si="183"/>
        <v/>
      </c>
      <c r="BI1722" s="556" t="str">
        <f t="shared" si="184"/>
        <v/>
      </c>
      <c r="BJ1722" s="556">
        <f t="shared" si="185"/>
        <v>0</v>
      </c>
      <c r="BK1722" s="556">
        <f t="shared" si="186"/>
        <v>0</v>
      </c>
      <c r="BL1722" s="556" t="str">
        <f t="shared" si="187"/>
        <v/>
      </c>
      <c r="BM1722" s="497">
        <f t="shared" si="188"/>
        <v>0</v>
      </c>
    </row>
    <row r="1723" spans="59:65">
      <c r="BG1723" s="556" t="str">
        <f t="shared" si="182"/>
        <v>O</v>
      </c>
      <c r="BH1723" s="556" t="str">
        <f t="shared" si="183"/>
        <v/>
      </c>
      <c r="BI1723" s="556" t="str">
        <f t="shared" si="184"/>
        <v/>
      </c>
      <c r="BJ1723" s="556">
        <f t="shared" si="185"/>
        <v>0</v>
      </c>
      <c r="BK1723" s="556">
        <f t="shared" si="186"/>
        <v>0</v>
      </c>
      <c r="BL1723" s="556" t="str">
        <f t="shared" si="187"/>
        <v/>
      </c>
      <c r="BM1723" s="497">
        <f t="shared" si="188"/>
        <v>0</v>
      </c>
    </row>
    <row r="1724" spans="59:65">
      <c r="BG1724" s="556" t="str">
        <f t="shared" si="182"/>
        <v>O</v>
      </c>
      <c r="BH1724" s="556" t="str">
        <f t="shared" si="183"/>
        <v/>
      </c>
      <c r="BI1724" s="556" t="str">
        <f t="shared" si="184"/>
        <v/>
      </c>
      <c r="BJ1724" s="556">
        <f t="shared" si="185"/>
        <v>0</v>
      </c>
      <c r="BK1724" s="556">
        <f t="shared" si="186"/>
        <v>0</v>
      </c>
      <c r="BL1724" s="556" t="str">
        <f t="shared" si="187"/>
        <v/>
      </c>
      <c r="BM1724" s="497">
        <f t="shared" si="188"/>
        <v>0</v>
      </c>
    </row>
    <row r="1725" spans="59:65">
      <c r="BG1725" s="556" t="str">
        <f t="shared" si="182"/>
        <v>O</v>
      </c>
      <c r="BH1725" s="556" t="str">
        <f t="shared" si="183"/>
        <v/>
      </c>
      <c r="BI1725" s="556" t="str">
        <f t="shared" si="184"/>
        <v/>
      </c>
      <c r="BJ1725" s="556">
        <f t="shared" si="185"/>
        <v>0</v>
      </c>
      <c r="BK1725" s="556">
        <f t="shared" si="186"/>
        <v>0</v>
      </c>
      <c r="BL1725" s="556" t="str">
        <f t="shared" si="187"/>
        <v/>
      </c>
      <c r="BM1725" s="497">
        <f t="shared" si="188"/>
        <v>0</v>
      </c>
    </row>
    <row r="1726" spans="59:65">
      <c r="BG1726" s="556" t="str">
        <f t="shared" si="182"/>
        <v>O</v>
      </c>
      <c r="BH1726" s="556" t="str">
        <f t="shared" si="183"/>
        <v/>
      </c>
      <c r="BI1726" s="556" t="str">
        <f t="shared" si="184"/>
        <v/>
      </c>
      <c r="BJ1726" s="556">
        <f t="shared" si="185"/>
        <v>0</v>
      </c>
      <c r="BK1726" s="556">
        <f t="shared" si="186"/>
        <v>0</v>
      </c>
      <c r="BL1726" s="556" t="str">
        <f t="shared" si="187"/>
        <v/>
      </c>
      <c r="BM1726" s="497">
        <f t="shared" si="188"/>
        <v>0</v>
      </c>
    </row>
    <row r="1727" spans="59:65">
      <c r="BG1727" s="556" t="str">
        <f t="shared" si="182"/>
        <v>O</v>
      </c>
      <c r="BH1727" s="556" t="str">
        <f t="shared" si="183"/>
        <v/>
      </c>
      <c r="BI1727" s="556" t="str">
        <f t="shared" si="184"/>
        <v/>
      </c>
      <c r="BJ1727" s="556">
        <f t="shared" si="185"/>
        <v>0</v>
      </c>
      <c r="BK1727" s="556">
        <f t="shared" si="186"/>
        <v>0</v>
      </c>
      <c r="BL1727" s="556" t="str">
        <f t="shared" si="187"/>
        <v/>
      </c>
      <c r="BM1727" s="497">
        <f t="shared" si="188"/>
        <v>0</v>
      </c>
    </row>
    <row r="1728" spans="59:65">
      <c r="BG1728" s="556" t="str">
        <f t="shared" si="182"/>
        <v>O</v>
      </c>
      <c r="BH1728" s="556" t="str">
        <f t="shared" si="183"/>
        <v/>
      </c>
      <c r="BI1728" s="556" t="str">
        <f t="shared" si="184"/>
        <v/>
      </c>
      <c r="BJ1728" s="556">
        <f t="shared" si="185"/>
        <v>0</v>
      </c>
      <c r="BK1728" s="556">
        <f t="shared" si="186"/>
        <v>0</v>
      </c>
      <c r="BL1728" s="556" t="str">
        <f t="shared" si="187"/>
        <v/>
      </c>
      <c r="BM1728" s="497">
        <f t="shared" si="188"/>
        <v>0</v>
      </c>
    </row>
    <row r="1729" spans="59:65">
      <c r="BG1729" s="556" t="str">
        <f t="shared" si="182"/>
        <v>O</v>
      </c>
      <c r="BH1729" s="556" t="str">
        <f t="shared" si="183"/>
        <v/>
      </c>
      <c r="BI1729" s="556" t="str">
        <f t="shared" si="184"/>
        <v/>
      </c>
      <c r="BJ1729" s="556">
        <f t="shared" si="185"/>
        <v>0</v>
      </c>
      <c r="BK1729" s="556">
        <f t="shared" si="186"/>
        <v>0</v>
      </c>
      <c r="BL1729" s="556" t="str">
        <f t="shared" si="187"/>
        <v/>
      </c>
      <c r="BM1729" s="497">
        <f t="shared" si="188"/>
        <v>0</v>
      </c>
    </row>
    <row r="1730" spans="59:65">
      <c r="BG1730" s="556" t="str">
        <f t="shared" si="182"/>
        <v>O</v>
      </c>
      <c r="BH1730" s="556" t="str">
        <f t="shared" si="183"/>
        <v/>
      </c>
      <c r="BI1730" s="556" t="str">
        <f t="shared" si="184"/>
        <v/>
      </c>
      <c r="BJ1730" s="556">
        <f t="shared" si="185"/>
        <v>0</v>
      </c>
      <c r="BK1730" s="556">
        <f t="shared" si="186"/>
        <v>0</v>
      </c>
      <c r="BL1730" s="556" t="str">
        <f t="shared" si="187"/>
        <v/>
      </c>
      <c r="BM1730" s="497">
        <f t="shared" si="188"/>
        <v>0</v>
      </c>
    </row>
    <row r="1731" spans="59:65">
      <c r="BG1731" s="556" t="str">
        <f t="shared" ref="BG1731:BG1751" si="189">IF(LEFT(AY1731,2)="98","X","O")</f>
        <v>O</v>
      </c>
      <c r="BH1731" s="556" t="str">
        <f t="shared" ref="BH1731:BH1751" si="190">IF(IFERROR(SEARCH("45",$AY1731,1),0)&gt;0,"Y","")</f>
        <v/>
      </c>
      <c r="BI1731" s="556" t="str">
        <f t="shared" ref="BI1731:BI1751" si="191">IF(IFERROR(SEARCH("86",$AY1731,1),0)&gt;0,"Y","")</f>
        <v/>
      </c>
      <c r="BJ1731" s="556">
        <f t="shared" ref="BJ1731:BJ1751" si="192">IF(L1731="",K1731,IF(M1731="",K1731&amp;","&amp;L1731,IF(N1731="",K1731&amp;","&amp;L1731&amp;","&amp;M1731,K1731&amp;","&amp;L1731&amp;","&amp;M1731&amp;","&amp;N1731)))</f>
        <v>0</v>
      </c>
      <c r="BK1731" s="556">
        <f t="shared" ref="BK1731:BK1751" si="193">IF(P1731="",O1731,IF(Q1731="",O1731&amp;","&amp;P1731,IF(R1731="",O1731&amp;","&amp;P1731&amp;","&amp;Q1731,IO1731&amp;","&amp;P1731&amp;","&amp;Q1731&amp;","&amp;R1731)))</f>
        <v>0</v>
      </c>
      <c r="BL1731" s="556" t="str">
        <f t="shared" ref="BL1731:BL1751" si="194">IF(S1731=0,"",S1731)</f>
        <v/>
      </c>
      <c r="BM1731" s="497">
        <f t="shared" ref="BM1731:BM1751" si="195">A1731</f>
        <v>0</v>
      </c>
    </row>
    <row r="1732" spans="59:65">
      <c r="BG1732" s="556" t="str">
        <f t="shared" si="189"/>
        <v>O</v>
      </c>
      <c r="BH1732" s="556" t="str">
        <f t="shared" si="190"/>
        <v/>
      </c>
      <c r="BI1732" s="556" t="str">
        <f t="shared" si="191"/>
        <v/>
      </c>
      <c r="BJ1732" s="556">
        <f t="shared" si="192"/>
        <v>0</v>
      </c>
      <c r="BK1732" s="556">
        <f t="shared" si="193"/>
        <v>0</v>
      </c>
      <c r="BL1732" s="556" t="str">
        <f t="shared" si="194"/>
        <v/>
      </c>
      <c r="BM1732" s="497">
        <f t="shared" si="195"/>
        <v>0</v>
      </c>
    </row>
    <row r="1733" spans="59:65">
      <c r="BG1733" s="556" t="str">
        <f t="shared" si="189"/>
        <v>O</v>
      </c>
      <c r="BH1733" s="556" t="str">
        <f t="shared" si="190"/>
        <v/>
      </c>
      <c r="BI1733" s="556" t="str">
        <f t="shared" si="191"/>
        <v/>
      </c>
      <c r="BJ1733" s="556">
        <f t="shared" si="192"/>
        <v>0</v>
      </c>
      <c r="BK1733" s="556">
        <f t="shared" si="193"/>
        <v>0</v>
      </c>
      <c r="BL1733" s="556" t="str">
        <f t="shared" si="194"/>
        <v/>
      </c>
      <c r="BM1733" s="497">
        <f t="shared" si="195"/>
        <v>0</v>
      </c>
    </row>
    <row r="1734" spans="59:65">
      <c r="BG1734" s="556" t="str">
        <f t="shared" si="189"/>
        <v>O</v>
      </c>
      <c r="BH1734" s="556" t="str">
        <f t="shared" si="190"/>
        <v/>
      </c>
      <c r="BI1734" s="556" t="str">
        <f t="shared" si="191"/>
        <v/>
      </c>
      <c r="BJ1734" s="556">
        <f t="shared" si="192"/>
        <v>0</v>
      </c>
      <c r="BK1734" s="556">
        <f t="shared" si="193"/>
        <v>0</v>
      </c>
      <c r="BL1734" s="556" t="str">
        <f t="shared" si="194"/>
        <v/>
      </c>
      <c r="BM1734" s="497">
        <f t="shared" si="195"/>
        <v>0</v>
      </c>
    </row>
    <row r="1735" spans="59:65">
      <c r="BG1735" s="556" t="str">
        <f t="shared" si="189"/>
        <v>O</v>
      </c>
      <c r="BH1735" s="556" t="str">
        <f t="shared" si="190"/>
        <v/>
      </c>
      <c r="BI1735" s="556" t="str">
        <f t="shared" si="191"/>
        <v/>
      </c>
      <c r="BJ1735" s="556">
        <f t="shared" si="192"/>
        <v>0</v>
      </c>
      <c r="BK1735" s="556">
        <f t="shared" si="193"/>
        <v>0</v>
      </c>
      <c r="BL1735" s="556" t="str">
        <f t="shared" si="194"/>
        <v/>
      </c>
      <c r="BM1735" s="497">
        <f t="shared" si="195"/>
        <v>0</v>
      </c>
    </row>
    <row r="1736" spans="59:65">
      <c r="BG1736" s="556" t="str">
        <f t="shared" si="189"/>
        <v>O</v>
      </c>
      <c r="BH1736" s="556" t="str">
        <f t="shared" si="190"/>
        <v/>
      </c>
      <c r="BI1736" s="556" t="str">
        <f t="shared" si="191"/>
        <v/>
      </c>
      <c r="BJ1736" s="556">
        <f t="shared" si="192"/>
        <v>0</v>
      </c>
      <c r="BK1736" s="556">
        <f t="shared" si="193"/>
        <v>0</v>
      </c>
      <c r="BL1736" s="556" t="str">
        <f t="shared" si="194"/>
        <v/>
      </c>
      <c r="BM1736" s="497">
        <f t="shared" si="195"/>
        <v>0</v>
      </c>
    </row>
    <row r="1737" spans="59:65">
      <c r="BG1737" s="556" t="str">
        <f t="shared" si="189"/>
        <v>O</v>
      </c>
      <c r="BH1737" s="556" t="str">
        <f t="shared" si="190"/>
        <v/>
      </c>
      <c r="BI1737" s="556" t="str">
        <f t="shared" si="191"/>
        <v/>
      </c>
      <c r="BJ1737" s="556">
        <f t="shared" si="192"/>
        <v>0</v>
      </c>
      <c r="BK1737" s="556">
        <f t="shared" si="193"/>
        <v>0</v>
      </c>
      <c r="BL1737" s="556" t="str">
        <f t="shared" si="194"/>
        <v/>
      </c>
      <c r="BM1737" s="497">
        <f t="shared" si="195"/>
        <v>0</v>
      </c>
    </row>
    <row r="1738" spans="59:65">
      <c r="BG1738" s="556" t="str">
        <f t="shared" si="189"/>
        <v>O</v>
      </c>
      <c r="BH1738" s="556" t="str">
        <f t="shared" si="190"/>
        <v/>
      </c>
      <c r="BI1738" s="556" t="str">
        <f t="shared" si="191"/>
        <v/>
      </c>
      <c r="BJ1738" s="556">
        <f t="shared" si="192"/>
        <v>0</v>
      </c>
      <c r="BK1738" s="556">
        <f t="shared" si="193"/>
        <v>0</v>
      </c>
      <c r="BL1738" s="556" t="str">
        <f t="shared" si="194"/>
        <v/>
      </c>
      <c r="BM1738" s="497">
        <f t="shared" si="195"/>
        <v>0</v>
      </c>
    </row>
    <row r="1739" spans="59:65">
      <c r="BG1739" s="556" t="str">
        <f t="shared" si="189"/>
        <v>O</v>
      </c>
      <c r="BH1739" s="556" t="str">
        <f t="shared" si="190"/>
        <v/>
      </c>
      <c r="BI1739" s="556" t="str">
        <f t="shared" si="191"/>
        <v/>
      </c>
      <c r="BJ1739" s="556">
        <f t="shared" si="192"/>
        <v>0</v>
      </c>
      <c r="BK1739" s="556">
        <f t="shared" si="193"/>
        <v>0</v>
      </c>
      <c r="BL1739" s="556" t="str">
        <f t="shared" si="194"/>
        <v/>
      </c>
      <c r="BM1739" s="497">
        <f t="shared" si="195"/>
        <v>0</v>
      </c>
    </row>
    <row r="1740" spans="59:65">
      <c r="BG1740" s="556" t="str">
        <f t="shared" si="189"/>
        <v>O</v>
      </c>
      <c r="BH1740" s="556" t="str">
        <f t="shared" si="190"/>
        <v/>
      </c>
      <c r="BI1740" s="556" t="str">
        <f t="shared" si="191"/>
        <v/>
      </c>
      <c r="BJ1740" s="556">
        <f t="shared" si="192"/>
        <v>0</v>
      </c>
      <c r="BK1740" s="556">
        <f t="shared" si="193"/>
        <v>0</v>
      </c>
      <c r="BL1740" s="556" t="str">
        <f t="shared" si="194"/>
        <v/>
      </c>
      <c r="BM1740" s="497">
        <f t="shared" si="195"/>
        <v>0</v>
      </c>
    </row>
    <row r="1741" spans="59:65">
      <c r="BG1741" s="556" t="str">
        <f t="shared" si="189"/>
        <v>O</v>
      </c>
      <c r="BH1741" s="556" t="str">
        <f t="shared" si="190"/>
        <v/>
      </c>
      <c r="BI1741" s="556" t="str">
        <f t="shared" si="191"/>
        <v/>
      </c>
      <c r="BJ1741" s="556">
        <f t="shared" si="192"/>
        <v>0</v>
      </c>
      <c r="BK1741" s="556">
        <f t="shared" si="193"/>
        <v>0</v>
      </c>
      <c r="BL1741" s="556" t="str">
        <f t="shared" si="194"/>
        <v/>
      </c>
      <c r="BM1741" s="497">
        <f t="shared" si="195"/>
        <v>0</v>
      </c>
    </row>
    <row r="1742" spans="59:65">
      <c r="BG1742" s="556" t="str">
        <f t="shared" si="189"/>
        <v>O</v>
      </c>
      <c r="BH1742" s="556" t="str">
        <f t="shared" si="190"/>
        <v/>
      </c>
      <c r="BI1742" s="556" t="str">
        <f t="shared" si="191"/>
        <v/>
      </c>
      <c r="BJ1742" s="556">
        <f t="shared" si="192"/>
        <v>0</v>
      </c>
      <c r="BK1742" s="556">
        <f t="shared" si="193"/>
        <v>0</v>
      </c>
      <c r="BL1742" s="556" t="str">
        <f t="shared" si="194"/>
        <v/>
      </c>
      <c r="BM1742" s="497">
        <f t="shared" si="195"/>
        <v>0</v>
      </c>
    </row>
    <row r="1743" spans="59:65">
      <c r="BG1743" s="556" t="str">
        <f t="shared" si="189"/>
        <v>O</v>
      </c>
      <c r="BH1743" s="556" t="str">
        <f t="shared" si="190"/>
        <v/>
      </c>
      <c r="BI1743" s="556" t="str">
        <f t="shared" si="191"/>
        <v/>
      </c>
      <c r="BJ1743" s="556">
        <f t="shared" si="192"/>
        <v>0</v>
      </c>
      <c r="BK1743" s="556">
        <f t="shared" si="193"/>
        <v>0</v>
      </c>
      <c r="BL1743" s="556" t="str">
        <f t="shared" si="194"/>
        <v/>
      </c>
      <c r="BM1743" s="497">
        <f t="shared" si="195"/>
        <v>0</v>
      </c>
    </row>
    <row r="1744" spans="59:65">
      <c r="BG1744" s="556" t="str">
        <f t="shared" si="189"/>
        <v>O</v>
      </c>
      <c r="BH1744" s="556" t="str">
        <f t="shared" si="190"/>
        <v/>
      </c>
      <c r="BI1744" s="556" t="str">
        <f t="shared" si="191"/>
        <v/>
      </c>
      <c r="BJ1744" s="556">
        <f t="shared" si="192"/>
        <v>0</v>
      </c>
      <c r="BK1744" s="556">
        <f t="shared" si="193"/>
        <v>0</v>
      </c>
      <c r="BL1744" s="556" t="str">
        <f t="shared" si="194"/>
        <v/>
      </c>
      <c r="BM1744" s="497">
        <f t="shared" si="195"/>
        <v>0</v>
      </c>
    </row>
    <row r="1745" spans="59:65">
      <c r="BG1745" s="556" t="str">
        <f t="shared" si="189"/>
        <v>O</v>
      </c>
      <c r="BH1745" s="556" t="str">
        <f t="shared" si="190"/>
        <v/>
      </c>
      <c r="BI1745" s="556" t="str">
        <f t="shared" si="191"/>
        <v/>
      </c>
      <c r="BJ1745" s="556">
        <f t="shared" si="192"/>
        <v>0</v>
      </c>
      <c r="BK1745" s="556">
        <f t="shared" si="193"/>
        <v>0</v>
      </c>
      <c r="BL1745" s="556" t="str">
        <f t="shared" si="194"/>
        <v/>
      </c>
      <c r="BM1745" s="497">
        <f t="shared" si="195"/>
        <v>0</v>
      </c>
    </row>
    <row r="1746" spans="59:65">
      <c r="BG1746" s="556" t="str">
        <f t="shared" si="189"/>
        <v>O</v>
      </c>
      <c r="BH1746" s="556" t="str">
        <f t="shared" si="190"/>
        <v/>
      </c>
      <c r="BI1746" s="556" t="str">
        <f t="shared" si="191"/>
        <v/>
      </c>
      <c r="BJ1746" s="556">
        <f t="shared" si="192"/>
        <v>0</v>
      </c>
      <c r="BK1746" s="556">
        <f t="shared" si="193"/>
        <v>0</v>
      </c>
      <c r="BL1746" s="556" t="str">
        <f t="shared" si="194"/>
        <v/>
      </c>
      <c r="BM1746" s="497">
        <f t="shared" si="195"/>
        <v>0</v>
      </c>
    </row>
    <row r="1747" spans="59:65">
      <c r="BG1747" s="556" t="str">
        <f t="shared" si="189"/>
        <v>O</v>
      </c>
      <c r="BH1747" s="556" t="str">
        <f t="shared" si="190"/>
        <v/>
      </c>
      <c r="BI1747" s="556" t="str">
        <f t="shared" si="191"/>
        <v/>
      </c>
      <c r="BJ1747" s="556">
        <f t="shared" si="192"/>
        <v>0</v>
      </c>
      <c r="BK1747" s="556">
        <f t="shared" si="193"/>
        <v>0</v>
      </c>
      <c r="BL1747" s="556" t="str">
        <f t="shared" si="194"/>
        <v/>
      </c>
      <c r="BM1747" s="497">
        <f t="shared" si="195"/>
        <v>0</v>
      </c>
    </row>
    <row r="1748" spans="59:65">
      <c r="BG1748" s="556" t="str">
        <f t="shared" si="189"/>
        <v>O</v>
      </c>
      <c r="BH1748" s="556" t="str">
        <f t="shared" si="190"/>
        <v/>
      </c>
      <c r="BI1748" s="556" t="str">
        <f t="shared" si="191"/>
        <v/>
      </c>
      <c r="BJ1748" s="556">
        <f t="shared" si="192"/>
        <v>0</v>
      </c>
      <c r="BK1748" s="556">
        <f t="shared" si="193"/>
        <v>0</v>
      </c>
      <c r="BL1748" s="556" t="str">
        <f t="shared" si="194"/>
        <v/>
      </c>
      <c r="BM1748" s="497">
        <f t="shared" si="195"/>
        <v>0</v>
      </c>
    </row>
    <row r="1749" spans="59:65">
      <c r="BG1749" s="556" t="str">
        <f t="shared" si="189"/>
        <v>O</v>
      </c>
      <c r="BH1749" s="556" t="str">
        <f t="shared" si="190"/>
        <v/>
      </c>
      <c r="BI1749" s="556" t="str">
        <f t="shared" si="191"/>
        <v/>
      </c>
      <c r="BJ1749" s="556">
        <f t="shared" si="192"/>
        <v>0</v>
      </c>
      <c r="BK1749" s="556">
        <f t="shared" si="193"/>
        <v>0</v>
      </c>
      <c r="BL1749" s="556" t="str">
        <f t="shared" si="194"/>
        <v/>
      </c>
      <c r="BM1749" s="497">
        <f t="shared" si="195"/>
        <v>0</v>
      </c>
    </row>
    <row r="1750" spans="59:65">
      <c r="BG1750" s="556" t="str">
        <f t="shared" si="189"/>
        <v>O</v>
      </c>
      <c r="BH1750" s="556" t="str">
        <f t="shared" si="190"/>
        <v/>
      </c>
      <c r="BI1750" s="556" t="str">
        <f t="shared" si="191"/>
        <v/>
      </c>
      <c r="BJ1750" s="556">
        <f t="shared" si="192"/>
        <v>0</v>
      </c>
      <c r="BK1750" s="556">
        <f t="shared" si="193"/>
        <v>0</v>
      </c>
      <c r="BL1750" s="556" t="str">
        <f t="shared" si="194"/>
        <v/>
      </c>
      <c r="BM1750" s="497">
        <f t="shared" si="195"/>
        <v>0</v>
      </c>
    </row>
    <row r="1751" spans="59:65">
      <c r="BG1751" s="556" t="str">
        <f t="shared" si="189"/>
        <v>O</v>
      </c>
      <c r="BH1751" s="556" t="str">
        <f t="shared" si="190"/>
        <v/>
      </c>
      <c r="BI1751" s="556" t="str">
        <f t="shared" si="191"/>
        <v/>
      </c>
      <c r="BJ1751" s="556">
        <f t="shared" si="192"/>
        <v>0</v>
      </c>
      <c r="BK1751" s="556">
        <f t="shared" si="193"/>
        <v>0</v>
      </c>
      <c r="BL1751" s="556" t="str">
        <f t="shared" si="194"/>
        <v/>
      </c>
      <c r="BM1751" s="497">
        <f t="shared" si="195"/>
        <v>0</v>
      </c>
    </row>
  </sheetData>
  <phoneticPr fontId="7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B0F0"/>
  </sheetPr>
  <dimension ref="A1:P504"/>
  <sheetViews>
    <sheetView workbookViewId="0">
      <selection activeCell="E24" sqref="E24"/>
    </sheetView>
  </sheetViews>
  <sheetFormatPr defaultColWidth="7.42578125" defaultRowHeight="15"/>
  <cols>
    <col min="1" max="1" width="7.5703125" bestFit="1" customWidth="1"/>
    <col min="2" max="2" width="18.85546875" bestFit="1" customWidth="1"/>
    <col min="3" max="3" width="16.7109375" bestFit="1" customWidth="1"/>
    <col min="4" max="4" width="23.5703125" bestFit="1" customWidth="1"/>
    <col min="5" max="5" width="13.5703125" bestFit="1" customWidth="1"/>
    <col min="6" max="6" width="9.85546875" bestFit="1" customWidth="1"/>
    <col min="7" max="7" width="5.85546875" bestFit="1" customWidth="1"/>
    <col min="8" max="8" width="13.42578125" bestFit="1" customWidth="1"/>
    <col min="9" max="10" width="8.7109375" bestFit="1" customWidth="1"/>
    <col min="11" max="11" width="9.85546875" bestFit="1" customWidth="1"/>
    <col min="12" max="12" width="18.42578125" bestFit="1" customWidth="1"/>
    <col min="13" max="13" width="8.7109375" bestFit="1" customWidth="1"/>
    <col min="14" max="14" width="3.140625" bestFit="1" customWidth="1"/>
    <col min="15" max="15" width="12.140625" bestFit="1" customWidth="1"/>
    <col min="16" max="16" width="7.140625" bestFit="1" customWidth="1"/>
  </cols>
  <sheetData>
    <row r="1" spans="1:16">
      <c r="A1" t="s">
        <v>2953</v>
      </c>
      <c r="B1" t="s">
        <v>2954</v>
      </c>
      <c r="C1" t="s">
        <v>2425</v>
      </c>
      <c r="D1" t="s">
        <v>2955</v>
      </c>
      <c r="E1" t="s">
        <v>2956</v>
      </c>
      <c r="F1" t="s">
        <v>2426</v>
      </c>
      <c r="G1" t="s">
        <v>2427</v>
      </c>
      <c r="H1" t="s">
        <v>2957</v>
      </c>
      <c r="I1" t="s">
        <v>2428</v>
      </c>
      <c r="J1" t="s">
        <v>2429</v>
      </c>
      <c r="K1" t="s">
        <v>2958</v>
      </c>
      <c r="L1" t="s">
        <v>2959</v>
      </c>
      <c r="M1" t="s">
        <v>2430</v>
      </c>
      <c r="N1" t="s">
        <v>2960</v>
      </c>
      <c r="O1" t="s">
        <v>2431</v>
      </c>
      <c r="P1" t="s">
        <v>2675</v>
      </c>
    </row>
    <row r="2" spans="1:16">
      <c r="A2" t="s">
        <v>1755</v>
      </c>
      <c r="B2" t="s">
        <v>3447</v>
      </c>
      <c r="C2" t="s">
        <v>2773</v>
      </c>
      <c r="D2" t="s">
        <v>1197</v>
      </c>
      <c r="E2" t="s">
        <v>1198</v>
      </c>
      <c r="F2" t="s">
        <v>1758</v>
      </c>
      <c r="G2">
        <v>1.49</v>
      </c>
      <c r="H2" s="505">
        <v>782000</v>
      </c>
      <c r="I2">
        <v>0</v>
      </c>
      <c r="J2" s="505">
        <v>150000</v>
      </c>
      <c r="K2">
        <v>0</v>
      </c>
      <c r="M2" s="505">
        <v>632000</v>
      </c>
      <c r="O2">
        <v>0</v>
      </c>
    </row>
    <row r="3" spans="1:16">
      <c r="A3" t="s">
        <v>1760</v>
      </c>
      <c r="B3" t="s">
        <v>2432</v>
      </c>
      <c r="C3" t="s">
        <v>1262</v>
      </c>
      <c r="D3" t="s">
        <v>1264</v>
      </c>
      <c r="E3" t="s">
        <v>1203</v>
      </c>
      <c r="F3">
        <v>4100325</v>
      </c>
      <c r="G3">
        <v>1.53</v>
      </c>
      <c r="H3" s="505">
        <v>159500</v>
      </c>
      <c r="I3">
        <v>0</v>
      </c>
      <c r="J3">
        <v>0</v>
      </c>
      <c r="K3">
        <v>0</v>
      </c>
      <c r="M3" s="505">
        <v>159500</v>
      </c>
      <c r="O3" s="505">
        <v>91234000</v>
      </c>
    </row>
    <row r="4" spans="1:16">
      <c r="A4" t="s">
        <v>1760</v>
      </c>
      <c r="B4" t="s">
        <v>2433</v>
      </c>
      <c r="C4" t="s">
        <v>1266</v>
      </c>
      <c r="D4" t="s">
        <v>1268</v>
      </c>
      <c r="E4" t="s">
        <v>1203</v>
      </c>
      <c r="F4">
        <v>4100325</v>
      </c>
      <c r="G4">
        <v>1.17</v>
      </c>
      <c r="H4" s="505">
        <v>66000</v>
      </c>
      <c r="I4">
        <v>0</v>
      </c>
      <c r="J4">
        <v>0</v>
      </c>
      <c r="K4">
        <v>0</v>
      </c>
      <c r="M4" s="505">
        <v>66000</v>
      </c>
      <c r="O4" s="505">
        <v>37554000</v>
      </c>
    </row>
    <row r="5" spans="1:16">
      <c r="A5" t="s">
        <v>358</v>
      </c>
      <c r="B5" t="s">
        <v>2434</v>
      </c>
      <c r="C5" t="s">
        <v>721</v>
      </c>
      <c r="D5" t="s">
        <v>722</v>
      </c>
      <c r="E5" t="s">
        <v>723</v>
      </c>
      <c r="F5">
        <v>1850330</v>
      </c>
      <c r="G5">
        <v>2.1800000000000002</v>
      </c>
      <c r="H5" s="505">
        <v>216000</v>
      </c>
      <c r="I5">
        <v>0</v>
      </c>
      <c r="J5">
        <v>0</v>
      </c>
      <c r="K5">
        <v>0</v>
      </c>
      <c r="M5" s="505">
        <v>216000</v>
      </c>
      <c r="O5" s="505">
        <v>3456</v>
      </c>
    </row>
    <row r="6" spans="1:16">
      <c r="A6" t="s">
        <v>1771</v>
      </c>
      <c r="B6" t="s">
        <v>2599</v>
      </c>
      <c r="C6" t="s">
        <v>2371</v>
      </c>
      <c r="D6" t="s">
        <v>2372</v>
      </c>
      <c r="E6" t="s">
        <v>2373</v>
      </c>
      <c r="F6">
        <v>1850169</v>
      </c>
      <c r="G6">
        <v>0.11</v>
      </c>
      <c r="H6" s="505">
        <v>29181</v>
      </c>
      <c r="I6">
        <v>0</v>
      </c>
      <c r="J6">
        <v>0</v>
      </c>
      <c r="K6">
        <v>0</v>
      </c>
      <c r="M6" s="505">
        <v>29181</v>
      </c>
      <c r="O6">
        <v>0</v>
      </c>
    </row>
    <row r="7" spans="1:16">
      <c r="A7" t="s">
        <v>1770</v>
      </c>
      <c r="B7" t="s">
        <v>2435</v>
      </c>
      <c r="C7" t="s">
        <v>1206</v>
      </c>
      <c r="D7" t="s">
        <v>961</v>
      </c>
      <c r="E7" t="s">
        <v>1208</v>
      </c>
      <c r="F7">
        <v>3040160</v>
      </c>
      <c r="G7">
        <v>0.17</v>
      </c>
      <c r="H7" s="505">
        <v>100000</v>
      </c>
      <c r="I7">
        <v>0</v>
      </c>
      <c r="J7">
        <v>0</v>
      </c>
      <c r="K7">
        <v>0</v>
      </c>
      <c r="M7" s="505">
        <v>100000</v>
      </c>
      <c r="O7">
        <v>0</v>
      </c>
    </row>
    <row r="8" spans="1:16">
      <c r="A8" t="s">
        <v>1771</v>
      </c>
      <c r="B8" t="s">
        <v>3259</v>
      </c>
      <c r="C8" t="s">
        <v>503</v>
      </c>
      <c r="D8" t="s">
        <v>204</v>
      </c>
      <c r="E8" t="s">
        <v>505</v>
      </c>
      <c r="F8">
        <v>1850171</v>
      </c>
      <c r="G8">
        <v>0.2</v>
      </c>
      <c r="H8" s="505">
        <v>190000</v>
      </c>
      <c r="I8">
        <v>0</v>
      </c>
      <c r="J8" s="505">
        <v>25000</v>
      </c>
      <c r="K8">
        <v>0</v>
      </c>
      <c r="M8" s="505">
        <v>165000</v>
      </c>
      <c r="O8" s="505">
        <v>10560000</v>
      </c>
    </row>
    <row r="9" spans="1:16">
      <c r="A9" t="s">
        <v>1771</v>
      </c>
      <c r="B9" t="s">
        <v>2798</v>
      </c>
      <c r="C9" t="s">
        <v>2729</v>
      </c>
      <c r="D9" t="s">
        <v>167</v>
      </c>
      <c r="E9" t="s">
        <v>505</v>
      </c>
      <c r="F9">
        <v>1850169</v>
      </c>
      <c r="G9">
        <v>0.15</v>
      </c>
      <c r="H9" s="505">
        <v>103958</v>
      </c>
      <c r="I9">
        <v>0</v>
      </c>
      <c r="J9" s="505">
        <v>10000</v>
      </c>
      <c r="K9">
        <v>0</v>
      </c>
      <c r="M9" s="505">
        <v>93958</v>
      </c>
      <c r="O9">
        <v>0</v>
      </c>
    </row>
    <row r="10" spans="1:16">
      <c r="A10" t="s">
        <v>1772</v>
      </c>
      <c r="B10" t="s">
        <v>3359</v>
      </c>
      <c r="C10" t="s">
        <v>1709</v>
      </c>
      <c r="D10" t="s">
        <v>46</v>
      </c>
      <c r="E10" t="s">
        <v>502</v>
      </c>
      <c r="F10">
        <v>1850165</v>
      </c>
      <c r="G10">
        <v>0.17</v>
      </c>
      <c r="H10" s="505">
        <v>740000</v>
      </c>
      <c r="I10">
        <v>0</v>
      </c>
      <c r="J10" s="505">
        <v>300000</v>
      </c>
      <c r="K10">
        <v>0</v>
      </c>
      <c r="M10" s="505">
        <v>440000</v>
      </c>
      <c r="O10" s="505">
        <v>22880000</v>
      </c>
    </row>
    <row r="11" spans="1:16">
      <c r="A11" t="s">
        <v>1774</v>
      </c>
      <c r="B11" t="s">
        <v>3104</v>
      </c>
      <c r="C11" t="s">
        <v>1736</v>
      </c>
      <c r="D11" t="s">
        <v>828</v>
      </c>
      <c r="E11" t="s">
        <v>1775</v>
      </c>
      <c r="F11">
        <v>3330020</v>
      </c>
      <c r="G11">
        <v>0.35</v>
      </c>
      <c r="H11" s="505">
        <v>160000</v>
      </c>
      <c r="I11">
        <v>0</v>
      </c>
      <c r="J11">
        <v>0</v>
      </c>
      <c r="K11">
        <v>0</v>
      </c>
      <c r="M11" s="505">
        <v>160000</v>
      </c>
      <c r="O11" s="505">
        <v>16480000</v>
      </c>
    </row>
    <row r="12" spans="1:16">
      <c r="A12" t="s">
        <v>1772</v>
      </c>
      <c r="B12" t="s">
        <v>3318</v>
      </c>
      <c r="C12" t="s">
        <v>1778</v>
      </c>
      <c r="D12" t="s">
        <v>220</v>
      </c>
      <c r="E12" t="s">
        <v>1779</v>
      </c>
      <c r="F12">
        <v>1000169</v>
      </c>
      <c r="G12">
        <v>0.36</v>
      </c>
      <c r="H12" s="505">
        <v>550000</v>
      </c>
      <c r="I12">
        <v>0</v>
      </c>
      <c r="J12" s="505">
        <v>200000</v>
      </c>
      <c r="K12">
        <v>0</v>
      </c>
      <c r="M12" s="505">
        <v>350000</v>
      </c>
      <c r="O12">
        <v>0</v>
      </c>
    </row>
    <row r="13" spans="1:16">
      <c r="A13" t="s">
        <v>1782</v>
      </c>
      <c r="B13" t="s">
        <v>2436</v>
      </c>
      <c r="C13" t="s">
        <v>1781</v>
      </c>
      <c r="D13" t="s">
        <v>1056</v>
      </c>
      <c r="E13" t="s">
        <v>1783</v>
      </c>
      <c r="F13" t="s">
        <v>1784</v>
      </c>
      <c r="G13">
        <v>0.18</v>
      </c>
      <c r="H13" s="505">
        <v>104200</v>
      </c>
      <c r="I13">
        <v>0</v>
      </c>
      <c r="J13">
        <v>0</v>
      </c>
      <c r="K13">
        <v>0</v>
      </c>
      <c r="M13" s="505">
        <v>104200</v>
      </c>
      <c r="O13">
        <v>0</v>
      </c>
    </row>
    <row r="14" spans="1:16">
      <c r="A14" t="s">
        <v>1782</v>
      </c>
      <c r="B14" t="s">
        <v>3269</v>
      </c>
      <c r="C14" t="s">
        <v>1787</v>
      </c>
      <c r="D14" t="s">
        <v>1042</v>
      </c>
      <c r="E14" t="s">
        <v>1788</v>
      </c>
      <c r="F14" t="s">
        <v>1789</v>
      </c>
      <c r="G14">
        <v>0.08</v>
      </c>
      <c r="H14" s="505">
        <v>244798</v>
      </c>
      <c r="I14">
        <v>0</v>
      </c>
      <c r="J14" s="505">
        <v>167000</v>
      </c>
      <c r="K14">
        <v>0</v>
      </c>
      <c r="M14" s="505">
        <v>77798</v>
      </c>
      <c r="O14">
        <v>0</v>
      </c>
    </row>
    <row r="15" spans="1:16">
      <c r="A15" t="s">
        <v>1782</v>
      </c>
      <c r="B15" t="s">
        <v>3435</v>
      </c>
      <c r="C15" t="s">
        <v>1792</v>
      </c>
      <c r="D15" t="s">
        <v>1056</v>
      </c>
      <c r="E15" t="s">
        <v>1793</v>
      </c>
      <c r="F15" t="s">
        <v>1794</v>
      </c>
      <c r="G15">
        <v>7.0000000000000007E-2</v>
      </c>
      <c r="H15" s="505">
        <v>81298</v>
      </c>
      <c r="I15" s="505">
        <v>200000</v>
      </c>
      <c r="J15" s="505">
        <v>167000</v>
      </c>
      <c r="K15">
        <v>0</v>
      </c>
      <c r="M15" s="505">
        <v>114298</v>
      </c>
      <c r="O15">
        <v>0</v>
      </c>
    </row>
    <row r="16" spans="1:16">
      <c r="A16" t="s">
        <v>2324</v>
      </c>
      <c r="B16" t="s">
        <v>2704</v>
      </c>
      <c r="C16" t="s">
        <v>2322</v>
      </c>
      <c r="D16" t="s">
        <v>2323</v>
      </c>
      <c r="E16" t="s">
        <v>2325</v>
      </c>
      <c r="F16">
        <v>4350260</v>
      </c>
      <c r="G16">
        <v>0.36</v>
      </c>
      <c r="H16" s="505">
        <v>10000</v>
      </c>
      <c r="I16">
        <v>0</v>
      </c>
      <c r="J16">
        <v>0</v>
      </c>
      <c r="K16">
        <v>0</v>
      </c>
      <c r="M16" s="505">
        <v>10000</v>
      </c>
      <c r="O16">
        <v>0</v>
      </c>
    </row>
    <row r="17" spans="1:15">
      <c r="A17" t="s">
        <v>1796</v>
      </c>
      <c r="B17" t="s">
        <v>2656</v>
      </c>
      <c r="C17" t="s">
        <v>316</v>
      </c>
      <c r="D17" t="s">
        <v>318</v>
      </c>
      <c r="E17" t="s">
        <v>315</v>
      </c>
      <c r="F17">
        <v>1000260</v>
      </c>
      <c r="G17">
        <v>0.45</v>
      </c>
      <c r="H17" s="505">
        <v>10000</v>
      </c>
      <c r="I17">
        <v>0</v>
      </c>
      <c r="J17">
        <v>0</v>
      </c>
      <c r="K17">
        <v>0</v>
      </c>
      <c r="M17" s="505">
        <v>10000</v>
      </c>
      <c r="O17" s="505">
        <v>920000</v>
      </c>
    </row>
    <row r="18" spans="1:15">
      <c r="A18" t="s">
        <v>1796</v>
      </c>
      <c r="B18" t="s">
        <v>2781</v>
      </c>
      <c r="C18" t="s">
        <v>332</v>
      </c>
      <c r="D18" t="s">
        <v>334</v>
      </c>
      <c r="E18" t="s">
        <v>315</v>
      </c>
      <c r="F18">
        <v>1000260</v>
      </c>
      <c r="G18">
        <v>0.54</v>
      </c>
      <c r="H18" s="505">
        <v>185000</v>
      </c>
      <c r="I18">
        <v>0</v>
      </c>
      <c r="J18">
        <v>0</v>
      </c>
      <c r="K18">
        <v>0</v>
      </c>
      <c r="M18" s="505">
        <v>185000</v>
      </c>
      <c r="O18" s="505">
        <v>20905000</v>
      </c>
    </row>
    <row r="19" spans="1:15">
      <c r="A19" t="s">
        <v>1796</v>
      </c>
      <c r="B19" t="s">
        <v>2437</v>
      </c>
      <c r="C19" t="s">
        <v>313</v>
      </c>
      <c r="D19" t="s">
        <v>220</v>
      </c>
      <c r="E19" t="s">
        <v>315</v>
      </c>
      <c r="F19">
        <v>1000260</v>
      </c>
      <c r="G19">
        <v>0.4</v>
      </c>
      <c r="H19" s="505">
        <v>17000</v>
      </c>
      <c r="I19">
        <v>0</v>
      </c>
      <c r="J19">
        <v>0</v>
      </c>
      <c r="K19">
        <v>0</v>
      </c>
      <c r="M19" s="505">
        <v>17000</v>
      </c>
      <c r="O19" s="505">
        <v>1394000</v>
      </c>
    </row>
    <row r="20" spans="1:15">
      <c r="A20" t="s">
        <v>1772</v>
      </c>
      <c r="B20" t="s">
        <v>3287</v>
      </c>
      <c r="C20" t="s">
        <v>3274</v>
      </c>
      <c r="D20" t="s">
        <v>204</v>
      </c>
      <c r="E20" t="s">
        <v>543</v>
      </c>
      <c r="F20">
        <v>1850246</v>
      </c>
      <c r="G20">
        <v>0.45</v>
      </c>
      <c r="H20" s="505">
        <v>596739</v>
      </c>
      <c r="I20">
        <v>0</v>
      </c>
      <c r="J20">
        <v>0</v>
      </c>
      <c r="K20">
        <v>0</v>
      </c>
      <c r="M20" s="505">
        <v>596739</v>
      </c>
      <c r="O20" s="505">
        <v>26853255</v>
      </c>
    </row>
    <row r="21" spans="1:15">
      <c r="A21" t="s">
        <v>1772</v>
      </c>
      <c r="B21" t="s">
        <v>3327</v>
      </c>
      <c r="C21" t="s">
        <v>544</v>
      </c>
      <c r="D21" t="s">
        <v>546</v>
      </c>
      <c r="E21" t="s">
        <v>543</v>
      </c>
      <c r="F21">
        <v>1850246</v>
      </c>
      <c r="G21">
        <v>0.67</v>
      </c>
      <c r="H21" s="505">
        <v>440000</v>
      </c>
      <c r="I21">
        <v>0</v>
      </c>
      <c r="J21" s="505">
        <v>100000</v>
      </c>
      <c r="K21">
        <v>0</v>
      </c>
      <c r="M21" s="505">
        <v>340000</v>
      </c>
      <c r="O21">
        <v>0</v>
      </c>
    </row>
    <row r="22" spans="1:15">
      <c r="A22" t="s">
        <v>1772</v>
      </c>
      <c r="B22" t="s">
        <v>2597</v>
      </c>
      <c r="C22" t="s">
        <v>547</v>
      </c>
      <c r="D22" t="s">
        <v>204</v>
      </c>
      <c r="E22" t="s">
        <v>549</v>
      </c>
      <c r="F22">
        <v>1850246</v>
      </c>
      <c r="G22">
        <v>0.55000000000000004</v>
      </c>
      <c r="H22" s="505">
        <v>220000</v>
      </c>
      <c r="I22">
        <v>0</v>
      </c>
      <c r="J22">
        <v>0</v>
      </c>
      <c r="K22">
        <v>0</v>
      </c>
      <c r="M22" s="505">
        <v>220000</v>
      </c>
      <c r="O22">
        <v>0</v>
      </c>
    </row>
    <row r="23" spans="1:15">
      <c r="A23" t="s">
        <v>1774</v>
      </c>
      <c r="B23" t="s">
        <v>2774</v>
      </c>
      <c r="C23" t="s">
        <v>2715</v>
      </c>
      <c r="D23" t="s">
        <v>113</v>
      </c>
      <c r="E23" t="s">
        <v>2716</v>
      </c>
      <c r="F23">
        <v>1850260</v>
      </c>
      <c r="G23">
        <v>0.53</v>
      </c>
      <c r="H23" s="505">
        <v>446492</v>
      </c>
      <c r="I23">
        <v>0</v>
      </c>
      <c r="J23" s="505">
        <v>75860</v>
      </c>
      <c r="K23">
        <v>0</v>
      </c>
      <c r="M23" s="505">
        <v>370632</v>
      </c>
      <c r="O23">
        <v>0</v>
      </c>
    </row>
    <row r="24" spans="1:15">
      <c r="A24" t="s">
        <v>1803</v>
      </c>
      <c r="B24" t="s">
        <v>2438</v>
      </c>
      <c r="C24" t="s">
        <v>1801</v>
      </c>
      <c r="D24" t="s">
        <v>1802</v>
      </c>
      <c r="E24" t="s">
        <v>1804</v>
      </c>
      <c r="F24">
        <v>1850260</v>
      </c>
      <c r="G24">
        <v>0.67</v>
      </c>
      <c r="H24" s="505">
        <v>7500</v>
      </c>
      <c r="I24">
        <v>0</v>
      </c>
      <c r="J24">
        <v>0</v>
      </c>
      <c r="K24">
        <v>0</v>
      </c>
      <c r="M24" s="505">
        <v>7500</v>
      </c>
      <c r="O24">
        <v>0</v>
      </c>
    </row>
    <row r="25" spans="1:15">
      <c r="A25" t="s">
        <v>1807</v>
      </c>
      <c r="B25" t="s">
        <v>2677</v>
      </c>
      <c r="C25" t="s">
        <v>1805</v>
      </c>
      <c r="D25" t="s">
        <v>1806</v>
      </c>
      <c r="E25" t="s">
        <v>1808</v>
      </c>
      <c r="F25">
        <v>4350260</v>
      </c>
      <c r="G25">
        <v>0.62</v>
      </c>
      <c r="H25" s="505">
        <v>2250000</v>
      </c>
      <c r="I25">
        <v>0</v>
      </c>
      <c r="J25">
        <v>0</v>
      </c>
      <c r="K25">
        <v>0</v>
      </c>
      <c r="M25" s="505">
        <v>2250000</v>
      </c>
      <c r="O25">
        <v>0</v>
      </c>
    </row>
    <row r="26" spans="1:15">
      <c r="A26" t="s">
        <v>1799</v>
      </c>
      <c r="B26" t="s">
        <v>3169</v>
      </c>
      <c r="C26" t="s">
        <v>1719</v>
      </c>
      <c r="D26" t="s">
        <v>193</v>
      </c>
      <c r="E26" t="s">
        <v>312</v>
      </c>
      <c r="F26">
        <v>1200260</v>
      </c>
      <c r="G26">
        <v>0.55000000000000004</v>
      </c>
      <c r="H26" s="505">
        <v>480000</v>
      </c>
      <c r="I26">
        <v>0</v>
      </c>
      <c r="J26" s="505">
        <v>200000</v>
      </c>
      <c r="K26">
        <v>0</v>
      </c>
      <c r="M26" s="505">
        <v>280000</v>
      </c>
      <c r="O26">
        <v>728</v>
      </c>
    </row>
    <row r="27" spans="1:15">
      <c r="A27" t="s">
        <v>1772</v>
      </c>
      <c r="B27" t="s">
        <v>3427</v>
      </c>
      <c r="C27" t="s">
        <v>3194</v>
      </c>
      <c r="D27" t="s">
        <v>204</v>
      </c>
      <c r="E27" t="s">
        <v>312</v>
      </c>
      <c r="F27">
        <v>1000246</v>
      </c>
      <c r="G27">
        <v>0.54</v>
      </c>
      <c r="H27" s="505">
        <v>380000</v>
      </c>
      <c r="I27">
        <v>0</v>
      </c>
      <c r="J27" s="505">
        <v>300000</v>
      </c>
      <c r="K27">
        <v>0</v>
      </c>
      <c r="M27" s="505">
        <v>80000</v>
      </c>
      <c r="O27" s="505">
        <v>3680000</v>
      </c>
    </row>
    <row r="28" spans="1:15">
      <c r="A28" t="s">
        <v>1772</v>
      </c>
      <c r="B28" t="s">
        <v>2439</v>
      </c>
      <c r="C28" t="s">
        <v>550</v>
      </c>
      <c r="D28" t="s">
        <v>148</v>
      </c>
      <c r="E28" t="s">
        <v>312</v>
      </c>
      <c r="F28">
        <v>1850246</v>
      </c>
      <c r="G28">
        <v>0.53</v>
      </c>
      <c r="H28" s="505">
        <v>670000</v>
      </c>
      <c r="I28">
        <v>0</v>
      </c>
      <c r="J28">
        <v>0</v>
      </c>
      <c r="K28">
        <v>0</v>
      </c>
      <c r="M28" s="505">
        <v>670000</v>
      </c>
      <c r="O28">
        <v>0</v>
      </c>
    </row>
    <row r="29" spans="1:15">
      <c r="A29" t="s">
        <v>1796</v>
      </c>
      <c r="B29" t="s">
        <v>2440</v>
      </c>
      <c r="C29" t="s">
        <v>514</v>
      </c>
      <c r="D29" t="s">
        <v>148</v>
      </c>
      <c r="E29" t="s">
        <v>312</v>
      </c>
      <c r="F29">
        <v>1850246</v>
      </c>
      <c r="G29">
        <v>0.53</v>
      </c>
      <c r="H29" s="505">
        <v>45000</v>
      </c>
      <c r="I29">
        <v>0</v>
      </c>
      <c r="J29">
        <v>0</v>
      </c>
      <c r="K29">
        <v>0</v>
      </c>
      <c r="M29" s="505">
        <v>45000</v>
      </c>
      <c r="O29" s="505">
        <v>4410000</v>
      </c>
    </row>
    <row r="30" spans="1:15">
      <c r="A30" t="s">
        <v>1772</v>
      </c>
      <c r="B30" t="s">
        <v>3288</v>
      </c>
      <c r="C30" t="s">
        <v>3275</v>
      </c>
      <c r="D30" t="s">
        <v>148</v>
      </c>
      <c r="E30" t="s">
        <v>312</v>
      </c>
      <c r="F30">
        <v>1850246</v>
      </c>
      <c r="G30">
        <v>0.52</v>
      </c>
      <c r="H30" s="505">
        <v>1340000</v>
      </c>
      <c r="I30">
        <v>0</v>
      </c>
      <c r="J30" s="505">
        <v>800000</v>
      </c>
      <c r="K30">
        <v>0</v>
      </c>
      <c r="M30" s="505">
        <v>540000</v>
      </c>
      <c r="O30">
        <v>0</v>
      </c>
    </row>
    <row r="31" spans="1:15">
      <c r="A31" t="s">
        <v>1807</v>
      </c>
      <c r="B31" t="s">
        <v>2864</v>
      </c>
      <c r="C31" t="s">
        <v>1809</v>
      </c>
      <c r="D31" t="s">
        <v>1810</v>
      </c>
      <c r="E31" t="s">
        <v>1808</v>
      </c>
      <c r="F31">
        <v>4350260</v>
      </c>
      <c r="G31">
        <v>0.65</v>
      </c>
      <c r="H31" s="505">
        <v>1115000</v>
      </c>
      <c r="I31">
        <v>0</v>
      </c>
      <c r="J31">
        <v>0</v>
      </c>
      <c r="K31">
        <v>0</v>
      </c>
      <c r="M31" s="505">
        <v>1115000</v>
      </c>
      <c r="O31">
        <v>0</v>
      </c>
    </row>
    <row r="32" spans="1:15">
      <c r="A32" t="s">
        <v>1796</v>
      </c>
      <c r="B32" t="s">
        <v>2441</v>
      </c>
      <c r="C32" t="s">
        <v>337</v>
      </c>
      <c r="D32" t="s">
        <v>334</v>
      </c>
      <c r="E32" t="s">
        <v>312</v>
      </c>
      <c r="F32">
        <v>1000260</v>
      </c>
      <c r="G32">
        <v>0.61</v>
      </c>
      <c r="H32" s="505">
        <v>204000</v>
      </c>
      <c r="I32">
        <v>0</v>
      </c>
      <c r="J32">
        <v>0</v>
      </c>
      <c r="K32">
        <v>0</v>
      </c>
      <c r="M32" s="505">
        <v>204000</v>
      </c>
      <c r="O32" s="505">
        <v>20196000</v>
      </c>
    </row>
    <row r="33" spans="1:15">
      <c r="A33" t="s">
        <v>2604</v>
      </c>
      <c r="B33" t="s">
        <v>3105</v>
      </c>
      <c r="C33" t="s">
        <v>3028</v>
      </c>
      <c r="D33" t="s">
        <v>3029</v>
      </c>
      <c r="E33" t="s">
        <v>1808</v>
      </c>
      <c r="F33">
        <v>1000260</v>
      </c>
      <c r="G33">
        <v>0.62</v>
      </c>
      <c r="H33" s="505">
        <v>130000</v>
      </c>
      <c r="I33">
        <v>0</v>
      </c>
      <c r="J33">
        <v>0</v>
      </c>
      <c r="K33">
        <v>0</v>
      </c>
      <c r="M33" s="505">
        <v>130000</v>
      </c>
      <c r="O33">
        <v>0</v>
      </c>
    </row>
    <row r="34" spans="1:15">
      <c r="A34" t="s">
        <v>1799</v>
      </c>
      <c r="B34" t="s">
        <v>3473</v>
      </c>
      <c r="C34" t="s">
        <v>591</v>
      </c>
      <c r="D34" t="s">
        <v>334</v>
      </c>
      <c r="E34" t="s">
        <v>312</v>
      </c>
      <c r="F34">
        <v>1850260</v>
      </c>
      <c r="G34">
        <v>0.69</v>
      </c>
      <c r="H34" s="505">
        <v>200000</v>
      </c>
      <c r="I34">
        <v>0</v>
      </c>
      <c r="J34">
        <v>0</v>
      </c>
      <c r="K34">
        <v>0</v>
      </c>
      <c r="M34" s="505">
        <v>200000</v>
      </c>
      <c r="O34">
        <v>600</v>
      </c>
    </row>
    <row r="35" spans="1:15">
      <c r="A35" t="s">
        <v>1771</v>
      </c>
      <c r="B35" t="s">
        <v>2887</v>
      </c>
      <c r="C35" t="s">
        <v>2857</v>
      </c>
      <c r="D35" t="s">
        <v>1812</v>
      </c>
      <c r="E35" t="s">
        <v>312</v>
      </c>
      <c r="F35">
        <v>1850246</v>
      </c>
      <c r="G35">
        <v>0.66</v>
      </c>
      <c r="H35" s="505">
        <v>24800</v>
      </c>
      <c r="I35">
        <v>0</v>
      </c>
      <c r="J35" s="505">
        <v>15000</v>
      </c>
      <c r="K35">
        <v>0</v>
      </c>
      <c r="M35" s="505">
        <v>9800</v>
      </c>
      <c r="O35">
        <v>0</v>
      </c>
    </row>
    <row r="36" spans="1:15">
      <c r="A36" t="s">
        <v>1813</v>
      </c>
      <c r="B36" t="s">
        <v>2442</v>
      </c>
      <c r="C36" t="s">
        <v>1811</v>
      </c>
      <c r="D36" t="s">
        <v>1812</v>
      </c>
      <c r="E36" t="s">
        <v>194</v>
      </c>
      <c r="F36">
        <v>3020246</v>
      </c>
      <c r="G36">
        <v>0.66</v>
      </c>
      <c r="H36" s="505">
        <v>45000</v>
      </c>
      <c r="I36">
        <v>0</v>
      </c>
      <c r="J36">
        <v>0</v>
      </c>
      <c r="K36">
        <v>0</v>
      </c>
      <c r="M36" s="505">
        <v>45000</v>
      </c>
      <c r="O36" s="505">
        <v>5445000</v>
      </c>
    </row>
    <row r="37" spans="1:15">
      <c r="A37" t="s">
        <v>1771</v>
      </c>
      <c r="B37" t="s">
        <v>2876</v>
      </c>
      <c r="C37" t="s">
        <v>2877</v>
      </c>
      <c r="D37" t="s">
        <v>546</v>
      </c>
      <c r="E37" t="s">
        <v>312</v>
      </c>
      <c r="F37">
        <v>1850246</v>
      </c>
      <c r="G37">
        <v>0.64</v>
      </c>
      <c r="H37" s="505">
        <v>125000</v>
      </c>
      <c r="I37">
        <v>0</v>
      </c>
      <c r="J37">
        <v>0</v>
      </c>
      <c r="K37">
        <v>0</v>
      </c>
      <c r="M37" s="505">
        <v>125000</v>
      </c>
      <c r="O37">
        <v>0</v>
      </c>
    </row>
    <row r="38" spans="1:15">
      <c r="A38" t="s">
        <v>1796</v>
      </c>
      <c r="B38" t="s">
        <v>2443</v>
      </c>
      <c r="C38" t="s">
        <v>529</v>
      </c>
      <c r="D38" t="s">
        <v>531</v>
      </c>
      <c r="E38" t="s">
        <v>532</v>
      </c>
      <c r="F38">
        <v>1850246</v>
      </c>
      <c r="G38">
        <v>0.61</v>
      </c>
      <c r="H38" s="505">
        <v>104000</v>
      </c>
      <c r="I38">
        <v>0</v>
      </c>
      <c r="J38">
        <v>0</v>
      </c>
      <c r="K38">
        <v>0</v>
      </c>
      <c r="M38" s="505">
        <v>104000</v>
      </c>
      <c r="O38" s="505">
        <v>11544000</v>
      </c>
    </row>
    <row r="39" spans="1:15">
      <c r="A39" t="s">
        <v>1796</v>
      </c>
      <c r="B39" t="s">
        <v>2444</v>
      </c>
      <c r="C39" t="s">
        <v>309</v>
      </c>
      <c r="D39" t="s">
        <v>311</v>
      </c>
      <c r="E39" t="s">
        <v>312</v>
      </c>
      <c r="F39">
        <v>1000260</v>
      </c>
      <c r="G39">
        <v>0.37</v>
      </c>
      <c r="H39" s="505">
        <v>10000</v>
      </c>
      <c r="I39">
        <v>0</v>
      </c>
      <c r="J39">
        <v>0</v>
      </c>
      <c r="K39">
        <v>0</v>
      </c>
      <c r="M39" s="505">
        <v>10000</v>
      </c>
      <c r="O39" s="505">
        <v>670000</v>
      </c>
    </row>
    <row r="40" spans="1:15">
      <c r="A40" t="s">
        <v>1799</v>
      </c>
      <c r="B40" t="s">
        <v>2445</v>
      </c>
      <c r="C40" t="s">
        <v>1715</v>
      </c>
      <c r="D40" t="s">
        <v>311</v>
      </c>
      <c r="E40" t="s">
        <v>312</v>
      </c>
      <c r="F40">
        <v>1000260</v>
      </c>
      <c r="G40">
        <v>0.41</v>
      </c>
      <c r="H40" s="505">
        <v>158160</v>
      </c>
      <c r="I40">
        <v>0</v>
      </c>
      <c r="J40" s="505">
        <v>24000</v>
      </c>
      <c r="K40">
        <v>0</v>
      </c>
      <c r="M40" s="505">
        <v>134160</v>
      </c>
      <c r="O40">
        <v>0</v>
      </c>
    </row>
    <row r="41" spans="1:15">
      <c r="A41" t="s">
        <v>1760</v>
      </c>
      <c r="B41" t="s">
        <v>2446</v>
      </c>
      <c r="C41" t="s">
        <v>872</v>
      </c>
      <c r="D41" t="s">
        <v>874</v>
      </c>
      <c r="E41" t="s">
        <v>312</v>
      </c>
      <c r="F41">
        <v>3020260</v>
      </c>
      <c r="G41">
        <v>0.6</v>
      </c>
      <c r="H41" s="505">
        <v>20000</v>
      </c>
      <c r="I41">
        <v>0</v>
      </c>
      <c r="J41">
        <v>0</v>
      </c>
      <c r="K41">
        <v>0</v>
      </c>
      <c r="M41" s="505">
        <v>20000</v>
      </c>
      <c r="O41" s="505">
        <v>1480000</v>
      </c>
    </row>
    <row r="42" spans="1:15">
      <c r="A42" t="s">
        <v>1796</v>
      </c>
      <c r="B42" t="s">
        <v>2447</v>
      </c>
      <c r="C42" t="s">
        <v>327</v>
      </c>
      <c r="D42" t="s">
        <v>220</v>
      </c>
      <c r="E42" t="s">
        <v>312</v>
      </c>
      <c r="F42">
        <v>1000260</v>
      </c>
      <c r="G42">
        <v>0.52</v>
      </c>
      <c r="H42" s="505">
        <v>60000</v>
      </c>
      <c r="I42">
        <v>0</v>
      </c>
      <c r="J42">
        <v>0</v>
      </c>
      <c r="K42">
        <v>0</v>
      </c>
      <c r="M42" s="505">
        <v>60000</v>
      </c>
      <c r="O42" s="505">
        <v>5220000</v>
      </c>
    </row>
    <row r="43" spans="1:15">
      <c r="A43" t="s">
        <v>1796</v>
      </c>
      <c r="B43" t="s">
        <v>3121</v>
      </c>
      <c r="C43" t="s">
        <v>322</v>
      </c>
      <c r="D43" t="s">
        <v>324</v>
      </c>
      <c r="E43" t="s">
        <v>312</v>
      </c>
      <c r="F43">
        <v>1000260</v>
      </c>
      <c r="G43">
        <v>0.65</v>
      </c>
      <c r="H43" s="505">
        <v>290000</v>
      </c>
      <c r="I43">
        <v>0</v>
      </c>
      <c r="J43">
        <v>0</v>
      </c>
      <c r="K43">
        <v>0</v>
      </c>
      <c r="M43" s="505">
        <v>290000</v>
      </c>
      <c r="O43" s="505">
        <v>50750000</v>
      </c>
    </row>
    <row r="44" spans="1:15">
      <c r="A44" t="s">
        <v>1770</v>
      </c>
      <c r="B44" t="s">
        <v>2448</v>
      </c>
      <c r="C44" t="s">
        <v>1817</v>
      </c>
      <c r="D44" t="s">
        <v>961</v>
      </c>
      <c r="E44" t="s">
        <v>194</v>
      </c>
      <c r="F44">
        <v>3020246</v>
      </c>
      <c r="G44">
        <v>0.53</v>
      </c>
      <c r="H44" s="505">
        <v>100000</v>
      </c>
      <c r="I44">
        <v>0</v>
      </c>
      <c r="J44">
        <v>0</v>
      </c>
      <c r="K44">
        <v>0</v>
      </c>
      <c r="M44" s="505">
        <v>100000</v>
      </c>
      <c r="O44">
        <v>0</v>
      </c>
    </row>
    <row r="45" spans="1:15">
      <c r="A45" t="s">
        <v>1774</v>
      </c>
      <c r="B45" t="s">
        <v>3252</v>
      </c>
      <c r="C45" t="s">
        <v>3208</v>
      </c>
      <c r="D45" t="s">
        <v>3209</v>
      </c>
      <c r="E45" t="s">
        <v>312</v>
      </c>
      <c r="F45">
        <v>1850246</v>
      </c>
      <c r="G45">
        <v>0.46</v>
      </c>
      <c r="H45" s="505">
        <v>140000</v>
      </c>
      <c r="I45">
        <v>0</v>
      </c>
      <c r="J45" s="505">
        <v>10000</v>
      </c>
      <c r="K45">
        <v>0</v>
      </c>
      <c r="M45" s="505">
        <v>130000</v>
      </c>
      <c r="O45">
        <v>0</v>
      </c>
    </row>
    <row r="46" spans="1:15">
      <c r="A46" t="s">
        <v>1819</v>
      </c>
      <c r="B46" t="s">
        <v>3134</v>
      </c>
      <c r="C46" t="s">
        <v>1721</v>
      </c>
      <c r="D46" t="s">
        <v>167</v>
      </c>
      <c r="E46" t="s">
        <v>312</v>
      </c>
      <c r="F46">
        <v>1850246</v>
      </c>
      <c r="G46">
        <v>0.46</v>
      </c>
      <c r="H46" s="505">
        <v>385000</v>
      </c>
      <c r="I46">
        <v>0</v>
      </c>
      <c r="J46" s="505">
        <v>175000</v>
      </c>
      <c r="K46">
        <v>0</v>
      </c>
      <c r="M46" s="505">
        <v>210000</v>
      </c>
      <c r="O46">
        <v>0</v>
      </c>
    </row>
    <row r="47" spans="1:15">
      <c r="A47" t="s">
        <v>1772</v>
      </c>
      <c r="B47" t="s">
        <v>3424</v>
      </c>
      <c r="C47" t="s">
        <v>3373</v>
      </c>
      <c r="D47" t="s">
        <v>209</v>
      </c>
      <c r="E47" t="s">
        <v>312</v>
      </c>
      <c r="F47">
        <v>1850246</v>
      </c>
      <c r="G47">
        <v>0.52</v>
      </c>
      <c r="H47" s="505">
        <v>4660000</v>
      </c>
      <c r="I47" s="505">
        <v>3460000</v>
      </c>
      <c r="J47" s="505">
        <v>5000000</v>
      </c>
      <c r="K47">
        <v>0</v>
      </c>
      <c r="M47" s="505">
        <v>3120000</v>
      </c>
      <c r="O47" s="505">
        <v>121680000</v>
      </c>
    </row>
    <row r="48" spans="1:15">
      <c r="A48" t="s">
        <v>1803</v>
      </c>
      <c r="B48" t="s">
        <v>3376</v>
      </c>
      <c r="C48" t="s">
        <v>3016</v>
      </c>
      <c r="D48" t="s">
        <v>3017</v>
      </c>
      <c r="F48">
        <v>1850246</v>
      </c>
      <c r="G48">
        <v>0.55000000000000004</v>
      </c>
      <c r="H48" s="505">
        <v>40000</v>
      </c>
      <c r="I48">
        <v>0</v>
      </c>
      <c r="J48">
        <v>0</v>
      </c>
      <c r="K48">
        <v>0</v>
      </c>
      <c r="M48" s="505">
        <v>40000</v>
      </c>
      <c r="O48">
        <v>0</v>
      </c>
    </row>
    <row r="49" spans="1:15">
      <c r="A49" t="s">
        <v>3280</v>
      </c>
      <c r="B49" t="s">
        <v>2449</v>
      </c>
      <c r="C49" t="s">
        <v>523</v>
      </c>
      <c r="D49" t="s">
        <v>524</v>
      </c>
      <c r="E49" t="s">
        <v>331</v>
      </c>
      <c r="F49">
        <v>1850246</v>
      </c>
      <c r="G49">
        <v>0.6</v>
      </c>
      <c r="H49" s="505">
        <v>305000</v>
      </c>
      <c r="I49">
        <v>0</v>
      </c>
      <c r="J49">
        <v>0</v>
      </c>
      <c r="K49">
        <v>0</v>
      </c>
      <c r="M49" s="505">
        <v>305000</v>
      </c>
      <c r="O49">
        <v>0</v>
      </c>
    </row>
    <row r="50" spans="1:15">
      <c r="A50" t="s">
        <v>1799</v>
      </c>
      <c r="B50" t="s">
        <v>2808</v>
      </c>
      <c r="C50" t="s">
        <v>593</v>
      </c>
      <c r="D50" t="s">
        <v>148</v>
      </c>
      <c r="E50" t="s">
        <v>331</v>
      </c>
      <c r="F50">
        <v>1850246</v>
      </c>
      <c r="G50">
        <v>0.57999999999999996</v>
      </c>
      <c r="H50" s="505">
        <v>125000</v>
      </c>
      <c r="I50">
        <v>0</v>
      </c>
      <c r="J50">
        <v>0</v>
      </c>
      <c r="K50">
        <v>0</v>
      </c>
      <c r="M50" s="505">
        <v>125000</v>
      </c>
      <c r="O50">
        <v>375</v>
      </c>
    </row>
    <row r="51" spans="1:15">
      <c r="A51" t="s">
        <v>1796</v>
      </c>
      <c r="B51" t="s">
        <v>3106</v>
      </c>
      <c r="C51" t="s">
        <v>527</v>
      </c>
      <c r="D51" t="s">
        <v>148</v>
      </c>
      <c r="E51" t="s">
        <v>331</v>
      </c>
      <c r="F51">
        <v>1850246</v>
      </c>
      <c r="G51">
        <v>0.56999999999999995</v>
      </c>
      <c r="H51" s="505">
        <v>170000</v>
      </c>
      <c r="I51">
        <v>0</v>
      </c>
      <c r="J51">
        <v>0</v>
      </c>
      <c r="K51">
        <v>0</v>
      </c>
      <c r="M51" s="505">
        <v>170000</v>
      </c>
      <c r="O51" s="505">
        <v>19210000</v>
      </c>
    </row>
    <row r="52" spans="1:15">
      <c r="A52" t="s">
        <v>1771</v>
      </c>
      <c r="B52" t="s">
        <v>2809</v>
      </c>
      <c r="C52" t="s">
        <v>2730</v>
      </c>
      <c r="D52" t="s">
        <v>2803</v>
      </c>
      <c r="E52" t="s">
        <v>331</v>
      </c>
      <c r="F52">
        <v>4300246</v>
      </c>
      <c r="G52">
        <v>0.68</v>
      </c>
      <c r="H52" s="505">
        <v>5000</v>
      </c>
      <c r="I52" s="505">
        <v>50000</v>
      </c>
      <c r="J52" s="505">
        <v>5000</v>
      </c>
      <c r="K52">
        <v>0</v>
      </c>
      <c r="M52" s="505">
        <v>50000</v>
      </c>
      <c r="O52">
        <v>0</v>
      </c>
    </row>
    <row r="53" spans="1:15">
      <c r="A53" t="s">
        <v>2375</v>
      </c>
      <c r="B53" t="s">
        <v>3536</v>
      </c>
      <c r="C53" t="s">
        <v>2902</v>
      </c>
      <c r="D53" t="s">
        <v>2903</v>
      </c>
      <c r="E53" t="s">
        <v>1843</v>
      </c>
      <c r="F53">
        <v>1850260</v>
      </c>
      <c r="G53">
        <v>0.43</v>
      </c>
      <c r="H53">
        <v>0</v>
      </c>
      <c r="I53" s="505">
        <v>300000</v>
      </c>
      <c r="J53" s="505">
        <v>108000</v>
      </c>
      <c r="K53">
        <v>0</v>
      </c>
      <c r="M53" s="505">
        <v>192000</v>
      </c>
      <c r="O53">
        <v>0</v>
      </c>
    </row>
    <row r="54" spans="1:15">
      <c r="A54" t="s">
        <v>1803</v>
      </c>
      <c r="B54" t="s">
        <v>3325</v>
      </c>
      <c r="C54" t="s">
        <v>506</v>
      </c>
      <c r="D54" t="s">
        <v>508</v>
      </c>
      <c r="E54" t="s">
        <v>331</v>
      </c>
      <c r="F54">
        <v>1850246</v>
      </c>
      <c r="G54">
        <v>0.45</v>
      </c>
      <c r="H54" s="505">
        <v>295000</v>
      </c>
      <c r="I54">
        <v>0</v>
      </c>
      <c r="J54" s="505">
        <v>120000</v>
      </c>
      <c r="K54">
        <v>0</v>
      </c>
      <c r="M54" s="505">
        <v>175000</v>
      </c>
      <c r="O54" s="505">
        <v>10500000</v>
      </c>
    </row>
    <row r="55" spans="1:15">
      <c r="A55" t="s">
        <v>1772</v>
      </c>
      <c r="B55" t="s">
        <v>2709</v>
      </c>
      <c r="C55" t="s">
        <v>555</v>
      </c>
      <c r="D55" t="s">
        <v>508</v>
      </c>
      <c r="E55" t="s">
        <v>331</v>
      </c>
      <c r="F55">
        <v>1850246</v>
      </c>
      <c r="G55">
        <v>0.45</v>
      </c>
      <c r="H55" s="505">
        <v>65000</v>
      </c>
      <c r="I55">
        <v>0</v>
      </c>
      <c r="J55">
        <v>0</v>
      </c>
      <c r="K55">
        <v>0</v>
      </c>
      <c r="M55" s="505">
        <v>65000</v>
      </c>
      <c r="O55">
        <v>0</v>
      </c>
    </row>
    <row r="56" spans="1:15">
      <c r="A56" t="s">
        <v>1772</v>
      </c>
      <c r="B56" t="s">
        <v>3504</v>
      </c>
      <c r="C56" t="s">
        <v>557</v>
      </c>
      <c r="D56" t="s">
        <v>508</v>
      </c>
      <c r="E56" t="s">
        <v>331</v>
      </c>
      <c r="F56">
        <v>1850246</v>
      </c>
      <c r="G56">
        <v>0.44</v>
      </c>
      <c r="H56" s="505">
        <v>80000</v>
      </c>
      <c r="I56">
        <v>0</v>
      </c>
      <c r="J56">
        <v>0</v>
      </c>
      <c r="K56">
        <v>0</v>
      </c>
      <c r="M56" s="505">
        <v>80000</v>
      </c>
      <c r="O56">
        <v>0</v>
      </c>
    </row>
    <row r="57" spans="1:15">
      <c r="A57" t="s">
        <v>1803</v>
      </c>
      <c r="B57" t="s">
        <v>3377</v>
      </c>
      <c r="C57" t="s">
        <v>1737</v>
      </c>
      <c r="D57" t="s">
        <v>568</v>
      </c>
      <c r="E57" t="s">
        <v>61</v>
      </c>
      <c r="F57">
        <v>1850246</v>
      </c>
      <c r="G57">
        <v>0.36</v>
      </c>
      <c r="H57" s="505">
        <v>415000</v>
      </c>
      <c r="I57">
        <v>0</v>
      </c>
      <c r="J57" s="505">
        <v>90000</v>
      </c>
      <c r="K57">
        <v>0</v>
      </c>
      <c r="M57" s="505">
        <v>325000</v>
      </c>
      <c r="O57">
        <v>0</v>
      </c>
    </row>
    <row r="58" spans="1:15">
      <c r="A58" t="s">
        <v>1771</v>
      </c>
      <c r="B58" t="s">
        <v>3124</v>
      </c>
      <c r="C58" t="s">
        <v>2348</v>
      </c>
      <c r="D58" t="s">
        <v>513</v>
      </c>
      <c r="E58" t="s">
        <v>61</v>
      </c>
      <c r="F58">
        <v>1850246</v>
      </c>
      <c r="G58">
        <v>0.43</v>
      </c>
      <c r="H58" s="505">
        <v>23366</v>
      </c>
      <c r="I58">
        <v>0</v>
      </c>
      <c r="J58">
        <v>0</v>
      </c>
      <c r="K58">
        <v>0</v>
      </c>
      <c r="M58" s="505">
        <v>23366</v>
      </c>
      <c r="O58">
        <v>0</v>
      </c>
    </row>
    <row r="59" spans="1:15">
      <c r="A59" t="s">
        <v>1771</v>
      </c>
      <c r="B59" t="s">
        <v>2824</v>
      </c>
      <c r="C59" t="s">
        <v>2731</v>
      </c>
      <c r="D59" t="s">
        <v>513</v>
      </c>
      <c r="E59" t="s">
        <v>331</v>
      </c>
      <c r="F59">
        <v>1850246</v>
      </c>
      <c r="G59">
        <v>0.38</v>
      </c>
      <c r="H59" s="505">
        <v>31711</v>
      </c>
      <c r="I59">
        <v>0</v>
      </c>
      <c r="J59">
        <v>0</v>
      </c>
      <c r="K59">
        <v>0</v>
      </c>
      <c r="M59" s="505">
        <v>31711</v>
      </c>
      <c r="O59">
        <v>0</v>
      </c>
    </row>
    <row r="60" spans="1:15">
      <c r="A60" t="s">
        <v>1774</v>
      </c>
      <c r="B60" t="s">
        <v>3101</v>
      </c>
      <c r="C60" t="s">
        <v>35</v>
      </c>
      <c r="D60" t="s">
        <v>47</v>
      </c>
      <c r="E60" t="s">
        <v>61</v>
      </c>
      <c r="F60">
        <v>1850246</v>
      </c>
      <c r="G60">
        <v>0.5</v>
      </c>
      <c r="H60" s="505">
        <v>810000</v>
      </c>
      <c r="I60">
        <v>0</v>
      </c>
      <c r="J60" s="505">
        <v>411000</v>
      </c>
      <c r="K60">
        <v>0</v>
      </c>
      <c r="M60" s="505">
        <v>399000</v>
      </c>
      <c r="O60" s="505">
        <v>15162000</v>
      </c>
    </row>
    <row r="61" spans="1:15">
      <c r="A61" t="s">
        <v>1835</v>
      </c>
      <c r="B61" t="s">
        <v>3177</v>
      </c>
      <c r="C61" t="s">
        <v>1679</v>
      </c>
      <c r="D61" t="s">
        <v>1400</v>
      </c>
      <c r="E61" t="s">
        <v>331</v>
      </c>
      <c r="F61">
        <v>3020246</v>
      </c>
      <c r="G61">
        <v>0.55000000000000004</v>
      </c>
      <c r="H61" s="505">
        <v>70000</v>
      </c>
      <c r="I61">
        <v>0</v>
      </c>
      <c r="J61" s="505">
        <v>65000</v>
      </c>
      <c r="K61">
        <v>0</v>
      </c>
      <c r="M61" s="505">
        <v>5000</v>
      </c>
      <c r="O61" s="505">
        <v>540000</v>
      </c>
    </row>
    <row r="62" spans="1:15">
      <c r="A62" t="s">
        <v>1772</v>
      </c>
      <c r="B62" t="s">
        <v>3360</v>
      </c>
      <c r="C62" t="s">
        <v>2705</v>
      </c>
      <c r="D62" t="s">
        <v>2706</v>
      </c>
      <c r="E62" t="s">
        <v>1843</v>
      </c>
      <c r="F62">
        <v>1850260</v>
      </c>
      <c r="G62">
        <v>0.75</v>
      </c>
      <c r="H62" s="505">
        <v>600000</v>
      </c>
      <c r="I62">
        <v>0</v>
      </c>
      <c r="J62" s="505">
        <v>105000</v>
      </c>
      <c r="K62">
        <v>0</v>
      </c>
      <c r="M62" s="505">
        <v>495000</v>
      </c>
      <c r="O62">
        <v>0</v>
      </c>
    </row>
    <row r="63" spans="1:15">
      <c r="A63" t="s">
        <v>1803</v>
      </c>
      <c r="B63" t="s">
        <v>3158</v>
      </c>
      <c r="C63" t="s">
        <v>329</v>
      </c>
      <c r="D63" t="s">
        <v>113</v>
      </c>
      <c r="E63" t="s">
        <v>331</v>
      </c>
      <c r="F63">
        <v>1000260</v>
      </c>
      <c r="G63">
        <v>0.65</v>
      </c>
      <c r="H63" s="505">
        <v>95000</v>
      </c>
      <c r="I63">
        <v>0</v>
      </c>
      <c r="J63" s="505">
        <v>40000</v>
      </c>
      <c r="K63">
        <v>0</v>
      </c>
      <c r="M63" s="505">
        <v>55000</v>
      </c>
      <c r="O63" s="505">
        <v>4675000</v>
      </c>
    </row>
    <row r="64" spans="1:15">
      <c r="A64" t="s">
        <v>2375</v>
      </c>
      <c r="B64" t="s">
        <v>3150</v>
      </c>
      <c r="C64" t="s">
        <v>2904</v>
      </c>
      <c r="D64" t="s">
        <v>2905</v>
      </c>
      <c r="E64" t="s">
        <v>1843</v>
      </c>
      <c r="F64">
        <v>1000260</v>
      </c>
      <c r="G64">
        <v>0.56999999999999995</v>
      </c>
      <c r="H64" s="505">
        <v>189870</v>
      </c>
      <c r="I64">
        <v>0</v>
      </c>
      <c r="J64">
        <v>0</v>
      </c>
      <c r="K64">
        <v>0</v>
      </c>
      <c r="M64" s="505">
        <v>189870</v>
      </c>
      <c r="O64">
        <v>0</v>
      </c>
    </row>
    <row r="65" spans="1:15">
      <c r="A65" t="s">
        <v>1796</v>
      </c>
      <c r="B65" t="s">
        <v>3125</v>
      </c>
      <c r="C65" t="s">
        <v>335</v>
      </c>
      <c r="D65" t="s">
        <v>324</v>
      </c>
      <c r="E65" t="s">
        <v>331</v>
      </c>
      <c r="F65">
        <v>1000260</v>
      </c>
      <c r="G65">
        <v>0.75</v>
      </c>
      <c r="H65" s="505">
        <v>20000</v>
      </c>
      <c r="I65" s="505">
        <v>185000</v>
      </c>
      <c r="J65">
        <v>0</v>
      </c>
      <c r="K65">
        <v>0</v>
      </c>
      <c r="M65" s="505">
        <v>205000</v>
      </c>
      <c r="O65" s="505">
        <v>38745000</v>
      </c>
    </row>
    <row r="66" spans="1:15">
      <c r="A66" t="s">
        <v>1803</v>
      </c>
      <c r="B66" t="s">
        <v>3025</v>
      </c>
      <c r="C66" t="s">
        <v>382</v>
      </c>
      <c r="D66" t="s">
        <v>201</v>
      </c>
      <c r="E66" t="s">
        <v>331</v>
      </c>
      <c r="F66">
        <v>1000246</v>
      </c>
      <c r="G66">
        <v>0.52</v>
      </c>
      <c r="H66" s="505">
        <v>109060</v>
      </c>
      <c r="I66">
        <v>0</v>
      </c>
      <c r="J66" s="505">
        <v>80000</v>
      </c>
      <c r="K66">
        <v>0</v>
      </c>
      <c r="M66" s="505">
        <v>29060</v>
      </c>
      <c r="O66" s="505">
        <v>1976080</v>
      </c>
    </row>
    <row r="67" spans="1:15">
      <c r="A67" t="s">
        <v>1813</v>
      </c>
      <c r="B67" t="s">
        <v>2450</v>
      </c>
      <c r="C67" t="s">
        <v>1710</v>
      </c>
      <c r="D67" t="s">
        <v>201</v>
      </c>
      <c r="E67" t="s">
        <v>331</v>
      </c>
      <c r="F67">
        <v>1850246</v>
      </c>
      <c r="G67">
        <v>0.53</v>
      </c>
      <c r="H67" s="505">
        <v>90000</v>
      </c>
      <c r="I67">
        <v>0</v>
      </c>
      <c r="J67">
        <v>0</v>
      </c>
      <c r="K67">
        <v>0</v>
      </c>
      <c r="M67" s="505">
        <v>90000</v>
      </c>
      <c r="O67" s="505">
        <v>4590000</v>
      </c>
    </row>
    <row r="68" spans="1:15">
      <c r="A68" t="s">
        <v>1839</v>
      </c>
      <c r="B68" t="s">
        <v>2451</v>
      </c>
      <c r="C68" t="s">
        <v>254</v>
      </c>
      <c r="D68" t="s">
        <v>255</v>
      </c>
      <c r="E68" t="s">
        <v>331</v>
      </c>
      <c r="F68">
        <v>1850246</v>
      </c>
      <c r="G68">
        <v>0.52</v>
      </c>
      <c r="H68" s="505">
        <v>450000</v>
      </c>
      <c r="I68">
        <v>0</v>
      </c>
      <c r="J68">
        <v>0</v>
      </c>
      <c r="K68">
        <v>0</v>
      </c>
      <c r="M68" s="505">
        <v>450000</v>
      </c>
      <c r="O68" s="505">
        <v>17550000</v>
      </c>
    </row>
    <row r="69" spans="1:15">
      <c r="A69" t="s">
        <v>1819</v>
      </c>
      <c r="B69" t="s">
        <v>2888</v>
      </c>
      <c r="C69" t="s">
        <v>2749</v>
      </c>
      <c r="D69" t="s">
        <v>2753</v>
      </c>
      <c r="E69" t="s">
        <v>331</v>
      </c>
      <c r="F69">
        <v>4300246</v>
      </c>
      <c r="G69">
        <v>0.53</v>
      </c>
      <c r="H69" s="505">
        <v>6000</v>
      </c>
      <c r="I69">
        <v>0</v>
      </c>
      <c r="J69">
        <v>0</v>
      </c>
      <c r="K69">
        <v>0</v>
      </c>
      <c r="M69" s="505">
        <v>6000</v>
      </c>
      <c r="O69">
        <v>0</v>
      </c>
    </row>
    <row r="70" spans="1:15">
      <c r="A70" t="s">
        <v>1840</v>
      </c>
      <c r="B70" t="s">
        <v>2452</v>
      </c>
      <c r="C70" t="s">
        <v>166</v>
      </c>
      <c r="D70" t="s">
        <v>167</v>
      </c>
      <c r="E70" t="s">
        <v>331</v>
      </c>
      <c r="F70">
        <v>1850246</v>
      </c>
      <c r="G70">
        <v>0.52</v>
      </c>
      <c r="H70" s="505">
        <v>200000</v>
      </c>
      <c r="I70">
        <v>0</v>
      </c>
      <c r="J70">
        <v>0</v>
      </c>
      <c r="K70">
        <v>0</v>
      </c>
      <c r="M70" s="505">
        <v>200000</v>
      </c>
      <c r="O70" s="505">
        <v>6800000</v>
      </c>
    </row>
    <row r="71" spans="1:15">
      <c r="A71" t="s">
        <v>1796</v>
      </c>
      <c r="B71" t="s">
        <v>2660</v>
      </c>
      <c r="C71" t="s">
        <v>521</v>
      </c>
      <c r="D71" t="s">
        <v>167</v>
      </c>
      <c r="E71" t="s">
        <v>331</v>
      </c>
      <c r="F71">
        <v>1850246</v>
      </c>
      <c r="G71">
        <v>0.55000000000000004</v>
      </c>
      <c r="H71" s="505">
        <v>120000</v>
      </c>
      <c r="I71">
        <v>0</v>
      </c>
      <c r="J71">
        <v>0</v>
      </c>
      <c r="K71">
        <v>0</v>
      </c>
      <c r="M71" s="505">
        <v>120000</v>
      </c>
      <c r="O71" s="505">
        <v>12000000</v>
      </c>
    </row>
    <row r="72" spans="1:15">
      <c r="A72" t="s">
        <v>1772</v>
      </c>
      <c r="B72" t="s">
        <v>3378</v>
      </c>
      <c r="C72" t="s">
        <v>3333</v>
      </c>
      <c r="D72" t="s">
        <v>167</v>
      </c>
      <c r="E72" t="s">
        <v>331</v>
      </c>
      <c r="F72">
        <v>1850246</v>
      </c>
      <c r="G72">
        <v>0.52</v>
      </c>
      <c r="H72" s="505">
        <v>60000</v>
      </c>
      <c r="I72" s="505">
        <v>620000</v>
      </c>
      <c r="J72" s="505">
        <v>100000</v>
      </c>
      <c r="K72">
        <v>0</v>
      </c>
      <c r="M72" s="505">
        <v>580000</v>
      </c>
      <c r="O72">
        <v>0</v>
      </c>
    </row>
    <row r="73" spans="1:15">
      <c r="A73" t="s">
        <v>1771</v>
      </c>
      <c r="B73" t="s">
        <v>2616</v>
      </c>
      <c r="C73" t="s">
        <v>2349</v>
      </c>
      <c r="D73" t="s">
        <v>46</v>
      </c>
      <c r="E73" t="s">
        <v>61</v>
      </c>
      <c r="F73">
        <v>1850246</v>
      </c>
      <c r="G73">
        <v>0.47</v>
      </c>
      <c r="H73" s="505">
        <v>12100</v>
      </c>
      <c r="I73">
        <v>0</v>
      </c>
      <c r="J73" s="505">
        <v>5000</v>
      </c>
      <c r="K73">
        <v>0</v>
      </c>
      <c r="M73" s="505">
        <v>7100</v>
      </c>
      <c r="O73">
        <v>0</v>
      </c>
    </row>
    <row r="74" spans="1:15">
      <c r="A74" t="s">
        <v>1771</v>
      </c>
      <c r="B74" t="s">
        <v>2968</v>
      </c>
      <c r="C74" t="s">
        <v>2895</v>
      </c>
      <c r="D74" t="s">
        <v>46</v>
      </c>
      <c r="E74" t="s">
        <v>61</v>
      </c>
      <c r="F74">
        <v>1850246</v>
      </c>
      <c r="G74">
        <v>0.47</v>
      </c>
      <c r="H74" s="505">
        <v>82000</v>
      </c>
      <c r="I74">
        <v>0</v>
      </c>
      <c r="J74" s="505">
        <v>4000</v>
      </c>
      <c r="K74">
        <v>0</v>
      </c>
      <c r="M74" s="505">
        <v>78000</v>
      </c>
      <c r="O74">
        <v>0</v>
      </c>
    </row>
    <row r="75" spans="1:15">
      <c r="A75" t="s">
        <v>1803</v>
      </c>
      <c r="B75" t="s">
        <v>3361</v>
      </c>
      <c r="C75" t="s">
        <v>2991</v>
      </c>
      <c r="D75" t="s">
        <v>2994</v>
      </c>
      <c r="E75" t="s">
        <v>331</v>
      </c>
      <c r="F75">
        <v>1850246</v>
      </c>
      <c r="G75">
        <v>0.64</v>
      </c>
      <c r="H75" s="505">
        <v>665000</v>
      </c>
      <c r="I75">
        <v>0</v>
      </c>
      <c r="J75" s="505">
        <v>50000</v>
      </c>
      <c r="K75">
        <v>0</v>
      </c>
      <c r="M75" s="505">
        <v>615000</v>
      </c>
      <c r="O75">
        <v>0</v>
      </c>
    </row>
    <row r="76" spans="1:15">
      <c r="A76" t="s">
        <v>1835</v>
      </c>
      <c r="B76" t="s">
        <v>2453</v>
      </c>
      <c r="C76" t="s">
        <v>1842</v>
      </c>
      <c r="D76" t="s">
        <v>963</v>
      </c>
      <c r="E76" t="s">
        <v>1843</v>
      </c>
      <c r="F76">
        <v>1000260</v>
      </c>
      <c r="G76">
        <v>0.55000000000000004</v>
      </c>
      <c r="H76" s="505">
        <v>5000</v>
      </c>
      <c r="I76">
        <v>0</v>
      </c>
      <c r="J76">
        <v>0</v>
      </c>
      <c r="K76">
        <v>0</v>
      </c>
      <c r="M76" s="505">
        <v>5000</v>
      </c>
      <c r="O76">
        <v>0</v>
      </c>
    </row>
    <row r="77" spans="1:15">
      <c r="A77" t="s">
        <v>2375</v>
      </c>
      <c r="B77" t="s">
        <v>2854</v>
      </c>
      <c r="C77" t="s">
        <v>2360</v>
      </c>
      <c r="D77" t="s">
        <v>2374</v>
      </c>
      <c r="E77" t="s">
        <v>2376</v>
      </c>
      <c r="F77">
        <v>1000260</v>
      </c>
      <c r="G77">
        <v>0.49</v>
      </c>
      <c r="H77" s="505">
        <v>162000</v>
      </c>
      <c r="I77">
        <v>0</v>
      </c>
      <c r="J77" s="505">
        <v>54000</v>
      </c>
      <c r="K77">
        <v>0</v>
      </c>
      <c r="M77" s="505">
        <v>108000</v>
      </c>
      <c r="O77">
        <v>0</v>
      </c>
    </row>
    <row r="78" spans="1:15">
      <c r="A78" t="s">
        <v>1772</v>
      </c>
      <c r="B78" t="s">
        <v>3503</v>
      </c>
      <c r="C78" t="s">
        <v>2350</v>
      </c>
      <c r="D78" t="s">
        <v>1854</v>
      </c>
      <c r="E78" t="s">
        <v>2602</v>
      </c>
      <c r="F78">
        <v>1850246</v>
      </c>
      <c r="G78">
        <v>0.77</v>
      </c>
      <c r="H78" s="505">
        <v>60000</v>
      </c>
      <c r="I78">
        <v>0</v>
      </c>
      <c r="J78">
        <v>0</v>
      </c>
      <c r="K78">
        <v>0</v>
      </c>
      <c r="M78" s="505">
        <v>60000</v>
      </c>
      <c r="O78">
        <v>0</v>
      </c>
    </row>
    <row r="79" spans="1:15">
      <c r="A79" t="s">
        <v>1772</v>
      </c>
      <c r="B79" t="s">
        <v>3366</v>
      </c>
      <c r="C79" t="s">
        <v>2351</v>
      </c>
      <c r="D79" t="s">
        <v>1854</v>
      </c>
      <c r="E79" t="s">
        <v>2352</v>
      </c>
      <c r="F79">
        <v>1850246</v>
      </c>
      <c r="G79">
        <v>0.8</v>
      </c>
      <c r="H79" s="505">
        <v>825000</v>
      </c>
      <c r="I79" s="505">
        <v>225000</v>
      </c>
      <c r="J79" s="505">
        <v>420000</v>
      </c>
      <c r="K79">
        <v>0</v>
      </c>
      <c r="M79" s="505">
        <v>630000</v>
      </c>
      <c r="O79">
        <v>0</v>
      </c>
    </row>
    <row r="80" spans="1:15">
      <c r="A80" t="s">
        <v>1835</v>
      </c>
      <c r="B80" t="s">
        <v>3156</v>
      </c>
      <c r="C80" t="s">
        <v>3094</v>
      </c>
      <c r="D80" t="s">
        <v>619</v>
      </c>
      <c r="E80" t="s">
        <v>344</v>
      </c>
      <c r="F80">
        <v>1850246</v>
      </c>
      <c r="G80">
        <v>0.64</v>
      </c>
      <c r="H80" s="505">
        <v>85000</v>
      </c>
      <c r="I80">
        <v>0</v>
      </c>
      <c r="J80" s="505">
        <v>20000</v>
      </c>
      <c r="K80">
        <v>0</v>
      </c>
      <c r="M80" s="505">
        <v>65000</v>
      </c>
      <c r="O80">
        <v>0</v>
      </c>
    </row>
    <row r="81" spans="1:15">
      <c r="A81" t="s">
        <v>1835</v>
      </c>
      <c r="B81" t="s">
        <v>3537</v>
      </c>
      <c r="C81" t="s">
        <v>3093</v>
      </c>
      <c r="D81" t="s">
        <v>3095</v>
      </c>
      <c r="E81" t="s">
        <v>344</v>
      </c>
      <c r="F81">
        <v>3020246</v>
      </c>
      <c r="G81">
        <v>0.65</v>
      </c>
      <c r="H81" s="505">
        <v>45000</v>
      </c>
      <c r="I81" s="505">
        <v>105000</v>
      </c>
      <c r="J81" s="505">
        <v>45000</v>
      </c>
      <c r="K81">
        <v>0</v>
      </c>
      <c r="M81" s="505">
        <v>105000</v>
      </c>
      <c r="O81">
        <v>0</v>
      </c>
    </row>
    <row r="82" spans="1:15">
      <c r="A82" t="s">
        <v>1774</v>
      </c>
      <c r="B82" t="s">
        <v>3302</v>
      </c>
      <c r="C82" t="s">
        <v>181</v>
      </c>
      <c r="D82" t="s">
        <v>182</v>
      </c>
      <c r="E82" t="s">
        <v>183</v>
      </c>
      <c r="F82">
        <v>1000260</v>
      </c>
      <c r="G82">
        <v>0.76</v>
      </c>
      <c r="H82" s="505">
        <v>145000</v>
      </c>
      <c r="I82" s="505">
        <v>710000</v>
      </c>
      <c r="J82" s="505">
        <v>400000</v>
      </c>
      <c r="K82">
        <v>0</v>
      </c>
      <c r="M82" s="505">
        <v>455000</v>
      </c>
      <c r="O82" s="505">
        <v>32760000</v>
      </c>
    </row>
    <row r="83" spans="1:15">
      <c r="A83" t="s">
        <v>1799</v>
      </c>
      <c r="B83" t="s">
        <v>3151</v>
      </c>
      <c r="C83" t="s">
        <v>356</v>
      </c>
      <c r="D83" t="s">
        <v>193</v>
      </c>
      <c r="E83" t="s">
        <v>1844</v>
      </c>
      <c r="F83">
        <v>1000260</v>
      </c>
      <c r="G83">
        <v>0.71</v>
      </c>
      <c r="H83" s="505">
        <v>145000</v>
      </c>
      <c r="I83">
        <v>0</v>
      </c>
      <c r="J83">
        <v>0</v>
      </c>
      <c r="K83">
        <v>0</v>
      </c>
      <c r="M83" s="505">
        <v>145000</v>
      </c>
      <c r="O83">
        <v>464</v>
      </c>
    </row>
    <row r="84" spans="1:15">
      <c r="A84" t="s">
        <v>1771</v>
      </c>
      <c r="B84" t="s">
        <v>3135</v>
      </c>
      <c r="C84" t="s">
        <v>231</v>
      </c>
      <c r="D84" t="s">
        <v>204</v>
      </c>
      <c r="E84" t="s">
        <v>344</v>
      </c>
      <c r="F84">
        <v>1850246</v>
      </c>
      <c r="G84">
        <v>0.67</v>
      </c>
      <c r="H84" s="505">
        <v>290000</v>
      </c>
      <c r="I84" s="505">
        <v>510000</v>
      </c>
      <c r="J84" s="505">
        <v>245000</v>
      </c>
      <c r="K84">
        <v>0</v>
      </c>
      <c r="M84" s="505">
        <v>555000</v>
      </c>
      <c r="O84" s="505">
        <v>36075000</v>
      </c>
    </row>
    <row r="85" spans="1:15">
      <c r="A85" t="s">
        <v>1835</v>
      </c>
      <c r="B85" t="s">
        <v>2889</v>
      </c>
      <c r="C85" t="s">
        <v>2867</v>
      </c>
      <c r="D85" t="s">
        <v>2868</v>
      </c>
      <c r="E85" t="s">
        <v>344</v>
      </c>
      <c r="F85">
        <v>3020246</v>
      </c>
      <c r="G85">
        <v>0.65</v>
      </c>
      <c r="H85" s="505">
        <v>66000</v>
      </c>
      <c r="I85">
        <v>0</v>
      </c>
      <c r="J85">
        <v>0</v>
      </c>
      <c r="K85">
        <v>0</v>
      </c>
      <c r="M85" s="505">
        <v>66000</v>
      </c>
      <c r="O85">
        <v>0</v>
      </c>
    </row>
    <row r="86" spans="1:15">
      <c r="A86" t="s">
        <v>2375</v>
      </c>
      <c r="B86" t="s">
        <v>3136</v>
      </c>
      <c r="C86" t="s">
        <v>2392</v>
      </c>
      <c r="D86" t="s">
        <v>2377</v>
      </c>
      <c r="E86" t="s">
        <v>183</v>
      </c>
      <c r="F86">
        <v>3020246</v>
      </c>
      <c r="G86">
        <v>0.74</v>
      </c>
      <c r="H86" s="505">
        <v>165000</v>
      </c>
      <c r="I86">
        <v>0</v>
      </c>
      <c r="J86">
        <v>0</v>
      </c>
      <c r="K86">
        <v>0</v>
      </c>
      <c r="M86" s="505">
        <v>165000</v>
      </c>
      <c r="O86">
        <v>0</v>
      </c>
    </row>
    <row r="87" spans="1:15">
      <c r="A87" t="s">
        <v>1771</v>
      </c>
      <c r="B87" t="s">
        <v>2825</v>
      </c>
      <c r="C87" t="s">
        <v>2732</v>
      </c>
      <c r="D87" t="s">
        <v>2005</v>
      </c>
      <c r="E87" t="s">
        <v>344</v>
      </c>
      <c r="F87">
        <v>1850246</v>
      </c>
      <c r="G87">
        <v>0.75</v>
      </c>
      <c r="H87" s="505">
        <v>100000</v>
      </c>
      <c r="I87">
        <v>0</v>
      </c>
      <c r="J87">
        <v>0</v>
      </c>
      <c r="K87">
        <v>0</v>
      </c>
      <c r="M87" s="505">
        <v>100000</v>
      </c>
      <c r="O87">
        <v>0</v>
      </c>
    </row>
    <row r="88" spans="1:15">
      <c r="A88" t="s">
        <v>2375</v>
      </c>
      <c r="B88" t="s">
        <v>3186</v>
      </c>
      <c r="C88" t="s">
        <v>2361</v>
      </c>
      <c r="D88" t="s">
        <v>2906</v>
      </c>
      <c r="E88" t="s">
        <v>1847</v>
      </c>
      <c r="F88">
        <v>1000260</v>
      </c>
      <c r="G88">
        <v>0.52</v>
      </c>
      <c r="H88" s="505">
        <v>425000</v>
      </c>
      <c r="I88">
        <v>0</v>
      </c>
      <c r="J88" s="505">
        <v>25000</v>
      </c>
      <c r="K88">
        <v>0</v>
      </c>
      <c r="M88" s="505">
        <v>400000</v>
      </c>
      <c r="O88">
        <v>0</v>
      </c>
    </row>
    <row r="89" spans="1:15">
      <c r="A89" t="s">
        <v>2375</v>
      </c>
      <c r="B89" t="s">
        <v>3319</v>
      </c>
      <c r="C89" t="s">
        <v>2362</v>
      </c>
      <c r="D89" t="s">
        <v>2374</v>
      </c>
      <c r="E89" t="s">
        <v>1847</v>
      </c>
      <c r="F89">
        <v>1000260</v>
      </c>
      <c r="G89">
        <v>0.53</v>
      </c>
      <c r="H89" s="505">
        <v>180000</v>
      </c>
      <c r="I89">
        <v>0</v>
      </c>
      <c r="J89">
        <v>0</v>
      </c>
      <c r="K89">
        <v>0</v>
      </c>
      <c r="M89" s="505">
        <v>180000</v>
      </c>
      <c r="O89">
        <v>0</v>
      </c>
    </row>
    <row r="90" spans="1:15">
      <c r="A90" t="s">
        <v>1796</v>
      </c>
      <c r="B90" t="s">
        <v>2642</v>
      </c>
      <c r="C90" t="s">
        <v>511</v>
      </c>
      <c r="D90" t="s">
        <v>513</v>
      </c>
      <c r="E90" t="s">
        <v>344</v>
      </c>
      <c r="F90">
        <v>1850246</v>
      </c>
      <c r="G90">
        <v>0.45</v>
      </c>
      <c r="H90" s="505">
        <v>85000</v>
      </c>
      <c r="I90">
        <v>0</v>
      </c>
      <c r="J90">
        <v>0</v>
      </c>
      <c r="K90">
        <v>0</v>
      </c>
      <c r="M90" s="505">
        <v>85000</v>
      </c>
      <c r="O90" s="505">
        <v>7310000</v>
      </c>
    </row>
    <row r="91" spans="1:15">
      <c r="A91" t="s">
        <v>1807</v>
      </c>
      <c r="B91" t="s">
        <v>2678</v>
      </c>
      <c r="C91" t="s">
        <v>2333</v>
      </c>
      <c r="D91" t="s">
        <v>2335</v>
      </c>
      <c r="E91" t="s">
        <v>1847</v>
      </c>
      <c r="F91">
        <v>4350271</v>
      </c>
      <c r="G91">
        <v>0.81</v>
      </c>
      <c r="H91" s="505">
        <v>1266535</v>
      </c>
      <c r="I91">
        <v>0</v>
      </c>
      <c r="J91" s="505">
        <v>200000</v>
      </c>
      <c r="K91">
        <v>0</v>
      </c>
      <c r="M91" s="505">
        <v>1066535</v>
      </c>
      <c r="O91">
        <v>0</v>
      </c>
    </row>
    <row r="92" spans="1:15">
      <c r="A92" t="s">
        <v>1835</v>
      </c>
      <c r="B92" t="s">
        <v>2454</v>
      </c>
      <c r="C92" t="s">
        <v>1683</v>
      </c>
      <c r="D92" t="s">
        <v>47</v>
      </c>
      <c r="E92" t="s">
        <v>344</v>
      </c>
      <c r="F92">
        <v>1850246</v>
      </c>
      <c r="G92">
        <v>0.56999999999999995</v>
      </c>
      <c r="H92" s="505">
        <v>60000</v>
      </c>
      <c r="I92">
        <v>0</v>
      </c>
      <c r="J92" s="505">
        <v>40000</v>
      </c>
      <c r="K92">
        <v>0</v>
      </c>
      <c r="M92" s="505">
        <v>20000</v>
      </c>
      <c r="O92" s="505">
        <v>1060000</v>
      </c>
    </row>
    <row r="93" spans="1:15">
      <c r="A93" t="s">
        <v>2375</v>
      </c>
      <c r="B93" t="s">
        <v>3185</v>
      </c>
      <c r="C93" t="s">
        <v>2363</v>
      </c>
      <c r="D93" t="s">
        <v>220</v>
      </c>
      <c r="E93" t="s">
        <v>1847</v>
      </c>
      <c r="F93">
        <v>1000260</v>
      </c>
      <c r="G93">
        <v>0.65</v>
      </c>
      <c r="H93" s="505">
        <v>80000</v>
      </c>
      <c r="I93">
        <v>0</v>
      </c>
      <c r="J93">
        <v>0</v>
      </c>
      <c r="K93">
        <v>0</v>
      </c>
      <c r="M93" s="505">
        <v>80000</v>
      </c>
      <c r="O93">
        <v>0</v>
      </c>
    </row>
    <row r="94" spans="1:15">
      <c r="A94" t="s">
        <v>1796</v>
      </c>
      <c r="B94" t="s">
        <v>2743</v>
      </c>
      <c r="C94" t="s">
        <v>342</v>
      </c>
      <c r="D94" t="s">
        <v>324</v>
      </c>
      <c r="E94" t="s">
        <v>344</v>
      </c>
      <c r="F94">
        <v>1000260</v>
      </c>
      <c r="G94">
        <v>0.76</v>
      </c>
      <c r="H94" s="505">
        <v>20000</v>
      </c>
      <c r="I94">
        <v>0</v>
      </c>
      <c r="J94">
        <v>0</v>
      </c>
      <c r="K94">
        <v>0</v>
      </c>
      <c r="M94" s="505">
        <v>20000</v>
      </c>
      <c r="O94" s="505">
        <v>4260000</v>
      </c>
    </row>
    <row r="95" spans="1:15">
      <c r="A95" t="s">
        <v>2375</v>
      </c>
      <c r="B95" t="s">
        <v>3040</v>
      </c>
      <c r="C95" t="s">
        <v>2364</v>
      </c>
      <c r="D95" t="s">
        <v>2378</v>
      </c>
      <c r="E95" t="s">
        <v>1847</v>
      </c>
      <c r="F95">
        <v>1000260</v>
      </c>
      <c r="G95">
        <v>0.79</v>
      </c>
      <c r="H95" s="505">
        <v>15000</v>
      </c>
      <c r="I95">
        <v>0</v>
      </c>
      <c r="J95">
        <v>0</v>
      </c>
      <c r="K95">
        <v>0</v>
      </c>
      <c r="M95" s="505">
        <v>15000</v>
      </c>
      <c r="O95">
        <v>0</v>
      </c>
    </row>
    <row r="96" spans="1:15">
      <c r="A96" t="s">
        <v>1799</v>
      </c>
      <c r="B96" t="s">
        <v>3467</v>
      </c>
      <c r="C96" t="s">
        <v>1849</v>
      </c>
      <c r="D96" t="s">
        <v>324</v>
      </c>
      <c r="E96" t="s">
        <v>344</v>
      </c>
      <c r="F96">
        <v>1000260</v>
      </c>
      <c r="G96">
        <v>0.64</v>
      </c>
      <c r="H96" s="505">
        <v>45000</v>
      </c>
      <c r="I96">
        <v>0</v>
      </c>
      <c r="J96">
        <v>0</v>
      </c>
      <c r="K96">
        <v>0</v>
      </c>
      <c r="M96" s="505">
        <v>45000</v>
      </c>
      <c r="O96">
        <v>257</v>
      </c>
    </row>
    <row r="97" spans="1:15">
      <c r="A97" t="s">
        <v>1813</v>
      </c>
      <c r="B97" t="s">
        <v>3116</v>
      </c>
      <c r="C97" t="s">
        <v>2714</v>
      </c>
      <c r="D97" t="s">
        <v>220</v>
      </c>
      <c r="E97" t="s">
        <v>183</v>
      </c>
      <c r="F97">
        <v>1850260</v>
      </c>
      <c r="G97">
        <v>0.66</v>
      </c>
      <c r="H97" s="505">
        <v>295000</v>
      </c>
      <c r="I97">
        <v>0</v>
      </c>
      <c r="J97">
        <v>0</v>
      </c>
      <c r="K97">
        <v>0</v>
      </c>
      <c r="M97" s="505">
        <v>295000</v>
      </c>
      <c r="O97" s="505">
        <v>21830000</v>
      </c>
    </row>
    <row r="98" spans="1:15">
      <c r="A98" t="s">
        <v>1803</v>
      </c>
      <c r="B98" t="s">
        <v>2455</v>
      </c>
      <c r="C98" t="s">
        <v>385</v>
      </c>
      <c r="D98" t="s">
        <v>201</v>
      </c>
      <c r="E98" t="s">
        <v>344</v>
      </c>
      <c r="F98">
        <v>1000246</v>
      </c>
      <c r="G98">
        <v>0.57999999999999996</v>
      </c>
      <c r="H98" s="505">
        <v>599700</v>
      </c>
      <c r="I98">
        <v>0</v>
      </c>
      <c r="J98">
        <v>0</v>
      </c>
      <c r="K98">
        <v>0</v>
      </c>
      <c r="M98" s="505">
        <v>599700</v>
      </c>
      <c r="O98" s="505">
        <v>42578700</v>
      </c>
    </row>
    <row r="99" spans="1:15">
      <c r="A99" t="s">
        <v>1774</v>
      </c>
      <c r="B99" t="s">
        <v>2810</v>
      </c>
      <c r="C99" t="s">
        <v>2784</v>
      </c>
      <c r="D99" t="s">
        <v>2786</v>
      </c>
      <c r="E99" t="s">
        <v>344</v>
      </c>
      <c r="F99">
        <v>1850246</v>
      </c>
      <c r="G99">
        <v>0.56999999999999995</v>
      </c>
      <c r="H99" s="505">
        <v>70000</v>
      </c>
      <c r="I99">
        <v>0</v>
      </c>
      <c r="J99">
        <v>0</v>
      </c>
      <c r="K99">
        <v>0</v>
      </c>
      <c r="M99" s="505">
        <v>70000</v>
      </c>
      <c r="O99">
        <v>0</v>
      </c>
    </row>
    <row r="100" spans="1:15">
      <c r="A100" t="s">
        <v>1796</v>
      </c>
      <c r="B100" t="s">
        <v>2456</v>
      </c>
      <c r="C100" t="s">
        <v>525</v>
      </c>
      <c r="D100" t="s">
        <v>167</v>
      </c>
      <c r="E100" t="s">
        <v>344</v>
      </c>
      <c r="F100">
        <v>1850246</v>
      </c>
      <c r="G100">
        <v>0.59</v>
      </c>
      <c r="H100" s="505">
        <v>132000</v>
      </c>
      <c r="I100">
        <v>0</v>
      </c>
      <c r="J100">
        <v>0</v>
      </c>
      <c r="K100">
        <v>0</v>
      </c>
      <c r="M100" s="505">
        <v>132000</v>
      </c>
      <c r="O100" s="505">
        <v>13728000</v>
      </c>
    </row>
    <row r="101" spans="1:15">
      <c r="A101" t="s">
        <v>1819</v>
      </c>
      <c r="B101" t="s">
        <v>3146</v>
      </c>
      <c r="C101" t="s">
        <v>1689</v>
      </c>
      <c r="D101" t="s">
        <v>167</v>
      </c>
      <c r="E101" t="s">
        <v>344</v>
      </c>
      <c r="F101">
        <v>3030246</v>
      </c>
      <c r="G101">
        <v>0.57999999999999996</v>
      </c>
      <c r="H101" s="505">
        <v>25000</v>
      </c>
      <c r="I101">
        <v>0</v>
      </c>
      <c r="J101" s="505">
        <v>20000</v>
      </c>
      <c r="K101">
        <v>0</v>
      </c>
      <c r="M101" s="505">
        <v>5000</v>
      </c>
      <c r="O101">
        <v>0</v>
      </c>
    </row>
    <row r="102" spans="1:15">
      <c r="A102" t="s">
        <v>1771</v>
      </c>
      <c r="B102" t="s">
        <v>2811</v>
      </c>
      <c r="C102" t="s">
        <v>2353</v>
      </c>
      <c r="D102" t="s">
        <v>46</v>
      </c>
      <c r="E102" t="s">
        <v>183</v>
      </c>
      <c r="F102">
        <v>1850246</v>
      </c>
      <c r="G102">
        <v>0.54</v>
      </c>
      <c r="H102" s="505">
        <v>322000</v>
      </c>
      <c r="I102">
        <v>0</v>
      </c>
      <c r="J102" s="505">
        <v>90000</v>
      </c>
      <c r="K102">
        <v>0</v>
      </c>
      <c r="M102" s="505">
        <v>232000</v>
      </c>
      <c r="O102">
        <v>0</v>
      </c>
    </row>
    <row r="103" spans="1:15">
      <c r="A103" t="s">
        <v>1771</v>
      </c>
      <c r="B103" t="s">
        <v>2878</v>
      </c>
      <c r="C103" t="s">
        <v>2733</v>
      </c>
      <c r="D103" t="s">
        <v>46</v>
      </c>
      <c r="E103" t="s">
        <v>344</v>
      </c>
      <c r="F103">
        <v>1850246</v>
      </c>
      <c r="G103">
        <v>0.54</v>
      </c>
      <c r="H103" s="505">
        <v>486997</v>
      </c>
      <c r="I103">
        <v>0</v>
      </c>
      <c r="J103" s="505">
        <v>84000</v>
      </c>
      <c r="K103">
        <v>0</v>
      </c>
      <c r="M103" s="505">
        <v>402997</v>
      </c>
      <c r="O103">
        <v>0</v>
      </c>
    </row>
    <row r="104" spans="1:15">
      <c r="A104" t="s">
        <v>1771</v>
      </c>
      <c r="B104" t="s">
        <v>2812</v>
      </c>
      <c r="C104" t="s">
        <v>2734</v>
      </c>
      <c r="D104" t="s">
        <v>2735</v>
      </c>
      <c r="E104" t="s">
        <v>344</v>
      </c>
      <c r="F104">
        <v>4300246</v>
      </c>
      <c r="G104">
        <v>0.55000000000000004</v>
      </c>
      <c r="H104" s="505">
        <v>113000</v>
      </c>
      <c r="I104">
        <v>0</v>
      </c>
      <c r="J104" s="505">
        <v>5000</v>
      </c>
      <c r="K104">
        <v>0</v>
      </c>
      <c r="M104" s="505">
        <v>108000</v>
      </c>
      <c r="O104">
        <v>0</v>
      </c>
    </row>
    <row r="105" spans="1:15">
      <c r="A105" t="s">
        <v>1772</v>
      </c>
      <c r="B105" t="s">
        <v>2702</v>
      </c>
      <c r="C105" t="s">
        <v>1853</v>
      </c>
      <c r="D105" t="s">
        <v>1854</v>
      </c>
      <c r="E105" t="s">
        <v>1855</v>
      </c>
      <c r="F105">
        <v>1850246</v>
      </c>
      <c r="G105">
        <v>0.85</v>
      </c>
      <c r="H105" s="505">
        <v>50000</v>
      </c>
      <c r="I105">
        <v>0</v>
      </c>
      <c r="J105">
        <v>0</v>
      </c>
      <c r="K105">
        <v>0</v>
      </c>
      <c r="M105" s="505">
        <v>50000</v>
      </c>
      <c r="O105">
        <v>0</v>
      </c>
    </row>
    <row r="106" spans="1:15">
      <c r="A106" t="s">
        <v>1858</v>
      </c>
      <c r="B106" t="s">
        <v>2457</v>
      </c>
      <c r="C106" t="s">
        <v>1857</v>
      </c>
      <c r="D106" t="s">
        <v>1442</v>
      </c>
      <c r="E106" t="s">
        <v>348</v>
      </c>
      <c r="F106">
        <v>1000246</v>
      </c>
      <c r="G106">
        <v>0.55000000000000004</v>
      </c>
      <c r="H106" s="505">
        <v>445000</v>
      </c>
      <c r="I106">
        <v>0</v>
      </c>
      <c r="J106">
        <v>0</v>
      </c>
      <c r="K106">
        <v>0</v>
      </c>
      <c r="M106" s="505">
        <v>445000</v>
      </c>
      <c r="O106" s="505">
        <v>22250000</v>
      </c>
    </row>
    <row r="107" spans="1:15">
      <c r="A107" t="s">
        <v>2375</v>
      </c>
      <c r="B107" t="s">
        <v>3538</v>
      </c>
      <c r="C107" t="s">
        <v>3071</v>
      </c>
      <c r="D107" t="s">
        <v>3072</v>
      </c>
      <c r="E107" t="s">
        <v>253</v>
      </c>
      <c r="F107">
        <v>1850260</v>
      </c>
      <c r="G107">
        <v>0.59</v>
      </c>
      <c r="H107">
        <v>0</v>
      </c>
      <c r="I107" s="505">
        <v>50000</v>
      </c>
      <c r="J107" s="505">
        <v>20000</v>
      </c>
      <c r="K107">
        <v>0</v>
      </c>
      <c r="M107" s="505">
        <v>30000</v>
      </c>
      <c r="O107">
        <v>0</v>
      </c>
    </row>
    <row r="108" spans="1:15">
      <c r="A108" t="s">
        <v>1803</v>
      </c>
      <c r="B108" t="s">
        <v>3049</v>
      </c>
      <c r="C108" t="s">
        <v>2393</v>
      </c>
      <c r="D108" t="s">
        <v>2394</v>
      </c>
      <c r="E108" t="s">
        <v>253</v>
      </c>
      <c r="F108">
        <v>1850246</v>
      </c>
      <c r="G108">
        <v>0.54</v>
      </c>
      <c r="H108" s="505">
        <v>70000</v>
      </c>
      <c r="I108">
        <v>0</v>
      </c>
      <c r="J108" s="505">
        <v>10000</v>
      </c>
      <c r="K108">
        <v>0</v>
      </c>
      <c r="M108" s="505">
        <v>60000</v>
      </c>
      <c r="O108">
        <v>0</v>
      </c>
    </row>
    <row r="109" spans="1:15">
      <c r="A109" t="s">
        <v>1829</v>
      </c>
      <c r="B109" t="s">
        <v>3145</v>
      </c>
      <c r="C109" t="s">
        <v>3097</v>
      </c>
      <c r="D109" t="s">
        <v>77</v>
      </c>
      <c r="E109" t="s">
        <v>348</v>
      </c>
      <c r="F109">
        <v>1850246</v>
      </c>
      <c r="G109">
        <v>0.64</v>
      </c>
      <c r="H109" s="505">
        <v>208740</v>
      </c>
      <c r="I109">
        <v>0</v>
      </c>
      <c r="J109">
        <v>0</v>
      </c>
      <c r="K109">
        <v>0</v>
      </c>
      <c r="M109" s="505">
        <v>208740</v>
      </c>
      <c r="O109">
        <v>0</v>
      </c>
    </row>
    <row r="110" spans="1:15">
      <c r="A110" t="s">
        <v>1774</v>
      </c>
      <c r="B110" t="s">
        <v>3047</v>
      </c>
      <c r="C110" t="s">
        <v>1399</v>
      </c>
      <c r="D110" t="s">
        <v>1400</v>
      </c>
      <c r="E110" t="s">
        <v>348</v>
      </c>
      <c r="F110">
        <v>3020246</v>
      </c>
      <c r="G110">
        <v>0.67</v>
      </c>
      <c r="H110" s="505">
        <v>455832</v>
      </c>
      <c r="I110">
        <v>0</v>
      </c>
      <c r="J110" s="505">
        <v>232040</v>
      </c>
      <c r="K110">
        <v>0</v>
      </c>
      <c r="M110" s="505">
        <v>223792</v>
      </c>
      <c r="O110" s="505">
        <v>29988128</v>
      </c>
    </row>
    <row r="111" spans="1:15">
      <c r="A111" t="s">
        <v>1796</v>
      </c>
      <c r="B111" t="s">
        <v>2458</v>
      </c>
      <c r="C111" t="s">
        <v>346</v>
      </c>
      <c r="D111" t="s">
        <v>324</v>
      </c>
      <c r="E111" t="s">
        <v>348</v>
      </c>
      <c r="F111">
        <v>1000260</v>
      </c>
      <c r="G111">
        <v>0.91</v>
      </c>
      <c r="H111" s="505">
        <v>113000</v>
      </c>
      <c r="I111">
        <v>0</v>
      </c>
      <c r="J111">
        <v>0</v>
      </c>
      <c r="K111">
        <v>0</v>
      </c>
      <c r="M111" s="505">
        <v>113000</v>
      </c>
      <c r="O111" s="505">
        <v>24408000</v>
      </c>
    </row>
    <row r="112" spans="1:15">
      <c r="A112" t="s">
        <v>2375</v>
      </c>
      <c r="B112" t="s">
        <v>3068</v>
      </c>
      <c r="C112" t="s">
        <v>2365</v>
      </c>
      <c r="D112" t="s">
        <v>2378</v>
      </c>
      <c r="E112" t="s">
        <v>2379</v>
      </c>
      <c r="F112">
        <v>1000260</v>
      </c>
      <c r="G112">
        <v>0.81</v>
      </c>
      <c r="H112" s="505">
        <v>10000</v>
      </c>
      <c r="I112">
        <v>0</v>
      </c>
      <c r="J112">
        <v>0</v>
      </c>
      <c r="K112">
        <v>0</v>
      </c>
      <c r="M112" s="505">
        <v>10000</v>
      </c>
      <c r="O112">
        <v>0</v>
      </c>
    </row>
    <row r="113" spans="1:15">
      <c r="A113" t="s">
        <v>2604</v>
      </c>
      <c r="B113" t="s">
        <v>3102</v>
      </c>
      <c r="C113" t="s">
        <v>2603</v>
      </c>
      <c r="D113" t="s">
        <v>220</v>
      </c>
      <c r="E113" t="s">
        <v>2605</v>
      </c>
      <c r="F113">
        <v>1000260</v>
      </c>
      <c r="G113">
        <v>0.74</v>
      </c>
      <c r="H113" s="505">
        <v>170000</v>
      </c>
      <c r="I113">
        <v>0</v>
      </c>
      <c r="J113" s="505">
        <v>120000</v>
      </c>
      <c r="K113">
        <v>0</v>
      </c>
      <c r="M113" s="505">
        <v>50000</v>
      </c>
      <c r="O113">
        <v>0</v>
      </c>
    </row>
    <row r="114" spans="1:15">
      <c r="A114" t="s">
        <v>1803</v>
      </c>
      <c r="B114" t="s">
        <v>3433</v>
      </c>
      <c r="C114" t="s">
        <v>252</v>
      </c>
      <c r="D114" t="s">
        <v>201</v>
      </c>
      <c r="E114" t="s">
        <v>348</v>
      </c>
      <c r="F114">
        <v>1000246</v>
      </c>
      <c r="G114">
        <v>0.67</v>
      </c>
      <c r="H114" s="505">
        <v>775000</v>
      </c>
      <c r="I114">
        <v>0</v>
      </c>
      <c r="J114" s="505">
        <v>320000</v>
      </c>
      <c r="K114">
        <v>0</v>
      </c>
      <c r="M114" s="505">
        <v>455000</v>
      </c>
      <c r="O114" s="505">
        <v>33670000</v>
      </c>
    </row>
    <row r="115" spans="1:15">
      <c r="A115" t="s">
        <v>1803</v>
      </c>
      <c r="B115" t="s">
        <v>3107</v>
      </c>
      <c r="C115" t="s">
        <v>536</v>
      </c>
      <c r="D115" t="s">
        <v>201</v>
      </c>
      <c r="E115" t="s">
        <v>348</v>
      </c>
      <c r="F115">
        <v>1850246</v>
      </c>
      <c r="G115">
        <v>0.7</v>
      </c>
      <c r="H115" s="505">
        <v>630000</v>
      </c>
      <c r="I115">
        <v>0</v>
      </c>
      <c r="J115" s="505">
        <v>140000</v>
      </c>
      <c r="K115">
        <v>0</v>
      </c>
      <c r="M115" s="505">
        <v>490000</v>
      </c>
      <c r="O115" s="505">
        <v>31850000</v>
      </c>
    </row>
    <row r="116" spans="1:15">
      <c r="A116" t="s">
        <v>2375</v>
      </c>
      <c r="B116" t="s">
        <v>3117</v>
      </c>
      <c r="C116" t="s">
        <v>2366</v>
      </c>
      <c r="D116" t="s">
        <v>2421</v>
      </c>
      <c r="E116" t="s">
        <v>253</v>
      </c>
      <c r="F116">
        <v>2200220</v>
      </c>
      <c r="G116">
        <v>0.59</v>
      </c>
      <c r="H116" s="505">
        <v>100000</v>
      </c>
      <c r="I116">
        <v>0</v>
      </c>
      <c r="J116">
        <v>0</v>
      </c>
      <c r="K116">
        <v>0</v>
      </c>
      <c r="M116" s="505">
        <v>100000</v>
      </c>
      <c r="O116">
        <v>0</v>
      </c>
    </row>
    <row r="117" spans="1:15">
      <c r="A117" t="s">
        <v>1819</v>
      </c>
      <c r="B117" t="s">
        <v>2964</v>
      </c>
      <c r="C117" t="s">
        <v>1690</v>
      </c>
      <c r="D117" t="s">
        <v>167</v>
      </c>
      <c r="E117" t="s">
        <v>348</v>
      </c>
      <c r="F117">
        <v>1850246</v>
      </c>
      <c r="G117">
        <v>0.64</v>
      </c>
      <c r="H117" s="505">
        <v>55000</v>
      </c>
      <c r="I117">
        <v>0</v>
      </c>
      <c r="J117">
        <v>0</v>
      </c>
      <c r="K117">
        <v>0</v>
      </c>
      <c r="M117" s="505">
        <v>55000</v>
      </c>
      <c r="O117">
        <v>0</v>
      </c>
    </row>
    <row r="118" spans="1:15">
      <c r="A118" t="s">
        <v>1796</v>
      </c>
      <c r="B118" t="s">
        <v>2459</v>
      </c>
      <c r="C118" t="s">
        <v>350</v>
      </c>
      <c r="D118" t="s">
        <v>324</v>
      </c>
      <c r="E118" t="s">
        <v>352</v>
      </c>
      <c r="F118">
        <v>1000260</v>
      </c>
      <c r="G118">
        <v>0.95</v>
      </c>
      <c r="H118" s="505">
        <v>16000</v>
      </c>
      <c r="I118">
        <v>0</v>
      </c>
      <c r="J118">
        <v>0</v>
      </c>
      <c r="K118">
        <v>0</v>
      </c>
      <c r="M118" s="505">
        <v>16000</v>
      </c>
      <c r="O118" s="505">
        <v>3552000</v>
      </c>
    </row>
    <row r="119" spans="1:15">
      <c r="A119" t="s">
        <v>1771</v>
      </c>
      <c r="B119" t="s">
        <v>3092</v>
      </c>
      <c r="C119" t="s">
        <v>3074</v>
      </c>
      <c r="D119" t="s">
        <v>46</v>
      </c>
      <c r="E119" t="s">
        <v>352</v>
      </c>
      <c r="F119">
        <v>1850246</v>
      </c>
      <c r="G119">
        <v>0.68</v>
      </c>
      <c r="H119" s="505">
        <v>34100</v>
      </c>
      <c r="I119">
        <v>0</v>
      </c>
      <c r="J119">
        <v>0</v>
      </c>
      <c r="K119">
        <v>0</v>
      </c>
      <c r="M119" s="505">
        <v>34100</v>
      </c>
      <c r="O119">
        <v>0</v>
      </c>
    </row>
    <row r="120" spans="1:15">
      <c r="A120" t="s">
        <v>1771</v>
      </c>
      <c r="B120" t="s">
        <v>2890</v>
      </c>
      <c r="C120" t="s">
        <v>2801</v>
      </c>
      <c r="D120" t="s">
        <v>46</v>
      </c>
      <c r="E120" t="s">
        <v>352</v>
      </c>
      <c r="F120">
        <v>1850246</v>
      </c>
      <c r="G120">
        <v>0.68</v>
      </c>
      <c r="H120" s="505">
        <v>34000</v>
      </c>
      <c r="I120">
        <v>0</v>
      </c>
      <c r="J120" s="505">
        <v>10000</v>
      </c>
      <c r="K120">
        <v>0</v>
      </c>
      <c r="M120" s="505">
        <v>24000</v>
      </c>
      <c r="O120">
        <v>0</v>
      </c>
    </row>
    <row r="121" spans="1:15">
      <c r="A121" t="s">
        <v>1772</v>
      </c>
      <c r="B121" t="s">
        <v>2460</v>
      </c>
      <c r="C121" t="s">
        <v>562</v>
      </c>
      <c r="D121" t="s">
        <v>564</v>
      </c>
      <c r="E121" t="s">
        <v>565</v>
      </c>
      <c r="F121">
        <v>1850382</v>
      </c>
      <c r="G121">
        <v>1.5</v>
      </c>
      <c r="H121" s="505">
        <v>177000</v>
      </c>
      <c r="I121">
        <v>0</v>
      </c>
      <c r="J121">
        <v>0</v>
      </c>
      <c r="K121">
        <v>0</v>
      </c>
      <c r="M121" s="505">
        <v>177000</v>
      </c>
      <c r="O121" s="505">
        <v>25311000</v>
      </c>
    </row>
    <row r="122" spans="1:15">
      <c r="A122" t="s">
        <v>1774</v>
      </c>
      <c r="B122" t="s">
        <v>2461</v>
      </c>
      <c r="C122" t="s">
        <v>1394</v>
      </c>
      <c r="D122" t="s">
        <v>1395</v>
      </c>
      <c r="E122" t="s">
        <v>1860</v>
      </c>
      <c r="F122">
        <v>3020246</v>
      </c>
      <c r="G122">
        <v>0.96</v>
      </c>
      <c r="H122" s="505">
        <v>124000</v>
      </c>
      <c r="I122">
        <v>0</v>
      </c>
      <c r="J122">
        <v>0</v>
      </c>
      <c r="K122">
        <v>0</v>
      </c>
      <c r="M122" s="505">
        <v>124000</v>
      </c>
      <c r="O122" s="505">
        <v>24304000</v>
      </c>
    </row>
    <row r="123" spans="1:15">
      <c r="A123" t="s">
        <v>1772</v>
      </c>
      <c r="B123" t="s">
        <v>3152</v>
      </c>
      <c r="C123" t="s">
        <v>566</v>
      </c>
      <c r="D123" t="s">
        <v>568</v>
      </c>
      <c r="E123" t="s">
        <v>569</v>
      </c>
      <c r="F123">
        <v>1850246</v>
      </c>
      <c r="G123">
        <v>0.68</v>
      </c>
      <c r="H123" s="505">
        <v>180000</v>
      </c>
      <c r="I123">
        <v>0</v>
      </c>
      <c r="J123">
        <v>0</v>
      </c>
      <c r="K123">
        <v>0</v>
      </c>
      <c r="M123" s="505">
        <v>180000</v>
      </c>
      <c r="O123" s="505">
        <v>10440000</v>
      </c>
    </row>
    <row r="124" spans="1:15">
      <c r="A124" t="s">
        <v>1772</v>
      </c>
      <c r="B124" t="s">
        <v>3289</v>
      </c>
      <c r="C124" t="s">
        <v>3276</v>
      </c>
      <c r="D124" t="s">
        <v>201</v>
      </c>
      <c r="E124" t="s">
        <v>1861</v>
      </c>
      <c r="F124">
        <v>1850246</v>
      </c>
      <c r="G124">
        <v>0.89</v>
      </c>
      <c r="H124" s="505">
        <v>33770</v>
      </c>
      <c r="I124">
        <v>0</v>
      </c>
      <c r="J124">
        <v>0</v>
      </c>
      <c r="K124">
        <v>0</v>
      </c>
      <c r="M124" s="505">
        <v>33770</v>
      </c>
      <c r="O124">
        <v>0</v>
      </c>
    </row>
    <row r="125" spans="1:15">
      <c r="A125" t="s">
        <v>1803</v>
      </c>
      <c r="B125" t="s">
        <v>3052</v>
      </c>
      <c r="C125" t="s">
        <v>1688</v>
      </c>
      <c r="D125" t="s">
        <v>191</v>
      </c>
      <c r="E125" t="s">
        <v>389</v>
      </c>
      <c r="F125">
        <v>1000246</v>
      </c>
      <c r="G125">
        <v>0.86</v>
      </c>
      <c r="H125" s="505">
        <v>50000</v>
      </c>
      <c r="I125">
        <v>0</v>
      </c>
      <c r="J125">
        <v>0</v>
      </c>
      <c r="K125">
        <v>0</v>
      </c>
      <c r="M125" s="505">
        <v>50000</v>
      </c>
      <c r="O125" s="505">
        <v>4500000</v>
      </c>
    </row>
    <row r="126" spans="1:15">
      <c r="A126" t="s">
        <v>2375</v>
      </c>
      <c r="B126" t="s">
        <v>3371</v>
      </c>
      <c r="C126" t="s">
        <v>2908</v>
      </c>
      <c r="D126" t="s">
        <v>2909</v>
      </c>
      <c r="E126" t="s">
        <v>389</v>
      </c>
      <c r="F126">
        <v>1850320</v>
      </c>
      <c r="G126">
        <v>0.89</v>
      </c>
      <c r="H126" s="505">
        <v>219000</v>
      </c>
      <c r="I126">
        <v>0</v>
      </c>
      <c r="J126" s="505">
        <v>102000</v>
      </c>
      <c r="K126">
        <v>0</v>
      </c>
      <c r="M126" s="505">
        <v>117000</v>
      </c>
      <c r="O126">
        <v>0</v>
      </c>
    </row>
    <row r="127" spans="1:15">
      <c r="A127" t="s">
        <v>1760</v>
      </c>
      <c r="B127" t="s">
        <v>2462</v>
      </c>
      <c r="C127" t="s">
        <v>876</v>
      </c>
      <c r="D127" t="s">
        <v>878</v>
      </c>
      <c r="E127" t="s">
        <v>879</v>
      </c>
      <c r="F127">
        <v>3020260</v>
      </c>
      <c r="G127">
        <v>1.2</v>
      </c>
      <c r="H127" s="505">
        <v>28000</v>
      </c>
      <c r="I127">
        <v>0</v>
      </c>
      <c r="J127">
        <v>0</v>
      </c>
      <c r="K127">
        <v>0</v>
      </c>
      <c r="M127" s="505">
        <v>28000</v>
      </c>
      <c r="O127" s="505">
        <v>4844000</v>
      </c>
    </row>
    <row r="128" spans="1:15">
      <c r="A128" t="s">
        <v>1819</v>
      </c>
      <c r="B128" t="s">
        <v>2463</v>
      </c>
      <c r="C128" t="s">
        <v>1722</v>
      </c>
      <c r="D128" t="s">
        <v>1862</v>
      </c>
      <c r="E128" t="s">
        <v>1863</v>
      </c>
      <c r="F128">
        <v>1850382</v>
      </c>
      <c r="G128">
        <v>2.2999999999999998</v>
      </c>
      <c r="H128" s="505">
        <v>10000</v>
      </c>
      <c r="I128">
        <v>0</v>
      </c>
      <c r="J128">
        <v>0</v>
      </c>
      <c r="K128">
        <v>0</v>
      </c>
      <c r="M128" s="505">
        <v>10000</v>
      </c>
      <c r="O128">
        <v>0</v>
      </c>
    </row>
    <row r="129" spans="1:15">
      <c r="A129" t="s">
        <v>1867</v>
      </c>
      <c r="B129" t="s">
        <v>2464</v>
      </c>
      <c r="C129" t="s">
        <v>2354</v>
      </c>
      <c r="D129" t="s">
        <v>1056</v>
      </c>
      <c r="E129" t="s">
        <v>1868</v>
      </c>
      <c r="F129" t="s">
        <v>1869</v>
      </c>
      <c r="G129">
        <v>7.0000000000000007E-2</v>
      </c>
      <c r="H129" s="505">
        <v>6160</v>
      </c>
      <c r="I129">
        <v>0</v>
      </c>
      <c r="J129">
        <v>0</v>
      </c>
      <c r="K129">
        <v>0</v>
      </c>
      <c r="M129" s="505">
        <v>6160</v>
      </c>
      <c r="O129" s="505">
        <v>671440</v>
      </c>
    </row>
    <row r="130" spans="1:15">
      <c r="A130" t="s">
        <v>1782</v>
      </c>
      <c r="B130" t="s">
        <v>3455</v>
      </c>
      <c r="C130" t="s">
        <v>1871</v>
      </c>
      <c r="D130" t="s">
        <v>1872</v>
      </c>
      <c r="E130" t="s">
        <v>1873</v>
      </c>
      <c r="F130" t="s">
        <v>1874</v>
      </c>
      <c r="G130">
        <v>0.17</v>
      </c>
      <c r="H130" s="505">
        <v>2614608</v>
      </c>
      <c r="I130" s="505">
        <v>2000000</v>
      </c>
      <c r="J130" s="505">
        <v>644000</v>
      </c>
      <c r="K130">
        <v>0</v>
      </c>
      <c r="M130" s="505">
        <v>3970608</v>
      </c>
      <c r="O130">
        <v>0</v>
      </c>
    </row>
    <row r="131" spans="1:15">
      <c r="A131" t="s">
        <v>1782</v>
      </c>
      <c r="B131" t="s">
        <v>2875</v>
      </c>
      <c r="C131" t="s">
        <v>1876</v>
      </c>
      <c r="D131" t="s">
        <v>1056</v>
      </c>
      <c r="E131" t="s">
        <v>1877</v>
      </c>
      <c r="F131" t="s">
        <v>1878</v>
      </c>
      <c r="G131">
        <v>0.86</v>
      </c>
      <c r="H131" s="505">
        <v>286047</v>
      </c>
      <c r="I131">
        <v>0</v>
      </c>
      <c r="J131">
        <v>0</v>
      </c>
      <c r="K131">
        <v>0</v>
      </c>
      <c r="M131" s="505">
        <v>286047</v>
      </c>
      <c r="O131">
        <v>0</v>
      </c>
    </row>
    <row r="132" spans="1:15">
      <c r="A132" t="s">
        <v>1782</v>
      </c>
      <c r="B132" t="s">
        <v>3520</v>
      </c>
      <c r="C132" t="s">
        <v>3239</v>
      </c>
      <c r="D132" t="s">
        <v>1056</v>
      </c>
      <c r="E132" t="s">
        <v>3445</v>
      </c>
      <c r="F132" t="s">
        <v>1887</v>
      </c>
      <c r="G132">
        <v>1.4</v>
      </c>
      <c r="H132">
        <v>0</v>
      </c>
      <c r="I132" s="505">
        <v>200000</v>
      </c>
      <c r="J132" s="505">
        <v>189000</v>
      </c>
      <c r="K132">
        <v>0</v>
      </c>
      <c r="M132" s="505">
        <v>11000</v>
      </c>
      <c r="O132">
        <v>0</v>
      </c>
    </row>
    <row r="133" spans="1:15">
      <c r="A133" t="s">
        <v>1782</v>
      </c>
      <c r="B133" t="s">
        <v>2835</v>
      </c>
      <c r="C133" t="s">
        <v>1880</v>
      </c>
      <c r="D133" t="s">
        <v>1056</v>
      </c>
      <c r="E133" t="s">
        <v>1881</v>
      </c>
      <c r="F133" t="s">
        <v>1882</v>
      </c>
      <c r="G133">
        <v>0.21</v>
      </c>
      <c r="H133" s="505">
        <v>42857</v>
      </c>
      <c r="I133">
        <v>0</v>
      </c>
      <c r="J133">
        <v>0</v>
      </c>
      <c r="K133">
        <v>0</v>
      </c>
      <c r="M133" s="505">
        <v>42857</v>
      </c>
      <c r="O133">
        <v>0</v>
      </c>
    </row>
    <row r="134" spans="1:15">
      <c r="A134" t="s">
        <v>1782</v>
      </c>
      <c r="B134" t="s">
        <v>3199</v>
      </c>
      <c r="C134" t="s">
        <v>1888</v>
      </c>
      <c r="D134" t="s">
        <v>1056</v>
      </c>
      <c r="E134" t="s">
        <v>1889</v>
      </c>
      <c r="F134" t="s">
        <v>1890</v>
      </c>
      <c r="G134">
        <v>1.0900000000000001</v>
      </c>
      <c r="H134" s="505">
        <v>5000</v>
      </c>
      <c r="I134">
        <v>0</v>
      </c>
      <c r="J134">
        <v>0</v>
      </c>
      <c r="K134">
        <v>0</v>
      </c>
      <c r="M134" s="505">
        <v>5000</v>
      </c>
      <c r="O134">
        <v>0</v>
      </c>
    </row>
    <row r="135" spans="1:15">
      <c r="A135" t="s">
        <v>1782</v>
      </c>
      <c r="B135" t="s">
        <v>2617</v>
      </c>
      <c r="C135" t="s">
        <v>2326</v>
      </c>
      <c r="D135" t="s">
        <v>1042</v>
      </c>
      <c r="E135" t="s">
        <v>2327</v>
      </c>
      <c r="F135" t="s">
        <v>2328</v>
      </c>
      <c r="G135">
        <v>0.23</v>
      </c>
      <c r="H135" s="505">
        <v>108000</v>
      </c>
      <c r="I135">
        <v>0</v>
      </c>
      <c r="J135">
        <v>0</v>
      </c>
      <c r="K135">
        <v>0</v>
      </c>
      <c r="M135" s="505">
        <v>108000</v>
      </c>
      <c r="O135">
        <v>0</v>
      </c>
    </row>
    <row r="136" spans="1:15">
      <c r="A136" t="s">
        <v>1782</v>
      </c>
      <c r="B136" t="s">
        <v>2646</v>
      </c>
      <c r="C136" t="s">
        <v>1891</v>
      </c>
      <c r="D136" t="s">
        <v>1042</v>
      </c>
      <c r="E136" t="s">
        <v>1892</v>
      </c>
      <c r="F136" t="s">
        <v>1893</v>
      </c>
      <c r="G136">
        <v>0.2</v>
      </c>
      <c r="H136" s="505">
        <v>107000</v>
      </c>
      <c r="I136">
        <v>0</v>
      </c>
      <c r="J136">
        <v>0</v>
      </c>
      <c r="K136">
        <v>0</v>
      </c>
      <c r="M136" s="505">
        <v>107000</v>
      </c>
      <c r="O136">
        <v>0</v>
      </c>
    </row>
    <row r="137" spans="1:15">
      <c r="A137" t="s">
        <v>1782</v>
      </c>
      <c r="B137" t="s">
        <v>3002</v>
      </c>
      <c r="C137" t="s">
        <v>1895</v>
      </c>
      <c r="D137" t="s">
        <v>1042</v>
      </c>
      <c r="E137" t="s">
        <v>1892</v>
      </c>
      <c r="F137" t="s">
        <v>1896</v>
      </c>
      <c r="G137">
        <v>0.18</v>
      </c>
      <c r="H137" s="505">
        <v>378497</v>
      </c>
      <c r="I137" s="505">
        <v>400000</v>
      </c>
      <c r="J137" s="505">
        <v>531300</v>
      </c>
      <c r="K137">
        <v>0</v>
      </c>
      <c r="M137" s="505">
        <v>247197</v>
      </c>
      <c r="O137">
        <v>0</v>
      </c>
    </row>
    <row r="138" spans="1:15">
      <c r="A138" t="s">
        <v>1782</v>
      </c>
      <c r="B138" t="s">
        <v>2969</v>
      </c>
      <c r="C138" t="s">
        <v>1897</v>
      </c>
      <c r="D138" t="s">
        <v>1056</v>
      </c>
      <c r="E138" t="s">
        <v>1898</v>
      </c>
      <c r="F138" t="s">
        <v>1878</v>
      </c>
      <c r="G138">
        <v>0.23</v>
      </c>
      <c r="H138" s="505">
        <v>104087</v>
      </c>
      <c r="I138" s="505">
        <v>100000</v>
      </c>
      <c r="J138">
        <v>0</v>
      </c>
      <c r="K138">
        <v>0</v>
      </c>
      <c r="M138" s="505">
        <v>204087</v>
      </c>
      <c r="O138">
        <v>0</v>
      </c>
    </row>
    <row r="139" spans="1:15">
      <c r="A139" t="s">
        <v>1782</v>
      </c>
      <c r="B139" t="s">
        <v>2600</v>
      </c>
      <c r="C139" t="s">
        <v>1899</v>
      </c>
      <c r="D139" t="s">
        <v>1872</v>
      </c>
      <c r="E139" t="s">
        <v>1900</v>
      </c>
      <c r="F139" t="s">
        <v>1874</v>
      </c>
      <c r="G139">
        <v>0.16</v>
      </c>
      <c r="H139" s="505">
        <v>3237000</v>
      </c>
      <c r="I139">
        <v>0</v>
      </c>
      <c r="J139">
        <v>0</v>
      </c>
      <c r="K139">
        <v>0</v>
      </c>
      <c r="M139" s="505">
        <v>3237000</v>
      </c>
      <c r="O139">
        <v>0</v>
      </c>
    </row>
    <row r="140" spans="1:15">
      <c r="A140" t="s">
        <v>1782</v>
      </c>
      <c r="B140" t="s">
        <v>3270</v>
      </c>
      <c r="C140" t="s">
        <v>3236</v>
      </c>
      <c r="D140" t="s">
        <v>1872</v>
      </c>
      <c r="E140" t="s">
        <v>3237</v>
      </c>
      <c r="F140" t="s">
        <v>1874</v>
      </c>
      <c r="G140">
        <v>0.15</v>
      </c>
      <c r="H140" s="505">
        <v>4794000</v>
      </c>
      <c r="I140">
        <v>0</v>
      </c>
      <c r="J140">
        <v>0</v>
      </c>
      <c r="K140">
        <v>0</v>
      </c>
      <c r="M140" s="505">
        <v>4794000</v>
      </c>
      <c r="O140">
        <v>0</v>
      </c>
    </row>
    <row r="141" spans="1:15">
      <c r="A141" t="s">
        <v>1774</v>
      </c>
      <c r="B141" t="s">
        <v>3086</v>
      </c>
      <c r="C141" t="s">
        <v>3031</v>
      </c>
      <c r="D141" t="s">
        <v>1902</v>
      </c>
      <c r="E141" t="s">
        <v>3032</v>
      </c>
      <c r="F141" t="s">
        <v>1904</v>
      </c>
      <c r="G141">
        <v>7.0000000000000007E-2</v>
      </c>
      <c r="H141" s="505">
        <v>359044</v>
      </c>
      <c r="I141">
        <v>0</v>
      </c>
      <c r="J141">
        <v>0</v>
      </c>
      <c r="K141" s="505">
        <v>-47000</v>
      </c>
      <c r="M141" s="505">
        <v>312044</v>
      </c>
      <c r="O141">
        <v>0</v>
      </c>
    </row>
    <row r="142" spans="1:15">
      <c r="A142" t="s">
        <v>1782</v>
      </c>
      <c r="B142" t="s">
        <v>3367</v>
      </c>
      <c r="C142" t="s">
        <v>1901</v>
      </c>
      <c r="D142" t="s">
        <v>1902</v>
      </c>
      <c r="E142" t="s">
        <v>1903</v>
      </c>
      <c r="F142" t="s">
        <v>1904</v>
      </c>
      <c r="G142">
        <v>7.0000000000000007E-2</v>
      </c>
      <c r="H142" s="505">
        <v>75000</v>
      </c>
      <c r="I142">
        <v>0</v>
      </c>
      <c r="J142">
        <v>0</v>
      </c>
      <c r="K142">
        <v>0</v>
      </c>
      <c r="M142" s="505">
        <v>75000</v>
      </c>
      <c r="O142">
        <v>0</v>
      </c>
    </row>
    <row r="143" spans="1:15">
      <c r="A143" t="s">
        <v>1796</v>
      </c>
      <c r="B143" t="s">
        <v>2777</v>
      </c>
      <c r="C143" t="s">
        <v>394</v>
      </c>
      <c r="D143" t="s">
        <v>220</v>
      </c>
      <c r="E143" t="s">
        <v>396</v>
      </c>
      <c r="F143">
        <v>1000345</v>
      </c>
      <c r="G143">
        <v>0.83</v>
      </c>
      <c r="H143" s="505">
        <v>170000</v>
      </c>
      <c r="I143">
        <v>0</v>
      </c>
      <c r="J143">
        <v>0</v>
      </c>
      <c r="K143">
        <v>0</v>
      </c>
      <c r="M143" s="505">
        <v>170000</v>
      </c>
      <c r="O143">
        <v>0</v>
      </c>
    </row>
    <row r="144" spans="1:15">
      <c r="A144" t="s">
        <v>3305</v>
      </c>
      <c r="B144" t="s">
        <v>3507</v>
      </c>
      <c r="C144" t="s">
        <v>3508</v>
      </c>
      <c r="D144" t="s">
        <v>3306</v>
      </c>
      <c r="E144" t="s">
        <v>3307</v>
      </c>
      <c r="F144">
        <v>1850345</v>
      </c>
      <c r="G144">
        <v>1</v>
      </c>
      <c r="H144">
        <v>1</v>
      </c>
      <c r="I144">
        <v>0</v>
      </c>
      <c r="J144">
        <v>0</v>
      </c>
      <c r="K144">
        <v>0</v>
      </c>
      <c r="M144">
        <v>1</v>
      </c>
      <c r="O144">
        <v>0</v>
      </c>
    </row>
    <row r="145" spans="1:15">
      <c r="A145" t="s">
        <v>1799</v>
      </c>
      <c r="B145" t="s">
        <v>3362</v>
      </c>
      <c r="C145" t="s">
        <v>1910</v>
      </c>
      <c r="D145" t="s">
        <v>1911</v>
      </c>
      <c r="E145" t="s">
        <v>1912</v>
      </c>
      <c r="F145">
        <v>1850348</v>
      </c>
      <c r="G145">
        <v>0.56999999999999995</v>
      </c>
      <c r="H145" s="505">
        <v>120000</v>
      </c>
      <c r="I145">
        <v>0</v>
      </c>
      <c r="J145" s="505">
        <v>30000</v>
      </c>
      <c r="K145">
        <v>0</v>
      </c>
      <c r="M145" s="505">
        <v>90000</v>
      </c>
      <c r="O145">
        <v>0</v>
      </c>
    </row>
    <row r="146" spans="1:15">
      <c r="A146" t="s">
        <v>1774</v>
      </c>
      <c r="B146" t="s">
        <v>2465</v>
      </c>
      <c r="C146" t="s">
        <v>748</v>
      </c>
      <c r="D146" t="s">
        <v>751</v>
      </c>
      <c r="E146" t="s">
        <v>752</v>
      </c>
      <c r="F146">
        <v>1850355</v>
      </c>
      <c r="G146">
        <v>0.84</v>
      </c>
      <c r="H146" s="505">
        <v>232000</v>
      </c>
      <c r="I146">
        <v>0</v>
      </c>
      <c r="J146" s="505">
        <v>4000</v>
      </c>
      <c r="K146">
        <v>0</v>
      </c>
      <c r="M146" s="505">
        <v>228000</v>
      </c>
      <c r="O146" s="505">
        <v>46512000</v>
      </c>
    </row>
    <row r="147" spans="1:15">
      <c r="A147" t="s">
        <v>1829</v>
      </c>
      <c r="B147" t="s">
        <v>3251</v>
      </c>
      <c r="C147" t="s">
        <v>3110</v>
      </c>
      <c r="D147" t="s">
        <v>1027</v>
      </c>
      <c r="E147" t="s">
        <v>3098</v>
      </c>
      <c r="F147">
        <v>2200348</v>
      </c>
      <c r="G147">
        <v>1.41</v>
      </c>
      <c r="H147" s="505">
        <v>30000</v>
      </c>
      <c r="I147" s="505">
        <v>82000</v>
      </c>
      <c r="J147" s="505">
        <v>20000</v>
      </c>
      <c r="K147">
        <v>0</v>
      </c>
      <c r="M147" s="505">
        <v>92000</v>
      </c>
      <c r="O147">
        <v>0</v>
      </c>
    </row>
    <row r="148" spans="1:15">
      <c r="A148" t="s">
        <v>1829</v>
      </c>
      <c r="B148" t="s">
        <v>2466</v>
      </c>
      <c r="C148" t="s">
        <v>658</v>
      </c>
      <c r="D148" t="s">
        <v>659</v>
      </c>
      <c r="E148" t="s">
        <v>400</v>
      </c>
      <c r="F148">
        <v>1850320</v>
      </c>
      <c r="G148">
        <v>1.74</v>
      </c>
      <c r="H148" s="505">
        <v>4000</v>
      </c>
      <c r="I148">
        <v>0</v>
      </c>
      <c r="J148">
        <v>0</v>
      </c>
      <c r="K148">
        <v>0</v>
      </c>
      <c r="M148" s="505">
        <v>4000</v>
      </c>
      <c r="O148" s="505">
        <v>344000</v>
      </c>
    </row>
    <row r="149" spans="1:15">
      <c r="A149" t="s">
        <v>1772</v>
      </c>
      <c r="B149" t="s">
        <v>2467</v>
      </c>
      <c r="C149" t="s">
        <v>1914</v>
      </c>
      <c r="D149" t="s">
        <v>1915</v>
      </c>
      <c r="E149" t="s">
        <v>400</v>
      </c>
      <c r="F149">
        <v>3020467</v>
      </c>
      <c r="G149">
        <v>1.26</v>
      </c>
      <c r="H149" s="505">
        <v>90000</v>
      </c>
      <c r="I149">
        <v>0</v>
      </c>
      <c r="J149">
        <v>0</v>
      </c>
      <c r="K149">
        <v>0</v>
      </c>
      <c r="M149" s="505">
        <v>90000</v>
      </c>
      <c r="O149" s="505">
        <v>26910000</v>
      </c>
    </row>
    <row r="150" spans="1:15">
      <c r="A150" t="s">
        <v>1918</v>
      </c>
      <c r="B150" t="s">
        <v>2647</v>
      </c>
      <c r="C150" t="s">
        <v>1916</v>
      </c>
      <c r="D150" t="s">
        <v>1917</v>
      </c>
      <c r="E150" t="s">
        <v>400</v>
      </c>
      <c r="F150">
        <v>3020345</v>
      </c>
      <c r="G150">
        <v>1.33</v>
      </c>
      <c r="H150" s="505">
        <v>94000</v>
      </c>
      <c r="I150">
        <v>0</v>
      </c>
      <c r="J150">
        <v>0</v>
      </c>
      <c r="K150">
        <v>0</v>
      </c>
      <c r="M150" s="505">
        <v>94000</v>
      </c>
      <c r="O150" s="505">
        <v>20586000</v>
      </c>
    </row>
    <row r="151" spans="1:15">
      <c r="A151" t="s">
        <v>1796</v>
      </c>
      <c r="B151" t="s">
        <v>2783</v>
      </c>
      <c r="C151" t="s">
        <v>404</v>
      </c>
      <c r="D151" t="s">
        <v>324</v>
      </c>
      <c r="E151" t="s">
        <v>400</v>
      </c>
      <c r="F151">
        <v>1000345</v>
      </c>
      <c r="G151">
        <v>1.4</v>
      </c>
      <c r="H151" s="505">
        <v>79000</v>
      </c>
      <c r="I151">
        <v>0</v>
      </c>
      <c r="J151">
        <v>0</v>
      </c>
      <c r="K151">
        <v>0</v>
      </c>
      <c r="M151" s="505">
        <v>79000</v>
      </c>
      <c r="O151">
        <v>0</v>
      </c>
    </row>
    <row r="152" spans="1:15">
      <c r="A152" t="s">
        <v>1918</v>
      </c>
      <c r="B152" t="s">
        <v>2468</v>
      </c>
      <c r="C152" t="s">
        <v>1919</v>
      </c>
      <c r="D152" t="s">
        <v>220</v>
      </c>
      <c r="E152" t="s">
        <v>400</v>
      </c>
      <c r="F152">
        <v>1000345</v>
      </c>
      <c r="G152">
        <v>0.96</v>
      </c>
      <c r="H152" s="505">
        <v>4000</v>
      </c>
      <c r="I152">
        <v>0</v>
      </c>
      <c r="J152">
        <v>0</v>
      </c>
      <c r="K152">
        <v>0</v>
      </c>
      <c r="M152" s="505">
        <v>4000</v>
      </c>
      <c r="O152" s="505">
        <v>240000</v>
      </c>
    </row>
    <row r="153" spans="1:15">
      <c r="A153" t="s">
        <v>1918</v>
      </c>
      <c r="B153" t="s">
        <v>2771</v>
      </c>
      <c r="C153" t="s">
        <v>1669</v>
      </c>
      <c r="D153" t="s">
        <v>113</v>
      </c>
      <c r="E153" t="s">
        <v>400</v>
      </c>
      <c r="F153">
        <v>1000345</v>
      </c>
      <c r="G153">
        <v>1.1599999999999999</v>
      </c>
      <c r="H153" s="505">
        <v>44000</v>
      </c>
      <c r="I153">
        <v>0</v>
      </c>
      <c r="J153">
        <v>0</v>
      </c>
      <c r="K153">
        <v>0</v>
      </c>
      <c r="M153" s="505">
        <v>44000</v>
      </c>
      <c r="O153" s="505">
        <v>4180000</v>
      </c>
    </row>
    <row r="154" spans="1:15">
      <c r="A154" t="s">
        <v>1819</v>
      </c>
      <c r="B154" t="s">
        <v>3197</v>
      </c>
      <c r="C154" t="s">
        <v>1691</v>
      </c>
      <c r="D154" t="s">
        <v>113</v>
      </c>
      <c r="E154" t="s">
        <v>673</v>
      </c>
      <c r="F154">
        <v>2700345</v>
      </c>
      <c r="G154">
        <v>1.22</v>
      </c>
      <c r="H154" s="505">
        <v>124000</v>
      </c>
      <c r="I154">
        <v>0</v>
      </c>
      <c r="J154">
        <v>0</v>
      </c>
      <c r="K154">
        <v>0</v>
      </c>
      <c r="M154" s="505">
        <v>124000</v>
      </c>
      <c r="O154" s="505">
        <v>61008000</v>
      </c>
    </row>
    <row r="155" spans="1:15">
      <c r="A155" t="s">
        <v>1918</v>
      </c>
      <c r="B155" t="s">
        <v>2985</v>
      </c>
      <c r="C155" t="s">
        <v>671</v>
      </c>
      <c r="D155" t="s">
        <v>255</v>
      </c>
      <c r="E155" t="s">
        <v>673</v>
      </c>
      <c r="F155">
        <v>1850325</v>
      </c>
      <c r="G155">
        <v>0.85</v>
      </c>
      <c r="H155" s="505">
        <v>56000</v>
      </c>
      <c r="I155">
        <v>0</v>
      </c>
      <c r="J155" s="505">
        <v>40000</v>
      </c>
      <c r="K155">
        <v>0</v>
      </c>
      <c r="M155" s="505">
        <v>16000</v>
      </c>
      <c r="O155">
        <v>0</v>
      </c>
    </row>
    <row r="156" spans="1:15">
      <c r="A156" t="s">
        <v>1918</v>
      </c>
      <c r="B156" t="s">
        <v>2469</v>
      </c>
      <c r="C156" t="s">
        <v>1923</v>
      </c>
      <c r="D156" t="s">
        <v>984</v>
      </c>
      <c r="E156" t="s">
        <v>400</v>
      </c>
      <c r="F156">
        <v>1850325</v>
      </c>
      <c r="G156">
        <v>1</v>
      </c>
      <c r="H156" s="505">
        <v>153000</v>
      </c>
      <c r="I156">
        <v>0</v>
      </c>
      <c r="J156">
        <v>0</v>
      </c>
      <c r="K156">
        <v>0</v>
      </c>
      <c r="M156" s="505">
        <v>153000</v>
      </c>
      <c r="O156">
        <v>0</v>
      </c>
    </row>
    <row r="157" spans="1:15">
      <c r="A157" t="s">
        <v>1772</v>
      </c>
      <c r="B157" t="s">
        <v>2996</v>
      </c>
      <c r="C157" t="s">
        <v>2672</v>
      </c>
      <c r="D157" t="s">
        <v>2673</v>
      </c>
      <c r="E157" t="s">
        <v>2674</v>
      </c>
      <c r="F157">
        <v>1850355</v>
      </c>
      <c r="G157">
        <v>0.94</v>
      </c>
      <c r="H157" s="505">
        <v>136000</v>
      </c>
      <c r="I157">
        <v>0</v>
      </c>
      <c r="J157">
        <v>0</v>
      </c>
      <c r="K157">
        <v>0</v>
      </c>
      <c r="M157" s="505">
        <v>136000</v>
      </c>
      <c r="O157">
        <v>0</v>
      </c>
    </row>
    <row r="158" spans="1:15">
      <c r="A158" t="s">
        <v>1819</v>
      </c>
      <c r="B158" t="s">
        <v>2858</v>
      </c>
      <c r="C158" t="s">
        <v>2750</v>
      </c>
      <c r="D158" t="s">
        <v>2756</v>
      </c>
      <c r="F158">
        <v>4300320</v>
      </c>
      <c r="G158">
        <v>1.1599999999999999</v>
      </c>
      <c r="H158" s="505">
        <v>8000</v>
      </c>
      <c r="I158">
        <v>0</v>
      </c>
      <c r="J158">
        <v>0</v>
      </c>
      <c r="K158">
        <v>0</v>
      </c>
      <c r="M158" s="505">
        <v>8000</v>
      </c>
      <c r="O158">
        <v>0</v>
      </c>
    </row>
    <row r="159" spans="1:15">
      <c r="A159" t="s">
        <v>1755</v>
      </c>
      <c r="B159" t="s">
        <v>3384</v>
      </c>
      <c r="C159" t="s">
        <v>1927</v>
      </c>
      <c r="D159" t="s">
        <v>1928</v>
      </c>
      <c r="E159" t="s">
        <v>1929</v>
      </c>
      <c r="F159">
        <v>3020345</v>
      </c>
      <c r="G159">
        <v>0.67</v>
      </c>
      <c r="H159" s="505">
        <v>62000</v>
      </c>
      <c r="I159">
        <v>0</v>
      </c>
      <c r="J159">
        <v>0</v>
      </c>
      <c r="K159">
        <v>0</v>
      </c>
      <c r="M159" s="505">
        <v>62000</v>
      </c>
      <c r="O159">
        <v>0</v>
      </c>
    </row>
    <row r="160" spans="1:15">
      <c r="A160" t="s">
        <v>1807</v>
      </c>
      <c r="B160" t="s">
        <v>3479</v>
      </c>
      <c r="C160" t="s">
        <v>1930</v>
      </c>
      <c r="D160" t="s">
        <v>1931</v>
      </c>
      <c r="E160" t="s">
        <v>60</v>
      </c>
      <c r="F160">
        <v>4350293</v>
      </c>
      <c r="G160">
        <v>1.05</v>
      </c>
      <c r="H160" s="505">
        <v>236000</v>
      </c>
      <c r="I160">
        <v>0</v>
      </c>
      <c r="J160" s="505">
        <v>50000</v>
      </c>
      <c r="K160">
        <v>0</v>
      </c>
      <c r="M160" s="505">
        <v>186000</v>
      </c>
      <c r="O160">
        <v>0</v>
      </c>
    </row>
    <row r="161" spans="1:15">
      <c r="A161" t="s">
        <v>1774</v>
      </c>
      <c r="B161" t="s">
        <v>3067</v>
      </c>
      <c r="C161" t="s">
        <v>607</v>
      </c>
      <c r="D161" t="s">
        <v>47</v>
      </c>
      <c r="E161" t="s">
        <v>60</v>
      </c>
      <c r="F161">
        <v>1850320</v>
      </c>
      <c r="G161">
        <v>0.98</v>
      </c>
      <c r="H161" s="505">
        <v>252000</v>
      </c>
      <c r="I161" s="505">
        <v>436000</v>
      </c>
      <c r="J161" s="505">
        <v>436000</v>
      </c>
      <c r="K161">
        <v>0</v>
      </c>
      <c r="M161" s="505">
        <v>252000</v>
      </c>
      <c r="O161" s="505">
        <v>19152000</v>
      </c>
    </row>
    <row r="162" spans="1:15">
      <c r="A162" t="s">
        <v>1796</v>
      </c>
      <c r="B162" t="s">
        <v>3108</v>
      </c>
      <c r="C162" t="s">
        <v>410</v>
      </c>
      <c r="D162" t="s">
        <v>324</v>
      </c>
      <c r="E162" t="s">
        <v>392</v>
      </c>
      <c r="F162">
        <v>1000345</v>
      </c>
      <c r="G162">
        <v>1.53</v>
      </c>
      <c r="H162" s="505">
        <v>168000</v>
      </c>
      <c r="I162">
        <v>0</v>
      </c>
      <c r="J162">
        <v>0</v>
      </c>
      <c r="K162">
        <v>0</v>
      </c>
      <c r="M162" s="505">
        <v>168000</v>
      </c>
      <c r="O162" s="505">
        <v>50232000</v>
      </c>
    </row>
    <row r="163" spans="1:15">
      <c r="A163" t="s">
        <v>1835</v>
      </c>
      <c r="B163" t="s">
        <v>2470</v>
      </c>
      <c r="C163" t="s">
        <v>1933</v>
      </c>
      <c r="D163" t="s">
        <v>113</v>
      </c>
      <c r="E163" t="s">
        <v>1934</v>
      </c>
      <c r="F163">
        <v>1000345</v>
      </c>
      <c r="G163">
        <v>1.02</v>
      </c>
      <c r="H163" s="505">
        <v>28000</v>
      </c>
      <c r="I163">
        <v>0</v>
      </c>
      <c r="J163">
        <v>0</v>
      </c>
      <c r="K163">
        <v>0</v>
      </c>
      <c r="M163" s="505">
        <v>28000</v>
      </c>
      <c r="O163">
        <v>0</v>
      </c>
    </row>
    <row r="164" spans="1:15">
      <c r="A164" t="s">
        <v>1937</v>
      </c>
      <c r="B164" t="s">
        <v>2471</v>
      </c>
      <c r="C164" t="s">
        <v>1936</v>
      </c>
      <c r="D164" t="s">
        <v>201</v>
      </c>
      <c r="E164" t="s">
        <v>392</v>
      </c>
      <c r="F164">
        <v>1000320</v>
      </c>
      <c r="G164">
        <v>1.01</v>
      </c>
      <c r="H164" s="505">
        <v>8000</v>
      </c>
      <c r="I164">
        <v>0</v>
      </c>
      <c r="J164">
        <v>0</v>
      </c>
      <c r="K164">
        <v>0</v>
      </c>
      <c r="M164" s="505">
        <v>8000</v>
      </c>
      <c r="O164" s="505">
        <v>544000</v>
      </c>
    </row>
    <row r="165" spans="1:15">
      <c r="A165" t="s">
        <v>1813</v>
      </c>
      <c r="B165" t="s">
        <v>2472</v>
      </c>
      <c r="C165" t="s">
        <v>1938</v>
      </c>
      <c r="D165" t="s">
        <v>201</v>
      </c>
      <c r="E165" t="s">
        <v>392</v>
      </c>
      <c r="F165">
        <v>1850320</v>
      </c>
      <c r="G165">
        <v>1.01</v>
      </c>
      <c r="H165" s="505">
        <v>44000</v>
      </c>
      <c r="I165">
        <v>0</v>
      </c>
      <c r="J165">
        <v>0</v>
      </c>
      <c r="K165">
        <v>0</v>
      </c>
      <c r="M165" s="505">
        <v>44000</v>
      </c>
      <c r="O165" s="505">
        <v>3740000</v>
      </c>
    </row>
    <row r="166" spans="1:15">
      <c r="A166" t="s">
        <v>1918</v>
      </c>
      <c r="B166" t="s">
        <v>3178</v>
      </c>
      <c r="C166" t="s">
        <v>609</v>
      </c>
      <c r="D166" t="s">
        <v>611</v>
      </c>
      <c r="E166" t="s">
        <v>60</v>
      </c>
      <c r="F166">
        <v>1850320</v>
      </c>
      <c r="G166">
        <v>1.02</v>
      </c>
      <c r="H166" s="505">
        <v>62000</v>
      </c>
      <c r="I166">
        <v>0</v>
      </c>
      <c r="J166">
        <v>0</v>
      </c>
      <c r="K166">
        <v>0</v>
      </c>
      <c r="M166" s="505">
        <v>62000</v>
      </c>
      <c r="O166" s="505">
        <v>11966000</v>
      </c>
    </row>
    <row r="167" spans="1:15">
      <c r="A167" t="s">
        <v>1819</v>
      </c>
      <c r="B167" t="s">
        <v>2473</v>
      </c>
      <c r="C167" t="s">
        <v>1693</v>
      </c>
      <c r="D167" t="s">
        <v>167</v>
      </c>
      <c r="E167" t="s">
        <v>392</v>
      </c>
      <c r="F167">
        <v>1850330</v>
      </c>
      <c r="G167">
        <v>0.93</v>
      </c>
      <c r="H167" s="505">
        <v>140000</v>
      </c>
      <c r="I167">
        <v>0</v>
      </c>
      <c r="J167">
        <v>0</v>
      </c>
      <c r="K167">
        <v>0</v>
      </c>
      <c r="M167" s="505">
        <v>140000</v>
      </c>
      <c r="O167">
        <v>0</v>
      </c>
    </row>
    <row r="168" spans="1:15">
      <c r="A168" t="s">
        <v>1755</v>
      </c>
      <c r="B168" t="s">
        <v>2713</v>
      </c>
      <c r="C168" t="s">
        <v>734</v>
      </c>
      <c r="D168" t="s">
        <v>736</v>
      </c>
      <c r="E168" t="s">
        <v>392</v>
      </c>
      <c r="F168">
        <v>1850345</v>
      </c>
      <c r="G168">
        <v>1.1599999999999999</v>
      </c>
      <c r="H168" s="505">
        <v>14000</v>
      </c>
      <c r="I168">
        <v>0</v>
      </c>
      <c r="J168">
        <v>0</v>
      </c>
      <c r="K168">
        <v>0</v>
      </c>
      <c r="M168" s="505">
        <v>14000</v>
      </c>
      <c r="O168" s="505">
        <v>2016000</v>
      </c>
    </row>
    <row r="169" spans="1:15">
      <c r="A169" t="s">
        <v>1803</v>
      </c>
      <c r="B169" t="s">
        <v>3193</v>
      </c>
      <c r="C169" t="s">
        <v>2683</v>
      </c>
      <c r="D169" t="s">
        <v>2684</v>
      </c>
      <c r="E169" t="s">
        <v>392</v>
      </c>
      <c r="F169">
        <v>1850320</v>
      </c>
      <c r="G169">
        <v>1.21</v>
      </c>
      <c r="H169" s="505">
        <v>966140</v>
      </c>
      <c r="I169">
        <v>0</v>
      </c>
      <c r="J169" s="505">
        <v>100000</v>
      </c>
      <c r="K169">
        <v>0</v>
      </c>
      <c r="M169" s="505">
        <v>866140</v>
      </c>
      <c r="O169">
        <v>0</v>
      </c>
    </row>
    <row r="170" spans="1:15">
      <c r="A170" t="s">
        <v>1839</v>
      </c>
      <c r="B170" t="s">
        <v>2744</v>
      </c>
      <c r="C170" t="s">
        <v>80</v>
      </c>
      <c r="D170" t="s">
        <v>81</v>
      </c>
      <c r="E170" t="s">
        <v>392</v>
      </c>
      <c r="F170">
        <v>1850320</v>
      </c>
      <c r="G170">
        <v>1.25</v>
      </c>
      <c r="H170" s="505">
        <v>306000</v>
      </c>
      <c r="I170" s="505">
        <v>2300000</v>
      </c>
      <c r="J170" s="505">
        <v>1662000</v>
      </c>
      <c r="K170">
        <v>0</v>
      </c>
      <c r="M170" s="505">
        <v>944000</v>
      </c>
      <c r="O170" s="505">
        <v>76464000</v>
      </c>
    </row>
    <row r="171" spans="1:15">
      <c r="A171" t="s">
        <v>1803</v>
      </c>
      <c r="B171" t="s">
        <v>3521</v>
      </c>
      <c r="C171" t="s">
        <v>2685</v>
      </c>
      <c r="D171" t="s">
        <v>81</v>
      </c>
      <c r="E171" t="s">
        <v>392</v>
      </c>
      <c r="F171">
        <v>1850320</v>
      </c>
      <c r="G171">
        <v>1.27</v>
      </c>
      <c r="H171">
        <v>0</v>
      </c>
      <c r="I171" s="505">
        <v>898000</v>
      </c>
      <c r="J171" s="505">
        <v>210000</v>
      </c>
      <c r="K171">
        <v>0</v>
      </c>
      <c r="M171" s="505">
        <v>688000</v>
      </c>
      <c r="O171">
        <v>0</v>
      </c>
    </row>
    <row r="172" spans="1:15">
      <c r="A172" t="s">
        <v>1813</v>
      </c>
      <c r="B172" t="s">
        <v>2474</v>
      </c>
      <c r="C172" t="s">
        <v>886</v>
      </c>
      <c r="D172" t="s">
        <v>888</v>
      </c>
      <c r="E172" t="s">
        <v>889</v>
      </c>
      <c r="F172">
        <v>3020325</v>
      </c>
      <c r="G172">
        <v>1.27</v>
      </c>
      <c r="H172" s="505">
        <v>130400</v>
      </c>
      <c r="I172">
        <v>0</v>
      </c>
      <c r="J172" s="505">
        <v>9000</v>
      </c>
      <c r="K172">
        <v>0</v>
      </c>
      <c r="M172" s="505">
        <v>121400</v>
      </c>
      <c r="O172" s="505">
        <v>33506400</v>
      </c>
    </row>
    <row r="173" spans="1:15">
      <c r="A173" t="s">
        <v>1918</v>
      </c>
      <c r="B173" t="s">
        <v>2740</v>
      </c>
      <c r="C173" t="s">
        <v>621</v>
      </c>
      <c r="D173" t="s">
        <v>623</v>
      </c>
      <c r="E173" t="s">
        <v>60</v>
      </c>
      <c r="F173">
        <v>1850320</v>
      </c>
      <c r="G173">
        <v>1.26</v>
      </c>
      <c r="H173" s="505">
        <v>94000</v>
      </c>
      <c r="I173">
        <v>0</v>
      </c>
      <c r="J173">
        <v>0</v>
      </c>
      <c r="K173">
        <v>0</v>
      </c>
      <c r="M173" s="505">
        <v>94000</v>
      </c>
      <c r="O173" s="505">
        <v>7802000</v>
      </c>
    </row>
    <row r="174" spans="1:15">
      <c r="A174" t="s">
        <v>1918</v>
      </c>
      <c r="B174" t="s">
        <v>3326</v>
      </c>
      <c r="C174" t="s">
        <v>624</v>
      </c>
      <c r="D174" t="s">
        <v>626</v>
      </c>
      <c r="E174" t="s">
        <v>60</v>
      </c>
      <c r="F174">
        <v>1850320</v>
      </c>
      <c r="G174">
        <v>1.25</v>
      </c>
      <c r="H174" s="505">
        <v>176000</v>
      </c>
      <c r="I174">
        <v>0</v>
      </c>
      <c r="J174">
        <v>0</v>
      </c>
      <c r="K174">
        <v>0</v>
      </c>
      <c r="M174" s="505">
        <v>176000</v>
      </c>
      <c r="O174" s="505">
        <v>11968000</v>
      </c>
    </row>
    <row r="175" spans="1:15">
      <c r="A175" t="s">
        <v>1829</v>
      </c>
      <c r="B175" t="s">
        <v>2475</v>
      </c>
      <c r="C175" t="s">
        <v>890</v>
      </c>
      <c r="D175" t="s">
        <v>891</v>
      </c>
      <c r="E175" t="s">
        <v>60</v>
      </c>
      <c r="F175">
        <v>3020320</v>
      </c>
      <c r="G175">
        <v>1.3</v>
      </c>
      <c r="H175" s="505">
        <v>38000</v>
      </c>
      <c r="I175">
        <v>0</v>
      </c>
      <c r="J175">
        <v>0</v>
      </c>
      <c r="K175">
        <v>0</v>
      </c>
      <c r="M175" s="505">
        <v>38000</v>
      </c>
      <c r="O175" s="505">
        <v>14060000</v>
      </c>
    </row>
    <row r="176" spans="1:15">
      <c r="A176" t="s">
        <v>1829</v>
      </c>
      <c r="B176" t="s">
        <v>2476</v>
      </c>
      <c r="C176" t="s">
        <v>737</v>
      </c>
      <c r="D176" t="s">
        <v>739</v>
      </c>
      <c r="E176" t="s">
        <v>392</v>
      </c>
      <c r="F176">
        <v>1850345</v>
      </c>
      <c r="G176">
        <v>1.2</v>
      </c>
      <c r="H176" s="505">
        <v>104000</v>
      </c>
      <c r="I176">
        <v>0</v>
      </c>
      <c r="J176">
        <v>0</v>
      </c>
      <c r="K176">
        <v>0</v>
      </c>
      <c r="M176" s="505">
        <v>104000</v>
      </c>
      <c r="O176" s="505">
        <v>12584000</v>
      </c>
    </row>
    <row r="177" spans="1:15">
      <c r="A177" t="s">
        <v>1755</v>
      </c>
      <c r="B177" t="s">
        <v>3434</v>
      </c>
      <c r="C177" t="s">
        <v>920</v>
      </c>
      <c r="D177" t="s">
        <v>921</v>
      </c>
      <c r="E177" t="s">
        <v>392</v>
      </c>
      <c r="F177">
        <v>3020345</v>
      </c>
      <c r="G177">
        <v>1.42</v>
      </c>
      <c r="H177" s="505">
        <v>86000</v>
      </c>
      <c r="I177">
        <v>0</v>
      </c>
      <c r="J177" s="505">
        <v>20000</v>
      </c>
      <c r="K177">
        <v>0</v>
      </c>
      <c r="M177" s="505">
        <v>66000</v>
      </c>
      <c r="O177" s="505">
        <v>16632000</v>
      </c>
    </row>
    <row r="178" spans="1:15">
      <c r="A178" t="s">
        <v>2191</v>
      </c>
      <c r="B178" t="s">
        <v>2661</v>
      </c>
      <c r="C178" t="s">
        <v>2580</v>
      </c>
      <c r="D178" t="s">
        <v>2581</v>
      </c>
      <c r="E178" t="s">
        <v>1929</v>
      </c>
      <c r="F178">
        <v>3020345</v>
      </c>
      <c r="G178">
        <v>1.18</v>
      </c>
      <c r="H178" s="505">
        <v>5340</v>
      </c>
      <c r="I178">
        <v>0</v>
      </c>
      <c r="J178">
        <v>0</v>
      </c>
      <c r="K178">
        <v>0</v>
      </c>
      <c r="M178" s="505">
        <v>5340</v>
      </c>
      <c r="O178">
        <v>0</v>
      </c>
    </row>
    <row r="179" spans="1:15">
      <c r="A179" t="s">
        <v>1813</v>
      </c>
      <c r="B179" t="s">
        <v>2477</v>
      </c>
      <c r="C179" t="s">
        <v>1947</v>
      </c>
      <c r="D179" t="s">
        <v>984</v>
      </c>
      <c r="E179" t="s">
        <v>392</v>
      </c>
      <c r="F179">
        <v>1850320</v>
      </c>
      <c r="G179">
        <v>1.24</v>
      </c>
      <c r="H179" s="505">
        <v>124000</v>
      </c>
      <c r="I179">
        <v>0</v>
      </c>
      <c r="J179">
        <v>0</v>
      </c>
      <c r="K179">
        <v>0</v>
      </c>
      <c r="M179" s="505">
        <v>124000</v>
      </c>
      <c r="O179" s="505">
        <v>12524000</v>
      </c>
    </row>
    <row r="180" spans="1:15">
      <c r="A180" t="s">
        <v>1813</v>
      </c>
      <c r="B180" t="s">
        <v>2478</v>
      </c>
      <c r="C180" t="s">
        <v>1738</v>
      </c>
      <c r="D180" t="s">
        <v>984</v>
      </c>
      <c r="E180" t="s">
        <v>392</v>
      </c>
      <c r="F180">
        <v>3020320</v>
      </c>
      <c r="G180">
        <v>1.27</v>
      </c>
      <c r="H180" s="505">
        <v>108000</v>
      </c>
      <c r="I180">
        <v>0</v>
      </c>
      <c r="J180">
        <v>0</v>
      </c>
      <c r="K180">
        <v>0</v>
      </c>
      <c r="M180" s="505">
        <v>108000</v>
      </c>
      <c r="O180" s="505">
        <v>22896000</v>
      </c>
    </row>
    <row r="181" spans="1:15">
      <c r="A181" t="s">
        <v>1774</v>
      </c>
      <c r="B181" t="s">
        <v>3404</v>
      </c>
      <c r="C181" t="s">
        <v>196</v>
      </c>
      <c r="D181" t="s">
        <v>197</v>
      </c>
      <c r="E181" t="s">
        <v>60</v>
      </c>
      <c r="F181">
        <v>1850355</v>
      </c>
      <c r="G181">
        <v>1.34</v>
      </c>
      <c r="H181" s="505">
        <v>710000</v>
      </c>
      <c r="I181">
        <v>0</v>
      </c>
      <c r="J181" s="505">
        <v>68000</v>
      </c>
      <c r="K181">
        <v>0</v>
      </c>
      <c r="M181" s="505">
        <v>642000</v>
      </c>
      <c r="O181" s="505">
        <v>57780000</v>
      </c>
    </row>
    <row r="182" spans="1:15">
      <c r="A182" t="s">
        <v>358</v>
      </c>
      <c r="B182" t="s">
        <v>2479</v>
      </c>
      <c r="C182" t="s">
        <v>1948</v>
      </c>
      <c r="D182" t="s">
        <v>1949</v>
      </c>
      <c r="E182" t="s">
        <v>392</v>
      </c>
      <c r="F182">
        <v>1850320</v>
      </c>
      <c r="G182">
        <v>1.02</v>
      </c>
      <c r="H182" s="505">
        <v>2000</v>
      </c>
      <c r="I182">
        <v>0</v>
      </c>
      <c r="J182">
        <v>0</v>
      </c>
      <c r="K182">
        <v>0</v>
      </c>
      <c r="M182" s="505">
        <v>2000</v>
      </c>
      <c r="O182">
        <v>0</v>
      </c>
    </row>
    <row r="183" spans="1:15">
      <c r="A183" t="s">
        <v>2324</v>
      </c>
      <c r="B183" t="s">
        <v>2630</v>
      </c>
      <c r="C183" t="s">
        <v>2336</v>
      </c>
      <c r="D183" t="s">
        <v>2337</v>
      </c>
      <c r="E183" t="s">
        <v>2338</v>
      </c>
      <c r="F183">
        <v>1850345</v>
      </c>
      <c r="G183">
        <v>0.85</v>
      </c>
      <c r="H183" s="505">
        <v>85000</v>
      </c>
      <c r="I183">
        <v>0</v>
      </c>
      <c r="J183">
        <v>0</v>
      </c>
      <c r="K183">
        <v>0</v>
      </c>
      <c r="M183" s="505">
        <v>85000</v>
      </c>
      <c r="O183">
        <v>0</v>
      </c>
    </row>
    <row r="184" spans="1:15">
      <c r="A184" t="s">
        <v>1829</v>
      </c>
      <c r="B184" t="s">
        <v>2480</v>
      </c>
      <c r="C184" t="s">
        <v>618</v>
      </c>
      <c r="D184" t="s">
        <v>619</v>
      </c>
      <c r="E184" t="s">
        <v>620</v>
      </c>
      <c r="F184">
        <v>1850320</v>
      </c>
      <c r="G184">
        <v>1.25</v>
      </c>
      <c r="H184" s="505">
        <v>792000</v>
      </c>
      <c r="I184">
        <v>0</v>
      </c>
      <c r="J184">
        <v>0</v>
      </c>
      <c r="K184">
        <v>0</v>
      </c>
      <c r="M184" s="505">
        <v>792000</v>
      </c>
      <c r="O184" s="505">
        <v>69696000</v>
      </c>
    </row>
    <row r="185" spans="1:15">
      <c r="A185" t="s">
        <v>1829</v>
      </c>
      <c r="B185" t="s">
        <v>2481</v>
      </c>
      <c r="C185" t="s">
        <v>660</v>
      </c>
      <c r="D185" t="s">
        <v>661</v>
      </c>
      <c r="E185" t="s">
        <v>620</v>
      </c>
      <c r="F185">
        <v>1850320</v>
      </c>
      <c r="G185">
        <v>1.58</v>
      </c>
      <c r="H185" s="505">
        <v>96000</v>
      </c>
      <c r="I185">
        <v>0</v>
      </c>
      <c r="J185">
        <v>0</v>
      </c>
      <c r="K185">
        <v>0</v>
      </c>
      <c r="M185" s="505">
        <v>96000</v>
      </c>
      <c r="O185" s="505">
        <v>8832000</v>
      </c>
    </row>
    <row r="186" spans="1:15">
      <c r="A186" t="s">
        <v>1772</v>
      </c>
      <c r="B186" t="s">
        <v>3024</v>
      </c>
      <c r="C186" t="s">
        <v>662</v>
      </c>
      <c r="D186" t="s">
        <v>664</v>
      </c>
      <c r="E186" t="s">
        <v>665</v>
      </c>
      <c r="F186">
        <v>1850320</v>
      </c>
      <c r="G186">
        <v>1.1100000000000001</v>
      </c>
      <c r="H186" s="505">
        <v>560000</v>
      </c>
      <c r="I186">
        <v>0</v>
      </c>
      <c r="J186" s="505">
        <v>100000</v>
      </c>
      <c r="K186">
        <v>0</v>
      </c>
      <c r="M186" s="505">
        <v>460000</v>
      </c>
      <c r="O186" s="505">
        <v>34500000</v>
      </c>
    </row>
    <row r="187" spans="1:15">
      <c r="A187" t="s">
        <v>1918</v>
      </c>
      <c r="B187" t="s">
        <v>3137</v>
      </c>
      <c r="C187" t="s">
        <v>415</v>
      </c>
      <c r="D187" t="s">
        <v>113</v>
      </c>
      <c r="E187" t="s">
        <v>417</v>
      </c>
      <c r="F187">
        <v>1000345</v>
      </c>
      <c r="G187">
        <v>1.42</v>
      </c>
      <c r="H187" s="505">
        <v>112000</v>
      </c>
      <c r="I187">
        <v>0</v>
      </c>
      <c r="J187" s="505">
        <v>20000</v>
      </c>
      <c r="K187">
        <v>0</v>
      </c>
      <c r="M187" s="505">
        <v>92000</v>
      </c>
      <c r="O187" s="505">
        <v>13432000</v>
      </c>
    </row>
    <row r="188" spans="1:15">
      <c r="A188" t="s">
        <v>2324</v>
      </c>
      <c r="B188" t="s">
        <v>2648</v>
      </c>
      <c r="C188" t="s">
        <v>2339</v>
      </c>
      <c r="D188" t="s">
        <v>2340</v>
      </c>
      <c r="E188" t="s">
        <v>2318</v>
      </c>
      <c r="F188">
        <v>1200345</v>
      </c>
      <c r="G188">
        <v>1.42</v>
      </c>
      <c r="H188" s="505">
        <v>47430</v>
      </c>
      <c r="I188">
        <v>0</v>
      </c>
      <c r="J188" s="505">
        <v>12000</v>
      </c>
      <c r="K188">
        <v>0</v>
      </c>
      <c r="M188" s="505">
        <v>35430</v>
      </c>
      <c r="O188">
        <v>0</v>
      </c>
    </row>
    <row r="189" spans="1:15">
      <c r="A189" t="s">
        <v>1813</v>
      </c>
      <c r="B189" t="s">
        <v>2482</v>
      </c>
      <c r="C189" t="s">
        <v>1667</v>
      </c>
      <c r="D189" t="s">
        <v>204</v>
      </c>
      <c r="E189" t="s">
        <v>414</v>
      </c>
      <c r="F189">
        <v>3020320</v>
      </c>
      <c r="G189">
        <v>1.29</v>
      </c>
      <c r="H189" s="505">
        <v>136000</v>
      </c>
      <c r="I189">
        <v>0</v>
      </c>
      <c r="J189">
        <v>0</v>
      </c>
      <c r="K189">
        <v>0</v>
      </c>
      <c r="M189" s="505">
        <v>136000</v>
      </c>
      <c r="O189" s="505">
        <v>29240000</v>
      </c>
    </row>
    <row r="190" spans="1:15">
      <c r="A190" t="s">
        <v>1918</v>
      </c>
      <c r="B190" t="s">
        <v>2483</v>
      </c>
      <c r="C190" t="s">
        <v>1951</v>
      </c>
      <c r="D190" t="s">
        <v>742</v>
      </c>
      <c r="E190" t="s">
        <v>414</v>
      </c>
      <c r="F190">
        <v>1850345</v>
      </c>
      <c r="G190">
        <v>1.33</v>
      </c>
      <c r="H190" s="505">
        <v>86000</v>
      </c>
      <c r="I190">
        <v>0</v>
      </c>
      <c r="J190">
        <v>0</v>
      </c>
      <c r="K190">
        <v>0</v>
      </c>
      <c r="M190" s="505">
        <v>86000</v>
      </c>
      <c r="O190" s="505">
        <v>7568000</v>
      </c>
    </row>
    <row r="191" spans="1:15">
      <c r="A191" t="s">
        <v>1774</v>
      </c>
      <c r="B191" t="s">
        <v>3379</v>
      </c>
      <c r="C191" t="s">
        <v>3256</v>
      </c>
      <c r="D191" t="s">
        <v>3257</v>
      </c>
      <c r="E191" t="s">
        <v>414</v>
      </c>
      <c r="F191">
        <v>1850325</v>
      </c>
      <c r="G191">
        <v>0.93</v>
      </c>
      <c r="H191" s="505">
        <v>32000</v>
      </c>
      <c r="I191">
        <v>0</v>
      </c>
      <c r="J191" s="505">
        <v>4000</v>
      </c>
      <c r="K191">
        <v>0</v>
      </c>
      <c r="M191" s="505">
        <v>28000</v>
      </c>
      <c r="O191">
        <v>0</v>
      </c>
    </row>
    <row r="192" spans="1:15">
      <c r="A192" t="s">
        <v>1772</v>
      </c>
      <c r="B192" t="s">
        <v>3380</v>
      </c>
      <c r="C192" t="s">
        <v>2317</v>
      </c>
      <c r="D192" t="s">
        <v>113</v>
      </c>
      <c r="E192" t="s">
        <v>414</v>
      </c>
      <c r="F192">
        <v>1000345</v>
      </c>
      <c r="G192">
        <v>1.42</v>
      </c>
      <c r="H192" s="505">
        <v>180000</v>
      </c>
      <c r="I192" s="505">
        <v>200000</v>
      </c>
      <c r="J192" s="505">
        <v>150000</v>
      </c>
      <c r="K192">
        <v>0</v>
      </c>
      <c r="M192" s="505">
        <v>230000</v>
      </c>
      <c r="O192">
        <v>0</v>
      </c>
    </row>
    <row r="193" spans="1:15">
      <c r="A193" t="s">
        <v>1771</v>
      </c>
      <c r="B193" t="s">
        <v>2987</v>
      </c>
      <c r="C193" t="s">
        <v>222</v>
      </c>
      <c r="D193" t="s">
        <v>201</v>
      </c>
      <c r="E193" t="s">
        <v>414</v>
      </c>
      <c r="F193">
        <v>1850320</v>
      </c>
      <c r="G193">
        <v>1.1000000000000001</v>
      </c>
      <c r="H193" s="505">
        <v>521112</v>
      </c>
      <c r="I193">
        <v>0</v>
      </c>
      <c r="J193" s="505">
        <v>92000</v>
      </c>
      <c r="K193">
        <v>0</v>
      </c>
      <c r="M193" s="505">
        <v>429112</v>
      </c>
      <c r="O193" s="505">
        <v>44198536</v>
      </c>
    </row>
    <row r="194" spans="1:15">
      <c r="A194" t="s">
        <v>1816</v>
      </c>
      <c r="B194" t="s">
        <v>3321</v>
      </c>
      <c r="C194" t="s">
        <v>195</v>
      </c>
      <c r="D194" t="s">
        <v>167</v>
      </c>
      <c r="E194" t="s">
        <v>59</v>
      </c>
      <c r="F194">
        <v>1850330</v>
      </c>
      <c r="G194">
        <v>1.05</v>
      </c>
      <c r="H194" s="505">
        <v>90000</v>
      </c>
      <c r="I194" s="505">
        <v>176000</v>
      </c>
      <c r="J194" s="505">
        <v>140000</v>
      </c>
      <c r="K194">
        <v>0</v>
      </c>
      <c r="M194" s="505">
        <v>126000</v>
      </c>
      <c r="O194">
        <v>0</v>
      </c>
    </row>
    <row r="195" spans="1:15">
      <c r="A195" t="s">
        <v>1819</v>
      </c>
      <c r="B195" t="s">
        <v>2770</v>
      </c>
      <c r="C195" t="s">
        <v>1694</v>
      </c>
      <c r="D195" t="s">
        <v>167</v>
      </c>
      <c r="E195" t="s">
        <v>414</v>
      </c>
      <c r="F195">
        <v>3020330</v>
      </c>
      <c r="G195">
        <v>1.1000000000000001</v>
      </c>
      <c r="H195" s="505">
        <v>32000</v>
      </c>
      <c r="I195">
        <v>0</v>
      </c>
      <c r="J195">
        <v>0</v>
      </c>
      <c r="K195">
        <v>0</v>
      </c>
      <c r="M195" s="505">
        <v>32000</v>
      </c>
      <c r="O195">
        <v>0</v>
      </c>
    </row>
    <row r="196" spans="1:15">
      <c r="A196" t="s">
        <v>1771</v>
      </c>
      <c r="B196" t="s">
        <v>2836</v>
      </c>
      <c r="C196" t="s">
        <v>2736</v>
      </c>
      <c r="D196" t="s">
        <v>46</v>
      </c>
      <c r="E196" t="s">
        <v>414</v>
      </c>
      <c r="F196">
        <v>1850320</v>
      </c>
      <c r="G196">
        <v>1.02</v>
      </c>
      <c r="H196" s="505">
        <v>17700</v>
      </c>
      <c r="I196" s="505">
        <v>78000</v>
      </c>
      <c r="J196" s="505">
        <v>13000</v>
      </c>
      <c r="K196">
        <v>0</v>
      </c>
      <c r="M196" s="505">
        <v>82700</v>
      </c>
      <c r="O196">
        <v>0</v>
      </c>
    </row>
    <row r="197" spans="1:15">
      <c r="A197" t="s">
        <v>1771</v>
      </c>
      <c r="B197" t="s">
        <v>2837</v>
      </c>
      <c r="C197" t="s">
        <v>2802</v>
      </c>
      <c r="D197" t="s">
        <v>46</v>
      </c>
      <c r="E197" t="s">
        <v>414</v>
      </c>
      <c r="F197">
        <v>1850320</v>
      </c>
      <c r="G197">
        <v>1.02</v>
      </c>
      <c r="H197" s="505">
        <v>162200</v>
      </c>
      <c r="I197">
        <v>0</v>
      </c>
      <c r="J197">
        <v>0</v>
      </c>
      <c r="K197">
        <v>0</v>
      </c>
      <c r="M197" s="505">
        <v>162200</v>
      </c>
      <c r="O197">
        <v>0</v>
      </c>
    </row>
    <row r="198" spans="1:15">
      <c r="A198" t="s">
        <v>1829</v>
      </c>
      <c r="B198" t="s">
        <v>3368</v>
      </c>
      <c r="C198" t="s">
        <v>3111</v>
      </c>
      <c r="D198" t="s">
        <v>3099</v>
      </c>
      <c r="E198" t="s">
        <v>3100</v>
      </c>
      <c r="F198">
        <v>2200355</v>
      </c>
      <c r="G198">
        <v>1.5</v>
      </c>
      <c r="H198" s="505">
        <v>522000</v>
      </c>
      <c r="I198">
        <v>0</v>
      </c>
      <c r="J198" s="505">
        <v>150000</v>
      </c>
      <c r="K198">
        <v>0</v>
      </c>
      <c r="M198" s="505">
        <v>372000</v>
      </c>
      <c r="O198">
        <v>0</v>
      </c>
    </row>
    <row r="199" spans="1:15">
      <c r="A199" t="s">
        <v>1774</v>
      </c>
      <c r="B199" t="s">
        <v>2484</v>
      </c>
      <c r="C199" t="s">
        <v>685</v>
      </c>
      <c r="D199" t="s">
        <v>45</v>
      </c>
      <c r="E199" t="s">
        <v>59</v>
      </c>
      <c r="F199">
        <v>1850325</v>
      </c>
      <c r="G199">
        <v>1.37</v>
      </c>
      <c r="H199" s="505">
        <v>948000</v>
      </c>
      <c r="I199" s="505">
        <v>128000</v>
      </c>
      <c r="J199" s="505">
        <v>280000</v>
      </c>
      <c r="K199">
        <v>0</v>
      </c>
      <c r="M199" s="505">
        <v>796000</v>
      </c>
      <c r="O199" s="505">
        <v>60496000</v>
      </c>
    </row>
    <row r="200" spans="1:15">
      <c r="A200" t="s">
        <v>1921</v>
      </c>
      <c r="B200" t="s">
        <v>3372</v>
      </c>
      <c r="C200" t="s">
        <v>906</v>
      </c>
      <c r="D200" t="s">
        <v>629</v>
      </c>
      <c r="E200" t="s">
        <v>414</v>
      </c>
      <c r="F200">
        <v>3020330</v>
      </c>
      <c r="G200">
        <v>1.3</v>
      </c>
      <c r="H200" s="505">
        <v>496000</v>
      </c>
      <c r="I200">
        <v>0</v>
      </c>
      <c r="J200" s="505">
        <v>120000</v>
      </c>
      <c r="K200">
        <v>0</v>
      </c>
      <c r="M200" s="505">
        <v>376000</v>
      </c>
      <c r="O200" s="505">
        <v>79712000</v>
      </c>
    </row>
    <row r="201" spans="1:15">
      <c r="A201" t="s">
        <v>1921</v>
      </c>
      <c r="B201" t="s">
        <v>3219</v>
      </c>
      <c r="C201" t="s">
        <v>627</v>
      </c>
      <c r="D201" t="s">
        <v>629</v>
      </c>
      <c r="E201" t="s">
        <v>414</v>
      </c>
      <c r="F201">
        <v>1850320</v>
      </c>
      <c r="G201">
        <v>1.42</v>
      </c>
      <c r="H201" s="505">
        <v>68000</v>
      </c>
      <c r="I201" s="505">
        <v>168000</v>
      </c>
      <c r="J201" s="505">
        <v>50000</v>
      </c>
      <c r="K201">
        <v>0</v>
      </c>
      <c r="M201" s="505">
        <v>186000</v>
      </c>
      <c r="O201">
        <v>0</v>
      </c>
    </row>
    <row r="202" spans="1:15">
      <c r="A202" t="s">
        <v>1827</v>
      </c>
      <c r="B202" t="s">
        <v>3428</v>
      </c>
      <c r="C202" t="s">
        <v>3080</v>
      </c>
      <c r="D202" t="s">
        <v>3082</v>
      </c>
      <c r="E202" t="s">
        <v>59</v>
      </c>
      <c r="F202">
        <v>1000345</v>
      </c>
      <c r="G202">
        <v>1.55</v>
      </c>
      <c r="H202" s="505">
        <v>76000</v>
      </c>
      <c r="I202">
        <v>0</v>
      </c>
      <c r="J202">
        <v>0</v>
      </c>
      <c r="K202">
        <v>0</v>
      </c>
      <c r="M202" s="505">
        <v>76000</v>
      </c>
      <c r="O202">
        <v>0</v>
      </c>
    </row>
    <row r="203" spans="1:15">
      <c r="A203" t="s">
        <v>1921</v>
      </c>
      <c r="B203" t="s">
        <v>2485</v>
      </c>
      <c r="C203" t="s">
        <v>1716</v>
      </c>
      <c r="D203" t="s">
        <v>427</v>
      </c>
      <c r="E203" t="s">
        <v>414</v>
      </c>
      <c r="F203">
        <v>1000345</v>
      </c>
      <c r="G203">
        <v>1.35</v>
      </c>
      <c r="H203" s="505">
        <v>40000</v>
      </c>
      <c r="I203">
        <v>0</v>
      </c>
      <c r="J203" s="505">
        <v>10000</v>
      </c>
      <c r="K203">
        <v>0</v>
      </c>
      <c r="M203" s="505">
        <v>30000</v>
      </c>
      <c r="O203">
        <v>0</v>
      </c>
    </row>
    <row r="204" spans="1:15">
      <c r="A204" t="s">
        <v>1774</v>
      </c>
      <c r="B204" t="s">
        <v>2486</v>
      </c>
      <c r="C204" t="s">
        <v>1025</v>
      </c>
      <c r="D204" t="s">
        <v>1027</v>
      </c>
      <c r="E204" t="s">
        <v>59</v>
      </c>
      <c r="F204">
        <v>1810348</v>
      </c>
      <c r="G204">
        <v>1.54</v>
      </c>
      <c r="H204" s="505">
        <v>43556</v>
      </c>
      <c r="I204">
        <v>0</v>
      </c>
      <c r="J204">
        <v>0</v>
      </c>
      <c r="K204">
        <v>0</v>
      </c>
      <c r="M204" s="505">
        <v>43556</v>
      </c>
      <c r="O204" s="505">
        <v>5052496</v>
      </c>
    </row>
    <row r="205" spans="1:15">
      <c r="A205" t="s">
        <v>1763</v>
      </c>
      <c r="B205" t="s">
        <v>2793</v>
      </c>
      <c r="C205" t="s">
        <v>82</v>
      </c>
      <c r="D205" t="s">
        <v>83</v>
      </c>
      <c r="E205" t="s">
        <v>59</v>
      </c>
      <c r="F205">
        <v>3020345</v>
      </c>
      <c r="G205">
        <v>1.56</v>
      </c>
      <c r="H205" s="505">
        <v>84000</v>
      </c>
      <c r="I205">
        <v>0</v>
      </c>
      <c r="J205" s="505">
        <v>10000</v>
      </c>
      <c r="K205">
        <v>0</v>
      </c>
      <c r="M205" s="505">
        <v>74000</v>
      </c>
      <c r="O205" s="505">
        <v>17464000</v>
      </c>
    </row>
    <row r="206" spans="1:15">
      <c r="A206" t="s">
        <v>1819</v>
      </c>
      <c r="B206" t="s">
        <v>2696</v>
      </c>
      <c r="C206" t="s">
        <v>1695</v>
      </c>
      <c r="D206" t="s">
        <v>984</v>
      </c>
      <c r="E206" t="s">
        <v>414</v>
      </c>
      <c r="F206">
        <v>1850320</v>
      </c>
      <c r="G206">
        <v>1.4</v>
      </c>
      <c r="H206" s="505">
        <v>94000</v>
      </c>
      <c r="I206">
        <v>0</v>
      </c>
      <c r="J206">
        <v>0</v>
      </c>
      <c r="K206">
        <v>0</v>
      </c>
      <c r="M206" s="505">
        <v>94000</v>
      </c>
      <c r="O206" s="505">
        <v>10058000</v>
      </c>
    </row>
    <row r="207" spans="1:15">
      <c r="A207" t="s">
        <v>1921</v>
      </c>
      <c r="B207" t="s">
        <v>2487</v>
      </c>
      <c r="C207" t="s">
        <v>892</v>
      </c>
      <c r="D207" t="s">
        <v>629</v>
      </c>
      <c r="E207" t="s">
        <v>414</v>
      </c>
      <c r="F207">
        <v>3020320</v>
      </c>
      <c r="G207">
        <v>1.23</v>
      </c>
      <c r="H207" s="505">
        <v>86000</v>
      </c>
      <c r="I207">
        <v>0</v>
      </c>
      <c r="J207">
        <v>0</v>
      </c>
      <c r="K207">
        <v>0</v>
      </c>
      <c r="M207" s="505">
        <v>86000</v>
      </c>
      <c r="O207" s="505">
        <v>16082000</v>
      </c>
    </row>
    <row r="208" spans="1:15">
      <c r="A208" t="s">
        <v>358</v>
      </c>
      <c r="B208" t="s">
        <v>2794</v>
      </c>
      <c r="C208" t="s">
        <v>1965</v>
      </c>
      <c r="D208" t="s">
        <v>1966</v>
      </c>
      <c r="E208" t="s">
        <v>414</v>
      </c>
      <c r="F208">
        <v>1850345</v>
      </c>
      <c r="G208">
        <v>1.46</v>
      </c>
      <c r="H208" s="505">
        <v>21900</v>
      </c>
      <c r="I208">
        <v>0</v>
      </c>
      <c r="J208">
        <v>0</v>
      </c>
      <c r="K208">
        <v>0</v>
      </c>
      <c r="M208" s="505">
        <v>21900</v>
      </c>
      <c r="O208">
        <v>0</v>
      </c>
    </row>
    <row r="209" spans="1:15">
      <c r="A209" t="s">
        <v>1774</v>
      </c>
      <c r="B209" t="s">
        <v>2859</v>
      </c>
      <c r="C209" t="s">
        <v>128</v>
      </c>
      <c r="D209" t="s">
        <v>129</v>
      </c>
      <c r="E209" t="s">
        <v>59</v>
      </c>
      <c r="F209">
        <v>1850345</v>
      </c>
      <c r="G209">
        <v>1.56</v>
      </c>
      <c r="H209" s="505">
        <v>642240</v>
      </c>
      <c r="I209">
        <v>0</v>
      </c>
      <c r="J209" s="505">
        <v>236000</v>
      </c>
      <c r="K209">
        <v>0</v>
      </c>
      <c r="M209" s="505">
        <v>406240</v>
      </c>
      <c r="O209" s="505">
        <v>65810880</v>
      </c>
    </row>
    <row r="210" spans="1:15">
      <c r="A210" t="s">
        <v>1803</v>
      </c>
      <c r="B210" t="s">
        <v>3539</v>
      </c>
      <c r="C210" t="s">
        <v>1975</v>
      </c>
      <c r="D210" t="s">
        <v>1976</v>
      </c>
      <c r="E210" t="s">
        <v>1977</v>
      </c>
      <c r="F210">
        <v>1850325</v>
      </c>
      <c r="G210">
        <v>1.25</v>
      </c>
      <c r="H210">
        <v>0</v>
      </c>
      <c r="I210">
        <v>0</v>
      </c>
      <c r="J210">
        <v>0</v>
      </c>
      <c r="K210">
        <v>1</v>
      </c>
      <c r="M210">
        <v>1</v>
      </c>
      <c r="O210">
        <v>0</v>
      </c>
    </row>
    <row r="211" spans="1:15">
      <c r="A211" t="s">
        <v>1829</v>
      </c>
      <c r="B211" t="s">
        <v>2488</v>
      </c>
      <c r="C211" t="s">
        <v>633</v>
      </c>
      <c r="D211" t="s">
        <v>619</v>
      </c>
      <c r="E211" t="s">
        <v>56</v>
      </c>
      <c r="F211">
        <v>1850320</v>
      </c>
      <c r="G211">
        <v>1.36</v>
      </c>
      <c r="H211" s="505">
        <v>678000</v>
      </c>
      <c r="I211">
        <v>0</v>
      </c>
      <c r="J211">
        <v>0</v>
      </c>
      <c r="K211">
        <v>0</v>
      </c>
      <c r="M211" s="505">
        <v>678000</v>
      </c>
      <c r="O211" s="505">
        <v>63054000</v>
      </c>
    </row>
    <row r="212" spans="1:15">
      <c r="A212" t="s">
        <v>1771</v>
      </c>
      <c r="B212" t="s">
        <v>2988</v>
      </c>
      <c r="C212" t="s">
        <v>221</v>
      </c>
      <c r="D212" t="s">
        <v>1979</v>
      </c>
      <c r="E212" t="s">
        <v>420</v>
      </c>
      <c r="F212">
        <v>1850320</v>
      </c>
      <c r="G212">
        <v>2.3199999999999998</v>
      </c>
      <c r="H212" s="505">
        <v>316000</v>
      </c>
      <c r="I212">
        <v>0</v>
      </c>
      <c r="J212" s="505">
        <v>112000</v>
      </c>
      <c r="K212">
        <v>0</v>
      </c>
      <c r="M212" s="505">
        <v>204000</v>
      </c>
      <c r="O212" s="505">
        <v>48552000</v>
      </c>
    </row>
    <row r="213" spans="1:15">
      <c r="A213" t="s">
        <v>1819</v>
      </c>
      <c r="B213" t="s">
        <v>2870</v>
      </c>
      <c r="C213" t="s">
        <v>2751</v>
      </c>
      <c r="D213" t="s">
        <v>2756</v>
      </c>
      <c r="F213">
        <v>4300320</v>
      </c>
      <c r="G213">
        <v>1.41</v>
      </c>
      <c r="H213" s="505">
        <v>21000</v>
      </c>
      <c r="I213">
        <v>0</v>
      </c>
      <c r="J213">
        <v>0</v>
      </c>
      <c r="K213">
        <v>0</v>
      </c>
      <c r="M213" s="505">
        <v>21000</v>
      </c>
      <c r="O213">
        <v>0</v>
      </c>
    </row>
    <row r="214" spans="1:15">
      <c r="A214" t="s">
        <v>1813</v>
      </c>
      <c r="B214" t="s">
        <v>2489</v>
      </c>
      <c r="C214" t="s">
        <v>1980</v>
      </c>
      <c r="D214" t="s">
        <v>204</v>
      </c>
      <c r="E214" t="s">
        <v>420</v>
      </c>
      <c r="F214">
        <v>3020320</v>
      </c>
      <c r="G214">
        <v>1.44</v>
      </c>
      <c r="H214" s="505">
        <v>190000</v>
      </c>
      <c r="I214">
        <v>0</v>
      </c>
      <c r="J214">
        <v>0</v>
      </c>
      <c r="K214">
        <v>0</v>
      </c>
      <c r="M214" s="505">
        <v>190000</v>
      </c>
      <c r="O214" s="505">
        <v>43890000</v>
      </c>
    </row>
    <row r="215" spans="1:15">
      <c r="A215" t="s">
        <v>1803</v>
      </c>
      <c r="B215" t="s">
        <v>3509</v>
      </c>
      <c r="C215" t="s">
        <v>3387</v>
      </c>
      <c r="D215" t="s">
        <v>3391</v>
      </c>
      <c r="E215" t="s">
        <v>420</v>
      </c>
      <c r="F215">
        <v>3020320</v>
      </c>
      <c r="G215">
        <v>1.06</v>
      </c>
      <c r="H215">
        <v>0</v>
      </c>
      <c r="I215" s="505">
        <v>159000</v>
      </c>
      <c r="J215">
        <v>0</v>
      </c>
      <c r="K215">
        <v>0</v>
      </c>
      <c r="M215" s="505">
        <v>159000</v>
      </c>
      <c r="O215">
        <v>0</v>
      </c>
    </row>
    <row r="216" spans="1:15">
      <c r="A216" t="s">
        <v>1807</v>
      </c>
      <c r="B216" t="s">
        <v>3477</v>
      </c>
      <c r="C216" t="s">
        <v>1983</v>
      </c>
      <c r="D216" t="s">
        <v>1984</v>
      </c>
      <c r="E216" t="s">
        <v>1985</v>
      </c>
      <c r="F216">
        <v>4350345</v>
      </c>
      <c r="G216">
        <v>1.8</v>
      </c>
      <c r="H216" s="505">
        <v>71000</v>
      </c>
      <c r="I216">
        <v>0</v>
      </c>
      <c r="J216" s="505">
        <v>26000</v>
      </c>
      <c r="K216">
        <v>0</v>
      </c>
      <c r="M216" s="505">
        <v>45000</v>
      </c>
      <c r="O216">
        <v>0</v>
      </c>
    </row>
    <row r="217" spans="1:15">
      <c r="A217" t="s">
        <v>1774</v>
      </c>
      <c r="B217" t="s">
        <v>3429</v>
      </c>
      <c r="C217" t="s">
        <v>3033</v>
      </c>
      <c r="D217" t="s">
        <v>3034</v>
      </c>
      <c r="E217" t="s">
        <v>56</v>
      </c>
      <c r="F217">
        <v>1850320</v>
      </c>
      <c r="G217">
        <v>2.11</v>
      </c>
      <c r="H217" s="505">
        <v>100000</v>
      </c>
      <c r="I217" s="505">
        <v>47000</v>
      </c>
      <c r="J217" s="505">
        <v>41000</v>
      </c>
      <c r="K217">
        <v>0</v>
      </c>
      <c r="M217" s="505">
        <v>106000</v>
      </c>
      <c r="O217">
        <v>0</v>
      </c>
    </row>
    <row r="218" spans="1:15">
      <c r="A218" t="s">
        <v>1774</v>
      </c>
      <c r="B218" t="s">
        <v>2722</v>
      </c>
      <c r="C218" t="s">
        <v>903</v>
      </c>
      <c r="D218" t="s">
        <v>240</v>
      </c>
      <c r="E218" t="s">
        <v>56</v>
      </c>
      <c r="F218">
        <v>3020328</v>
      </c>
      <c r="G218">
        <v>0.97</v>
      </c>
      <c r="H218" s="505">
        <v>396000</v>
      </c>
      <c r="I218">
        <v>0</v>
      </c>
      <c r="J218" s="505">
        <v>123000</v>
      </c>
      <c r="K218">
        <v>0</v>
      </c>
      <c r="M218" s="505">
        <v>273000</v>
      </c>
      <c r="O218" s="505">
        <v>52143000</v>
      </c>
    </row>
    <row r="219" spans="1:15">
      <c r="A219" t="s">
        <v>1954</v>
      </c>
      <c r="B219" t="s">
        <v>3044</v>
      </c>
      <c r="C219" t="s">
        <v>612</v>
      </c>
      <c r="D219" t="s">
        <v>613</v>
      </c>
      <c r="E219" t="s">
        <v>56</v>
      </c>
      <c r="F219">
        <v>1850320</v>
      </c>
      <c r="G219">
        <v>0.91</v>
      </c>
      <c r="H219" s="505">
        <v>44000</v>
      </c>
      <c r="I219">
        <v>0</v>
      </c>
      <c r="J219">
        <v>0</v>
      </c>
      <c r="K219">
        <v>0</v>
      </c>
      <c r="M219" s="505">
        <v>44000</v>
      </c>
      <c r="O219" s="505">
        <v>3652000</v>
      </c>
    </row>
    <row r="220" spans="1:15">
      <c r="A220" t="s">
        <v>1954</v>
      </c>
      <c r="B220" t="s">
        <v>2692</v>
      </c>
      <c r="C220" t="s">
        <v>614</v>
      </c>
      <c r="D220" t="s">
        <v>615</v>
      </c>
      <c r="E220" t="s">
        <v>56</v>
      </c>
      <c r="F220">
        <v>1850320</v>
      </c>
      <c r="G220">
        <v>0.9</v>
      </c>
      <c r="H220" s="505">
        <v>4000</v>
      </c>
      <c r="I220">
        <v>0</v>
      </c>
      <c r="J220">
        <v>0</v>
      </c>
      <c r="K220">
        <v>0</v>
      </c>
      <c r="M220" s="505">
        <v>4000</v>
      </c>
      <c r="O220" s="505">
        <v>260000</v>
      </c>
    </row>
    <row r="221" spans="1:15">
      <c r="A221" t="s">
        <v>1774</v>
      </c>
      <c r="B221" t="s">
        <v>2490</v>
      </c>
      <c r="C221" t="s">
        <v>917</v>
      </c>
      <c r="D221" t="s">
        <v>919</v>
      </c>
      <c r="E221" t="s">
        <v>56</v>
      </c>
      <c r="F221">
        <v>3020345</v>
      </c>
      <c r="G221">
        <v>1.22</v>
      </c>
      <c r="H221" s="505">
        <v>76000</v>
      </c>
      <c r="I221">
        <v>0</v>
      </c>
      <c r="J221">
        <v>0</v>
      </c>
      <c r="K221">
        <v>0</v>
      </c>
      <c r="M221" s="505">
        <v>76000</v>
      </c>
      <c r="O221" s="505">
        <v>15352000</v>
      </c>
    </row>
    <row r="222" spans="1:15">
      <c r="A222" t="s">
        <v>1774</v>
      </c>
      <c r="B222" t="s">
        <v>3041</v>
      </c>
      <c r="C222" t="s">
        <v>118</v>
      </c>
      <c r="D222" t="s">
        <v>213</v>
      </c>
      <c r="E222" t="s">
        <v>56</v>
      </c>
      <c r="F222">
        <v>4300325</v>
      </c>
      <c r="G222">
        <v>1.56</v>
      </c>
      <c r="H222" s="505">
        <v>755589</v>
      </c>
      <c r="I222">
        <v>0</v>
      </c>
      <c r="J222" s="505">
        <v>90000</v>
      </c>
      <c r="K222">
        <v>0</v>
      </c>
      <c r="M222" s="505">
        <v>665589</v>
      </c>
      <c r="O222" s="505">
        <v>152419881</v>
      </c>
    </row>
    <row r="223" spans="1:15">
      <c r="A223" t="s">
        <v>1839</v>
      </c>
      <c r="B223" t="s">
        <v>2999</v>
      </c>
      <c r="C223" t="s">
        <v>1986</v>
      </c>
      <c r="D223" t="s">
        <v>1987</v>
      </c>
      <c r="E223" t="s">
        <v>420</v>
      </c>
      <c r="F223">
        <v>4300325</v>
      </c>
      <c r="G223">
        <v>1.65</v>
      </c>
      <c r="H223" s="505">
        <v>58000</v>
      </c>
      <c r="I223">
        <v>0</v>
      </c>
      <c r="J223">
        <v>0</v>
      </c>
      <c r="K223">
        <v>0</v>
      </c>
      <c r="M223" s="505">
        <v>58000</v>
      </c>
      <c r="O223">
        <v>0</v>
      </c>
    </row>
    <row r="224" spans="1:15">
      <c r="A224" t="s">
        <v>1807</v>
      </c>
      <c r="B224" t="s">
        <v>3478</v>
      </c>
      <c r="C224" t="s">
        <v>1988</v>
      </c>
      <c r="D224" t="s">
        <v>1989</v>
      </c>
      <c r="E224" t="s">
        <v>1985</v>
      </c>
      <c r="F224">
        <v>4350390</v>
      </c>
      <c r="G224">
        <v>1.98</v>
      </c>
      <c r="H224" s="505">
        <v>595000</v>
      </c>
      <c r="I224">
        <v>0</v>
      </c>
      <c r="J224" s="505">
        <v>40000</v>
      </c>
      <c r="K224">
        <v>0</v>
      </c>
      <c r="M224" s="505">
        <v>555000</v>
      </c>
      <c r="O224">
        <v>0</v>
      </c>
    </row>
    <row r="225" spans="1:15">
      <c r="A225" t="s">
        <v>1954</v>
      </c>
      <c r="B225" t="s">
        <v>2491</v>
      </c>
      <c r="C225" t="s">
        <v>689</v>
      </c>
      <c r="D225" t="s">
        <v>691</v>
      </c>
      <c r="E225" t="s">
        <v>56</v>
      </c>
      <c r="F225">
        <v>1850325</v>
      </c>
      <c r="G225">
        <v>1.5</v>
      </c>
      <c r="H225" s="505">
        <v>88000</v>
      </c>
      <c r="I225">
        <v>0</v>
      </c>
      <c r="J225">
        <v>0</v>
      </c>
      <c r="K225">
        <v>0</v>
      </c>
      <c r="M225" s="505">
        <v>88000</v>
      </c>
      <c r="O225" s="505">
        <v>8096000</v>
      </c>
    </row>
    <row r="226" spans="1:15">
      <c r="A226" t="s">
        <v>1755</v>
      </c>
      <c r="B226" t="s">
        <v>3400</v>
      </c>
      <c r="C226" t="s">
        <v>76</v>
      </c>
      <c r="D226" t="s">
        <v>692</v>
      </c>
      <c r="E226" t="s">
        <v>420</v>
      </c>
      <c r="F226">
        <v>1850325</v>
      </c>
      <c r="G226">
        <v>1.37</v>
      </c>
      <c r="H226" s="505">
        <v>406000</v>
      </c>
      <c r="I226">
        <v>0</v>
      </c>
      <c r="J226" s="505">
        <v>200000</v>
      </c>
      <c r="K226">
        <v>0</v>
      </c>
      <c r="M226" s="505">
        <v>206000</v>
      </c>
      <c r="O226" s="505">
        <v>43054000</v>
      </c>
    </row>
    <row r="227" spans="1:15">
      <c r="A227" t="s">
        <v>1796</v>
      </c>
      <c r="B227" t="s">
        <v>2727</v>
      </c>
      <c r="C227" t="s">
        <v>418</v>
      </c>
      <c r="D227" t="s">
        <v>324</v>
      </c>
      <c r="E227" t="s">
        <v>420</v>
      </c>
      <c r="F227">
        <v>1000345</v>
      </c>
      <c r="G227">
        <v>1.8</v>
      </c>
      <c r="H227" s="505">
        <v>60000</v>
      </c>
      <c r="I227">
        <v>0</v>
      </c>
      <c r="J227">
        <v>0</v>
      </c>
      <c r="K227">
        <v>0</v>
      </c>
      <c r="M227" s="505">
        <v>60000</v>
      </c>
      <c r="O227">
        <v>0</v>
      </c>
    </row>
    <row r="228" spans="1:15">
      <c r="A228" t="s">
        <v>1755</v>
      </c>
      <c r="B228" t="s">
        <v>2623</v>
      </c>
      <c r="C228" t="s">
        <v>2331</v>
      </c>
      <c r="D228" t="s">
        <v>324</v>
      </c>
      <c r="E228" t="s">
        <v>1985</v>
      </c>
      <c r="F228">
        <v>3020345</v>
      </c>
      <c r="G228">
        <v>1.79</v>
      </c>
      <c r="H228" s="505">
        <v>36000</v>
      </c>
      <c r="I228">
        <v>0</v>
      </c>
      <c r="J228">
        <v>0</v>
      </c>
      <c r="K228">
        <v>0</v>
      </c>
      <c r="M228" s="505">
        <v>36000</v>
      </c>
      <c r="O228">
        <v>0</v>
      </c>
    </row>
    <row r="229" spans="1:15">
      <c r="A229" t="s">
        <v>1774</v>
      </c>
      <c r="B229" t="s">
        <v>2772</v>
      </c>
      <c r="C229" t="s">
        <v>2717</v>
      </c>
      <c r="D229" t="s">
        <v>2718</v>
      </c>
      <c r="E229" t="s">
        <v>420</v>
      </c>
      <c r="F229">
        <v>3020325</v>
      </c>
      <c r="G229">
        <v>1.2</v>
      </c>
      <c r="H229" s="505">
        <v>417900</v>
      </c>
      <c r="I229">
        <v>0</v>
      </c>
      <c r="J229" s="505">
        <v>115846</v>
      </c>
      <c r="K229">
        <v>0</v>
      </c>
      <c r="M229" s="505">
        <v>302054</v>
      </c>
      <c r="O229">
        <v>0</v>
      </c>
    </row>
    <row r="230" spans="1:15">
      <c r="A230" t="s">
        <v>1774</v>
      </c>
      <c r="B230" t="s">
        <v>2723</v>
      </c>
      <c r="C230" t="s">
        <v>162</v>
      </c>
      <c r="D230" t="s">
        <v>163</v>
      </c>
      <c r="E230" t="s">
        <v>56</v>
      </c>
      <c r="F230">
        <v>1850325</v>
      </c>
      <c r="G230">
        <v>1.49</v>
      </c>
      <c r="H230" s="505">
        <v>4144525</v>
      </c>
      <c r="I230" s="505">
        <v>3052000</v>
      </c>
      <c r="J230" s="505">
        <v>2522000</v>
      </c>
      <c r="K230">
        <v>0</v>
      </c>
      <c r="M230" s="505">
        <v>4674525</v>
      </c>
      <c r="O230" s="505">
        <v>420707250</v>
      </c>
    </row>
    <row r="231" spans="1:15">
      <c r="A231" t="s">
        <v>1921</v>
      </c>
      <c r="B231" t="s">
        <v>3133</v>
      </c>
      <c r="C231" t="s">
        <v>122</v>
      </c>
      <c r="D231" t="s">
        <v>123</v>
      </c>
      <c r="E231" t="s">
        <v>56</v>
      </c>
      <c r="F231">
        <v>4300325</v>
      </c>
      <c r="G231">
        <v>1.44</v>
      </c>
      <c r="H231" s="505">
        <v>380000</v>
      </c>
      <c r="I231" s="505">
        <v>598000</v>
      </c>
      <c r="J231" s="505">
        <v>400000</v>
      </c>
      <c r="K231">
        <v>0</v>
      </c>
      <c r="M231" s="505">
        <v>578000</v>
      </c>
      <c r="O231" s="505">
        <v>116178000</v>
      </c>
    </row>
    <row r="232" spans="1:15">
      <c r="A232" t="s">
        <v>1774</v>
      </c>
      <c r="B232" t="s">
        <v>2492</v>
      </c>
      <c r="C232" t="s">
        <v>71</v>
      </c>
      <c r="D232" t="s">
        <v>72</v>
      </c>
      <c r="E232" t="s">
        <v>56</v>
      </c>
      <c r="F232">
        <v>3020325</v>
      </c>
      <c r="G232">
        <v>1.44</v>
      </c>
      <c r="H232" s="505">
        <v>704000</v>
      </c>
      <c r="I232">
        <v>0</v>
      </c>
      <c r="J232" s="505">
        <v>214000</v>
      </c>
      <c r="K232">
        <v>0</v>
      </c>
      <c r="M232" s="505">
        <v>490000</v>
      </c>
      <c r="O232" s="505">
        <v>113680000</v>
      </c>
    </row>
    <row r="233" spans="1:15">
      <c r="A233" t="s">
        <v>1755</v>
      </c>
      <c r="B233" t="s">
        <v>2493</v>
      </c>
      <c r="C233" t="s">
        <v>909</v>
      </c>
      <c r="D233" t="s">
        <v>1550</v>
      </c>
      <c r="E233" t="s">
        <v>420</v>
      </c>
      <c r="F233">
        <v>3020325</v>
      </c>
      <c r="G233">
        <v>1.58</v>
      </c>
      <c r="H233" s="505">
        <v>8000</v>
      </c>
      <c r="I233">
        <v>0</v>
      </c>
      <c r="J233">
        <v>0</v>
      </c>
      <c r="K233">
        <v>0</v>
      </c>
      <c r="M233" s="505">
        <v>8000</v>
      </c>
      <c r="O233" s="505">
        <v>2984000</v>
      </c>
    </row>
    <row r="234" spans="1:15">
      <c r="A234" t="s">
        <v>1774</v>
      </c>
      <c r="B234" t="s">
        <v>2712</v>
      </c>
      <c r="C234" t="s">
        <v>164</v>
      </c>
      <c r="D234" t="s">
        <v>165</v>
      </c>
      <c r="E234" t="s">
        <v>56</v>
      </c>
      <c r="F234">
        <v>1850320</v>
      </c>
      <c r="G234">
        <v>1.66</v>
      </c>
      <c r="H234" s="505">
        <v>208000</v>
      </c>
      <c r="I234" s="505">
        <v>1278000</v>
      </c>
      <c r="J234" s="505">
        <v>1350000</v>
      </c>
      <c r="K234">
        <v>0</v>
      </c>
      <c r="M234" s="505">
        <v>136000</v>
      </c>
      <c r="O234" s="505">
        <v>21624000</v>
      </c>
    </row>
    <row r="235" spans="1:15">
      <c r="A235" t="s">
        <v>1774</v>
      </c>
      <c r="B235" t="s">
        <v>3131</v>
      </c>
      <c r="C235" t="s">
        <v>899</v>
      </c>
      <c r="D235" t="s">
        <v>888</v>
      </c>
      <c r="E235" t="s">
        <v>56</v>
      </c>
      <c r="F235">
        <v>3020320</v>
      </c>
      <c r="G235">
        <v>1.51</v>
      </c>
      <c r="H235" s="505">
        <v>54000</v>
      </c>
      <c r="I235">
        <v>0</v>
      </c>
      <c r="J235" s="505">
        <v>20000</v>
      </c>
      <c r="K235">
        <v>0</v>
      </c>
      <c r="M235" s="505">
        <v>34000</v>
      </c>
      <c r="O235" s="505">
        <v>9078000</v>
      </c>
    </row>
    <row r="236" spans="1:15">
      <c r="A236" t="s">
        <v>1829</v>
      </c>
      <c r="B236" t="s">
        <v>2494</v>
      </c>
      <c r="C236" t="s">
        <v>897</v>
      </c>
      <c r="D236" t="s">
        <v>898</v>
      </c>
      <c r="E236" t="s">
        <v>56</v>
      </c>
      <c r="F236">
        <v>3020320</v>
      </c>
      <c r="G236">
        <v>1.5</v>
      </c>
      <c r="H236" s="505">
        <v>106000</v>
      </c>
      <c r="I236">
        <v>0</v>
      </c>
      <c r="J236">
        <v>0</v>
      </c>
      <c r="K236">
        <v>0</v>
      </c>
      <c r="M236" s="505">
        <v>106000</v>
      </c>
      <c r="O236" s="505">
        <v>42506000</v>
      </c>
    </row>
    <row r="237" spans="1:15">
      <c r="A237" t="s">
        <v>2850</v>
      </c>
      <c r="B237" t="s">
        <v>3466</v>
      </c>
      <c r="C237" t="s">
        <v>3242</v>
      </c>
      <c r="D237" t="s">
        <v>3230</v>
      </c>
      <c r="E237" t="s">
        <v>420</v>
      </c>
      <c r="F237">
        <v>1850320</v>
      </c>
      <c r="G237">
        <v>3.02</v>
      </c>
      <c r="H237" s="505">
        <v>63000</v>
      </c>
      <c r="I237">
        <v>0</v>
      </c>
      <c r="J237" s="505">
        <v>16000</v>
      </c>
      <c r="K237">
        <v>0</v>
      </c>
      <c r="M237" s="505">
        <v>47000</v>
      </c>
      <c r="O237">
        <v>0</v>
      </c>
    </row>
    <row r="238" spans="1:15">
      <c r="A238" t="s">
        <v>1774</v>
      </c>
      <c r="B238" t="s">
        <v>2495</v>
      </c>
      <c r="C238" t="s">
        <v>31</v>
      </c>
      <c r="D238" t="s">
        <v>44</v>
      </c>
      <c r="E238" t="s">
        <v>56</v>
      </c>
      <c r="F238">
        <v>4300320</v>
      </c>
      <c r="G238">
        <v>1.46</v>
      </c>
      <c r="H238" s="505">
        <v>446000</v>
      </c>
      <c r="I238">
        <v>0</v>
      </c>
      <c r="J238" s="505">
        <v>78000</v>
      </c>
      <c r="K238">
        <v>0</v>
      </c>
      <c r="M238" s="505">
        <v>368000</v>
      </c>
      <c r="O238" s="505">
        <v>65136000</v>
      </c>
    </row>
    <row r="239" spans="1:15">
      <c r="A239" t="s">
        <v>1771</v>
      </c>
      <c r="B239" t="s">
        <v>3005</v>
      </c>
      <c r="C239" t="s">
        <v>982</v>
      </c>
      <c r="D239" t="s">
        <v>984</v>
      </c>
      <c r="E239" t="s">
        <v>420</v>
      </c>
      <c r="F239">
        <v>4300320</v>
      </c>
      <c r="G239">
        <v>2.73</v>
      </c>
      <c r="H239" s="505">
        <v>88000</v>
      </c>
      <c r="I239">
        <v>0</v>
      </c>
      <c r="J239" s="505">
        <v>28000</v>
      </c>
      <c r="K239">
        <v>0</v>
      </c>
      <c r="M239" s="505">
        <v>60000</v>
      </c>
      <c r="O239" s="505">
        <v>28740000</v>
      </c>
    </row>
    <row r="240" spans="1:15">
      <c r="A240" t="s">
        <v>2001</v>
      </c>
      <c r="B240" t="s">
        <v>2762</v>
      </c>
      <c r="C240" t="s">
        <v>149</v>
      </c>
      <c r="D240" t="s">
        <v>150</v>
      </c>
      <c r="E240" t="s">
        <v>56</v>
      </c>
      <c r="F240">
        <v>1850320</v>
      </c>
      <c r="G240">
        <v>1.51</v>
      </c>
      <c r="H240" s="505">
        <v>510000</v>
      </c>
      <c r="I240" s="505">
        <v>914000</v>
      </c>
      <c r="J240" s="505">
        <v>394000</v>
      </c>
      <c r="K240">
        <v>0</v>
      </c>
      <c r="M240" s="505">
        <v>1030000</v>
      </c>
      <c r="O240" s="505">
        <v>100940000</v>
      </c>
    </row>
    <row r="241" spans="1:15">
      <c r="A241" t="s">
        <v>1803</v>
      </c>
      <c r="B241" t="s">
        <v>3540</v>
      </c>
      <c r="C241" t="s">
        <v>3323</v>
      </c>
      <c r="D241" t="s">
        <v>3324</v>
      </c>
      <c r="E241" t="s">
        <v>2608</v>
      </c>
      <c r="F241">
        <v>1850355</v>
      </c>
      <c r="G241">
        <v>1.61</v>
      </c>
      <c r="H241">
        <v>0</v>
      </c>
      <c r="I241" s="505">
        <v>4000</v>
      </c>
      <c r="J241">
        <v>0</v>
      </c>
      <c r="K241">
        <v>0</v>
      </c>
      <c r="M241" s="505">
        <v>4000</v>
      </c>
      <c r="O241">
        <v>0</v>
      </c>
    </row>
    <row r="242" spans="1:15">
      <c r="A242" t="s">
        <v>1774</v>
      </c>
      <c r="B242" t="s">
        <v>2775</v>
      </c>
      <c r="C242" t="s">
        <v>1735</v>
      </c>
      <c r="D242" t="s">
        <v>2002</v>
      </c>
      <c r="E242" t="s">
        <v>56</v>
      </c>
      <c r="F242">
        <v>1850325</v>
      </c>
      <c r="G242">
        <v>1.28</v>
      </c>
      <c r="H242" s="505">
        <v>34000</v>
      </c>
      <c r="I242">
        <v>0</v>
      </c>
      <c r="J242">
        <v>0</v>
      </c>
      <c r="K242">
        <v>0</v>
      </c>
      <c r="M242" s="505">
        <v>34000</v>
      </c>
      <c r="O242">
        <v>0</v>
      </c>
    </row>
    <row r="243" spans="1:15">
      <c r="A243" t="s">
        <v>1755</v>
      </c>
      <c r="B243" t="s">
        <v>2496</v>
      </c>
      <c r="C243" t="s">
        <v>942</v>
      </c>
      <c r="D243" t="s">
        <v>944</v>
      </c>
      <c r="E243" t="s">
        <v>420</v>
      </c>
      <c r="F243">
        <v>3020467</v>
      </c>
      <c r="G243">
        <v>2.68</v>
      </c>
      <c r="H243" s="505">
        <v>35000</v>
      </c>
      <c r="I243">
        <v>0</v>
      </c>
      <c r="J243">
        <v>0</v>
      </c>
      <c r="K243">
        <v>0</v>
      </c>
      <c r="M243" s="505">
        <v>35000</v>
      </c>
      <c r="O243" s="505">
        <v>58205000</v>
      </c>
    </row>
    <row r="244" spans="1:15">
      <c r="A244" t="s">
        <v>1839</v>
      </c>
      <c r="B244" t="s">
        <v>2989</v>
      </c>
      <c r="C244" t="s">
        <v>1708</v>
      </c>
      <c r="D244" t="s">
        <v>783</v>
      </c>
      <c r="E244" t="s">
        <v>56</v>
      </c>
      <c r="F244">
        <v>1850467</v>
      </c>
      <c r="G244">
        <v>2.34</v>
      </c>
      <c r="H244" s="505">
        <v>41000</v>
      </c>
      <c r="I244">
        <v>0</v>
      </c>
      <c r="J244" s="505">
        <v>13000</v>
      </c>
      <c r="K244">
        <v>0</v>
      </c>
      <c r="M244" s="505">
        <v>28000</v>
      </c>
      <c r="O244" s="505">
        <v>6804000</v>
      </c>
    </row>
    <row r="245" spans="1:15">
      <c r="A245" t="s">
        <v>1771</v>
      </c>
      <c r="B245" t="s">
        <v>3006</v>
      </c>
      <c r="C245" t="s">
        <v>203</v>
      </c>
      <c r="D245" t="s">
        <v>204</v>
      </c>
      <c r="E245" t="s">
        <v>603</v>
      </c>
      <c r="F245">
        <v>1850320</v>
      </c>
      <c r="G245">
        <v>1.57</v>
      </c>
      <c r="H245" s="505">
        <v>2368000</v>
      </c>
      <c r="I245">
        <v>0</v>
      </c>
      <c r="J245" s="505">
        <v>1430000</v>
      </c>
      <c r="K245">
        <v>0</v>
      </c>
      <c r="M245" s="505">
        <v>938000</v>
      </c>
      <c r="O245" s="505">
        <v>103180000</v>
      </c>
    </row>
    <row r="246" spans="1:15">
      <c r="A246" t="s">
        <v>1799</v>
      </c>
      <c r="B246" t="s">
        <v>2778</v>
      </c>
      <c r="C246" t="s">
        <v>711</v>
      </c>
      <c r="D246" t="s">
        <v>2005</v>
      </c>
      <c r="E246" t="s">
        <v>603</v>
      </c>
      <c r="F246">
        <v>1850320</v>
      </c>
      <c r="G246">
        <v>1.62</v>
      </c>
      <c r="H246" s="505">
        <v>168000</v>
      </c>
      <c r="I246">
        <v>0</v>
      </c>
      <c r="J246">
        <v>0</v>
      </c>
      <c r="K246">
        <v>0</v>
      </c>
      <c r="M246" s="505">
        <v>168000</v>
      </c>
      <c r="O246">
        <v>790</v>
      </c>
    </row>
    <row r="247" spans="1:15">
      <c r="A247" t="s">
        <v>1774</v>
      </c>
      <c r="B247" t="s">
        <v>3048</v>
      </c>
      <c r="C247" t="s">
        <v>682</v>
      </c>
      <c r="D247" t="s">
        <v>684</v>
      </c>
      <c r="E247" t="s">
        <v>57</v>
      </c>
      <c r="F247">
        <v>1850325</v>
      </c>
      <c r="G247">
        <v>1.17</v>
      </c>
      <c r="H247" s="505">
        <v>172000</v>
      </c>
      <c r="I247">
        <v>0</v>
      </c>
      <c r="J247" s="505">
        <v>98000</v>
      </c>
      <c r="K247">
        <v>0</v>
      </c>
      <c r="M247" s="505">
        <v>74000</v>
      </c>
      <c r="O247" s="505">
        <v>9842000</v>
      </c>
    </row>
    <row r="248" spans="1:15">
      <c r="A248" t="s">
        <v>1763</v>
      </c>
      <c r="B248" t="s">
        <v>2563</v>
      </c>
      <c r="C248" t="s">
        <v>88</v>
      </c>
      <c r="D248" t="s">
        <v>89</v>
      </c>
      <c r="E248" t="s">
        <v>603</v>
      </c>
      <c r="F248">
        <v>1850325</v>
      </c>
      <c r="G248">
        <v>0.92</v>
      </c>
      <c r="H248" s="505">
        <v>116000</v>
      </c>
      <c r="I248">
        <v>0</v>
      </c>
      <c r="J248" s="505">
        <v>18000</v>
      </c>
      <c r="K248">
        <v>0</v>
      </c>
      <c r="M248" s="505">
        <v>98000</v>
      </c>
      <c r="O248" s="505">
        <v>13328000</v>
      </c>
    </row>
    <row r="249" spans="1:15">
      <c r="A249" t="s">
        <v>1819</v>
      </c>
      <c r="B249" t="s">
        <v>2497</v>
      </c>
      <c r="C249" t="s">
        <v>1697</v>
      </c>
      <c r="D249" t="s">
        <v>167</v>
      </c>
      <c r="E249" t="s">
        <v>603</v>
      </c>
      <c r="F249">
        <v>1850330</v>
      </c>
      <c r="G249">
        <v>1.32</v>
      </c>
      <c r="H249" s="505">
        <v>208000</v>
      </c>
      <c r="I249">
        <v>0</v>
      </c>
      <c r="J249">
        <v>0</v>
      </c>
      <c r="K249">
        <v>0</v>
      </c>
      <c r="M249" s="505">
        <v>208000</v>
      </c>
      <c r="O249" s="505">
        <v>22464000</v>
      </c>
    </row>
    <row r="250" spans="1:15">
      <c r="A250" t="s">
        <v>1827</v>
      </c>
      <c r="B250" t="s">
        <v>3452</v>
      </c>
      <c r="C250" t="s">
        <v>3081</v>
      </c>
      <c r="D250" t="s">
        <v>3083</v>
      </c>
      <c r="E250" t="s">
        <v>57</v>
      </c>
      <c r="F250">
        <v>1850325</v>
      </c>
      <c r="G250">
        <v>1.69</v>
      </c>
      <c r="H250" s="505">
        <v>192000</v>
      </c>
      <c r="I250">
        <v>0</v>
      </c>
      <c r="J250">
        <v>0</v>
      </c>
      <c r="K250">
        <v>0</v>
      </c>
      <c r="M250" s="505">
        <v>192000</v>
      </c>
      <c r="O250">
        <v>0</v>
      </c>
    </row>
    <row r="251" spans="1:15">
      <c r="A251" t="s">
        <v>1774</v>
      </c>
      <c r="B251" t="s">
        <v>3085</v>
      </c>
      <c r="C251" t="s">
        <v>695</v>
      </c>
      <c r="D251" t="s">
        <v>45</v>
      </c>
      <c r="E251" t="s">
        <v>57</v>
      </c>
      <c r="F251">
        <v>1850325</v>
      </c>
      <c r="G251">
        <v>1.52</v>
      </c>
      <c r="H251" s="505">
        <v>138000</v>
      </c>
      <c r="I251" s="505">
        <v>200000</v>
      </c>
      <c r="J251" s="505">
        <v>328000</v>
      </c>
      <c r="K251">
        <v>0</v>
      </c>
      <c r="M251" s="505">
        <v>10000</v>
      </c>
      <c r="O251" s="505">
        <v>1020000</v>
      </c>
    </row>
    <row r="252" spans="1:15">
      <c r="A252" t="s">
        <v>1803</v>
      </c>
      <c r="B252" t="s">
        <v>3475</v>
      </c>
      <c r="C252" t="s">
        <v>3296</v>
      </c>
      <c r="D252" t="s">
        <v>3297</v>
      </c>
      <c r="E252" t="s">
        <v>603</v>
      </c>
      <c r="F252">
        <v>1850325</v>
      </c>
      <c r="G252">
        <v>1.67</v>
      </c>
      <c r="H252">
        <v>1</v>
      </c>
      <c r="I252" s="505">
        <v>20000</v>
      </c>
      <c r="J252">
        <v>0</v>
      </c>
      <c r="K252">
        <v>0</v>
      </c>
      <c r="M252" s="505">
        <v>20001</v>
      </c>
      <c r="O252">
        <v>0</v>
      </c>
    </row>
    <row r="253" spans="1:15">
      <c r="A253" t="s">
        <v>1774</v>
      </c>
      <c r="B253" t="s">
        <v>3363</v>
      </c>
      <c r="C253" t="s">
        <v>911</v>
      </c>
      <c r="D253" t="s">
        <v>45</v>
      </c>
      <c r="E253" t="s">
        <v>603</v>
      </c>
      <c r="F253">
        <v>3020325</v>
      </c>
      <c r="G253">
        <v>1.72</v>
      </c>
      <c r="H253" s="505">
        <v>190000</v>
      </c>
      <c r="I253" s="505">
        <v>426000</v>
      </c>
      <c r="J253" s="505">
        <v>184000</v>
      </c>
      <c r="K253">
        <v>0</v>
      </c>
      <c r="M253" s="505">
        <v>432000</v>
      </c>
      <c r="O253">
        <v>0</v>
      </c>
    </row>
    <row r="254" spans="1:15">
      <c r="A254" t="s">
        <v>1771</v>
      </c>
      <c r="B254" t="s">
        <v>2693</v>
      </c>
      <c r="C254" t="s">
        <v>975</v>
      </c>
      <c r="D254" t="s">
        <v>977</v>
      </c>
      <c r="E254" t="s">
        <v>603</v>
      </c>
      <c r="F254">
        <v>4300320</v>
      </c>
      <c r="G254">
        <v>1.57</v>
      </c>
      <c r="H254" s="505">
        <v>210000</v>
      </c>
      <c r="I254" s="505">
        <v>296000</v>
      </c>
      <c r="J254" s="505">
        <v>118000</v>
      </c>
      <c r="K254">
        <v>0</v>
      </c>
      <c r="M254" s="505">
        <v>388000</v>
      </c>
      <c r="O254" s="505">
        <v>79540000</v>
      </c>
    </row>
    <row r="255" spans="1:15">
      <c r="A255" t="s">
        <v>1755</v>
      </c>
      <c r="B255" t="s">
        <v>2880</v>
      </c>
      <c r="C255" t="s">
        <v>2007</v>
      </c>
      <c r="D255" t="s">
        <v>2008</v>
      </c>
      <c r="E255" t="s">
        <v>603</v>
      </c>
      <c r="F255">
        <v>1850436</v>
      </c>
      <c r="G255">
        <v>3.7</v>
      </c>
      <c r="H255" s="505">
        <v>64000</v>
      </c>
      <c r="I255">
        <v>0</v>
      </c>
      <c r="J255">
        <v>0</v>
      </c>
      <c r="K255">
        <v>0</v>
      </c>
      <c r="M255" s="505">
        <v>64000</v>
      </c>
      <c r="O255" s="505">
        <v>24960000</v>
      </c>
    </row>
    <row r="256" spans="1:15">
      <c r="A256" t="s">
        <v>1803</v>
      </c>
      <c r="B256" t="s">
        <v>2799</v>
      </c>
      <c r="C256" t="s">
        <v>1717</v>
      </c>
      <c r="D256" t="s">
        <v>2009</v>
      </c>
      <c r="E256" t="s">
        <v>603</v>
      </c>
      <c r="F256">
        <v>1850345</v>
      </c>
      <c r="G256">
        <v>1.83</v>
      </c>
      <c r="H256" s="505">
        <v>120000</v>
      </c>
      <c r="I256">
        <v>0</v>
      </c>
      <c r="J256" s="505">
        <v>50000</v>
      </c>
      <c r="K256">
        <v>0</v>
      </c>
      <c r="M256" s="505">
        <v>70000</v>
      </c>
      <c r="O256">
        <v>0</v>
      </c>
    </row>
    <row r="257" spans="1:15">
      <c r="A257" t="s">
        <v>1803</v>
      </c>
      <c r="B257" t="s">
        <v>3541</v>
      </c>
      <c r="C257" t="s">
        <v>3446</v>
      </c>
      <c r="D257" t="s">
        <v>3300</v>
      </c>
      <c r="E257" t="s">
        <v>603</v>
      </c>
      <c r="F257">
        <v>3020328</v>
      </c>
      <c r="G257">
        <v>1.24</v>
      </c>
      <c r="H257">
        <v>0</v>
      </c>
      <c r="I257" s="505">
        <v>4000</v>
      </c>
      <c r="J257">
        <v>0</v>
      </c>
      <c r="K257">
        <v>0</v>
      </c>
      <c r="M257" s="505">
        <v>4000</v>
      </c>
      <c r="O257">
        <v>0</v>
      </c>
    </row>
    <row r="258" spans="1:15">
      <c r="A258" t="s">
        <v>3020</v>
      </c>
      <c r="B258" t="s">
        <v>3468</v>
      </c>
      <c r="C258" t="s">
        <v>3195</v>
      </c>
      <c r="D258" t="s">
        <v>3019</v>
      </c>
      <c r="E258" t="s">
        <v>3205</v>
      </c>
      <c r="F258">
        <v>3020345</v>
      </c>
      <c r="G258">
        <v>1.78</v>
      </c>
      <c r="H258" s="505">
        <v>318000</v>
      </c>
      <c r="I258">
        <v>0</v>
      </c>
      <c r="J258" s="505">
        <v>180000</v>
      </c>
      <c r="K258">
        <v>0</v>
      </c>
      <c r="M258" s="505">
        <v>138000</v>
      </c>
      <c r="O258">
        <v>0</v>
      </c>
    </row>
    <row r="259" spans="1:15">
      <c r="A259" t="s">
        <v>3020</v>
      </c>
      <c r="B259" t="s">
        <v>3381</v>
      </c>
      <c r="C259" t="s">
        <v>3196</v>
      </c>
      <c r="D259" t="s">
        <v>3021</v>
      </c>
      <c r="E259" t="s">
        <v>3206</v>
      </c>
      <c r="F259">
        <v>3020345</v>
      </c>
      <c r="G259">
        <v>1.54</v>
      </c>
      <c r="H259" s="505">
        <v>520000</v>
      </c>
      <c r="I259">
        <v>0</v>
      </c>
      <c r="J259" s="505">
        <v>180000</v>
      </c>
      <c r="K259">
        <v>0</v>
      </c>
      <c r="M259" s="505">
        <v>340000</v>
      </c>
      <c r="O259">
        <v>0</v>
      </c>
    </row>
    <row r="260" spans="1:15">
      <c r="A260" t="s">
        <v>1918</v>
      </c>
      <c r="B260" t="s">
        <v>2763</v>
      </c>
      <c r="C260" t="s">
        <v>743</v>
      </c>
      <c r="D260" t="s">
        <v>742</v>
      </c>
      <c r="E260" t="s">
        <v>745</v>
      </c>
      <c r="F260">
        <v>1850345</v>
      </c>
      <c r="G260">
        <v>1.77</v>
      </c>
      <c r="H260" s="505">
        <v>27000</v>
      </c>
      <c r="I260">
        <v>0</v>
      </c>
      <c r="J260">
        <v>0</v>
      </c>
      <c r="K260">
        <v>0</v>
      </c>
      <c r="M260" s="505">
        <v>27000</v>
      </c>
      <c r="O260" s="505">
        <v>2700000</v>
      </c>
    </row>
    <row r="261" spans="1:15">
      <c r="A261" t="s">
        <v>1829</v>
      </c>
      <c r="B261" t="s">
        <v>2498</v>
      </c>
      <c r="C261" t="s">
        <v>644</v>
      </c>
      <c r="D261" t="s">
        <v>619</v>
      </c>
      <c r="E261" t="s">
        <v>645</v>
      </c>
      <c r="F261">
        <v>1850320</v>
      </c>
      <c r="G261">
        <v>1.65</v>
      </c>
      <c r="H261" s="505">
        <v>78000</v>
      </c>
      <c r="I261">
        <v>0</v>
      </c>
      <c r="J261">
        <v>0</v>
      </c>
      <c r="K261">
        <v>0</v>
      </c>
      <c r="M261" s="505">
        <v>78000</v>
      </c>
      <c r="O261" s="505">
        <v>7878000</v>
      </c>
    </row>
    <row r="262" spans="1:15">
      <c r="A262" t="s">
        <v>1774</v>
      </c>
      <c r="B262" t="s">
        <v>3118</v>
      </c>
      <c r="C262" t="s">
        <v>3077</v>
      </c>
      <c r="D262" t="s">
        <v>3078</v>
      </c>
      <c r="E262" t="s">
        <v>58</v>
      </c>
      <c r="F262">
        <v>4300325</v>
      </c>
      <c r="G262">
        <v>1.1599999999999999</v>
      </c>
      <c r="H262" s="505">
        <v>82000</v>
      </c>
      <c r="I262" s="505">
        <v>208000</v>
      </c>
      <c r="J262" s="505">
        <v>18000</v>
      </c>
      <c r="K262">
        <v>0</v>
      </c>
      <c r="M262" s="505">
        <v>272000</v>
      </c>
      <c r="O262">
        <v>0</v>
      </c>
    </row>
    <row r="263" spans="1:15">
      <c r="A263" t="s">
        <v>1774</v>
      </c>
      <c r="B263" t="s">
        <v>2499</v>
      </c>
      <c r="C263" t="s">
        <v>239</v>
      </c>
      <c r="D263" t="s">
        <v>240</v>
      </c>
      <c r="E263" t="s">
        <v>58</v>
      </c>
      <c r="F263">
        <v>3020328</v>
      </c>
      <c r="G263">
        <v>1.21</v>
      </c>
      <c r="H263" s="505">
        <v>202788</v>
      </c>
      <c r="I263">
        <v>0</v>
      </c>
      <c r="J263" s="505">
        <v>2000</v>
      </c>
      <c r="K263">
        <v>0</v>
      </c>
      <c r="M263" s="505">
        <v>200788</v>
      </c>
      <c r="O263" s="505">
        <v>45779664</v>
      </c>
    </row>
    <row r="264" spans="1:15">
      <c r="A264" t="s">
        <v>1840</v>
      </c>
      <c r="B264" t="s">
        <v>2500</v>
      </c>
      <c r="C264" t="s">
        <v>34</v>
      </c>
      <c r="D264" t="s">
        <v>46</v>
      </c>
      <c r="E264" t="s">
        <v>58</v>
      </c>
      <c r="F264">
        <v>1850320</v>
      </c>
      <c r="G264">
        <v>1.48</v>
      </c>
      <c r="H264" s="505">
        <v>160000</v>
      </c>
      <c r="I264">
        <v>0</v>
      </c>
      <c r="J264">
        <v>0</v>
      </c>
      <c r="K264">
        <v>0</v>
      </c>
      <c r="M264" s="505">
        <v>160000</v>
      </c>
      <c r="O264" s="505">
        <v>12800000</v>
      </c>
    </row>
    <row r="265" spans="1:15">
      <c r="A265" t="s">
        <v>1763</v>
      </c>
      <c r="B265" t="s">
        <v>3138</v>
      </c>
      <c r="C265" t="s">
        <v>702</v>
      </c>
      <c r="D265" t="s">
        <v>704</v>
      </c>
      <c r="E265" t="s">
        <v>58</v>
      </c>
      <c r="F265">
        <v>1850325</v>
      </c>
      <c r="G265">
        <v>1.85</v>
      </c>
      <c r="H265" s="505">
        <v>94000</v>
      </c>
      <c r="I265">
        <v>0</v>
      </c>
      <c r="J265" s="505">
        <v>20000</v>
      </c>
      <c r="K265">
        <v>0</v>
      </c>
      <c r="M265" s="505">
        <v>74000</v>
      </c>
      <c r="O265" s="505">
        <v>13172000</v>
      </c>
    </row>
    <row r="266" spans="1:15">
      <c r="A266" t="s">
        <v>1774</v>
      </c>
      <c r="B266" t="s">
        <v>3398</v>
      </c>
      <c r="C266" t="s">
        <v>33</v>
      </c>
      <c r="D266" t="s">
        <v>45</v>
      </c>
      <c r="E266" t="s">
        <v>58</v>
      </c>
      <c r="F266">
        <v>1850325</v>
      </c>
      <c r="G266">
        <v>1.73</v>
      </c>
      <c r="H266" s="505">
        <v>812000</v>
      </c>
      <c r="I266">
        <v>0</v>
      </c>
      <c r="J266" s="505">
        <v>172000</v>
      </c>
      <c r="K266">
        <v>0</v>
      </c>
      <c r="M266" s="505">
        <v>640000</v>
      </c>
      <c r="O266" s="505">
        <v>68480000</v>
      </c>
    </row>
    <row r="267" spans="1:15">
      <c r="A267" t="s">
        <v>1755</v>
      </c>
      <c r="B267" t="s">
        <v>2885</v>
      </c>
      <c r="C267" t="s">
        <v>2014</v>
      </c>
      <c r="D267" t="s">
        <v>2015</v>
      </c>
      <c r="E267" t="s">
        <v>645</v>
      </c>
      <c r="F267">
        <v>1850325</v>
      </c>
      <c r="G267">
        <v>2.6</v>
      </c>
      <c r="H267" s="505">
        <v>18000</v>
      </c>
      <c r="I267">
        <v>0</v>
      </c>
      <c r="J267" s="505">
        <v>10000</v>
      </c>
      <c r="K267">
        <v>0</v>
      </c>
      <c r="M267" s="505">
        <v>8000</v>
      </c>
      <c r="O267" s="505">
        <v>2032000</v>
      </c>
    </row>
    <row r="268" spans="1:15">
      <c r="A268" t="s">
        <v>1774</v>
      </c>
      <c r="B268" t="s">
        <v>2501</v>
      </c>
      <c r="C268" t="s">
        <v>2016</v>
      </c>
      <c r="D268" t="s">
        <v>2910</v>
      </c>
      <c r="F268">
        <v>1850325</v>
      </c>
      <c r="G268">
        <v>1.86</v>
      </c>
      <c r="H268">
        <v>925</v>
      </c>
      <c r="I268">
        <v>0</v>
      </c>
      <c r="J268">
        <v>0</v>
      </c>
      <c r="K268">
        <v>0</v>
      </c>
      <c r="M268">
        <v>925</v>
      </c>
      <c r="O268">
        <v>0</v>
      </c>
    </row>
    <row r="269" spans="1:15">
      <c r="A269" t="s">
        <v>358</v>
      </c>
      <c r="B269" t="s">
        <v>2502</v>
      </c>
      <c r="C269" t="s">
        <v>706</v>
      </c>
      <c r="D269" t="s">
        <v>694</v>
      </c>
      <c r="E269" t="s">
        <v>645</v>
      </c>
      <c r="F269">
        <v>1850325</v>
      </c>
      <c r="G269">
        <v>2.39</v>
      </c>
      <c r="H269" s="505">
        <v>2000</v>
      </c>
      <c r="I269">
        <v>0</v>
      </c>
      <c r="J269">
        <v>0</v>
      </c>
      <c r="K269">
        <v>0</v>
      </c>
      <c r="M269" s="505">
        <v>2000</v>
      </c>
      <c r="O269">
        <v>26</v>
      </c>
    </row>
    <row r="270" spans="1:15">
      <c r="A270" t="s">
        <v>1921</v>
      </c>
      <c r="B270" t="s">
        <v>2970</v>
      </c>
      <c r="C270" t="s">
        <v>32</v>
      </c>
      <c r="D270" t="s">
        <v>45</v>
      </c>
      <c r="E270" t="s">
        <v>58</v>
      </c>
      <c r="F270">
        <v>4300325</v>
      </c>
      <c r="G270">
        <v>1.72</v>
      </c>
      <c r="H270" s="505">
        <v>9000</v>
      </c>
      <c r="I270" s="505">
        <v>136000</v>
      </c>
      <c r="J270" s="505">
        <v>20000</v>
      </c>
      <c r="K270">
        <v>0</v>
      </c>
      <c r="M270" s="505">
        <v>125000</v>
      </c>
      <c r="O270">
        <v>0</v>
      </c>
    </row>
    <row r="271" spans="1:15">
      <c r="A271" t="s">
        <v>2850</v>
      </c>
      <c r="B271" t="s">
        <v>3159</v>
      </c>
      <c r="C271" t="s">
        <v>3160</v>
      </c>
      <c r="D271" t="s">
        <v>3162</v>
      </c>
      <c r="E271" t="s">
        <v>645</v>
      </c>
      <c r="F271">
        <v>3020325</v>
      </c>
      <c r="G271">
        <v>1.79</v>
      </c>
      <c r="H271" s="505">
        <v>76000</v>
      </c>
      <c r="I271">
        <v>0</v>
      </c>
      <c r="J271" s="505">
        <v>30000</v>
      </c>
      <c r="K271">
        <v>0</v>
      </c>
      <c r="M271" s="505">
        <v>46000</v>
      </c>
      <c r="O271">
        <v>0</v>
      </c>
    </row>
    <row r="272" spans="1:15">
      <c r="A272" t="s">
        <v>1839</v>
      </c>
      <c r="B272" t="s">
        <v>2503</v>
      </c>
      <c r="C272" t="s">
        <v>2017</v>
      </c>
      <c r="D272" t="s">
        <v>81</v>
      </c>
      <c r="E272" t="s">
        <v>645</v>
      </c>
      <c r="F272">
        <v>1850320</v>
      </c>
      <c r="G272">
        <v>1.82</v>
      </c>
      <c r="H272">
        <v>123</v>
      </c>
      <c r="I272" s="505">
        <v>433716</v>
      </c>
      <c r="J272" s="505">
        <v>424118</v>
      </c>
      <c r="K272">
        <v>0</v>
      </c>
      <c r="M272" s="505">
        <v>9721</v>
      </c>
      <c r="O272" s="505">
        <v>1603965</v>
      </c>
    </row>
    <row r="273" spans="1:15">
      <c r="A273" t="s">
        <v>1803</v>
      </c>
      <c r="B273" t="s">
        <v>3322</v>
      </c>
      <c r="C273" t="s">
        <v>1718</v>
      </c>
      <c r="D273" t="s">
        <v>2018</v>
      </c>
      <c r="E273" t="s">
        <v>645</v>
      </c>
      <c r="F273">
        <v>1000345</v>
      </c>
      <c r="G273">
        <v>2.14</v>
      </c>
      <c r="H273" s="505">
        <v>78000</v>
      </c>
      <c r="I273">
        <v>0</v>
      </c>
      <c r="J273" s="505">
        <v>50000</v>
      </c>
      <c r="K273">
        <v>0</v>
      </c>
      <c r="M273" s="505">
        <v>28000</v>
      </c>
      <c r="O273">
        <v>0</v>
      </c>
    </row>
    <row r="274" spans="1:15">
      <c r="A274" t="s">
        <v>2191</v>
      </c>
      <c r="B274" t="s">
        <v>2745</v>
      </c>
      <c r="C274" t="s">
        <v>2746</v>
      </c>
      <c r="D274" t="s">
        <v>2747</v>
      </c>
      <c r="E274" t="s">
        <v>58</v>
      </c>
      <c r="F274">
        <v>3020345</v>
      </c>
      <c r="G274">
        <v>1.74</v>
      </c>
      <c r="H274">
        <v>915</v>
      </c>
      <c r="I274">
        <v>0</v>
      </c>
      <c r="J274">
        <v>0</v>
      </c>
      <c r="K274">
        <v>0</v>
      </c>
      <c r="M274">
        <v>915</v>
      </c>
      <c r="O274">
        <v>0</v>
      </c>
    </row>
    <row r="275" spans="1:15">
      <c r="A275" t="s">
        <v>1774</v>
      </c>
      <c r="B275" t="s">
        <v>2703</v>
      </c>
      <c r="C275" t="s">
        <v>190</v>
      </c>
      <c r="D275" t="s">
        <v>191</v>
      </c>
      <c r="E275" t="s">
        <v>86</v>
      </c>
      <c r="F275">
        <v>1850320</v>
      </c>
      <c r="G275">
        <v>1.64</v>
      </c>
      <c r="H275" s="505">
        <v>210251</v>
      </c>
      <c r="I275" s="505">
        <v>840000</v>
      </c>
      <c r="J275" s="505">
        <v>890000</v>
      </c>
      <c r="K275">
        <v>0</v>
      </c>
      <c r="M275" s="505">
        <v>160251</v>
      </c>
      <c r="O275" s="505">
        <v>16986606</v>
      </c>
    </row>
    <row r="276" spans="1:15">
      <c r="A276" t="s">
        <v>1827</v>
      </c>
      <c r="B276" t="s">
        <v>3469</v>
      </c>
      <c r="C276" t="s">
        <v>3096</v>
      </c>
      <c r="D276" t="s">
        <v>3083</v>
      </c>
      <c r="E276" t="s">
        <v>2021</v>
      </c>
      <c r="F276">
        <v>1850325</v>
      </c>
      <c r="G276">
        <v>1.93</v>
      </c>
      <c r="H276" s="505">
        <v>54000</v>
      </c>
      <c r="I276">
        <v>0</v>
      </c>
      <c r="J276">
        <v>0</v>
      </c>
      <c r="K276">
        <v>0</v>
      </c>
      <c r="M276" s="505">
        <v>54000</v>
      </c>
      <c r="O276">
        <v>0</v>
      </c>
    </row>
    <row r="277" spans="1:15">
      <c r="A277" t="s">
        <v>1803</v>
      </c>
      <c r="B277" t="s">
        <v>3249</v>
      </c>
      <c r="C277" t="s">
        <v>2401</v>
      </c>
      <c r="D277" t="s">
        <v>2402</v>
      </c>
      <c r="E277" t="s">
        <v>86</v>
      </c>
      <c r="F277">
        <v>1850325</v>
      </c>
      <c r="G277">
        <v>1.97</v>
      </c>
      <c r="H277" s="505">
        <v>20500</v>
      </c>
      <c r="I277" s="505">
        <v>316500</v>
      </c>
      <c r="J277" s="505">
        <v>100000</v>
      </c>
      <c r="K277">
        <v>0</v>
      </c>
      <c r="M277" s="505">
        <v>237000</v>
      </c>
      <c r="O277">
        <v>0</v>
      </c>
    </row>
    <row r="278" spans="1:15">
      <c r="A278" t="s">
        <v>1803</v>
      </c>
      <c r="B278" t="s">
        <v>3303</v>
      </c>
      <c r="C278" t="s">
        <v>1739</v>
      </c>
      <c r="D278" t="s">
        <v>45</v>
      </c>
      <c r="E278" t="s">
        <v>2021</v>
      </c>
      <c r="F278">
        <v>1850325</v>
      </c>
      <c r="G278">
        <v>1.85</v>
      </c>
      <c r="H278" s="505">
        <v>1098000</v>
      </c>
      <c r="I278">
        <v>0</v>
      </c>
      <c r="J278" s="505">
        <v>650000</v>
      </c>
      <c r="K278">
        <v>0</v>
      </c>
      <c r="M278" s="505">
        <v>448000</v>
      </c>
      <c r="O278">
        <v>0</v>
      </c>
    </row>
    <row r="279" spans="1:15">
      <c r="A279" t="s">
        <v>1774</v>
      </c>
      <c r="B279" t="s">
        <v>3369</v>
      </c>
      <c r="C279" t="s">
        <v>85</v>
      </c>
      <c r="D279" t="s">
        <v>41</v>
      </c>
      <c r="E279" t="s">
        <v>86</v>
      </c>
      <c r="F279">
        <v>4300320</v>
      </c>
      <c r="G279">
        <v>1.8</v>
      </c>
      <c r="H279" s="505">
        <v>62000</v>
      </c>
      <c r="I279" s="505">
        <v>408000</v>
      </c>
      <c r="J279" s="505">
        <v>110000</v>
      </c>
      <c r="K279">
        <v>0</v>
      </c>
      <c r="M279" s="505">
        <v>360000</v>
      </c>
      <c r="O279" s="505">
        <v>77040000</v>
      </c>
    </row>
    <row r="280" spans="1:15">
      <c r="A280" t="s">
        <v>1816</v>
      </c>
      <c r="B280" t="s">
        <v>2643</v>
      </c>
      <c r="C280" t="s">
        <v>1699</v>
      </c>
      <c r="D280" t="s">
        <v>2022</v>
      </c>
      <c r="E280" t="s">
        <v>647</v>
      </c>
      <c r="F280">
        <v>1850320</v>
      </c>
      <c r="G280">
        <v>2.2400000000000002</v>
      </c>
      <c r="H280" s="505">
        <v>69000</v>
      </c>
      <c r="I280">
        <v>0</v>
      </c>
      <c r="J280" s="505">
        <v>3000</v>
      </c>
      <c r="K280">
        <v>0</v>
      </c>
      <c r="M280" s="505">
        <v>66000</v>
      </c>
      <c r="O280" s="505">
        <v>15510000</v>
      </c>
    </row>
    <row r="281" spans="1:15">
      <c r="A281" t="s">
        <v>1770</v>
      </c>
      <c r="B281" t="s">
        <v>2504</v>
      </c>
      <c r="C281" t="s">
        <v>1441</v>
      </c>
      <c r="D281" t="s">
        <v>1442</v>
      </c>
      <c r="E281" t="s">
        <v>647</v>
      </c>
      <c r="F281">
        <v>1000325</v>
      </c>
      <c r="G281">
        <v>1.56</v>
      </c>
      <c r="H281" s="505">
        <v>204000</v>
      </c>
      <c r="I281">
        <v>0</v>
      </c>
      <c r="J281">
        <v>0</v>
      </c>
      <c r="K281">
        <v>0</v>
      </c>
      <c r="M281" s="505">
        <v>204000</v>
      </c>
      <c r="O281" s="505">
        <v>24480000</v>
      </c>
    </row>
    <row r="282" spans="1:15">
      <c r="A282" t="s">
        <v>1829</v>
      </c>
      <c r="B282" t="s">
        <v>2505</v>
      </c>
      <c r="C282" t="s">
        <v>646</v>
      </c>
      <c r="D282" t="s">
        <v>47</v>
      </c>
      <c r="E282" t="s">
        <v>647</v>
      </c>
      <c r="F282">
        <v>1850320</v>
      </c>
      <c r="G282">
        <v>1.7</v>
      </c>
      <c r="H282" s="505">
        <v>32000</v>
      </c>
      <c r="I282">
        <v>0</v>
      </c>
      <c r="J282">
        <v>0</v>
      </c>
      <c r="K282">
        <v>0</v>
      </c>
      <c r="M282" s="505">
        <v>32000</v>
      </c>
      <c r="O282" s="505">
        <v>3328000</v>
      </c>
    </row>
    <row r="283" spans="1:15">
      <c r="A283" t="s">
        <v>1763</v>
      </c>
      <c r="B283" t="s">
        <v>2990</v>
      </c>
      <c r="C283" t="s">
        <v>746</v>
      </c>
      <c r="D283" t="s">
        <v>220</v>
      </c>
      <c r="E283" t="s">
        <v>653</v>
      </c>
      <c r="F283">
        <v>1850345</v>
      </c>
      <c r="G283">
        <v>1.97</v>
      </c>
      <c r="H283" s="505">
        <v>114000</v>
      </c>
      <c r="I283">
        <v>0</v>
      </c>
      <c r="J283" s="505">
        <v>12000</v>
      </c>
      <c r="K283">
        <v>0</v>
      </c>
      <c r="M283" s="505">
        <v>102000</v>
      </c>
      <c r="O283" s="505">
        <v>13362000</v>
      </c>
    </row>
    <row r="284" spans="1:15">
      <c r="A284" t="s">
        <v>1774</v>
      </c>
      <c r="B284" t="s">
        <v>3453</v>
      </c>
      <c r="C284" t="s">
        <v>651</v>
      </c>
      <c r="D284" t="s">
        <v>81</v>
      </c>
      <c r="E284" t="s">
        <v>653</v>
      </c>
      <c r="F284">
        <v>1850320</v>
      </c>
      <c r="G284">
        <v>1.98</v>
      </c>
      <c r="H284" s="505">
        <v>288000</v>
      </c>
      <c r="I284">
        <v>0</v>
      </c>
      <c r="J284" s="505">
        <v>40000</v>
      </c>
      <c r="K284">
        <v>0</v>
      </c>
      <c r="M284" s="505">
        <v>248000</v>
      </c>
      <c r="O284">
        <v>124</v>
      </c>
    </row>
    <row r="285" spans="1:15">
      <c r="A285" t="s">
        <v>1803</v>
      </c>
      <c r="B285" t="s">
        <v>3510</v>
      </c>
      <c r="C285" t="s">
        <v>3389</v>
      </c>
      <c r="D285" t="s">
        <v>3392</v>
      </c>
      <c r="E285" t="s">
        <v>647</v>
      </c>
      <c r="F285">
        <v>3020320</v>
      </c>
      <c r="G285">
        <v>2.0099999999999998</v>
      </c>
      <c r="H285" s="505">
        <v>28000</v>
      </c>
      <c r="I285">
        <v>0</v>
      </c>
      <c r="J285">
        <v>0</v>
      </c>
      <c r="K285">
        <v>0</v>
      </c>
      <c r="M285" s="505">
        <v>28000</v>
      </c>
      <c r="O285">
        <v>0</v>
      </c>
    </row>
    <row r="286" spans="1:15">
      <c r="A286" t="s">
        <v>1763</v>
      </c>
      <c r="B286" t="s">
        <v>2649</v>
      </c>
      <c r="C286" t="s">
        <v>997</v>
      </c>
      <c r="D286" t="s">
        <v>999</v>
      </c>
      <c r="E286" t="s">
        <v>653</v>
      </c>
      <c r="F286">
        <v>1850525</v>
      </c>
      <c r="G286">
        <v>4.4400000000000004</v>
      </c>
      <c r="H286" s="505">
        <v>216800</v>
      </c>
      <c r="I286">
        <v>0</v>
      </c>
      <c r="J286">
        <v>0</v>
      </c>
      <c r="K286">
        <v>0</v>
      </c>
      <c r="M286" s="505">
        <v>216800</v>
      </c>
      <c r="O286" s="505">
        <v>72844800</v>
      </c>
    </row>
    <row r="287" spans="1:15">
      <c r="A287" t="s">
        <v>1803</v>
      </c>
      <c r="B287" t="s">
        <v>3395</v>
      </c>
      <c r="C287" t="s">
        <v>2687</v>
      </c>
      <c r="D287" t="s">
        <v>2699</v>
      </c>
      <c r="E287" t="s">
        <v>2403</v>
      </c>
      <c r="F287">
        <v>1850355</v>
      </c>
      <c r="G287">
        <v>1.58</v>
      </c>
      <c r="H287" s="505">
        <v>122000</v>
      </c>
      <c r="I287">
        <v>0</v>
      </c>
      <c r="J287" s="505">
        <v>110000</v>
      </c>
      <c r="K287">
        <v>0</v>
      </c>
      <c r="M287" s="505">
        <v>12000</v>
      </c>
      <c r="O287">
        <v>0</v>
      </c>
    </row>
    <row r="288" spans="1:15">
      <c r="A288" t="s">
        <v>2024</v>
      </c>
      <c r="B288" t="s">
        <v>2506</v>
      </c>
      <c r="C288" t="s">
        <v>2023</v>
      </c>
      <c r="D288" t="s">
        <v>113</v>
      </c>
      <c r="E288" t="s">
        <v>2025</v>
      </c>
      <c r="F288">
        <v>1000345</v>
      </c>
      <c r="G288">
        <v>2.09</v>
      </c>
      <c r="H288" s="505">
        <v>5978</v>
      </c>
      <c r="I288">
        <v>0</v>
      </c>
      <c r="J288">
        <v>0</v>
      </c>
      <c r="K288">
        <v>0</v>
      </c>
      <c r="M288" s="505">
        <v>5978</v>
      </c>
      <c r="O288" s="505">
        <v>1064084</v>
      </c>
    </row>
    <row r="289" spans="1:15">
      <c r="A289" t="s">
        <v>1821</v>
      </c>
      <c r="B289" t="s">
        <v>2507</v>
      </c>
      <c r="C289" t="s">
        <v>2026</v>
      </c>
      <c r="D289" t="s">
        <v>182</v>
      </c>
      <c r="E289" t="s">
        <v>2027</v>
      </c>
      <c r="F289">
        <v>1850345</v>
      </c>
      <c r="G289">
        <v>2.42</v>
      </c>
      <c r="H289" s="505">
        <v>4000</v>
      </c>
      <c r="I289">
        <v>0</v>
      </c>
      <c r="J289">
        <v>0</v>
      </c>
      <c r="K289">
        <v>0</v>
      </c>
      <c r="M289" s="505">
        <v>4000</v>
      </c>
      <c r="O289">
        <v>0</v>
      </c>
    </row>
    <row r="290" spans="1:15">
      <c r="A290" t="s">
        <v>2029</v>
      </c>
      <c r="B290" t="s">
        <v>2508</v>
      </c>
      <c r="C290" t="s">
        <v>2028</v>
      </c>
      <c r="D290" t="s">
        <v>45</v>
      </c>
      <c r="E290" t="s">
        <v>2030</v>
      </c>
      <c r="F290">
        <v>1850325</v>
      </c>
      <c r="G290">
        <v>2.19</v>
      </c>
      <c r="H290" s="505">
        <v>4500</v>
      </c>
      <c r="I290">
        <v>0</v>
      </c>
      <c r="J290">
        <v>0</v>
      </c>
      <c r="K290">
        <v>0</v>
      </c>
      <c r="M290" s="505">
        <v>4500</v>
      </c>
      <c r="O290">
        <v>0</v>
      </c>
    </row>
    <row r="291" spans="1:15">
      <c r="A291" t="s">
        <v>1819</v>
      </c>
      <c r="B291" t="s">
        <v>2509</v>
      </c>
      <c r="C291" t="s">
        <v>1700</v>
      </c>
      <c r="D291" t="s">
        <v>47</v>
      </c>
      <c r="E291" t="s">
        <v>1212</v>
      </c>
      <c r="F291">
        <v>1850320</v>
      </c>
      <c r="G291">
        <v>1.96</v>
      </c>
      <c r="H291" s="505">
        <v>16000</v>
      </c>
      <c r="I291" s="505">
        <v>110000</v>
      </c>
      <c r="J291">
        <v>0</v>
      </c>
      <c r="K291">
        <v>0</v>
      </c>
      <c r="M291" s="505">
        <v>126000</v>
      </c>
      <c r="O291">
        <v>0</v>
      </c>
    </row>
    <row r="292" spans="1:15">
      <c r="A292" t="s">
        <v>1774</v>
      </c>
      <c r="B292" t="s">
        <v>3253</v>
      </c>
      <c r="C292" t="s">
        <v>3191</v>
      </c>
      <c r="D292" t="s">
        <v>47</v>
      </c>
      <c r="E292" t="s">
        <v>1212</v>
      </c>
      <c r="F292">
        <v>1850320</v>
      </c>
      <c r="G292">
        <v>2.0299999999999998</v>
      </c>
      <c r="H292" s="505">
        <v>170000</v>
      </c>
      <c r="I292">
        <v>0</v>
      </c>
      <c r="J292" s="505">
        <v>36000</v>
      </c>
      <c r="K292">
        <v>0</v>
      </c>
      <c r="M292" s="505">
        <v>134000</v>
      </c>
      <c r="O292">
        <v>0</v>
      </c>
    </row>
    <row r="293" spans="1:15">
      <c r="A293" t="s">
        <v>1755</v>
      </c>
      <c r="B293" t="s">
        <v>2766</v>
      </c>
      <c r="C293" t="s">
        <v>1211</v>
      </c>
      <c r="D293" t="s">
        <v>45</v>
      </c>
      <c r="E293" t="s">
        <v>1212</v>
      </c>
      <c r="F293">
        <v>1850325</v>
      </c>
      <c r="G293">
        <v>2.2599999999999998</v>
      </c>
      <c r="H293" s="505">
        <v>172000</v>
      </c>
      <c r="I293">
        <v>0</v>
      </c>
      <c r="J293">
        <v>0</v>
      </c>
      <c r="K293">
        <v>0</v>
      </c>
      <c r="M293" s="505">
        <v>172000</v>
      </c>
      <c r="O293" s="505">
        <v>52976000</v>
      </c>
    </row>
    <row r="294" spans="1:15">
      <c r="A294" t="s">
        <v>1774</v>
      </c>
      <c r="B294" t="s">
        <v>3132</v>
      </c>
      <c r="C294" t="s">
        <v>1677</v>
      </c>
      <c r="D294" t="s">
        <v>2031</v>
      </c>
      <c r="E294" t="s">
        <v>1212</v>
      </c>
      <c r="F294">
        <v>1850320</v>
      </c>
      <c r="G294">
        <v>2.0499999999999998</v>
      </c>
      <c r="H294" s="505">
        <v>361000</v>
      </c>
      <c r="I294">
        <v>0</v>
      </c>
      <c r="J294" s="505">
        <v>110000</v>
      </c>
      <c r="K294">
        <v>0</v>
      </c>
      <c r="M294" s="505">
        <v>251000</v>
      </c>
      <c r="O294" s="505">
        <v>43674000</v>
      </c>
    </row>
    <row r="295" spans="1:15">
      <c r="A295" t="s">
        <v>1819</v>
      </c>
      <c r="B295" t="s">
        <v>2795</v>
      </c>
      <c r="C295" t="s">
        <v>1701</v>
      </c>
      <c r="D295" t="s">
        <v>2032</v>
      </c>
      <c r="E295" t="s">
        <v>2033</v>
      </c>
      <c r="F295">
        <v>3020320</v>
      </c>
      <c r="G295">
        <v>2.4900000000000002</v>
      </c>
      <c r="H295" s="505">
        <v>52000</v>
      </c>
      <c r="I295">
        <v>0</v>
      </c>
      <c r="J295">
        <v>0</v>
      </c>
      <c r="K295">
        <v>0</v>
      </c>
      <c r="M295" s="505">
        <v>52000</v>
      </c>
      <c r="O295">
        <v>0</v>
      </c>
    </row>
    <row r="296" spans="1:15">
      <c r="A296" t="s">
        <v>2038</v>
      </c>
      <c r="B296" t="s">
        <v>3026</v>
      </c>
      <c r="C296" t="s">
        <v>2036</v>
      </c>
      <c r="D296" t="s">
        <v>2037</v>
      </c>
      <c r="E296" t="s">
        <v>2039</v>
      </c>
      <c r="F296">
        <v>1000345</v>
      </c>
      <c r="G296">
        <v>3.02</v>
      </c>
      <c r="H296" s="505">
        <v>8000</v>
      </c>
      <c r="I296">
        <v>0</v>
      </c>
      <c r="J296">
        <v>0</v>
      </c>
      <c r="K296">
        <v>0</v>
      </c>
      <c r="M296" s="505">
        <v>8000</v>
      </c>
      <c r="O296" s="505">
        <v>5800000</v>
      </c>
    </row>
    <row r="297" spans="1:15">
      <c r="A297" t="s">
        <v>1803</v>
      </c>
      <c r="B297" t="s">
        <v>3003</v>
      </c>
      <c r="C297" t="s">
        <v>2681</v>
      </c>
      <c r="D297" t="s">
        <v>2688</v>
      </c>
      <c r="E297" t="s">
        <v>2689</v>
      </c>
      <c r="F297">
        <v>1850325</v>
      </c>
      <c r="G297">
        <v>2.68</v>
      </c>
      <c r="H297" s="505">
        <v>7280</v>
      </c>
      <c r="I297" s="505">
        <v>85200</v>
      </c>
      <c r="J297" s="505">
        <v>5400</v>
      </c>
      <c r="K297">
        <v>0</v>
      </c>
      <c r="M297" s="505">
        <v>87080</v>
      </c>
      <c r="O297">
        <v>0</v>
      </c>
    </row>
    <row r="298" spans="1:15">
      <c r="A298" t="s">
        <v>1813</v>
      </c>
      <c r="B298" t="s">
        <v>2510</v>
      </c>
      <c r="C298" t="s">
        <v>2041</v>
      </c>
      <c r="D298" t="s">
        <v>984</v>
      </c>
      <c r="E298" t="s">
        <v>2042</v>
      </c>
      <c r="F298">
        <v>1850325</v>
      </c>
      <c r="G298">
        <v>3.11</v>
      </c>
      <c r="H298" s="505">
        <v>28000</v>
      </c>
      <c r="I298">
        <v>0</v>
      </c>
      <c r="J298">
        <v>0</v>
      </c>
      <c r="K298">
        <v>0</v>
      </c>
      <c r="M298" s="505">
        <v>28000</v>
      </c>
      <c r="O298" s="505">
        <v>6860000</v>
      </c>
    </row>
    <row r="299" spans="1:15">
      <c r="A299" t="s">
        <v>1803</v>
      </c>
      <c r="B299" t="s">
        <v>3139</v>
      </c>
      <c r="C299" t="s">
        <v>707</v>
      </c>
      <c r="D299" t="s">
        <v>709</v>
      </c>
      <c r="E299" t="s">
        <v>710</v>
      </c>
      <c r="F299">
        <v>1850325</v>
      </c>
      <c r="G299">
        <v>3.32</v>
      </c>
      <c r="H299" s="505">
        <v>109000</v>
      </c>
      <c r="I299">
        <v>0</v>
      </c>
      <c r="J299" s="505">
        <v>5000</v>
      </c>
      <c r="K299">
        <v>0</v>
      </c>
      <c r="M299" s="505">
        <v>104000</v>
      </c>
      <c r="O299" s="505">
        <v>33592000</v>
      </c>
    </row>
    <row r="300" spans="1:15">
      <c r="A300" t="s">
        <v>2043</v>
      </c>
      <c r="B300" t="s">
        <v>3328</v>
      </c>
      <c r="C300" t="s">
        <v>1711</v>
      </c>
      <c r="D300" t="s">
        <v>423</v>
      </c>
      <c r="E300" t="s">
        <v>424</v>
      </c>
      <c r="F300">
        <v>1000345</v>
      </c>
      <c r="G300">
        <v>5.18</v>
      </c>
      <c r="H300" s="505">
        <v>276000</v>
      </c>
      <c r="I300">
        <v>0</v>
      </c>
      <c r="J300" s="505">
        <v>100000</v>
      </c>
      <c r="K300">
        <v>0</v>
      </c>
      <c r="M300" s="505">
        <v>176000</v>
      </c>
      <c r="O300" s="505">
        <v>71632000</v>
      </c>
    </row>
    <row r="301" spans="1:15">
      <c r="A301" t="s">
        <v>1803</v>
      </c>
      <c r="B301" t="s">
        <v>3043</v>
      </c>
      <c r="C301" t="s">
        <v>159</v>
      </c>
      <c r="D301" t="s">
        <v>160</v>
      </c>
      <c r="E301" t="s">
        <v>762</v>
      </c>
      <c r="F301">
        <v>1850393</v>
      </c>
      <c r="G301">
        <v>7.65</v>
      </c>
      <c r="H301" s="505">
        <v>38700</v>
      </c>
      <c r="I301">
        <v>0</v>
      </c>
      <c r="J301">
        <v>0</v>
      </c>
      <c r="K301">
        <v>0</v>
      </c>
      <c r="M301" s="505">
        <v>38700</v>
      </c>
      <c r="O301" s="505">
        <v>23723100</v>
      </c>
    </row>
    <row r="302" spans="1:15">
      <c r="A302" t="s">
        <v>1771</v>
      </c>
      <c r="B302" t="s">
        <v>3448</v>
      </c>
      <c r="C302" t="s">
        <v>2788</v>
      </c>
      <c r="D302" t="s">
        <v>1056</v>
      </c>
      <c r="E302" t="s">
        <v>2789</v>
      </c>
      <c r="F302" t="s">
        <v>1869</v>
      </c>
      <c r="G302">
        <v>0.13</v>
      </c>
      <c r="H302" s="505">
        <v>30000</v>
      </c>
      <c r="I302">
        <v>0</v>
      </c>
      <c r="J302">
        <v>0</v>
      </c>
      <c r="K302">
        <v>0</v>
      </c>
      <c r="M302" s="505">
        <v>30000</v>
      </c>
      <c r="O302">
        <v>0</v>
      </c>
    </row>
    <row r="303" spans="1:15">
      <c r="A303" t="s">
        <v>2047</v>
      </c>
      <c r="B303" t="s">
        <v>3330</v>
      </c>
      <c r="C303" t="s">
        <v>1159</v>
      </c>
      <c r="D303" t="s">
        <v>1056</v>
      </c>
      <c r="E303" t="s">
        <v>2048</v>
      </c>
      <c r="F303" t="s">
        <v>2049</v>
      </c>
      <c r="G303">
        <v>0.6</v>
      </c>
      <c r="H303" s="505">
        <v>30000</v>
      </c>
      <c r="I303">
        <v>0</v>
      </c>
      <c r="J303" s="505">
        <v>10000</v>
      </c>
      <c r="K303">
        <v>0</v>
      </c>
      <c r="M303" s="505">
        <v>20000</v>
      </c>
      <c r="O303" s="505">
        <v>1680000</v>
      </c>
    </row>
    <row r="304" spans="1:15">
      <c r="A304" t="s">
        <v>2047</v>
      </c>
      <c r="B304" t="s">
        <v>3200</v>
      </c>
      <c r="C304" t="s">
        <v>2827</v>
      </c>
      <c r="D304" t="s">
        <v>1056</v>
      </c>
      <c r="E304" t="s">
        <v>2860</v>
      </c>
      <c r="F304" t="s">
        <v>2155</v>
      </c>
      <c r="G304">
        <v>0.7</v>
      </c>
      <c r="H304" s="505">
        <v>75000</v>
      </c>
      <c r="I304">
        <v>0</v>
      </c>
      <c r="J304" s="505">
        <v>40000</v>
      </c>
      <c r="K304">
        <v>0</v>
      </c>
      <c r="M304" s="505">
        <v>35000</v>
      </c>
      <c r="O304" s="505">
        <v>4585000</v>
      </c>
    </row>
    <row r="305" spans="1:15">
      <c r="A305" t="s">
        <v>2047</v>
      </c>
      <c r="B305" t="s">
        <v>3179</v>
      </c>
      <c r="C305" t="s">
        <v>1252</v>
      </c>
      <c r="D305" t="s">
        <v>1056</v>
      </c>
      <c r="E305" t="s">
        <v>2052</v>
      </c>
      <c r="F305" t="s">
        <v>2053</v>
      </c>
      <c r="G305">
        <v>2.52</v>
      </c>
      <c r="H305" s="505">
        <v>58500</v>
      </c>
      <c r="I305">
        <v>0</v>
      </c>
      <c r="J305">
        <v>0</v>
      </c>
      <c r="K305">
        <v>0</v>
      </c>
      <c r="M305" s="505">
        <v>58500</v>
      </c>
      <c r="O305" s="505">
        <v>12811500</v>
      </c>
    </row>
    <row r="306" spans="1:15">
      <c r="A306" t="s">
        <v>2047</v>
      </c>
      <c r="B306" t="s">
        <v>2828</v>
      </c>
      <c r="C306" t="s">
        <v>2829</v>
      </c>
      <c r="D306" t="s">
        <v>1056</v>
      </c>
      <c r="E306" t="s">
        <v>2830</v>
      </c>
      <c r="F306" t="s">
        <v>2053</v>
      </c>
      <c r="G306">
        <v>7.46</v>
      </c>
      <c r="H306" s="505">
        <v>37301</v>
      </c>
      <c r="I306">
        <v>0</v>
      </c>
      <c r="J306">
        <v>0</v>
      </c>
      <c r="K306">
        <v>0</v>
      </c>
      <c r="M306" s="505">
        <v>37301</v>
      </c>
      <c r="O306" s="505">
        <v>20590152</v>
      </c>
    </row>
    <row r="307" spans="1:15">
      <c r="A307" t="s">
        <v>1782</v>
      </c>
      <c r="B307" t="s">
        <v>2962</v>
      </c>
      <c r="C307" t="s">
        <v>2963</v>
      </c>
      <c r="D307" t="s">
        <v>1042</v>
      </c>
      <c r="E307" t="s">
        <v>2056</v>
      </c>
      <c r="F307" t="s">
        <v>2094</v>
      </c>
      <c r="G307">
        <v>0.34</v>
      </c>
      <c r="H307" s="505">
        <v>11765</v>
      </c>
      <c r="I307">
        <v>0</v>
      </c>
      <c r="J307">
        <v>0</v>
      </c>
      <c r="K307">
        <v>0</v>
      </c>
      <c r="M307" s="505">
        <v>11765</v>
      </c>
      <c r="O307">
        <v>0</v>
      </c>
    </row>
    <row r="308" spans="1:15">
      <c r="A308" t="s">
        <v>1782</v>
      </c>
      <c r="B308" t="s">
        <v>2965</v>
      </c>
      <c r="C308" t="s">
        <v>2058</v>
      </c>
      <c r="D308" t="s">
        <v>1056</v>
      </c>
      <c r="E308" t="s">
        <v>2059</v>
      </c>
      <c r="F308" t="s">
        <v>2045</v>
      </c>
      <c r="G308">
        <v>0.45</v>
      </c>
      <c r="H308" s="505">
        <v>11111</v>
      </c>
      <c r="I308">
        <v>0</v>
      </c>
      <c r="J308">
        <v>0</v>
      </c>
      <c r="K308">
        <v>0</v>
      </c>
      <c r="M308" s="505">
        <v>11111</v>
      </c>
      <c r="O308">
        <v>0</v>
      </c>
    </row>
    <row r="309" spans="1:15">
      <c r="A309" t="s">
        <v>1763</v>
      </c>
      <c r="B309" t="s">
        <v>2650</v>
      </c>
      <c r="C309" t="s">
        <v>1065</v>
      </c>
      <c r="D309" t="s">
        <v>1067</v>
      </c>
      <c r="E309" t="s">
        <v>1068</v>
      </c>
      <c r="F309" t="s">
        <v>2064</v>
      </c>
      <c r="G309">
        <v>0.69</v>
      </c>
      <c r="H309" s="505">
        <v>55000</v>
      </c>
      <c r="I309">
        <v>0</v>
      </c>
      <c r="J309" s="505">
        <v>10000</v>
      </c>
      <c r="K309">
        <v>0</v>
      </c>
      <c r="M309" s="505">
        <v>45000</v>
      </c>
      <c r="O309" s="505">
        <v>8595000</v>
      </c>
    </row>
    <row r="310" spans="1:15">
      <c r="A310" t="s">
        <v>2061</v>
      </c>
      <c r="B310" t="s">
        <v>2511</v>
      </c>
      <c r="C310" t="s">
        <v>1010</v>
      </c>
      <c r="D310" t="s">
        <v>1012</v>
      </c>
      <c r="E310" t="s">
        <v>931</v>
      </c>
      <c r="F310">
        <v>2700435</v>
      </c>
      <c r="G310">
        <v>2.4</v>
      </c>
      <c r="H310" s="505">
        <v>2000</v>
      </c>
      <c r="I310">
        <v>0</v>
      </c>
      <c r="J310">
        <v>0</v>
      </c>
      <c r="K310">
        <v>0</v>
      </c>
      <c r="M310" s="505">
        <v>2000</v>
      </c>
      <c r="O310">
        <v>360</v>
      </c>
    </row>
    <row r="311" spans="1:15">
      <c r="A311" t="s">
        <v>1827</v>
      </c>
      <c r="B311" t="s">
        <v>3260</v>
      </c>
      <c r="C311" t="s">
        <v>2067</v>
      </c>
      <c r="D311" t="s">
        <v>2311</v>
      </c>
      <c r="E311" t="s">
        <v>2066</v>
      </c>
      <c r="F311">
        <v>1850355</v>
      </c>
      <c r="G311">
        <v>1.87</v>
      </c>
      <c r="H311" s="505">
        <v>40000</v>
      </c>
      <c r="I311">
        <v>0</v>
      </c>
      <c r="J311">
        <v>0</v>
      </c>
      <c r="K311">
        <v>0</v>
      </c>
      <c r="M311" s="505">
        <v>40000</v>
      </c>
      <c r="O311">
        <v>0</v>
      </c>
    </row>
    <row r="312" spans="1:15">
      <c r="A312" t="s">
        <v>1827</v>
      </c>
      <c r="B312" t="s">
        <v>2986</v>
      </c>
      <c r="C312" t="s">
        <v>2312</v>
      </c>
      <c r="D312" t="s">
        <v>2311</v>
      </c>
      <c r="E312" t="s">
        <v>2066</v>
      </c>
      <c r="F312">
        <v>1850355</v>
      </c>
      <c r="G312">
        <v>2.14</v>
      </c>
      <c r="H312" s="505">
        <v>20000</v>
      </c>
      <c r="I312">
        <v>0</v>
      </c>
      <c r="J312">
        <v>0</v>
      </c>
      <c r="K312">
        <v>0</v>
      </c>
      <c r="M312" s="505">
        <v>20000</v>
      </c>
      <c r="O312">
        <v>0</v>
      </c>
    </row>
    <row r="313" spans="1:15">
      <c r="A313" t="s">
        <v>1755</v>
      </c>
      <c r="B313" t="s">
        <v>2512</v>
      </c>
      <c r="C313" t="s">
        <v>430</v>
      </c>
      <c r="D313" t="s">
        <v>311</v>
      </c>
      <c r="E313" t="s">
        <v>431</v>
      </c>
      <c r="F313">
        <v>1000436</v>
      </c>
      <c r="G313">
        <v>1.63</v>
      </c>
      <c r="H313" s="505">
        <v>26000</v>
      </c>
      <c r="I313">
        <v>0</v>
      </c>
      <c r="J313">
        <v>0</v>
      </c>
      <c r="K313">
        <v>0</v>
      </c>
      <c r="M313" s="505">
        <v>26000</v>
      </c>
      <c r="O313" s="505">
        <v>4160000</v>
      </c>
    </row>
    <row r="314" spans="1:15">
      <c r="A314" t="s">
        <v>1755</v>
      </c>
      <c r="B314" t="s">
        <v>2886</v>
      </c>
      <c r="C314" t="s">
        <v>432</v>
      </c>
      <c r="D314" t="s">
        <v>311</v>
      </c>
      <c r="E314" t="s">
        <v>431</v>
      </c>
      <c r="F314">
        <v>1000436</v>
      </c>
      <c r="G314">
        <v>1.66</v>
      </c>
      <c r="H314" s="505">
        <v>174000</v>
      </c>
      <c r="I314">
        <v>0</v>
      </c>
      <c r="J314" s="505">
        <v>6000</v>
      </c>
      <c r="K314">
        <v>0</v>
      </c>
      <c r="M314" s="505">
        <v>168000</v>
      </c>
      <c r="O314" s="505">
        <v>32256000</v>
      </c>
    </row>
    <row r="315" spans="1:15">
      <c r="A315" t="s">
        <v>2061</v>
      </c>
      <c r="B315" t="s">
        <v>3180</v>
      </c>
      <c r="C315" t="s">
        <v>1729</v>
      </c>
      <c r="D315" t="s">
        <v>1006</v>
      </c>
      <c r="E315" t="s">
        <v>1007</v>
      </c>
      <c r="F315">
        <v>2700435</v>
      </c>
      <c r="G315">
        <v>3.13</v>
      </c>
      <c r="H315" s="505">
        <v>77000</v>
      </c>
      <c r="I315">
        <v>0</v>
      </c>
      <c r="J315" s="505">
        <v>12000</v>
      </c>
      <c r="K315">
        <v>0</v>
      </c>
      <c r="M315" s="505">
        <v>65000</v>
      </c>
      <c r="O315" s="505">
        <v>4089</v>
      </c>
    </row>
    <row r="316" spans="1:15">
      <c r="A316" t="s">
        <v>1827</v>
      </c>
      <c r="B316" t="s">
        <v>3290</v>
      </c>
      <c r="C316" t="s">
        <v>3222</v>
      </c>
      <c r="D316" t="s">
        <v>2311</v>
      </c>
      <c r="E316" t="s">
        <v>105</v>
      </c>
      <c r="F316">
        <v>1850355</v>
      </c>
      <c r="G316">
        <v>2.0699999999999998</v>
      </c>
      <c r="H316" s="505">
        <v>22000</v>
      </c>
      <c r="I316">
        <v>0</v>
      </c>
      <c r="J316">
        <v>0</v>
      </c>
      <c r="K316">
        <v>0</v>
      </c>
      <c r="M316" s="505">
        <v>22000</v>
      </c>
      <c r="O316">
        <v>0</v>
      </c>
    </row>
    <row r="317" spans="1:15">
      <c r="A317" t="s">
        <v>1827</v>
      </c>
      <c r="B317" t="s">
        <v>3119</v>
      </c>
      <c r="C317" t="s">
        <v>3112</v>
      </c>
      <c r="D317" t="s">
        <v>3084</v>
      </c>
      <c r="E317" t="s">
        <v>2073</v>
      </c>
      <c r="F317">
        <v>1850355</v>
      </c>
      <c r="G317">
        <v>2.04</v>
      </c>
      <c r="H317" s="505">
        <v>193000</v>
      </c>
      <c r="I317">
        <v>0</v>
      </c>
      <c r="J317" s="505">
        <v>78000</v>
      </c>
      <c r="K317">
        <v>0</v>
      </c>
      <c r="M317" s="505">
        <v>115000</v>
      </c>
      <c r="O317">
        <v>0</v>
      </c>
    </row>
    <row r="318" spans="1:15">
      <c r="A318" t="s">
        <v>1827</v>
      </c>
      <c r="B318" t="s">
        <v>3430</v>
      </c>
      <c r="C318" t="s">
        <v>2070</v>
      </c>
      <c r="D318" t="s">
        <v>2311</v>
      </c>
      <c r="E318" t="s">
        <v>105</v>
      </c>
      <c r="F318">
        <v>1850355</v>
      </c>
      <c r="G318">
        <v>2.02</v>
      </c>
      <c r="H318" s="505">
        <v>61500</v>
      </c>
      <c r="I318">
        <v>0</v>
      </c>
      <c r="J318">
        <v>0</v>
      </c>
      <c r="K318">
        <v>0</v>
      </c>
      <c r="M318" s="505">
        <v>61500</v>
      </c>
      <c r="O318">
        <v>0</v>
      </c>
    </row>
    <row r="319" spans="1:15">
      <c r="A319" t="s">
        <v>1774</v>
      </c>
      <c r="B319" t="s">
        <v>2513</v>
      </c>
      <c r="C319" t="s">
        <v>248</v>
      </c>
      <c r="D319" t="s">
        <v>249</v>
      </c>
      <c r="E319" t="s">
        <v>105</v>
      </c>
      <c r="F319">
        <v>1850436</v>
      </c>
      <c r="G319">
        <v>3.85</v>
      </c>
      <c r="H319" s="505">
        <v>185000</v>
      </c>
      <c r="I319">
        <v>0</v>
      </c>
      <c r="J319" s="505">
        <v>15000</v>
      </c>
      <c r="K319">
        <v>0</v>
      </c>
      <c r="M319" s="505">
        <v>170000</v>
      </c>
      <c r="O319" s="505">
        <v>51170000</v>
      </c>
    </row>
    <row r="320" spans="1:15">
      <c r="A320" t="s">
        <v>2850</v>
      </c>
      <c r="B320" t="s">
        <v>3522</v>
      </c>
      <c r="C320" t="s">
        <v>2848</v>
      </c>
      <c r="D320" t="s">
        <v>2849</v>
      </c>
      <c r="E320" t="s">
        <v>2073</v>
      </c>
      <c r="F320">
        <v>1660395</v>
      </c>
      <c r="G320">
        <v>2.5</v>
      </c>
      <c r="H320" s="505">
        <v>121000</v>
      </c>
      <c r="I320" s="505">
        <v>380000</v>
      </c>
      <c r="J320" s="505">
        <v>180000</v>
      </c>
      <c r="K320">
        <v>0</v>
      </c>
      <c r="M320" s="505">
        <v>321000</v>
      </c>
      <c r="O320">
        <v>0</v>
      </c>
    </row>
    <row r="321" spans="1:15">
      <c r="A321" t="s">
        <v>1827</v>
      </c>
      <c r="B321" t="s">
        <v>2592</v>
      </c>
      <c r="C321" t="s">
        <v>2071</v>
      </c>
      <c r="D321" t="s">
        <v>2311</v>
      </c>
      <c r="E321" t="s">
        <v>105</v>
      </c>
      <c r="F321">
        <v>1850355</v>
      </c>
      <c r="G321">
        <v>1.58</v>
      </c>
      <c r="H321" s="505">
        <v>50600</v>
      </c>
      <c r="I321">
        <v>0</v>
      </c>
      <c r="J321">
        <v>0</v>
      </c>
      <c r="K321">
        <v>0</v>
      </c>
      <c r="M321" s="505">
        <v>50600</v>
      </c>
      <c r="O321">
        <v>0</v>
      </c>
    </row>
    <row r="322" spans="1:15">
      <c r="A322" t="s">
        <v>1799</v>
      </c>
      <c r="B322" t="s">
        <v>2514</v>
      </c>
      <c r="C322" t="s">
        <v>103</v>
      </c>
      <c r="D322" t="s">
        <v>104</v>
      </c>
      <c r="E322" t="s">
        <v>105</v>
      </c>
      <c r="F322">
        <v>1850436</v>
      </c>
      <c r="G322">
        <v>2.41</v>
      </c>
      <c r="H322" s="505">
        <v>38000</v>
      </c>
      <c r="I322" s="505">
        <v>138000</v>
      </c>
      <c r="J322" s="505">
        <v>30000</v>
      </c>
      <c r="K322">
        <v>0</v>
      </c>
      <c r="M322" s="505">
        <v>146000</v>
      </c>
      <c r="O322" s="505">
        <v>2964</v>
      </c>
    </row>
    <row r="323" spans="1:15">
      <c r="A323" t="s">
        <v>1772</v>
      </c>
      <c r="B323" t="s">
        <v>2651</v>
      </c>
      <c r="C323" t="s">
        <v>1740</v>
      </c>
      <c r="D323" t="s">
        <v>564</v>
      </c>
      <c r="E323" t="s">
        <v>2073</v>
      </c>
      <c r="F323">
        <v>1850565</v>
      </c>
      <c r="G323">
        <v>3.26</v>
      </c>
      <c r="H323" s="505">
        <v>143000</v>
      </c>
      <c r="I323">
        <v>0</v>
      </c>
      <c r="J323">
        <v>0</v>
      </c>
      <c r="K323">
        <v>0</v>
      </c>
      <c r="M323" s="505">
        <v>143000</v>
      </c>
      <c r="O323" s="505">
        <v>44044000</v>
      </c>
    </row>
    <row r="324" spans="1:15">
      <c r="A324" t="s">
        <v>2075</v>
      </c>
      <c r="B324" t="s">
        <v>3091</v>
      </c>
      <c r="C324" t="s">
        <v>768</v>
      </c>
      <c r="D324" t="s">
        <v>770</v>
      </c>
      <c r="E324" t="s">
        <v>576</v>
      </c>
      <c r="F324">
        <v>1850436</v>
      </c>
      <c r="G324">
        <v>2.93</v>
      </c>
      <c r="H324" s="505">
        <v>73000</v>
      </c>
      <c r="I324">
        <v>0</v>
      </c>
      <c r="J324" s="505">
        <v>14000</v>
      </c>
      <c r="K324">
        <v>0</v>
      </c>
      <c r="M324" s="505">
        <v>59000</v>
      </c>
      <c r="O324" s="505">
        <v>13216000</v>
      </c>
    </row>
    <row r="325" spans="1:15">
      <c r="A325" t="s">
        <v>1827</v>
      </c>
      <c r="B325" t="s">
        <v>3511</v>
      </c>
      <c r="C325" t="s">
        <v>2313</v>
      </c>
      <c r="D325" t="s">
        <v>2311</v>
      </c>
      <c r="E325" t="s">
        <v>2077</v>
      </c>
      <c r="F325">
        <v>1850355</v>
      </c>
      <c r="G325">
        <v>2.61</v>
      </c>
      <c r="H325" s="505">
        <v>104000</v>
      </c>
      <c r="I325">
        <v>0</v>
      </c>
      <c r="J325" s="505">
        <v>38000</v>
      </c>
      <c r="K325">
        <v>0</v>
      </c>
      <c r="M325" s="505">
        <v>66000</v>
      </c>
      <c r="O325">
        <v>0</v>
      </c>
    </row>
    <row r="326" spans="1:15">
      <c r="A326" t="s">
        <v>1921</v>
      </c>
      <c r="B326" t="s">
        <v>3120</v>
      </c>
      <c r="C326" t="s">
        <v>2078</v>
      </c>
      <c r="D326" t="s">
        <v>123</v>
      </c>
      <c r="E326" t="s">
        <v>824</v>
      </c>
      <c r="F326">
        <v>1850455</v>
      </c>
      <c r="G326">
        <v>3.27</v>
      </c>
      <c r="H326" s="505">
        <v>101000</v>
      </c>
      <c r="I326">
        <v>0</v>
      </c>
      <c r="J326">
        <v>0</v>
      </c>
      <c r="K326">
        <v>0</v>
      </c>
      <c r="M326" s="505">
        <v>101000</v>
      </c>
      <c r="O326">
        <v>0</v>
      </c>
    </row>
    <row r="327" spans="1:15">
      <c r="A327" t="s">
        <v>1760</v>
      </c>
      <c r="B327" t="s">
        <v>2515</v>
      </c>
      <c r="C327" t="s">
        <v>821</v>
      </c>
      <c r="D327" t="s">
        <v>823</v>
      </c>
      <c r="E327" t="s">
        <v>824</v>
      </c>
      <c r="F327">
        <v>4510436</v>
      </c>
      <c r="G327">
        <v>2.86</v>
      </c>
      <c r="H327" s="505">
        <v>2000</v>
      </c>
      <c r="I327">
        <v>0</v>
      </c>
      <c r="J327">
        <v>0</v>
      </c>
      <c r="K327">
        <v>0</v>
      </c>
      <c r="M327" s="505">
        <v>2000</v>
      </c>
      <c r="O327" s="505">
        <v>484000</v>
      </c>
    </row>
    <row r="328" spans="1:15">
      <c r="A328" t="s">
        <v>1921</v>
      </c>
      <c r="B328" t="s">
        <v>3170</v>
      </c>
      <c r="C328" t="s">
        <v>787</v>
      </c>
      <c r="D328" t="s">
        <v>123</v>
      </c>
      <c r="E328" t="s">
        <v>788</v>
      </c>
      <c r="F328">
        <v>1850625</v>
      </c>
      <c r="G328">
        <v>4.8499999999999996</v>
      </c>
      <c r="H328" s="505">
        <v>30000</v>
      </c>
      <c r="I328">
        <v>0</v>
      </c>
      <c r="J328">
        <v>0</v>
      </c>
      <c r="K328">
        <v>0</v>
      </c>
      <c r="M328" s="505">
        <v>30000</v>
      </c>
      <c r="O328" s="505">
        <v>12720000</v>
      </c>
    </row>
    <row r="329" spans="1:15">
      <c r="A329" t="s">
        <v>1763</v>
      </c>
      <c r="B329" t="s">
        <v>2516</v>
      </c>
      <c r="C329" t="s">
        <v>764</v>
      </c>
      <c r="D329" t="s">
        <v>766</v>
      </c>
      <c r="E329" t="s">
        <v>767</v>
      </c>
      <c r="F329">
        <v>1850436</v>
      </c>
      <c r="G329">
        <v>2.36</v>
      </c>
      <c r="H329" s="505">
        <v>105000</v>
      </c>
      <c r="I329">
        <v>0</v>
      </c>
      <c r="J329">
        <v>0</v>
      </c>
      <c r="K329">
        <v>0</v>
      </c>
      <c r="M329" s="505">
        <v>105000</v>
      </c>
      <c r="O329" s="505">
        <v>24885000</v>
      </c>
    </row>
    <row r="330" spans="1:15">
      <c r="A330" t="s">
        <v>1829</v>
      </c>
      <c r="B330" t="s">
        <v>3046</v>
      </c>
      <c r="C330" t="s">
        <v>2973</v>
      </c>
      <c r="D330" t="s">
        <v>777</v>
      </c>
      <c r="E330" t="s">
        <v>2974</v>
      </c>
      <c r="F330">
        <v>1850455</v>
      </c>
      <c r="G330">
        <v>3.79</v>
      </c>
      <c r="H330" s="505">
        <v>2000</v>
      </c>
      <c r="I330">
        <v>0</v>
      </c>
      <c r="J330">
        <v>0</v>
      </c>
      <c r="K330">
        <v>0</v>
      </c>
      <c r="M330" s="505">
        <v>2000</v>
      </c>
      <c r="O330">
        <v>0</v>
      </c>
    </row>
    <row r="331" spans="1:15">
      <c r="A331" t="s">
        <v>1755</v>
      </c>
      <c r="B331" t="s">
        <v>3218</v>
      </c>
      <c r="C331" t="s">
        <v>3142</v>
      </c>
      <c r="D331" t="s">
        <v>961</v>
      </c>
      <c r="E331" t="s">
        <v>3143</v>
      </c>
      <c r="F331">
        <v>3020438</v>
      </c>
      <c r="G331">
        <v>2.85</v>
      </c>
      <c r="H331" s="505">
        <v>13000</v>
      </c>
      <c r="I331">
        <v>0</v>
      </c>
      <c r="J331">
        <v>0</v>
      </c>
      <c r="K331">
        <v>0</v>
      </c>
      <c r="M331" s="505">
        <v>13000</v>
      </c>
      <c r="O331">
        <v>0</v>
      </c>
    </row>
    <row r="332" spans="1:15">
      <c r="A332" t="s">
        <v>1827</v>
      </c>
      <c r="B332" t="s">
        <v>2724</v>
      </c>
      <c r="C332" t="s">
        <v>2314</v>
      </c>
      <c r="D332" t="s">
        <v>2311</v>
      </c>
      <c r="E332" t="s">
        <v>54</v>
      </c>
      <c r="F332">
        <v>1850355</v>
      </c>
      <c r="G332">
        <v>2.72</v>
      </c>
      <c r="H332" s="505">
        <v>23000</v>
      </c>
      <c r="I332">
        <v>0</v>
      </c>
      <c r="J332">
        <v>0</v>
      </c>
      <c r="K332">
        <v>0</v>
      </c>
      <c r="M332" s="505">
        <v>23000</v>
      </c>
      <c r="O332">
        <v>0</v>
      </c>
    </row>
    <row r="333" spans="1:15">
      <c r="A333" t="s">
        <v>1755</v>
      </c>
      <c r="B333" t="s">
        <v>3396</v>
      </c>
      <c r="C333" t="s">
        <v>773</v>
      </c>
      <c r="D333" t="s">
        <v>774</v>
      </c>
      <c r="E333" t="s">
        <v>434</v>
      </c>
      <c r="F333">
        <v>1850436</v>
      </c>
      <c r="G333">
        <v>4.21</v>
      </c>
      <c r="H333" s="505">
        <v>48000</v>
      </c>
      <c r="I333">
        <v>0</v>
      </c>
      <c r="J333" s="505">
        <v>10000</v>
      </c>
      <c r="K333">
        <v>0</v>
      </c>
      <c r="M333" s="505">
        <v>38000</v>
      </c>
      <c r="O333" s="505">
        <v>11400000</v>
      </c>
    </row>
    <row r="334" spans="1:15">
      <c r="A334" t="s">
        <v>1774</v>
      </c>
      <c r="B334" t="s">
        <v>3035</v>
      </c>
      <c r="C334" t="s">
        <v>1676</v>
      </c>
      <c r="D334" t="s">
        <v>990</v>
      </c>
      <c r="E334" t="s">
        <v>54</v>
      </c>
      <c r="F334">
        <v>4310438</v>
      </c>
      <c r="G334">
        <v>4.3499999999999996</v>
      </c>
      <c r="H334" s="505">
        <v>87520</v>
      </c>
      <c r="I334">
        <v>0</v>
      </c>
      <c r="J334" s="505">
        <v>87000</v>
      </c>
      <c r="K334">
        <v>0</v>
      </c>
      <c r="M334">
        <v>520</v>
      </c>
      <c r="O334" s="505">
        <v>343720</v>
      </c>
    </row>
    <row r="335" spans="1:15">
      <c r="A335" t="s">
        <v>1774</v>
      </c>
      <c r="B335" t="s">
        <v>3126</v>
      </c>
      <c r="C335" t="s">
        <v>29</v>
      </c>
      <c r="D335" t="s">
        <v>42</v>
      </c>
      <c r="E335" t="s">
        <v>54</v>
      </c>
      <c r="F335">
        <v>1850436</v>
      </c>
      <c r="G335">
        <v>3.85</v>
      </c>
      <c r="H335" s="505">
        <v>79000</v>
      </c>
      <c r="I335" s="505">
        <v>336000</v>
      </c>
      <c r="J335" s="505">
        <v>128000</v>
      </c>
      <c r="K335">
        <v>0</v>
      </c>
      <c r="M335" s="505">
        <v>287000</v>
      </c>
      <c r="O335" s="505">
        <v>81508000</v>
      </c>
    </row>
    <row r="336" spans="1:15">
      <c r="A336" t="s">
        <v>1760</v>
      </c>
      <c r="B336" t="s">
        <v>3010</v>
      </c>
      <c r="C336" t="s">
        <v>945</v>
      </c>
      <c r="D336" t="s">
        <v>947</v>
      </c>
      <c r="E336" t="s">
        <v>434</v>
      </c>
      <c r="F336">
        <v>3020438</v>
      </c>
      <c r="G336">
        <v>3.9</v>
      </c>
      <c r="H336" s="505">
        <v>18000</v>
      </c>
      <c r="I336">
        <v>0</v>
      </c>
      <c r="J336">
        <v>0</v>
      </c>
      <c r="K336">
        <v>0</v>
      </c>
      <c r="M336" s="505">
        <v>18000</v>
      </c>
      <c r="O336" s="505">
        <v>18000000</v>
      </c>
    </row>
    <row r="337" spans="1:15">
      <c r="A337" t="s">
        <v>1755</v>
      </c>
      <c r="B337" t="s">
        <v>2517</v>
      </c>
      <c r="C337" t="s">
        <v>433</v>
      </c>
      <c r="D337" t="s">
        <v>311</v>
      </c>
      <c r="E337" t="s">
        <v>434</v>
      </c>
      <c r="F337">
        <v>1000436</v>
      </c>
      <c r="G337">
        <v>2.4700000000000002</v>
      </c>
      <c r="H337" s="505">
        <v>37000</v>
      </c>
      <c r="I337">
        <v>0</v>
      </c>
      <c r="J337">
        <v>0</v>
      </c>
      <c r="K337">
        <v>0</v>
      </c>
      <c r="M337" s="505">
        <v>37000</v>
      </c>
      <c r="O337" s="505">
        <v>9583000</v>
      </c>
    </row>
    <row r="338" spans="1:15">
      <c r="A338" t="s">
        <v>1774</v>
      </c>
      <c r="B338" t="s">
        <v>3382</v>
      </c>
      <c r="C338" t="s">
        <v>3255</v>
      </c>
      <c r="D338" t="s">
        <v>311</v>
      </c>
      <c r="E338" t="s">
        <v>3258</v>
      </c>
      <c r="F338">
        <v>1850436</v>
      </c>
      <c r="G338">
        <v>2.44</v>
      </c>
      <c r="H338" s="505">
        <v>48000</v>
      </c>
      <c r="I338">
        <v>0</v>
      </c>
      <c r="J338" s="505">
        <v>3000</v>
      </c>
      <c r="K338">
        <v>0</v>
      </c>
      <c r="M338" s="505">
        <v>45000</v>
      </c>
      <c r="O338">
        <v>0</v>
      </c>
    </row>
    <row r="339" spans="1:15">
      <c r="A339" t="s">
        <v>1827</v>
      </c>
      <c r="B339" t="s">
        <v>2891</v>
      </c>
      <c r="C339" t="s">
        <v>2838</v>
      </c>
      <c r="D339" t="s">
        <v>2844</v>
      </c>
      <c r="E339" t="s">
        <v>434</v>
      </c>
      <c r="F339">
        <v>1850355</v>
      </c>
      <c r="G339">
        <v>2.25</v>
      </c>
      <c r="H339" s="505">
        <v>4000</v>
      </c>
      <c r="I339">
        <v>0</v>
      </c>
      <c r="J339">
        <v>0</v>
      </c>
      <c r="K339">
        <v>0</v>
      </c>
      <c r="M339" s="505">
        <v>4000</v>
      </c>
      <c r="O339">
        <v>0</v>
      </c>
    </row>
    <row r="340" spans="1:15">
      <c r="A340" t="s">
        <v>1774</v>
      </c>
      <c r="B340" t="s">
        <v>3425</v>
      </c>
      <c r="C340" t="s">
        <v>759</v>
      </c>
      <c r="D340" t="s">
        <v>45</v>
      </c>
      <c r="E340" t="s">
        <v>54</v>
      </c>
      <c r="F340">
        <v>1850395</v>
      </c>
      <c r="G340">
        <v>2.78</v>
      </c>
      <c r="H340" s="505">
        <v>245000</v>
      </c>
      <c r="I340">
        <v>0</v>
      </c>
      <c r="J340" s="505">
        <v>63000</v>
      </c>
      <c r="K340">
        <v>0</v>
      </c>
      <c r="M340" s="505">
        <v>182000</v>
      </c>
      <c r="O340" s="505">
        <v>35854000</v>
      </c>
    </row>
    <row r="341" spans="1:15">
      <c r="A341" t="s">
        <v>1774</v>
      </c>
      <c r="B341" t="s">
        <v>3109</v>
      </c>
      <c r="C341" t="s">
        <v>87</v>
      </c>
      <c r="D341" t="s">
        <v>81</v>
      </c>
      <c r="E341" t="s">
        <v>54</v>
      </c>
      <c r="F341">
        <v>1850406</v>
      </c>
      <c r="G341">
        <v>3</v>
      </c>
      <c r="H341" s="505">
        <v>815000</v>
      </c>
      <c r="I341">
        <v>0</v>
      </c>
      <c r="J341" s="505">
        <v>122000</v>
      </c>
      <c r="K341">
        <v>0</v>
      </c>
      <c r="M341" s="505">
        <v>693000</v>
      </c>
      <c r="O341" s="505">
        <v>133749000</v>
      </c>
    </row>
    <row r="342" spans="1:15">
      <c r="A342" t="s">
        <v>1755</v>
      </c>
      <c r="B342" t="s">
        <v>2518</v>
      </c>
      <c r="C342" t="s">
        <v>435</v>
      </c>
      <c r="D342" t="s">
        <v>427</v>
      </c>
      <c r="E342" t="s">
        <v>434</v>
      </c>
      <c r="F342">
        <v>1000436</v>
      </c>
      <c r="G342">
        <v>3.5</v>
      </c>
      <c r="H342" s="505">
        <v>29000</v>
      </c>
      <c r="I342">
        <v>0</v>
      </c>
      <c r="J342">
        <v>0</v>
      </c>
      <c r="K342">
        <v>0</v>
      </c>
      <c r="M342" s="505">
        <v>29000</v>
      </c>
      <c r="O342" s="505">
        <v>6293000</v>
      </c>
    </row>
    <row r="343" spans="1:15">
      <c r="A343" t="s">
        <v>1774</v>
      </c>
      <c r="B343" t="s">
        <v>2519</v>
      </c>
      <c r="C343" t="s">
        <v>991</v>
      </c>
      <c r="D343" t="s">
        <v>41</v>
      </c>
      <c r="E343" t="s">
        <v>54</v>
      </c>
      <c r="F343">
        <v>4310405</v>
      </c>
      <c r="G343">
        <v>2.2599999999999998</v>
      </c>
      <c r="H343" s="505">
        <v>19000</v>
      </c>
      <c r="I343">
        <v>0</v>
      </c>
      <c r="J343">
        <v>0</v>
      </c>
      <c r="K343">
        <v>0</v>
      </c>
      <c r="M343" s="505">
        <v>19000</v>
      </c>
      <c r="O343" s="505">
        <v>6137000</v>
      </c>
    </row>
    <row r="344" spans="1:15">
      <c r="A344" t="s">
        <v>1774</v>
      </c>
      <c r="B344" t="s">
        <v>3184</v>
      </c>
      <c r="C344" t="s">
        <v>226</v>
      </c>
      <c r="D344" t="s">
        <v>227</v>
      </c>
      <c r="E344" t="s">
        <v>54</v>
      </c>
      <c r="F344">
        <v>4310438</v>
      </c>
      <c r="G344">
        <v>3.39</v>
      </c>
      <c r="H344" s="505">
        <v>620000</v>
      </c>
      <c r="I344" s="505">
        <v>62000</v>
      </c>
      <c r="J344" s="505">
        <v>110000</v>
      </c>
      <c r="K344">
        <v>0</v>
      </c>
      <c r="M344" s="505">
        <v>572000</v>
      </c>
      <c r="O344" s="505">
        <v>295724000</v>
      </c>
    </row>
    <row r="345" spans="1:15">
      <c r="A345" t="s">
        <v>1774</v>
      </c>
      <c r="B345" t="s">
        <v>3401</v>
      </c>
      <c r="C345" t="s">
        <v>198</v>
      </c>
      <c r="D345" t="s">
        <v>199</v>
      </c>
      <c r="E345" t="s">
        <v>54</v>
      </c>
      <c r="F345">
        <v>1850406</v>
      </c>
      <c r="G345">
        <v>3.78</v>
      </c>
      <c r="H345" s="505">
        <v>275000</v>
      </c>
      <c r="I345" s="505">
        <v>93000</v>
      </c>
      <c r="J345" s="505">
        <v>50000</v>
      </c>
      <c r="K345">
        <v>0</v>
      </c>
      <c r="M345" s="505">
        <v>318000</v>
      </c>
      <c r="O345" s="505">
        <v>100806000</v>
      </c>
    </row>
    <row r="346" spans="1:15">
      <c r="A346" t="s">
        <v>2375</v>
      </c>
      <c r="B346" t="s">
        <v>2983</v>
      </c>
      <c r="C346" t="s">
        <v>2367</v>
      </c>
      <c r="D346" t="s">
        <v>2609</v>
      </c>
      <c r="E346" t="s">
        <v>434</v>
      </c>
      <c r="F346">
        <v>4360436</v>
      </c>
      <c r="G346">
        <v>3.1</v>
      </c>
      <c r="H346" s="505">
        <v>231000</v>
      </c>
      <c r="I346">
        <v>0</v>
      </c>
      <c r="J346">
        <v>0</v>
      </c>
      <c r="K346">
        <v>0</v>
      </c>
      <c r="M346" s="505">
        <v>231000</v>
      </c>
      <c r="O346">
        <v>0</v>
      </c>
    </row>
    <row r="347" spans="1:15">
      <c r="A347" t="s">
        <v>1807</v>
      </c>
      <c r="B347" t="s">
        <v>3012</v>
      </c>
      <c r="C347" t="s">
        <v>2082</v>
      </c>
      <c r="D347" t="s">
        <v>2083</v>
      </c>
      <c r="E347" t="s">
        <v>2084</v>
      </c>
      <c r="F347">
        <v>4350675</v>
      </c>
      <c r="G347">
        <v>7.85</v>
      </c>
      <c r="H347" s="505">
        <v>4000</v>
      </c>
      <c r="I347">
        <v>0</v>
      </c>
      <c r="J347">
        <v>0</v>
      </c>
      <c r="K347">
        <v>0</v>
      </c>
      <c r="M347" s="505">
        <v>4000</v>
      </c>
      <c r="O347">
        <v>0</v>
      </c>
    </row>
    <row r="348" spans="1:15">
      <c r="A348" t="s">
        <v>1803</v>
      </c>
      <c r="B348" t="s">
        <v>3512</v>
      </c>
      <c r="C348" t="s">
        <v>3407</v>
      </c>
      <c r="D348" t="s">
        <v>81</v>
      </c>
      <c r="E348" t="s">
        <v>3408</v>
      </c>
      <c r="F348">
        <v>1850406</v>
      </c>
      <c r="G348">
        <v>3.25</v>
      </c>
      <c r="H348">
        <v>0</v>
      </c>
      <c r="I348" s="505">
        <v>19000</v>
      </c>
      <c r="J348">
        <v>0</v>
      </c>
      <c r="K348">
        <v>0</v>
      </c>
      <c r="M348" s="505">
        <v>19000</v>
      </c>
      <c r="O348">
        <v>0</v>
      </c>
    </row>
    <row r="349" spans="1:15">
      <c r="A349" t="s">
        <v>1839</v>
      </c>
      <c r="B349" t="s">
        <v>3045</v>
      </c>
      <c r="C349" t="s">
        <v>223</v>
      </c>
      <c r="D349" t="s">
        <v>224</v>
      </c>
      <c r="E349" t="s">
        <v>2086</v>
      </c>
      <c r="F349">
        <v>1850705</v>
      </c>
      <c r="G349">
        <v>5.53</v>
      </c>
      <c r="H349" s="505">
        <v>165950</v>
      </c>
      <c r="I349" s="505">
        <v>250000</v>
      </c>
      <c r="J349" s="505">
        <v>36500</v>
      </c>
      <c r="K349">
        <v>0</v>
      </c>
      <c r="M349" s="505">
        <v>379450</v>
      </c>
      <c r="O349" s="505">
        <v>215527600</v>
      </c>
    </row>
    <row r="350" spans="1:15">
      <c r="A350" t="s">
        <v>1763</v>
      </c>
      <c r="B350" t="s">
        <v>2710</v>
      </c>
      <c r="C350" t="s">
        <v>775</v>
      </c>
      <c r="D350" t="s">
        <v>777</v>
      </c>
      <c r="E350" t="s">
        <v>2407</v>
      </c>
      <c r="F350">
        <v>1850455</v>
      </c>
      <c r="G350">
        <v>4.2699999999999996</v>
      </c>
      <c r="H350" s="505">
        <v>299080</v>
      </c>
      <c r="I350">
        <v>0</v>
      </c>
      <c r="J350" s="505">
        <v>11000</v>
      </c>
      <c r="K350">
        <v>0</v>
      </c>
      <c r="M350" s="505">
        <v>288080</v>
      </c>
      <c r="O350" s="505">
        <v>106877680</v>
      </c>
    </row>
    <row r="351" spans="1:15">
      <c r="A351" t="s">
        <v>1803</v>
      </c>
      <c r="B351" t="s">
        <v>3181</v>
      </c>
      <c r="C351" t="s">
        <v>2993</v>
      </c>
      <c r="D351" t="s">
        <v>81</v>
      </c>
      <c r="E351" t="s">
        <v>778</v>
      </c>
      <c r="F351">
        <v>1850406</v>
      </c>
      <c r="G351">
        <v>3.45</v>
      </c>
      <c r="H351" s="505">
        <v>82000</v>
      </c>
      <c r="I351">
        <v>0</v>
      </c>
      <c r="J351" s="505">
        <v>12000</v>
      </c>
      <c r="K351">
        <v>0</v>
      </c>
      <c r="M351" s="505">
        <v>70000</v>
      </c>
      <c r="O351">
        <v>0</v>
      </c>
    </row>
    <row r="352" spans="1:15">
      <c r="A352" t="s">
        <v>1921</v>
      </c>
      <c r="B352" t="s">
        <v>3050</v>
      </c>
      <c r="C352" t="s">
        <v>926</v>
      </c>
      <c r="D352" t="s">
        <v>927</v>
      </c>
      <c r="E352" t="s">
        <v>928</v>
      </c>
      <c r="F352">
        <v>3020395</v>
      </c>
      <c r="G352">
        <v>3.58</v>
      </c>
      <c r="H352" s="505">
        <v>59000</v>
      </c>
      <c r="I352">
        <v>0</v>
      </c>
      <c r="J352">
        <v>0</v>
      </c>
      <c r="K352">
        <v>0</v>
      </c>
      <c r="M352" s="505">
        <v>59000</v>
      </c>
      <c r="O352" s="505">
        <v>27907000</v>
      </c>
    </row>
    <row r="353" spans="1:15">
      <c r="A353" t="s">
        <v>1760</v>
      </c>
      <c r="B353" t="s">
        <v>2520</v>
      </c>
      <c r="C353" t="s">
        <v>938</v>
      </c>
      <c r="D353" t="s">
        <v>940</v>
      </c>
      <c r="E353" t="s">
        <v>941</v>
      </c>
      <c r="F353">
        <v>3020438</v>
      </c>
      <c r="G353">
        <v>2.86</v>
      </c>
      <c r="H353" s="505">
        <v>29000</v>
      </c>
      <c r="I353">
        <v>0</v>
      </c>
      <c r="J353">
        <v>0</v>
      </c>
      <c r="K353">
        <v>0</v>
      </c>
      <c r="M353" s="505">
        <v>29000</v>
      </c>
      <c r="O353" s="505">
        <v>12818000</v>
      </c>
    </row>
    <row r="354" spans="1:15">
      <c r="A354" t="s">
        <v>2061</v>
      </c>
      <c r="B354" t="s">
        <v>2521</v>
      </c>
      <c r="C354" t="s">
        <v>812</v>
      </c>
      <c r="D354" t="s">
        <v>805</v>
      </c>
      <c r="E354" t="s">
        <v>814</v>
      </c>
      <c r="F354">
        <v>4510436</v>
      </c>
      <c r="G354">
        <v>4.6500000000000004</v>
      </c>
      <c r="H354" s="505">
        <v>9000</v>
      </c>
      <c r="I354">
        <v>0</v>
      </c>
      <c r="J354">
        <v>0</v>
      </c>
      <c r="K354">
        <v>0</v>
      </c>
      <c r="M354" s="505">
        <v>9000</v>
      </c>
      <c r="O354">
        <v>206</v>
      </c>
    </row>
    <row r="355" spans="1:15">
      <c r="A355" t="s">
        <v>1760</v>
      </c>
      <c r="B355" t="s">
        <v>2522</v>
      </c>
      <c r="C355" t="s">
        <v>959</v>
      </c>
      <c r="D355" t="s">
        <v>961</v>
      </c>
      <c r="E355" t="s">
        <v>814</v>
      </c>
      <c r="F355">
        <v>3020438</v>
      </c>
      <c r="G355">
        <v>3.98</v>
      </c>
      <c r="H355" s="505">
        <v>6000</v>
      </c>
      <c r="I355">
        <v>0</v>
      </c>
      <c r="J355">
        <v>0</v>
      </c>
      <c r="K355">
        <v>0</v>
      </c>
      <c r="M355" s="505">
        <v>6000</v>
      </c>
      <c r="O355" s="505">
        <v>3534000</v>
      </c>
    </row>
    <row r="356" spans="1:15">
      <c r="A356" t="s">
        <v>1774</v>
      </c>
      <c r="B356" t="s">
        <v>3470</v>
      </c>
      <c r="C356" t="s">
        <v>425</v>
      </c>
      <c r="D356" t="s">
        <v>427</v>
      </c>
      <c r="E356" t="s">
        <v>2332</v>
      </c>
      <c r="F356">
        <v>1000436</v>
      </c>
      <c r="G356">
        <v>4.4400000000000004</v>
      </c>
      <c r="H356" s="505">
        <v>488000</v>
      </c>
      <c r="I356">
        <v>0</v>
      </c>
      <c r="J356" s="505">
        <v>92800</v>
      </c>
      <c r="K356">
        <v>0</v>
      </c>
      <c r="M356" s="505">
        <v>395200</v>
      </c>
      <c r="O356">
        <v>0</v>
      </c>
    </row>
    <row r="357" spans="1:15">
      <c r="A357" t="s">
        <v>1774</v>
      </c>
      <c r="B357" t="s">
        <v>3087</v>
      </c>
      <c r="C357" t="s">
        <v>2091</v>
      </c>
      <c r="D357" t="s">
        <v>2092</v>
      </c>
      <c r="E357" t="s">
        <v>2093</v>
      </c>
      <c r="F357">
        <v>1850458</v>
      </c>
      <c r="G357">
        <v>6.3</v>
      </c>
      <c r="H357" s="505">
        <v>36000</v>
      </c>
      <c r="I357">
        <v>0</v>
      </c>
      <c r="J357">
        <v>0</v>
      </c>
      <c r="K357">
        <v>0</v>
      </c>
      <c r="M357" s="505">
        <v>36000</v>
      </c>
      <c r="O357">
        <v>0</v>
      </c>
    </row>
    <row r="358" spans="1:15">
      <c r="A358" t="s">
        <v>2061</v>
      </c>
      <c r="B358" t="s">
        <v>3254</v>
      </c>
      <c r="C358" t="s">
        <v>1040</v>
      </c>
      <c r="D358" t="s">
        <v>1042</v>
      </c>
      <c r="E358" t="s">
        <v>1043</v>
      </c>
      <c r="F358" t="s">
        <v>2094</v>
      </c>
      <c r="G358">
        <v>0.39</v>
      </c>
      <c r="H358" s="505">
        <v>20000</v>
      </c>
      <c r="I358">
        <v>0</v>
      </c>
      <c r="J358" s="505">
        <v>5000</v>
      </c>
      <c r="K358">
        <v>0</v>
      </c>
      <c r="M358" s="505">
        <v>15000</v>
      </c>
      <c r="O358">
        <v>86</v>
      </c>
    </row>
    <row r="359" spans="1:15">
      <c r="A359" t="s">
        <v>1782</v>
      </c>
      <c r="B359" t="s">
        <v>2720</v>
      </c>
      <c r="C359" t="s">
        <v>1046</v>
      </c>
      <c r="D359" t="s">
        <v>1042</v>
      </c>
      <c r="E359" t="s">
        <v>1043</v>
      </c>
      <c r="F359" t="s">
        <v>2096</v>
      </c>
      <c r="G359">
        <v>0.39</v>
      </c>
      <c r="H359" s="505">
        <v>60000</v>
      </c>
      <c r="I359">
        <v>0</v>
      </c>
      <c r="J359" s="505">
        <v>25000</v>
      </c>
      <c r="K359">
        <v>0</v>
      </c>
      <c r="M359" s="505">
        <v>35000</v>
      </c>
      <c r="O359">
        <v>0</v>
      </c>
    </row>
    <row r="360" spans="1:15">
      <c r="A360" t="s">
        <v>2061</v>
      </c>
      <c r="B360" t="s">
        <v>2523</v>
      </c>
      <c r="C360" t="s">
        <v>1213</v>
      </c>
      <c r="D360" t="s">
        <v>1056</v>
      </c>
      <c r="E360" t="s">
        <v>1215</v>
      </c>
      <c r="F360" t="s">
        <v>2098</v>
      </c>
      <c r="G360">
        <v>0.34</v>
      </c>
      <c r="H360" s="505">
        <v>20000</v>
      </c>
      <c r="I360">
        <v>0</v>
      </c>
      <c r="J360">
        <v>0</v>
      </c>
      <c r="K360">
        <v>0</v>
      </c>
      <c r="M360" s="505">
        <v>20000</v>
      </c>
      <c r="O360">
        <v>186</v>
      </c>
    </row>
    <row r="361" spans="1:15">
      <c r="A361" t="s">
        <v>2061</v>
      </c>
      <c r="B361" t="s">
        <v>2915</v>
      </c>
      <c r="C361" t="s">
        <v>1054</v>
      </c>
      <c r="D361" t="s">
        <v>1056</v>
      </c>
      <c r="E361" t="s">
        <v>1057</v>
      </c>
      <c r="F361" t="s">
        <v>2098</v>
      </c>
      <c r="G361">
        <v>0.51</v>
      </c>
      <c r="H361" s="505">
        <v>5000</v>
      </c>
      <c r="I361" s="505">
        <v>10000</v>
      </c>
      <c r="J361" s="505">
        <v>2000</v>
      </c>
      <c r="K361">
        <v>0</v>
      </c>
      <c r="M361" s="505">
        <v>13000</v>
      </c>
      <c r="O361">
        <v>0</v>
      </c>
    </row>
    <row r="362" spans="1:15">
      <c r="A362" t="s">
        <v>2047</v>
      </c>
      <c r="B362" t="s">
        <v>2524</v>
      </c>
      <c r="C362" t="s">
        <v>1163</v>
      </c>
      <c r="D362" t="s">
        <v>1056</v>
      </c>
      <c r="E362" t="s">
        <v>2099</v>
      </c>
      <c r="F362" t="s">
        <v>2100</v>
      </c>
      <c r="G362">
        <v>2.17</v>
      </c>
      <c r="H362" s="505">
        <v>13000</v>
      </c>
      <c r="I362">
        <v>0</v>
      </c>
      <c r="J362">
        <v>0</v>
      </c>
      <c r="K362">
        <v>0</v>
      </c>
      <c r="M362" s="505">
        <v>13000</v>
      </c>
      <c r="O362" s="505">
        <v>5590000</v>
      </c>
    </row>
    <row r="363" spans="1:15">
      <c r="A363" t="s">
        <v>1782</v>
      </c>
      <c r="B363" t="s">
        <v>3201</v>
      </c>
      <c r="C363" t="s">
        <v>2102</v>
      </c>
      <c r="D363" t="s">
        <v>1056</v>
      </c>
      <c r="E363" t="s">
        <v>2103</v>
      </c>
      <c r="F363" t="s">
        <v>2104</v>
      </c>
      <c r="G363">
        <v>2.93</v>
      </c>
      <c r="H363" s="505">
        <v>411527</v>
      </c>
      <c r="I363">
        <v>0</v>
      </c>
      <c r="J363">
        <v>0</v>
      </c>
      <c r="K363">
        <v>0</v>
      </c>
      <c r="M363" s="505">
        <v>411527</v>
      </c>
      <c r="O363">
        <v>0</v>
      </c>
    </row>
    <row r="364" spans="1:15">
      <c r="A364" t="s">
        <v>1782</v>
      </c>
      <c r="B364" t="s">
        <v>3320</v>
      </c>
      <c r="C364" t="s">
        <v>2108</v>
      </c>
      <c r="D364" t="s">
        <v>1056</v>
      </c>
      <c r="E364" t="s">
        <v>2109</v>
      </c>
      <c r="F364" t="s">
        <v>2110</v>
      </c>
      <c r="G364">
        <v>3.42</v>
      </c>
      <c r="H364" s="505">
        <v>6433</v>
      </c>
      <c r="I364">
        <v>0</v>
      </c>
      <c r="J364">
        <v>0</v>
      </c>
      <c r="K364">
        <v>0</v>
      </c>
      <c r="M364" s="505">
        <v>6433</v>
      </c>
      <c r="O364">
        <v>0</v>
      </c>
    </row>
    <row r="365" spans="1:15">
      <c r="A365" t="s">
        <v>1782</v>
      </c>
      <c r="B365" t="s">
        <v>2882</v>
      </c>
      <c r="C365" t="s">
        <v>2112</v>
      </c>
      <c r="D365" t="s">
        <v>1056</v>
      </c>
      <c r="E365" t="s">
        <v>2113</v>
      </c>
      <c r="F365" t="s">
        <v>2114</v>
      </c>
      <c r="G365">
        <v>4.33</v>
      </c>
      <c r="H365" s="505">
        <v>24249</v>
      </c>
      <c r="I365">
        <v>0</v>
      </c>
      <c r="J365">
        <v>0</v>
      </c>
      <c r="K365">
        <v>0</v>
      </c>
      <c r="M365" s="505">
        <v>24249</v>
      </c>
      <c r="O365">
        <v>0</v>
      </c>
    </row>
    <row r="366" spans="1:15">
      <c r="A366" t="s">
        <v>1782</v>
      </c>
      <c r="B366" t="s">
        <v>2866</v>
      </c>
      <c r="C366" t="s">
        <v>2115</v>
      </c>
      <c r="D366" t="s">
        <v>1042</v>
      </c>
      <c r="E366" t="s">
        <v>2116</v>
      </c>
      <c r="F366" t="s">
        <v>2117</v>
      </c>
      <c r="G366">
        <v>0.84</v>
      </c>
      <c r="H366" s="505">
        <v>50238</v>
      </c>
      <c r="I366">
        <v>0</v>
      </c>
      <c r="J366">
        <v>0</v>
      </c>
      <c r="K366">
        <v>0</v>
      </c>
      <c r="M366" s="505">
        <v>50238</v>
      </c>
      <c r="O366">
        <v>0</v>
      </c>
    </row>
    <row r="367" spans="1:15">
      <c r="A367" t="s">
        <v>1782</v>
      </c>
      <c r="B367" t="s">
        <v>3271</v>
      </c>
      <c r="C367" t="s">
        <v>2118</v>
      </c>
      <c r="D367" t="s">
        <v>1042</v>
      </c>
      <c r="E367" t="s">
        <v>1168</v>
      </c>
      <c r="F367" t="s">
        <v>2119</v>
      </c>
      <c r="G367">
        <v>0.85</v>
      </c>
      <c r="H367" s="505">
        <v>749162</v>
      </c>
      <c r="I367">
        <v>0</v>
      </c>
      <c r="J367">
        <v>0</v>
      </c>
      <c r="K367">
        <v>0</v>
      </c>
      <c r="M367" s="505">
        <v>749162</v>
      </c>
      <c r="O367">
        <v>0</v>
      </c>
    </row>
    <row r="368" spans="1:15">
      <c r="A368" t="s">
        <v>1755</v>
      </c>
      <c r="B368" t="s">
        <v>2883</v>
      </c>
      <c r="C368" t="s">
        <v>1166</v>
      </c>
      <c r="D368" t="s">
        <v>1042</v>
      </c>
      <c r="E368" t="s">
        <v>1168</v>
      </c>
      <c r="F368" t="s">
        <v>2119</v>
      </c>
      <c r="G368">
        <v>0.86</v>
      </c>
      <c r="H368" s="505">
        <v>102000</v>
      </c>
      <c r="I368">
        <v>0</v>
      </c>
      <c r="J368">
        <v>0</v>
      </c>
      <c r="K368">
        <v>0</v>
      </c>
      <c r="M368" s="505">
        <v>102000</v>
      </c>
      <c r="O368">
        <v>0</v>
      </c>
    </row>
    <row r="369" spans="1:15">
      <c r="A369" t="s">
        <v>2069</v>
      </c>
      <c r="B369" t="s">
        <v>2525</v>
      </c>
      <c r="C369" t="s">
        <v>1217</v>
      </c>
      <c r="D369" t="s">
        <v>1219</v>
      </c>
      <c r="E369" t="s">
        <v>1220</v>
      </c>
      <c r="F369" t="s">
        <v>2120</v>
      </c>
      <c r="G369">
        <v>2.11</v>
      </c>
      <c r="H369" s="505">
        <v>18940</v>
      </c>
      <c r="I369">
        <v>0</v>
      </c>
      <c r="J369">
        <v>0</v>
      </c>
      <c r="K369">
        <v>0</v>
      </c>
      <c r="M369" s="505">
        <v>18940</v>
      </c>
      <c r="O369" s="505">
        <v>21440080</v>
      </c>
    </row>
    <row r="370" spans="1:15">
      <c r="A370" t="s">
        <v>1755</v>
      </c>
      <c r="B370" t="s">
        <v>2861</v>
      </c>
      <c r="C370" t="s">
        <v>962</v>
      </c>
      <c r="D370" t="s">
        <v>963</v>
      </c>
      <c r="E370" t="s">
        <v>964</v>
      </c>
      <c r="F370">
        <v>3020525</v>
      </c>
      <c r="G370">
        <v>2.17</v>
      </c>
      <c r="H370" s="505">
        <v>97000</v>
      </c>
      <c r="I370">
        <v>0</v>
      </c>
      <c r="J370">
        <v>0</v>
      </c>
      <c r="K370">
        <v>0</v>
      </c>
      <c r="M370" s="505">
        <v>97000</v>
      </c>
      <c r="O370" s="505">
        <v>49761000</v>
      </c>
    </row>
    <row r="371" spans="1:15">
      <c r="A371" t="s">
        <v>1772</v>
      </c>
      <c r="B371" t="s">
        <v>2526</v>
      </c>
      <c r="C371" t="s">
        <v>2121</v>
      </c>
      <c r="D371" t="s">
        <v>878</v>
      </c>
      <c r="E371" t="s">
        <v>2122</v>
      </c>
      <c r="F371">
        <v>3020525</v>
      </c>
      <c r="G371">
        <v>2.73</v>
      </c>
      <c r="H371" s="505">
        <v>7000</v>
      </c>
      <c r="I371">
        <v>0</v>
      </c>
      <c r="J371">
        <v>0</v>
      </c>
      <c r="K371">
        <v>0</v>
      </c>
      <c r="M371" s="505">
        <v>7000</v>
      </c>
      <c r="O371" s="505">
        <v>4753000</v>
      </c>
    </row>
    <row r="372" spans="1:15">
      <c r="A372" t="s">
        <v>2061</v>
      </c>
      <c r="B372" t="s">
        <v>2598</v>
      </c>
      <c r="C372" t="s">
        <v>948</v>
      </c>
      <c r="D372" t="s">
        <v>220</v>
      </c>
      <c r="E372" t="s">
        <v>2127</v>
      </c>
      <c r="F372">
        <v>3020525</v>
      </c>
      <c r="G372">
        <v>3.47</v>
      </c>
      <c r="H372" s="505">
        <v>53000</v>
      </c>
      <c r="I372">
        <v>0</v>
      </c>
      <c r="J372">
        <v>0</v>
      </c>
      <c r="K372">
        <v>0</v>
      </c>
      <c r="M372" s="505">
        <v>53000</v>
      </c>
      <c r="O372" s="505">
        <v>2178</v>
      </c>
    </row>
    <row r="373" spans="1:15">
      <c r="A373" t="s">
        <v>2061</v>
      </c>
      <c r="B373" t="s">
        <v>2847</v>
      </c>
      <c r="C373" t="s">
        <v>1013</v>
      </c>
      <c r="D373" t="s">
        <v>1006</v>
      </c>
      <c r="E373" t="s">
        <v>2127</v>
      </c>
      <c r="F373">
        <v>2700525</v>
      </c>
      <c r="G373">
        <v>3.66</v>
      </c>
      <c r="H373" s="505">
        <v>57500</v>
      </c>
      <c r="I373">
        <v>0</v>
      </c>
      <c r="J373" s="505">
        <v>3000</v>
      </c>
      <c r="K373">
        <v>0</v>
      </c>
      <c r="M373" s="505">
        <v>54500</v>
      </c>
      <c r="O373" s="505">
        <v>4480</v>
      </c>
    </row>
    <row r="374" spans="1:15">
      <c r="A374" t="s">
        <v>1803</v>
      </c>
      <c r="B374" t="s">
        <v>3023</v>
      </c>
      <c r="C374" t="s">
        <v>1741</v>
      </c>
      <c r="D374" t="s">
        <v>2130</v>
      </c>
      <c r="E374" t="s">
        <v>2127</v>
      </c>
      <c r="F374">
        <v>1850485</v>
      </c>
      <c r="G374">
        <v>3.47</v>
      </c>
      <c r="H374" s="505">
        <v>274524</v>
      </c>
      <c r="I374">
        <v>0</v>
      </c>
      <c r="J374">
        <v>0</v>
      </c>
      <c r="K374">
        <v>0</v>
      </c>
      <c r="M374" s="505">
        <v>274524</v>
      </c>
      <c r="O374">
        <v>0</v>
      </c>
    </row>
    <row r="375" spans="1:15">
      <c r="A375" t="s">
        <v>2061</v>
      </c>
      <c r="B375" t="s">
        <v>2527</v>
      </c>
      <c r="C375" t="s">
        <v>1015</v>
      </c>
      <c r="D375" t="s">
        <v>1012</v>
      </c>
      <c r="E375" t="s">
        <v>1017</v>
      </c>
      <c r="F375">
        <v>2700525</v>
      </c>
      <c r="G375">
        <v>4.5999999999999996</v>
      </c>
      <c r="H375" s="505">
        <v>3500</v>
      </c>
      <c r="I375">
        <v>0</v>
      </c>
      <c r="J375">
        <v>0</v>
      </c>
      <c r="K375">
        <v>0</v>
      </c>
      <c r="M375" s="505">
        <v>3500</v>
      </c>
      <c r="O375">
        <v>805</v>
      </c>
    </row>
    <row r="376" spans="1:15">
      <c r="A376" t="s">
        <v>1803</v>
      </c>
      <c r="B376" t="s">
        <v>3291</v>
      </c>
      <c r="C376" t="s">
        <v>3122</v>
      </c>
      <c r="D376" t="s">
        <v>2408</v>
      </c>
      <c r="E376" t="s">
        <v>2409</v>
      </c>
      <c r="F376">
        <v>1850525</v>
      </c>
      <c r="G376">
        <v>3.93</v>
      </c>
      <c r="H376" s="505">
        <v>343000</v>
      </c>
      <c r="I376">
        <v>0</v>
      </c>
      <c r="J376" s="505">
        <v>150000</v>
      </c>
      <c r="K376">
        <v>0</v>
      </c>
      <c r="M376" s="505">
        <v>193000</v>
      </c>
      <c r="O376">
        <v>0</v>
      </c>
    </row>
    <row r="377" spans="1:15">
      <c r="A377" t="s">
        <v>2061</v>
      </c>
      <c r="B377" t="s">
        <v>3216</v>
      </c>
      <c r="C377" t="s">
        <v>951</v>
      </c>
      <c r="D377" t="s">
        <v>220</v>
      </c>
      <c r="E377" t="s">
        <v>1003</v>
      </c>
      <c r="F377">
        <v>3020525</v>
      </c>
      <c r="G377">
        <v>4.51</v>
      </c>
      <c r="H377" s="505">
        <v>2500</v>
      </c>
      <c r="I377">
        <v>0</v>
      </c>
      <c r="J377">
        <v>0</v>
      </c>
      <c r="K377">
        <v>0</v>
      </c>
      <c r="M377" s="505">
        <v>2500</v>
      </c>
      <c r="O377">
        <v>89</v>
      </c>
    </row>
    <row r="378" spans="1:15">
      <c r="A378" t="s">
        <v>1829</v>
      </c>
      <c r="B378" t="s">
        <v>2528</v>
      </c>
      <c r="C378" t="s">
        <v>1001</v>
      </c>
      <c r="D378" t="s">
        <v>1002</v>
      </c>
      <c r="E378" t="s">
        <v>1003</v>
      </c>
      <c r="F378">
        <v>1850525</v>
      </c>
      <c r="G378">
        <v>4.9000000000000004</v>
      </c>
      <c r="H378" s="505">
        <v>94000</v>
      </c>
      <c r="I378">
        <v>0</v>
      </c>
      <c r="J378">
        <v>0</v>
      </c>
      <c r="K378">
        <v>0</v>
      </c>
      <c r="M378" s="505">
        <v>94000</v>
      </c>
      <c r="O378" s="505">
        <v>25286000</v>
      </c>
    </row>
    <row r="379" spans="1:15">
      <c r="A379" t="s">
        <v>1755</v>
      </c>
      <c r="B379" t="s">
        <v>2984</v>
      </c>
      <c r="C379" t="s">
        <v>2132</v>
      </c>
      <c r="D379" t="s">
        <v>2133</v>
      </c>
      <c r="E379" t="s">
        <v>2134</v>
      </c>
      <c r="F379">
        <v>3020525</v>
      </c>
      <c r="G379">
        <v>10.28</v>
      </c>
      <c r="H379" s="505">
        <v>152000</v>
      </c>
      <c r="I379">
        <v>0</v>
      </c>
      <c r="J379">
        <v>0</v>
      </c>
      <c r="K379">
        <v>0</v>
      </c>
      <c r="M379" s="505">
        <v>152000</v>
      </c>
      <c r="O379">
        <v>0</v>
      </c>
    </row>
    <row r="380" spans="1:15">
      <c r="A380" t="s">
        <v>2137</v>
      </c>
      <c r="B380" t="s">
        <v>2805</v>
      </c>
      <c r="C380" t="s">
        <v>2135</v>
      </c>
      <c r="D380" t="s">
        <v>2136</v>
      </c>
      <c r="E380" t="s">
        <v>1003</v>
      </c>
      <c r="F380">
        <v>4360525</v>
      </c>
      <c r="G380">
        <v>4.8</v>
      </c>
      <c r="H380" s="505">
        <v>110400</v>
      </c>
      <c r="I380">
        <v>0</v>
      </c>
      <c r="J380">
        <v>0</v>
      </c>
      <c r="K380">
        <v>0</v>
      </c>
      <c r="M380" s="505">
        <v>110400</v>
      </c>
      <c r="O380">
        <v>0</v>
      </c>
    </row>
    <row r="381" spans="1:15">
      <c r="A381" t="s">
        <v>1803</v>
      </c>
      <c r="B381" t="s">
        <v>3436</v>
      </c>
      <c r="C381" t="s">
        <v>2682</v>
      </c>
      <c r="D381" t="s">
        <v>2690</v>
      </c>
      <c r="E381" t="s">
        <v>2139</v>
      </c>
      <c r="F381">
        <v>1850485</v>
      </c>
      <c r="G381">
        <v>4.8</v>
      </c>
      <c r="H381" s="505">
        <v>205700</v>
      </c>
      <c r="I381">
        <v>0</v>
      </c>
      <c r="J381" s="505">
        <v>150000</v>
      </c>
      <c r="K381">
        <v>0</v>
      </c>
      <c r="M381" s="505">
        <v>55700</v>
      </c>
      <c r="O381">
        <v>0</v>
      </c>
    </row>
    <row r="382" spans="1:15">
      <c r="A382" t="s">
        <v>1803</v>
      </c>
      <c r="B382" t="s">
        <v>2855</v>
      </c>
      <c r="C382" t="s">
        <v>2806</v>
      </c>
      <c r="D382" t="s">
        <v>2807</v>
      </c>
      <c r="E382" t="s">
        <v>2738</v>
      </c>
      <c r="F382">
        <v>1860545</v>
      </c>
      <c r="G382">
        <v>6.95</v>
      </c>
      <c r="H382" s="505">
        <v>8400</v>
      </c>
      <c r="I382">
        <v>0</v>
      </c>
      <c r="J382">
        <v>0</v>
      </c>
      <c r="K382">
        <v>0</v>
      </c>
      <c r="M382" s="505">
        <v>8400</v>
      </c>
      <c r="O382">
        <v>0</v>
      </c>
    </row>
    <row r="383" spans="1:15">
      <c r="A383" t="s">
        <v>1755</v>
      </c>
      <c r="B383" t="s">
        <v>2711</v>
      </c>
      <c r="C383" t="s">
        <v>2138</v>
      </c>
      <c r="D383" t="s">
        <v>1953</v>
      </c>
      <c r="E383" t="s">
        <v>2139</v>
      </c>
      <c r="F383">
        <v>1860545</v>
      </c>
      <c r="G383">
        <v>6.5</v>
      </c>
      <c r="H383" s="505">
        <v>117200</v>
      </c>
      <c r="I383">
        <v>0</v>
      </c>
      <c r="J383">
        <v>0</v>
      </c>
      <c r="K383">
        <v>0</v>
      </c>
      <c r="M383" s="505">
        <v>117200</v>
      </c>
      <c r="O383">
        <v>0</v>
      </c>
    </row>
    <row r="384" spans="1:15">
      <c r="A384" t="s">
        <v>1803</v>
      </c>
      <c r="B384" t="s">
        <v>3476</v>
      </c>
      <c r="C384" t="s">
        <v>3245</v>
      </c>
      <c r="D384" t="s">
        <v>3114</v>
      </c>
      <c r="E384" t="s">
        <v>2738</v>
      </c>
      <c r="F384">
        <v>2200545</v>
      </c>
      <c r="G384">
        <v>6.71</v>
      </c>
      <c r="H384">
        <v>1</v>
      </c>
      <c r="I384">
        <v>0</v>
      </c>
      <c r="J384">
        <v>0</v>
      </c>
      <c r="K384">
        <v>0</v>
      </c>
      <c r="M384">
        <v>1</v>
      </c>
      <c r="O384">
        <v>0</v>
      </c>
    </row>
    <row r="385" spans="1:15">
      <c r="A385" t="s">
        <v>2191</v>
      </c>
      <c r="B385" t="s">
        <v>2615</v>
      </c>
      <c r="C385" t="s">
        <v>2422</v>
      </c>
      <c r="D385" t="s">
        <v>2423</v>
      </c>
      <c r="E385" t="s">
        <v>2424</v>
      </c>
      <c r="F385">
        <v>3020525</v>
      </c>
      <c r="G385">
        <v>7.05</v>
      </c>
      <c r="H385">
        <v>55</v>
      </c>
      <c r="I385">
        <v>0</v>
      </c>
      <c r="J385">
        <v>0</v>
      </c>
      <c r="K385">
        <v>0</v>
      </c>
      <c r="M385">
        <v>55</v>
      </c>
      <c r="O385">
        <v>0</v>
      </c>
    </row>
    <row r="386" spans="1:15">
      <c r="A386" t="s">
        <v>1803</v>
      </c>
      <c r="B386" t="s">
        <v>3250</v>
      </c>
      <c r="C386" t="s">
        <v>3248</v>
      </c>
      <c r="D386" t="s">
        <v>2140</v>
      </c>
      <c r="E386" t="s">
        <v>2738</v>
      </c>
      <c r="F386">
        <v>2200545</v>
      </c>
      <c r="G386">
        <v>6.23</v>
      </c>
      <c r="H386" s="505">
        <v>22000</v>
      </c>
      <c r="I386">
        <v>0</v>
      </c>
      <c r="J386">
        <v>0</v>
      </c>
      <c r="K386">
        <v>0</v>
      </c>
      <c r="M386" s="505">
        <v>22000</v>
      </c>
      <c r="O386">
        <v>0</v>
      </c>
    </row>
    <row r="387" spans="1:15">
      <c r="A387" t="s">
        <v>1774</v>
      </c>
      <c r="B387" t="s">
        <v>2529</v>
      </c>
      <c r="C387" t="s">
        <v>2341</v>
      </c>
      <c r="D387" t="s">
        <v>2342</v>
      </c>
      <c r="E387" t="s">
        <v>2343</v>
      </c>
      <c r="F387">
        <v>1860545</v>
      </c>
      <c r="G387">
        <v>7.47</v>
      </c>
      <c r="H387">
        <v>800</v>
      </c>
      <c r="I387">
        <v>0</v>
      </c>
      <c r="J387">
        <v>0</v>
      </c>
      <c r="K387">
        <v>0</v>
      </c>
      <c r="M387">
        <v>800</v>
      </c>
      <c r="O387">
        <v>0</v>
      </c>
    </row>
    <row r="388" spans="1:15">
      <c r="A388" t="s">
        <v>1921</v>
      </c>
      <c r="B388" t="s">
        <v>3157</v>
      </c>
      <c r="C388" t="s">
        <v>954</v>
      </c>
      <c r="D388" t="s">
        <v>955</v>
      </c>
      <c r="E388" t="s">
        <v>956</v>
      </c>
      <c r="F388">
        <v>3020525</v>
      </c>
      <c r="G388">
        <v>6.6</v>
      </c>
      <c r="H388" s="505">
        <v>54500</v>
      </c>
      <c r="I388">
        <v>0</v>
      </c>
      <c r="J388" s="505">
        <v>10000</v>
      </c>
      <c r="K388">
        <v>0</v>
      </c>
      <c r="M388" s="505">
        <v>44500</v>
      </c>
      <c r="O388">
        <v>0</v>
      </c>
    </row>
    <row r="389" spans="1:15">
      <c r="A389" t="s">
        <v>1782</v>
      </c>
      <c r="B389" t="s">
        <v>3234</v>
      </c>
      <c r="C389" t="s">
        <v>2141</v>
      </c>
      <c r="D389" t="s">
        <v>1056</v>
      </c>
      <c r="E389" t="s">
        <v>2142</v>
      </c>
      <c r="F389" t="s">
        <v>2053</v>
      </c>
      <c r="G389">
        <v>9.08</v>
      </c>
      <c r="H389" s="505">
        <v>182689</v>
      </c>
      <c r="I389">
        <v>0</v>
      </c>
      <c r="J389" s="505">
        <v>160000</v>
      </c>
      <c r="K389">
        <v>0</v>
      </c>
      <c r="M389" s="505">
        <v>22689</v>
      </c>
      <c r="O389">
        <v>0</v>
      </c>
    </row>
    <row r="390" spans="1:15">
      <c r="A390" t="s">
        <v>1774</v>
      </c>
      <c r="B390" t="s">
        <v>2530</v>
      </c>
      <c r="C390" t="s">
        <v>833</v>
      </c>
      <c r="D390" t="s">
        <v>43</v>
      </c>
      <c r="E390" t="s">
        <v>835</v>
      </c>
      <c r="F390">
        <v>4360525</v>
      </c>
      <c r="G390">
        <v>11.26</v>
      </c>
      <c r="H390" s="505">
        <v>53100</v>
      </c>
      <c r="I390">
        <v>0</v>
      </c>
      <c r="J390">
        <v>0</v>
      </c>
      <c r="K390">
        <v>0</v>
      </c>
      <c r="M390" s="505">
        <v>53100</v>
      </c>
      <c r="O390" s="505">
        <v>56126700</v>
      </c>
    </row>
    <row r="391" spans="1:15">
      <c r="A391" t="s">
        <v>2043</v>
      </c>
      <c r="B391" t="s">
        <v>3004</v>
      </c>
      <c r="C391" t="s">
        <v>436</v>
      </c>
      <c r="D391" t="s">
        <v>438</v>
      </c>
      <c r="E391" t="s">
        <v>439</v>
      </c>
      <c r="F391">
        <v>1000525</v>
      </c>
      <c r="G391">
        <v>7.95</v>
      </c>
      <c r="H391" s="505">
        <v>322000</v>
      </c>
      <c r="I391">
        <v>0</v>
      </c>
      <c r="J391">
        <v>0</v>
      </c>
      <c r="K391">
        <v>0</v>
      </c>
      <c r="M391" s="505">
        <v>322000</v>
      </c>
      <c r="O391" s="505">
        <v>139748000</v>
      </c>
    </row>
    <row r="392" spans="1:15">
      <c r="A392" t="s">
        <v>1755</v>
      </c>
      <c r="B392" t="s">
        <v>2728</v>
      </c>
      <c r="C392" t="s">
        <v>2663</v>
      </c>
      <c r="D392" t="s">
        <v>442</v>
      </c>
      <c r="E392" t="s">
        <v>443</v>
      </c>
      <c r="F392">
        <v>1000525</v>
      </c>
      <c r="G392">
        <v>10.6</v>
      </c>
      <c r="H392" s="505">
        <v>71700</v>
      </c>
      <c r="I392">
        <v>0</v>
      </c>
      <c r="J392">
        <v>0</v>
      </c>
      <c r="K392">
        <v>0</v>
      </c>
      <c r="M392" s="505">
        <v>71700</v>
      </c>
      <c r="O392" s="505">
        <v>69979200</v>
      </c>
    </row>
    <row r="393" spans="1:15">
      <c r="A393" t="s">
        <v>2043</v>
      </c>
      <c r="B393" t="s">
        <v>2967</v>
      </c>
      <c r="C393" t="s">
        <v>2144</v>
      </c>
      <c r="D393" t="s">
        <v>2145</v>
      </c>
      <c r="E393" t="s">
        <v>1389</v>
      </c>
      <c r="F393">
        <v>1000525</v>
      </c>
      <c r="G393">
        <v>7.78</v>
      </c>
      <c r="H393" s="505">
        <v>134000</v>
      </c>
      <c r="I393">
        <v>0</v>
      </c>
      <c r="J393">
        <v>0</v>
      </c>
      <c r="K393">
        <v>0</v>
      </c>
      <c r="M393" s="505">
        <v>134000</v>
      </c>
      <c r="O393" s="505">
        <v>58156000</v>
      </c>
    </row>
    <row r="394" spans="1:15">
      <c r="A394" t="s">
        <v>2001</v>
      </c>
      <c r="B394" t="s">
        <v>2531</v>
      </c>
      <c r="C394" t="s">
        <v>139</v>
      </c>
      <c r="D394" t="s">
        <v>140</v>
      </c>
      <c r="E394" t="s">
        <v>142</v>
      </c>
      <c r="F394">
        <v>2510878</v>
      </c>
      <c r="G394">
        <v>24.58</v>
      </c>
      <c r="H394" s="505">
        <v>348000</v>
      </c>
      <c r="I394">
        <v>0</v>
      </c>
      <c r="J394" s="505">
        <v>18400</v>
      </c>
      <c r="K394">
        <v>0</v>
      </c>
      <c r="M394" s="505">
        <v>329600</v>
      </c>
      <c r="O394" s="505">
        <v>648982400</v>
      </c>
    </row>
    <row r="395" spans="1:15">
      <c r="A395" t="s">
        <v>2043</v>
      </c>
      <c r="B395" t="s">
        <v>3383</v>
      </c>
      <c r="C395" t="s">
        <v>178</v>
      </c>
      <c r="D395" t="s">
        <v>179</v>
      </c>
      <c r="E395" t="s">
        <v>445</v>
      </c>
      <c r="F395">
        <v>1000525</v>
      </c>
      <c r="G395">
        <v>8.85</v>
      </c>
      <c r="H395" s="505">
        <v>240000</v>
      </c>
      <c r="I395">
        <v>0</v>
      </c>
      <c r="J395">
        <v>0</v>
      </c>
      <c r="K395">
        <v>0</v>
      </c>
      <c r="M395" s="505">
        <v>240000</v>
      </c>
      <c r="O395" s="505">
        <v>122880000</v>
      </c>
    </row>
    <row r="396" spans="1:15">
      <c r="A396" t="s">
        <v>1755</v>
      </c>
      <c r="B396" t="s">
        <v>2800</v>
      </c>
      <c r="C396" t="s">
        <v>2664</v>
      </c>
      <c r="D396" t="s">
        <v>43</v>
      </c>
      <c r="E396" t="s">
        <v>445</v>
      </c>
      <c r="F396">
        <v>1000525</v>
      </c>
      <c r="G396">
        <v>13.81</v>
      </c>
      <c r="H396" s="505">
        <v>152600</v>
      </c>
      <c r="I396">
        <v>0</v>
      </c>
      <c r="J396">
        <v>0</v>
      </c>
      <c r="K396">
        <v>0</v>
      </c>
      <c r="M396" s="505">
        <v>152600</v>
      </c>
      <c r="O396" s="505">
        <v>163129400</v>
      </c>
    </row>
    <row r="397" spans="1:15">
      <c r="A397" t="s">
        <v>1807</v>
      </c>
      <c r="B397" t="s">
        <v>2676</v>
      </c>
      <c r="C397" t="s">
        <v>2147</v>
      </c>
      <c r="D397" t="s">
        <v>2148</v>
      </c>
      <c r="E397" t="s">
        <v>233</v>
      </c>
      <c r="F397">
        <v>4350479</v>
      </c>
      <c r="G397">
        <v>8.4600000000000009</v>
      </c>
      <c r="H397" s="505">
        <v>194000</v>
      </c>
      <c r="I397">
        <v>0</v>
      </c>
      <c r="J397">
        <v>0</v>
      </c>
      <c r="K397">
        <v>0</v>
      </c>
      <c r="M397" s="505">
        <v>194000</v>
      </c>
      <c r="O397">
        <v>0</v>
      </c>
    </row>
    <row r="398" spans="1:15">
      <c r="A398" t="s">
        <v>2061</v>
      </c>
      <c r="B398" t="s">
        <v>2532</v>
      </c>
      <c r="C398" t="s">
        <v>232</v>
      </c>
      <c r="D398" t="s">
        <v>220</v>
      </c>
      <c r="E398" t="s">
        <v>958</v>
      </c>
      <c r="F398">
        <v>3020525</v>
      </c>
      <c r="G398">
        <v>10.19</v>
      </c>
      <c r="H398" s="505">
        <v>3400</v>
      </c>
      <c r="I398">
        <v>0</v>
      </c>
      <c r="J398">
        <v>0</v>
      </c>
      <c r="K398">
        <v>0</v>
      </c>
      <c r="M398" s="505">
        <v>3400</v>
      </c>
      <c r="O398">
        <v>360</v>
      </c>
    </row>
    <row r="399" spans="1:15">
      <c r="A399" t="s">
        <v>1774</v>
      </c>
      <c r="B399" t="s">
        <v>2776</v>
      </c>
      <c r="C399" t="s">
        <v>1714</v>
      </c>
      <c r="D399" t="s">
        <v>2151</v>
      </c>
      <c r="E399" t="s">
        <v>1225</v>
      </c>
      <c r="F399">
        <v>4360525</v>
      </c>
      <c r="G399">
        <v>14.65</v>
      </c>
      <c r="H399" s="505">
        <v>605200</v>
      </c>
      <c r="I399">
        <v>0</v>
      </c>
      <c r="J399" s="505">
        <v>101000</v>
      </c>
      <c r="K399">
        <v>0</v>
      </c>
      <c r="M399" s="505">
        <v>504200</v>
      </c>
      <c r="O399">
        <v>0</v>
      </c>
    </row>
    <row r="400" spans="1:15">
      <c r="A400" t="s">
        <v>2061</v>
      </c>
      <c r="B400" t="s">
        <v>2998</v>
      </c>
      <c r="C400" t="s">
        <v>1074</v>
      </c>
      <c r="D400" t="s">
        <v>1042</v>
      </c>
      <c r="E400" t="s">
        <v>1076</v>
      </c>
      <c r="F400" t="s">
        <v>2117</v>
      </c>
      <c r="G400">
        <v>0.95</v>
      </c>
      <c r="H400" s="505">
        <v>32000</v>
      </c>
      <c r="I400">
        <v>0</v>
      </c>
      <c r="J400">
        <v>0</v>
      </c>
      <c r="K400">
        <v>0</v>
      </c>
      <c r="M400" s="505">
        <v>32000</v>
      </c>
      <c r="O400">
        <v>272</v>
      </c>
    </row>
    <row r="401" spans="1:15">
      <c r="A401" t="s">
        <v>2061</v>
      </c>
      <c r="B401" t="s">
        <v>2804</v>
      </c>
      <c r="C401" t="s">
        <v>1077</v>
      </c>
      <c r="D401" t="s">
        <v>1042</v>
      </c>
      <c r="E401" t="s">
        <v>1079</v>
      </c>
      <c r="F401" t="s">
        <v>2152</v>
      </c>
      <c r="G401">
        <v>0.95</v>
      </c>
      <c r="H401" s="505">
        <v>106000</v>
      </c>
      <c r="I401">
        <v>0</v>
      </c>
      <c r="J401" s="505">
        <v>8000</v>
      </c>
      <c r="K401">
        <v>0</v>
      </c>
      <c r="M401" s="505">
        <v>98000</v>
      </c>
      <c r="O401">
        <v>510</v>
      </c>
    </row>
    <row r="402" spans="1:15">
      <c r="A402" t="s">
        <v>1782</v>
      </c>
      <c r="B402" t="s">
        <v>2879</v>
      </c>
      <c r="C402" t="s">
        <v>2153</v>
      </c>
      <c r="D402" t="s">
        <v>1056</v>
      </c>
      <c r="E402" t="s">
        <v>2154</v>
      </c>
      <c r="F402" t="s">
        <v>1784</v>
      </c>
      <c r="G402">
        <v>0.17</v>
      </c>
      <c r="H402" s="505">
        <v>350000</v>
      </c>
      <c r="I402">
        <v>0</v>
      </c>
      <c r="J402" s="505">
        <v>50000</v>
      </c>
      <c r="K402">
        <v>0</v>
      </c>
      <c r="M402" s="505">
        <v>300000</v>
      </c>
      <c r="O402">
        <v>0</v>
      </c>
    </row>
    <row r="403" spans="1:15">
      <c r="A403" t="s">
        <v>1921</v>
      </c>
      <c r="B403" t="s">
        <v>3147</v>
      </c>
      <c r="C403" t="s">
        <v>1148</v>
      </c>
      <c r="D403" t="s">
        <v>1149</v>
      </c>
      <c r="E403" t="s">
        <v>1150</v>
      </c>
      <c r="F403" t="s">
        <v>1869</v>
      </c>
      <c r="G403">
        <v>0.38</v>
      </c>
      <c r="H403" s="505">
        <v>85000</v>
      </c>
      <c r="I403">
        <v>0</v>
      </c>
      <c r="J403">
        <v>0</v>
      </c>
      <c r="K403">
        <v>0</v>
      </c>
      <c r="M403" s="505">
        <v>85000</v>
      </c>
      <c r="O403" s="505">
        <v>18700000</v>
      </c>
    </row>
    <row r="404" spans="1:15">
      <c r="A404" t="s">
        <v>1782</v>
      </c>
      <c r="B404" t="s">
        <v>2767</v>
      </c>
      <c r="C404" t="s">
        <v>2583</v>
      </c>
      <c r="D404" t="s">
        <v>2584</v>
      </c>
      <c r="E404" t="s">
        <v>2585</v>
      </c>
      <c r="F404" t="s">
        <v>2201</v>
      </c>
      <c r="G404">
        <v>2.86</v>
      </c>
      <c r="H404">
        <v>100</v>
      </c>
      <c r="I404">
        <v>0</v>
      </c>
      <c r="J404">
        <v>0</v>
      </c>
      <c r="K404">
        <v>0</v>
      </c>
      <c r="M404">
        <v>100</v>
      </c>
      <c r="O404">
        <v>0</v>
      </c>
    </row>
    <row r="405" spans="1:15">
      <c r="A405" t="s">
        <v>1763</v>
      </c>
      <c r="B405" t="s">
        <v>2884</v>
      </c>
      <c r="C405" t="s">
        <v>1060</v>
      </c>
      <c r="D405" t="s">
        <v>2977</v>
      </c>
      <c r="E405" t="s">
        <v>1063</v>
      </c>
      <c r="F405" t="s">
        <v>2049</v>
      </c>
      <c r="G405">
        <v>0.62</v>
      </c>
      <c r="H405" s="505">
        <v>14000</v>
      </c>
      <c r="I405">
        <v>0</v>
      </c>
      <c r="J405">
        <v>0</v>
      </c>
      <c r="K405">
        <v>0</v>
      </c>
      <c r="M405" s="505">
        <v>14000</v>
      </c>
      <c r="O405" s="505">
        <v>1820000</v>
      </c>
    </row>
    <row r="406" spans="1:15">
      <c r="A406" t="s">
        <v>2047</v>
      </c>
      <c r="B406" t="s">
        <v>3051</v>
      </c>
      <c r="C406" t="s">
        <v>2831</v>
      </c>
      <c r="D406" t="s">
        <v>1056</v>
      </c>
      <c r="E406" t="s">
        <v>2832</v>
      </c>
      <c r="F406" t="s">
        <v>2155</v>
      </c>
      <c r="G406">
        <v>1.03</v>
      </c>
      <c r="H406" s="505">
        <v>50000</v>
      </c>
      <c r="I406">
        <v>0</v>
      </c>
      <c r="J406" s="505">
        <v>10000</v>
      </c>
      <c r="K406">
        <v>0</v>
      </c>
      <c r="M406" s="505">
        <v>40000</v>
      </c>
      <c r="O406" s="505">
        <v>6440000</v>
      </c>
    </row>
    <row r="407" spans="1:15">
      <c r="A407" t="s">
        <v>2047</v>
      </c>
      <c r="B407" t="s">
        <v>3042</v>
      </c>
      <c r="C407" t="s">
        <v>2833</v>
      </c>
      <c r="D407" t="s">
        <v>1056</v>
      </c>
      <c r="E407" t="s">
        <v>2834</v>
      </c>
      <c r="F407" t="s">
        <v>2155</v>
      </c>
      <c r="G407">
        <v>2.69</v>
      </c>
      <c r="H407" s="505">
        <v>62000</v>
      </c>
      <c r="I407">
        <v>0</v>
      </c>
      <c r="J407">
        <v>0</v>
      </c>
      <c r="K407">
        <v>0</v>
      </c>
      <c r="M407" s="505">
        <v>62000</v>
      </c>
      <c r="O407" s="505">
        <v>16430000</v>
      </c>
    </row>
    <row r="408" spans="1:15">
      <c r="A408" t="s">
        <v>2047</v>
      </c>
      <c r="B408" t="s">
        <v>3182</v>
      </c>
      <c r="C408" t="s">
        <v>1125</v>
      </c>
      <c r="D408" t="s">
        <v>1056</v>
      </c>
      <c r="E408" t="s">
        <v>1127</v>
      </c>
      <c r="F408" t="s">
        <v>2155</v>
      </c>
      <c r="G408">
        <v>5.94</v>
      </c>
      <c r="H408" s="505">
        <v>81500</v>
      </c>
      <c r="I408">
        <v>0</v>
      </c>
      <c r="J408">
        <v>0</v>
      </c>
      <c r="K408">
        <v>0</v>
      </c>
      <c r="M408" s="505">
        <v>81500</v>
      </c>
      <c r="O408" s="505">
        <v>33904000</v>
      </c>
    </row>
    <row r="409" spans="1:15">
      <c r="A409" t="s">
        <v>2047</v>
      </c>
      <c r="B409" t="s">
        <v>3238</v>
      </c>
      <c r="C409" t="s">
        <v>1258</v>
      </c>
      <c r="D409" t="s">
        <v>1056</v>
      </c>
      <c r="E409" t="s">
        <v>2157</v>
      </c>
      <c r="F409" t="s">
        <v>2053</v>
      </c>
      <c r="G409">
        <v>10.58</v>
      </c>
      <c r="H409" s="505">
        <v>33000</v>
      </c>
      <c r="I409">
        <v>0</v>
      </c>
      <c r="J409">
        <v>0</v>
      </c>
      <c r="K409">
        <v>0</v>
      </c>
      <c r="M409" s="505">
        <v>33000</v>
      </c>
      <c r="O409" s="505">
        <v>21747000</v>
      </c>
    </row>
    <row r="410" spans="1:15">
      <c r="A410" t="s">
        <v>1782</v>
      </c>
      <c r="B410" t="s">
        <v>2533</v>
      </c>
      <c r="C410" t="s">
        <v>2158</v>
      </c>
      <c r="D410" t="s">
        <v>1056</v>
      </c>
      <c r="E410" t="s">
        <v>2159</v>
      </c>
      <c r="F410" t="s">
        <v>2160</v>
      </c>
      <c r="G410">
        <v>6.96</v>
      </c>
      <c r="H410" s="505">
        <v>248029</v>
      </c>
      <c r="I410">
        <v>0</v>
      </c>
      <c r="J410">
        <v>0</v>
      </c>
      <c r="K410">
        <v>0</v>
      </c>
      <c r="M410" s="505">
        <v>248029</v>
      </c>
      <c r="O410">
        <v>0</v>
      </c>
    </row>
    <row r="411" spans="1:15">
      <c r="A411" t="s">
        <v>2069</v>
      </c>
      <c r="B411" t="s">
        <v>2534</v>
      </c>
      <c r="C411" t="s">
        <v>1226</v>
      </c>
      <c r="D411" t="s">
        <v>1228</v>
      </c>
      <c r="E411" t="s">
        <v>1229</v>
      </c>
      <c r="F411" t="s">
        <v>2161</v>
      </c>
      <c r="G411">
        <v>3.88</v>
      </c>
      <c r="H411" s="505">
        <v>20000</v>
      </c>
      <c r="I411">
        <v>0</v>
      </c>
      <c r="J411">
        <v>0</v>
      </c>
      <c r="K411">
        <v>0</v>
      </c>
      <c r="M411" s="505">
        <v>20000</v>
      </c>
      <c r="O411" s="505">
        <v>29940000</v>
      </c>
    </row>
    <row r="412" spans="1:15">
      <c r="A412" t="s">
        <v>2162</v>
      </c>
      <c r="B412" t="s">
        <v>2535</v>
      </c>
      <c r="C412" t="s">
        <v>74</v>
      </c>
      <c r="D412" t="s">
        <v>75</v>
      </c>
      <c r="E412" t="s">
        <v>861</v>
      </c>
      <c r="F412">
        <v>3330625</v>
      </c>
      <c r="G412">
        <v>12.6</v>
      </c>
      <c r="H412" s="505">
        <v>43500</v>
      </c>
      <c r="I412">
        <v>0</v>
      </c>
      <c r="J412">
        <v>0</v>
      </c>
      <c r="K412">
        <v>0</v>
      </c>
      <c r="M412" s="505">
        <v>43500</v>
      </c>
      <c r="O412" s="505">
        <v>177393000</v>
      </c>
    </row>
    <row r="413" spans="1:15">
      <c r="A413" t="s">
        <v>1839</v>
      </c>
      <c r="B413" t="s">
        <v>3103</v>
      </c>
      <c r="C413" t="s">
        <v>98</v>
      </c>
      <c r="D413" t="s">
        <v>36</v>
      </c>
      <c r="E413" t="s">
        <v>99</v>
      </c>
      <c r="F413">
        <v>4360545</v>
      </c>
      <c r="G413">
        <v>24.08</v>
      </c>
      <c r="H413" s="505">
        <v>325500</v>
      </c>
      <c r="I413">
        <v>0</v>
      </c>
      <c r="J413" s="505">
        <v>44800</v>
      </c>
      <c r="K413">
        <v>0</v>
      </c>
      <c r="M413" s="505">
        <v>280700</v>
      </c>
      <c r="O413" s="505">
        <v>435365700</v>
      </c>
    </row>
    <row r="414" spans="1:15">
      <c r="A414" t="s">
        <v>1839</v>
      </c>
      <c r="B414" t="s">
        <v>3069</v>
      </c>
      <c r="C414" t="s">
        <v>206</v>
      </c>
      <c r="D414" t="s">
        <v>36</v>
      </c>
      <c r="E414" t="s">
        <v>207</v>
      </c>
      <c r="F414">
        <v>4360545</v>
      </c>
      <c r="G414">
        <v>26.45</v>
      </c>
      <c r="H414" s="505">
        <v>850072</v>
      </c>
      <c r="I414">
        <v>0</v>
      </c>
      <c r="J414" s="505">
        <v>160000</v>
      </c>
      <c r="K414">
        <v>0</v>
      </c>
      <c r="M414" s="505">
        <v>690072</v>
      </c>
      <c r="O414" s="505">
        <v>1486415088</v>
      </c>
    </row>
    <row r="415" spans="1:15">
      <c r="A415" t="s">
        <v>1774</v>
      </c>
      <c r="B415" t="s">
        <v>3437</v>
      </c>
      <c r="C415" t="s">
        <v>1712</v>
      </c>
      <c r="D415" t="s">
        <v>36</v>
      </c>
      <c r="E415" t="s">
        <v>2389</v>
      </c>
      <c r="F415">
        <v>4360545</v>
      </c>
      <c r="G415">
        <v>27.34</v>
      </c>
      <c r="H415" s="505">
        <v>432600</v>
      </c>
      <c r="I415">
        <v>0</v>
      </c>
      <c r="J415" s="505">
        <v>305400</v>
      </c>
      <c r="K415">
        <v>0</v>
      </c>
      <c r="M415" s="505">
        <v>127200</v>
      </c>
      <c r="O415">
        <v>0</v>
      </c>
    </row>
    <row r="416" spans="1:15">
      <c r="A416" t="s">
        <v>1774</v>
      </c>
      <c r="B416" t="s">
        <v>2741</v>
      </c>
      <c r="C416" t="s">
        <v>1724</v>
      </c>
      <c r="D416" t="s">
        <v>36</v>
      </c>
      <c r="E416" t="s">
        <v>2165</v>
      </c>
      <c r="F416">
        <v>4360545</v>
      </c>
      <c r="G416">
        <v>32.6</v>
      </c>
      <c r="H416" s="505">
        <v>100400</v>
      </c>
      <c r="I416">
        <v>0</v>
      </c>
      <c r="J416" s="505">
        <v>24000</v>
      </c>
      <c r="K416">
        <v>0</v>
      </c>
      <c r="M416" s="505">
        <v>76400</v>
      </c>
      <c r="O416" s="505">
        <v>234930000</v>
      </c>
    </row>
    <row r="417" spans="1:15">
      <c r="A417" t="s">
        <v>1782</v>
      </c>
      <c r="B417" t="s">
        <v>3456</v>
      </c>
      <c r="C417" t="s">
        <v>2166</v>
      </c>
      <c r="D417" t="s">
        <v>1042</v>
      </c>
      <c r="E417" t="s">
        <v>2167</v>
      </c>
      <c r="F417" t="s">
        <v>2168</v>
      </c>
      <c r="G417">
        <v>1.73</v>
      </c>
      <c r="H417" s="505">
        <v>78720</v>
      </c>
      <c r="I417">
        <v>0</v>
      </c>
      <c r="J417">
        <v>0</v>
      </c>
      <c r="K417">
        <v>0</v>
      </c>
      <c r="M417" s="505">
        <v>78720</v>
      </c>
      <c r="O417">
        <v>0</v>
      </c>
    </row>
    <row r="418" spans="1:15">
      <c r="A418" t="s">
        <v>1782</v>
      </c>
      <c r="B418" t="s">
        <v>3140</v>
      </c>
      <c r="C418" t="s">
        <v>2169</v>
      </c>
      <c r="D418" t="s">
        <v>1056</v>
      </c>
      <c r="E418" t="s">
        <v>2170</v>
      </c>
      <c r="F418" t="s">
        <v>2110</v>
      </c>
      <c r="G418">
        <v>3.82</v>
      </c>
      <c r="H418" s="505">
        <v>46026</v>
      </c>
      <c r="I418" s="505">
        <v>200000</v>
      </c>
      <c r="J418">
        <v>0</v>
      </c>
      <c r="K418">
        <v>0</v>
      </c>
      <c r="M418" s="505">
        <v>246026</v>
      </c>
      <c r="O418">
        <v>0</v>
      </c>
    </row>
    <row r="419" spans="1:15">
      <c r="A419" t="s">
        <v>1774</v>
      </c>
      <c r="B419" t="s">
        <v>2622</v>
      </c>
      <c r="C419" t="s">
        <v>154</v>
      </c>
      <c r="D419" t="s">
        <v>155</v>
      </c>
      <c r="E419" t="s">
        <v>870</v>
      </c>
      <c r="F419">
        <v>3020980</v>
      </c>
      <c r="G419">
        <v>16</v>
      </c>
      <c r="H419" s="505">
        <v>22000</v>
      </c>
      <c r="I419">
        <v>0</v>
      </c>
      <c r="J419">
        <v>0</v>
      </c>
      <c r="K419">
        <v>0</v>
      </c>
      <c r="M419" s="505">
        <v>22000</v>
      </c>
      <c r="O419" s="505">
        <v>260766000</v>
      </c>
    </row>
    <row r="420" spans="1:15">
      <c r="A420" t="s">
        <v>2047</v>
      </c>
      <c r="B420" t="s">
        <v>3088</v>
      </c>
      <c r="C420" t="s">
        <v>2177</v>
      </c>
      <c r="D420" t="s">
        <v>1232</v>
      </c>
      <c r="E420" t="s">
        <v>2178</v>
      </c>
      <c r="F420">
        <v>1000790</v>
      </c>
      <c r="G420">
        <v>5.97</v>
      </c>
      <c r="H420" s="505">
        <v>39000</v>
      </c>
      <c r="I420">
        <v>0</v>
      </c>
      <c r="J420">
        <v>0</v>
      </c>
      <c r="K420">
        <v>0</v>
      </c>
      <c r="M420" s="505">
        <v>39000</v>
      </c>
      <c r="O420" s="505">
        <v>23400000</v>
      </c>
    </row>
    <row r="421" spans="1:15">
      <c r="A421" t="s">
        <v>2061</v>
      </c>
      <c r="B421" t="s">
        <v>3161</v>
      </c>
      <c r="C421" t="s">
        <v>817</v>
      </c>
      <c r="D421" t="s">
        <v>477</v>
      </c>
      <c r="E421" t="s">
        <v>819</v>
      </c>
      <c r="F421">
        <v>4510795</v>
      </c>
      <c r="G421">
        <v>10.5</v>
      </c>
      <c r="H421" s="505">
        <v>35400</v>
      </c>
      <c r="I421">
        <v>0</v>
      </c>
      <c r="J421">
        <v>0</v>
      </c>
      <c r="K421">
        <v>0</v>
      </c>
      <c r="M421" s="505">
        <v>35400</v>
      </c>
      <c r="O421" s="505">
        <v>1951</v>
      </c>
    </row>
    <row r="422" spans="1:15">
      <c r="A422" t="s">
        <v>2069</v>
      </c>
      <c r="B422" t="s">
        <v>2536</v>
      </c>
      <c r="C422" t="s">
        <v>229</v>
      </c>
      <c r="D422" t="s">
        <v>220</v>
      </c>
      <c r="E422" t="s">
        <v>819</v>
      </c>
      <c r="F422">
        <v>1000705</v>
      </c>
      <c r="G422">
        <v>8.1999999999999993</v>
      </c>
      <c r="H422" s="505">
        <v>1456</v>
      </c>
      <c r="I422">
        <v>0</v>
      </c>
      <c r="J422">
        <v>0</v>
      </c>
      <c r="K422">
        <v>0</v>
      </c>
      <c r="M422" s="505">
        <v>1456</v>
      </c>
      <c r="O422" s="505">
        <v>803712</v>
      </c>
    </row>
    <row r="423" spans="1:15">
      <c r="A423" t="s">
        <v>2180</v>
      </c>
      <c r="B423" t="s">
        <v>3399</v>
      </c>
      <c r="C423" t="s">
        <v>1732</v>
      </c>
      <c r="D423" t="s">
        <v>2179</v>
      </c>
      <c r="E423" t="s">
        <v>2181</v>
      </c>
      <c r="F423">
        <v>1000705</v>
      </c>
      <c r="G423">
        <v>13.7</v>
      </c>
      <c r="H423" s="505">
        <v>165001</v>
      </c>
      <c r="I423">
        <v>0</v>
      </c>
      <c r="J423">
        <v>0</v>
      </c>
      <c r="K423">
        <v>0</v>
      </c>
      <c r="M423" s="505">
        <v>165001</v>
      </c>
      <c r="O423">
        <v>0</v>
      </c>
    </row>
    <row r="424" spans="1:15">
      <c r="A424" t="s">
        <v>1840</v>
      </c>
      <c r="B424" t="s">
        <v>3148</v>
      </c>
      <c r="C424" t="s">
        <v>241</v>
      </c>
      <c r="D424" t="s">
        <v>242</v>
      </c>
      <c r="E424" t="s">
        <v>465</v>
      </c>
      <c r="F424">
        <v>1000780</v>
      </c>
      <c r="G424">
        <v>12.6</v>
      </c>
      <c r="H424" s="505">
        <v>276000</v>
      </c>
      <c r="I424" s="505">
        <v>43500</v>
      </c>
      <c r="J424" s="505">
        <v>16500</v>
      </c>
      <c r="K424">
        <v>0</v>
      </c>
      <c r="M424" s="505">
        <v>303000</v>
      </c>
      <c r="O424" s="505">
        <v>310575000</v>
      </c>
    </row>
    <row r="425" spans="1:15">
      <c r="A425" t="s">
        <v>1803</v>
      </c>
      <c r="B425" t="s">
        <v>3402</v>
      </c>
      <c r="C425" t="s">
        <v>968</v>
      </c>
      <c r="D425" t="s">
        <v>152</v>
      </c>
      <c r="E425" t="s">
        <v>970</v>
      </c>
      <c r="F425">
        <v>3020702</v>
      </c>
      <c r="G425">
        <v>12.51</v>
      </c>
      <c r="H425" s="505">
        <v>88000</v>
      </c>
      <c r="I425" s="505">
        <v>241200</v>
      </c>
      <c r="J425" s="505">
        <v>100000</v>
      </c>
      <c r="K425">
        <v>0</v>
      </c>
      <c r="M425" s="505">
        <v>229200</v>
      </c>
      <c r="O425" s="505">
        <v>518450400</v>
      </c>
    </row>
    <row r="426" spans="1:15">
      <c r="A426" t="s">
        <v>1774</v>
      </c>
      <c r="B426" t="s">
        <v>3364</v>
      </c>
      <c r="C426" t="s">
        <v>2319</v>
      </c>
      <c r="D426" t="s">
        <v>39</v>
      </c>
      <c r="E426" t="s">
        <v>51</v>
      </c>
      <c r="F426">
        <v>4310702</v>
      </c>
      <c r="G426">
        <v>14.9</v>
      </c>
      <c r="H426" s="505">
        <v>240500</v>
      </c>
      <c r="I426" s="505">
        <v>491400</v>
      </c>
      <c r="J426" s="505">
        <v>287300</v>
      </c>
      <c r="K426">
        <v>0</v>
      </c>
      <c r="M426" s="505">
        <v>444600</v>
      </c>
      <c r="O426" s="505">
        <v>749595600</v>
      </c>
    </row>
    <row r="427" spans="1:15">
      <c r="A427" t="s">
        <v>1803</v>
      </c>
      <c r="B427" t="s">
        <v>2780</v>
      </c>
      <c r="C427" t="s">
        <v>151</v>
      </c>
      <c r="D427" t="s">
        <v>152</v>
      </c>
      <c r="E427" t="s">
        <v>966</v>
      </c>
      <c r="F427">
        <v>3020702</v>
      </c>
      <c r="G427">
        <v>12.5</v>
      </c>
      <c r="H427" s="505">
        <v>240400</v>
      </c>
      <c r="I427" s="505">
        <v>320132</v>
      </c>
      <c r="J427" s="505">
        <v>235200</v>
      </c>
      <c r="K427">
        <v>0</v>
      </c>
      <c r="M427" s="505">
        <v>325332</v>
      </c>
      <c r="O427" s="505">
        <v>768434184</v>
      </c>
    </row>
    <row r="428" spans="1:15">
      <c r="A428" t="s">
        <v>2061</v>
      </c>
      <c r="B428" t="s">
        <v>3431</v>
      </c>
      <c r="C428" t="s">
        <v>1021</v>
      </c>
      <c r="D428" t="s">
        <v>1022</v>
      </c>
      <c r="E428" t="s">
        <v>1023</v>
      </c>
      <c r="F428">
        <v>2700702</v>
      </c>
      <c r="G428">
        <v>22.97</v>
      </c>
      <c r="H428" s="505">
        <v>1800</v>
      </c>
      <c r="I428" s="505">
        <v>4950</v>
      </c>
      <c r="J428">
        <v>300</v>
      </c>
      <c r="K428">
        <v>0</v>
      </c>
      <c r="M428" s="505">
        <v>6450</v>
      </c>
      <c r="O428" s="505">
        <v>3735</v>
      </c>
    </row>
    <row r="429" spans="1:15">
      <c r="A429" t="s">
        <v>1803</v>
      </c>
      <c r="B429" t="s">
        <v>3471</v>
      </c>
      <c r="C429" t="s">
        <v>458</v>
      </c>
      <c r="D429" t="s">
        <v>460</v>
      </c>
      <c r="E429" t="s">
        <v>461</v>
      </c>
      <c r="F429">
        <v>1000705</v>
      </c>
      <c r="G429">
        <v>23</v>
      </c>
      <c r="H429" s="505">
        <v>313800</v>
      </c>
      <c r="I429">
        <v>0</v>
      </c>
      <c r="J429" s="505">
        <v>100200</v>
      </c>
      <c r="K429">
        <v>0</v>
      </c>
      <c r="M429" s="505">
        <v>213600</v>
      </c>
      <c r="O429" s="505">
        <v>286224000</v>
      </c>
    </row>
    <row r="430" spans="1:15">
      <c r="A430" t="s">
        <v>2191</v>
      </c>
      <c r="B430" t="s">
        <v>2537</v>
      </c>
      <c r="C430" t="s">
        <v>2315</v>
      </c>
      <c r="D430" t="s">
        <v>2190</v>
      </c>
      <c r="E430" t="s">
        <v>2192</v>
      </c>
      <c r="F430">
        <v>4360780</v>
      </c>
      <c r="G430">
        <v>24.3</v>
      </c>
      <c r="H430">
        <v>800</v>
      </c>
      <c r="I430">
        <v>0</v>
      </c>
      <c r="J430">
        <v>0</v>
      </c>
      <c r="K430">
        <v>0</v>
      </c>
      <c r="M430">
        <v>800</v>
      </c>
      <c r="O430">
        <v>0</v>
      </c>
    </row>
    <row r="431" spans="1:15">
      <c r="A431" t="s">
        <v>1774</v>
      </c>
      <c r="B431" t="s">
        <v>2796</v>
      </c>
      <c r="C431" t="s">
        <v>143</v>
      </c>
      <c r="D431" t="s">
        <v>38</v>
      </c>
      <c r="E431" t="s">
        <v>50</v>
      </c>
      <c r="F431">
        <v>1000705</v>
      </c>
      <c r="G431">
        <v>39.049999999999997</v>
      </c>
      <c r="H431" s="505">
        <v>203500</v>
      </c>
      <c r="I431" s="505">
        <v>162500</v>
      </c>
      <c r="J431" s="505">
        <v>144500</v>
      </c>
      <c r="K431">
        <v>0</v>
      </c>
      <c r="M431" s="505">
        <v>221500</v>
      </c>
      <c r="O431" s="505">
        <v>573463500</v>
      </c>
    </row>
    <row r="432" spans="1:15">
      <c r="A432" t="s">
        <v>1774</v>
      </c>
      <c r="B432" t="s">
        <v>3036</v>
      </c>
      <c r="C432" t="s">
        <v>496</v>
      </c>
      <c r="D432" t="s">
        <v>498</v>
      </c>
      <c r="E432" t="s">
        <v>499</v>
      </c>
      <c r="F432">
        <v>1000996</v>
      </c>
      <c r="G432">
        <v>56.6</v>
      </c>
      <c r="H432" s="505">
        <v>9296</v>
      </c>
      <c r="I432">
        <v>0</v>
      </c>
      <c r="J432">
        <v>0</v>
      </c>
      <c r="K432">
        <v>0</v>
      </c>
      <c r="M432" s="505">
        <v>9296</v>
      </c>
      <c r="O432" s="505">
        <v>28957040</v>
      </c>
    </row>
    <row r="433" spans="1:15">
      <c r="A433" t="s">
        <v>2061</v>
      </c>
      <c r="B433" t="s">
        <v>2538</v>
      </c>
      <c r="C433" t="s">
        <v>475</v>
      </c>
      <c r="D433" t="s">
        <v>477</v>
      </c>
      <c r="E433" t="s">
        <v>478</v>
      </c>
      <c r="F433">
        <v>1000780</v>
      </c>
      <c r="G433">
        <v>43.6</v>
      </c>
      <c r="H433" s="505">
        <v>2000</v>
      </c>
      <c r="I433">
        <v>0</v>
      </c>
      <c r="J433">
        <v>0</v>
      </c>
      <c r="K433">
        <v>0</v>
      </c>
      <c r="M433" s="505">
        <v>2000</v>
      </c>
      <c r="O433">
        <v>0</v>
      </c>
    </row>
    <row r="434" spans="1:15">
      <c r="A434" t="s">
        <v>358</v>
      </c>
      <c r="B434" t="s">
        <v>2539</v>
      </c>
      <c r="C434" t="s">
        <v>2197</v>
      </c>
      <c r="D434" t="s">
        <v>123</v>
      </c>
      <c r="E434" t="s">
        <v>2198</v>
      </c>
      <c r="F434">
        <v>1820695</v>
      </c>
      <c r="G434">
        <v>50.02</v>
      </c>
      <c r="H434" s="505">
        <v>9600</v>
      </c>
      <c r="I434">
        <v>0</v>
      </c>
      <c r="J434">
        <v>0</v>
      </c>
      <c r="K434">
        <v>0</v>
      </c>
      <c r="M434" s="505">
        <v>9600</v>
      </c>
      <c r="O434" s="505">
        <v>1819</v>
      </c>
    </row>
    <row r="435" spans="1:15">
      <c r="A435" t="s">
        <v>2061</v>
      </c>
      <c r="B435" t="s">
        <v>2748</v>
      </c>
      <c r="C435" t="s">
        <v>1099</v>
      </c>
      <c r="D435" t="s">
        <v>1042</v>
      </c>
      <c r="E435" t="s">
        <v>1101</v>
      </c>
      <c r="F435" t="s">
        <v>2199</v>
      </c>
      <c r="G435">
        <v>1.68</v>
      </c>
      <c r="H435" s="505">
        <v>38000</v>
      </c>
      <c r="I435">
        <v>0</v>
      </c>
      <c r="J435" s="505">
        <v>6000</v>
      </c>
      <c r="K435">
        <v>0</v>
      </c>
      <c r="M435" s="505">
        <v>32000</v>
      </c>
      <c r="O435">
        <v>522</v>
      </c>
    </row>
    <row r="436" spans="1:15">
      <c r="A436" t="s">
        <v>2061</v>
      </c>
      <c r="B436" t="s">
        <v>3198</v>
      </c>
      <c r="C436" t="s">
        <v>1105</v>
      </c>
      <c r="D436" t="s">
        <v>1048</v>
      </c>
      <c r="E436" t="s">
        <v>1101</v>
      </c>
      <c r="F436" t="s">
        <v>2200</v>
      </c>
      <c r="G436">
        <v>1.87</v>
      </c>
      <c r="H436" s="505">
        <v>70000</v>
      </c>
      <c r="I436">
        <v>0</v>
      </c>
      <c r="J436" s="505">
        <v>8000</v>
      </c>
      <c r="K436">
        <v>0</v>
      </c>
      <c r="M436" s="505">
        <v>62000</v>
      </c>
      <c r="O436">
        <v>502</v>
      </c>
    </row>
    <row r="437" spans="1:15">
      <c r="A437" t="s">
        <v>2061</v>
      </c>
      <c r="B437" t="s">
        <v>3027</v>
      </c>
      <c r="C437" t="s">
        <v>1102</v>
      </c>
      <c r="D437" t="s">
        <v>1056</v>
      </c>
      <c r="E437" t="s">
        <v>1104</v>
      </c>
      <c r="F437" t="s">
        <v>2201</v>
      </c>
      <c r="G437">
        <v>2.1</v>
      </c>
      <c r="H437" s="505">
        <v>21000</v>
      </c>
      <c r="I437">
        <v>0</v>
      </c>
      <c r="J437" s="505">
        <v>3000</v>
      </c>
      <c r="K437">
        <v>0</v>
      </c>
      <c r="M437" s="505">
        <v>18000</v>
      </c>
      <c r="O437">
        <v>463</v>
      </c>
    </row>
    <row r="438" spans="1:15">
      <c r="A438" t="s">
        <v>2202</v>
      </c>
      <c r="B438" t="s">
        <v>3235</v>
      </c>
      <c r="C438" t="s">
        <v>1133</v>
      </c>
      <c r="D438" t="s">
        <v>1056</v>
      </c>
      <c r="E438" t="s">
        <v>2203</v>
      </c>
      <c r="F438" t="s">
        <v>2104</v>
      </c>
      <c r="G438">
        <v>9.93</v>
      </c>
      <c r="H438" s="505">
        <v>350000</v>
      </c>
      <c r="I438" s="505">
        <v>458000</v>
      </c>
      <c r="J438" s="505">
        <v>384000</v>
      </c>
      <c r="K438">
        <v>0</v>
      </c>
      <c r="M438" s="505">
        <v>424000</v>
      </c>
      <c r="O438" s="505">
        <v>265848000</v>
      </c>
    </row>
    <row r="439" spans="1:15">
      <c r="A439" t="s">
        <v>1782</v>
      </c>
      <c r="B439" t="s">
        <v>2768</v>
      </c>
      <c r="C439" t="s">
        <v>2586</v>
      </c>
      <c r="D439" t="s">
        <v>2584</v>
      </c>
      <c r="E439" t="s">
        <v>2587</v>
      </c>
      <c r="F439" t="s">
        <v>2114</v>
      </c>
      <c r="G439">
        <v>6.27</v>
      </c>
      <c r="H439">
        <v>680</v>
      </c>
      <c r="I439">
        <v>0</v>
      </c>
      <c r="J439">
        <v>0</v>
      </c>
      <c r="K439">
        <v>0</v>
      </c>
      <c r="M439">
        <v>680</v>
      </c>
      <c r="O439">
        <v>0</v>
      </c>
    </row>
    <row r="440" spans="1:15">
      <c r="A440" t="s">
        <v>1840</v>
      </c>
      <c r="B440" t="s">
        <v>3089</v>
      </c>
      <c r="C440" t="s">
        <v>1121</v>
      </c>
      <c r="D440" t="s">
        <v>1123</v>
      </c>
      <c r="E440" t="s">
        <v>1124</v>
      </c>
      <c r="F440" t="s">
        <v>2204</v>
      </c>
      <c r="G440">
        <v>4.5599999999999996</v>
      </c>
      <c r="H440" s="505">
        <v>175400</v>
      </c>
      <c r="I440">
        <v>0</v>
      </c>
      <c r="J440" s="505">
        <v>20000</v>
      </c>
      <c r="K440">
        <v>0</v>
      </c>
      <c r="M440" s="505">
        <v>155400</v>
      </c>
      <c r="O440" s="505">
        <v>63092400</v>
      </c>
    </row>
    <row r="441" spans="1:15">
      <c r="A441" t="s">
        <v>1973</v>
      </c>
      <c r="B441" t="s">
        <v>2540</v>
      </c>
      <c r="C441" t="s">
        <v>1177</v>
      </c>
      <c r="D441" t="s">
        <v>1179</v>
      </c>
      <c r="E441" t="s">
        <v>1120</v>
      </c>
      <c r="F441">
        <v>3051200</v>
      </c>
      <c r="G441">
        <v>4.5999999999999996</v>
      </c>
      <c r="H441" s="505">
        <v>49500</v>
      </c>
      <c r="I441">
        <v>0</v>
      </c>
      <c r="J441">
        <v>0</v>
      </c>
      <c r="K441">
        <v>0</v>
      </c>
      <c r="M441" s="505">
        <v>49500</v>
      </c>
      <c r="O441" s="505">
        <v>64003500</v>
      </c>
    </row>
    <row r="442" spans="1:15">
      <c r="A442" t="s">
        <v>2069</v>
      </c>
      <c r="B442" t="s">
        <v>2541</v>
      </c>
      <c r="C442" t="s">
        <v>1234</v>
      </c>
      <c r="D442" t="s">
        <v>1236</v>
      </c>
      <c r="E442" t="s">
        <v>1237</v>
      </c>
      <c r="F442" t="s">
        <v>2206</v>
      </c>
      <c r="G442">
        <v>5.9</v>
      </c>
      <c r="H442" s="505">
        <v>9000</v>
      </c>
      <c r="I442">
        <v>0</v>
      </c>
      <c r="J442">
        <v>0</v>
      </c>
      <c r="K442">
        <v>0</v>
      </c>
      <c r="M442" s="505">
        <v>9000</v>
      </c>
      <c r="O442" s="505">
        <v>16866000</v>
      </c>
    </row>
    <row r="443" spans="1:15">
      <c r="A443" t="s">
        <v>1954</v>
      </c>
      <c r="B443" t="s">
        <v>3220</v>
      </c>
      <c r="C443" t="s">
        <v>486</v>
      </c>
      <c r="D443" t="s">
        <v>487</v>
      </c>
      <c r="E443" t="s">
        <v>488</v>
      </c>
      <c r="F443">
        <v>1000885</v>
      </c>
      <c r="G443">
        <v>22</v>
      </c>
      <c r="H443" s="505">
        <v>63400</v>
      </c>
      <c r="I443">
        <v>0</v>
      </c>
      <c r="J443">
        <v>0</v>
      </c>
      <c r="K443">
        <v>0</v>
      </c>
      <c r="M443" s="505">
        <v>63400</v>
      </c>
      <c r="O443" s="505">
        <v>75699600</v>
      </c>
    </row>
    <row r="444" spans="1:15">
      <c r="A444" t="s">
        <v>2061</v>
      </c>
      <c r="B444" t="s">
        <v>2542</v>
      </c>
      <c r="C444" t="s">
        <v>803</v>
      </c>
      <c r="D444" t="s">
        <v>805</v>
      </c>
      <c r="E444" t="s">
        <v>375</v>
      </c>
      <c r="F444">
        <v>2510985</v>
      </c>
      <c r="G444">
        <v>28.6</v>
      </c>
      <c r="H444" s="505">
        <v>3200</v>
      </c>
      <c r="I444">
        <v>0</v>
      </c>
      <c r="J444">
        <v>0</v>
      </c>
      <c r="K444">
        <v>0</v>
      </c>
      <c r="M444" s="505">
        <v>3200</v>
      </c>
      <c r="O444">
        <v>0</v>
      </c>
    </row>
    <row r="445" spans="1:15">
      <c r="A445" t="s">
        <v>2202</v>
      </c>
      <c r="B445" t="s">
        <v>2543</v>
      </c>
      <c r="C445" t="s">
        <v>373</v>
      </c>
      <c r="D445" t="s">
        <v>37</v>
      </c>
      <c r="E445" t="s">
        <v>375</v>
      </c>
      <c r="F445">
        <v>1001220</v>
      </c>
      <c r="G445">
        <v>29.6</v>
      </c>
      <c r="H445">
        <v>918</v>
      </c>
      <c r="I445">
        <v>0</v>
      </c>
      <c r="J445">
        <v>0</v>
      </c>
      <c r="K445">
        <v>0</v>
      </c>
      <c r="M445">
        <v>918</v>
      </c>
      <c r="O445" s="505">
        <v>1029996</v>
      </c>
    </row>
    <row r="446" spans="1:15">
      <c r="A446" t="s">
        <v>1765</v>
      </c>
      <c r="B446" t="s">
        <v>2719</v>
      </c>
      <c r="C446" t="s">
        <v>1707</v>
      </c>
      <c r="D446" t="s">
        <v>216</v>
      </c>
      <c r="E446" t="s">
        <v>217</v>
      </c>
      <c r="F446">
        <v>1000988</v>
      </c>
      <c r="G446">
        <v>25.5</v>
      </c>
      <c r="H446" s="505">
        <v>48000</v>
      </c>
      <c r="I446">
        <v>0</v>
      </c>
      <c r="J446" s="505">
        <v>1000</v>
      </c>
      <c r="K446">
        <v>0</v>
      </c>
      <c r="M446" s="505">
        <v>47000</v>
      </c>
      <c r="O446" s="505">
        <v>104434000</v>
      </c>
    </row>
    <row r="447" spans="1:15">
      <c r="A447" t="s">
        <v>1774</v>
      </c>
      <c r="B447" t="s">
        <v>3273</v>
      </c>
      <c r="C447" t="s">
        <v>90</v>
      </c>
      <c r="D447" t="s">
        <v>91</v>
      </c>
      <c r="E447" t="s">
        <v>205</v>
      </c>
      <c r="F447">
        <v>1000996</v>
      </c>
      <c r="G447">
        <v>29.48</v>
      </c>
      <c r="H447" s="505">
        <v>488000</v>
      </c>
      <c r="I447" s="505">
        <v>48800</v>
      </c>
      <c r="J447" s="505">
        <v>144000</v>
      </c>
      <c r="K447">
        <v>0</v>
      </c>
      <c r="M447" s="505">
        <v>392800</v>
      </c>
      <c r="O447" s="505">
        <v>690935200</v>
      </c>
    </row>
    <row r="448" spans="1:15">
      <c r="A448" t="s">
        <v>2061</v>
      </c>
      <c r="B448" t="s">
        <v>2544</v>
      </c>
      <c r="C448" t="s">
        <v>830</v>
      </c>
      <c r="D448" t="s">
        <v>805</v>
      </c>
      <c r="E448" t="s">
        <v>832</v>
      </c>
      <c r="F448">
        <v>4511055</v>
      </c>
      <c r="G448">
        <v>28.55</v>
      </c>
      <c r="H448" s="505">
        <v>43800</v>
      </c>
      <c r="I448">
        <v>0</v>
      </c>
      <c r="J448">
        <v>0</v>
      </c>
      <c r="K448">
        <v>0</v>
      </c>
      <c r="M448" s="505">
        <v>43800</v>
      </c>
      <c r="O448" s="505">
        <v>7166</v>
      </c>
    </row>
    <row r="449" spans="1:15">
      <c r="A449" t="s">
        <v>2202</v>
      </c>
      <c r="B449" t="s">
        <v>2545</v>
      </c>
      <c r="C449" t="s">
        <v>377</v>
      </c>
      <c r="D449" t="s">
        <v>37</v>
      </c>
      <c r="E449" t="s">
        <v>379</v>
      </c>
      <c r="F449">
        <v>1001220</v>
      </c>
      <c r="G449">
        <v>33.200000000000003</v>
      </c>
      <c r="H449">
        <v>930</v>
      </c>
      <c r="I449">
        <v>0</v>
      </c>
      <c r="J449">
        <v>0</v>
      </c>
      <c r="K449">
        <v>0</v>
      </c>
      <c r="M449">
        <v>930</v>
      </c>
      <c r="O449" s="505">
        <v>1248060</v>
      </c>
    </row>
    <row r="450" spans="1:15">
      <c r="A450" t="s">
        <v>2202</v>
      </c>
      <c r="B450" t="s">
        <v>2546</v>
      </c>
      <c r="C450" t="s">
        <v>845</v>
      </c>
      <c r="D450" t="s">
        <v>36</v>
      </c>
      <c r="E450" t="s">
        <v>847</v>
      </c>
      <c r="F450">
        <v>4350930</v>
      </c>
      <c r="G450">
        <v>80.599999999999994</v>
      </c>
      <c r="H450" s="505">
        <v>49880</v>
      </c>
      <c r="I450">
        <v>0</v>
      </c>
      <c r="J450">
        <v>0</v>
      </c>
      <c r="K450">
        <v>0</v>
      </c>
      <c r="M450" s="505">
        <v>49880</v>
      </c>
      <c r="O450" s="505">
        <v>224460000</v>
      </c>
    </row>
    <row r="451" spans="1:15">
      <c r="A451" t="s">
        <v>2202</v>
      </c>
      <c r="B451" t="s">
        <v>2701</v>
      </c>
      <c r="C451" t="s">
        <v>23</v>
      </c>
      <c r="D451" t="s">
        <v>36</v>
      </c>
      <c r="E451" t="s">
        <v>48</v>
      </c>
      <c r="F451">
        <v>4350930</v>
      </c>
      <c r="G451">
        <v>87.6</v>
      </c>
      <c r="H451" s="505">
        <v>34600</v>
      </c>
      <c r="I451">
        <v>0</v>
      </c>
      <c r="J451">
        <v>0</v>
      </c>
      <c r="K451">
        <v>0</v>
      </c>
      <c r="M451" s="505">
        <v>34600</v>
      </c>
      <c r="O451" s="505">
        <v>207357800</v>
      </c>
    </row>
    <row r="452" spans="1:15">
      <c r="A452" t="s">
        <v>2202</v>
      </c>
      <c r="B452" t="s">
        <v>2547</v>
      </c>
      <c r="C452" t="s">
        <v>850</v>
      </c>
      <c r="D452" t="s">
        <v>36</v>
      </c>
      <c r="E452" t="s">
        <v>852</v>
      </c>
      <c r="F452">
        <v>4350930</v>
      </c>
      <c r="G452">
        <v>95.4</v>
      </c>
      <c r="H452" s="505">
        <v>96900</v>
      </c>
      <c r="I452">
        <v>0</v>
      </c>
      <c r="J452">
        <v>0</v>
      </c>
      <c r="K452">
        <v>0</v>
      </c>
      <c r="M452" s="505">
        <v>96900</v>
      </c>
      <c r="O452" s="505">
        <v>768707700</v>
      </c>
    </row>
    <row r="453" spans="1:15">
      <c r="A453" t="s">
        <v>2061</v>
      </c>
      <c r="B453" t="s">
        <v>3187</v>
      </c>
      <c r="C453" t="s">
        <v>1114</v>
      </c>
      <c r="D453" t="s">
        <v>1042</v>
      </c>
      <c r="E453" t="s">
        <v>1116</v>
      </c>
      <c r="F453" t="s">
        <v>2208</v>
      </c>
      <c r="G453">
        <v>3.1</v>
      </c>
      <c r="H453" s="505">
        <v>46500</v>
      </c>
      <c r="I453">
        <v>0</v>
      </c>
      <c r="J453" s="505">
        <v>2000</v>
      </c>
      <c r="K453">
        <v>0</v>
      </c>
      <c r="M453" s="505">
        <v>44500</v>
      </c>
      <c r="O453">
        <v>765</v>
      </c>
    </row>
    <row r="454" spans="1:15">
      <c r="A454" t="s">
        <v>1782</v>
      </c>
      <c r="B454" t="s">
        <v>2659</v>
      </c>
      <c r="C454" t="s">
        <v>2196</v>
      </c>
      <c r="D454" t="s">
        <v>1056</v>
      </c>
      <c r="E454" t="s">
        <v>2209</v>
      </c>
      <c r="F454" t="s">
        <v>2210</v>
      </c>
      <c r="G454">
        <v>13.78</v>
      </c>
      <c r="H454" s="505">
        <v>79300</v>
      </c>
      <c r="I454">
        <v>0</v>
      </c>
      <c r="J454">
        <v>0</v>
      </c>
      <c r="K454">
        <v>0</v>
      </c>
      <c r="M454" s="505">
        <v>79300</v>
      </c>
      <c r="O454">
        <v>0</v>
      </c>
    </row>
    <row r="455" spans="1:15">
      <c r="A455" t="s">
        <v>1973</v>
      </c>
      <c r="B455" t="s">
        <v>2548</v>
      </c>
      <c r="C455" t="s">
        <v>1128</v>
      </c>
      <c r="D455" t="s">
        <v>1130</v>
      </c>
      <c r="E455" t="s">
        <v>1131</v>
      </c>
      <c r="F455" t="s">
        <v>2212</v>
      </c>
      <c r="G455">
        <v>11.2</v>
      </c>
      <c r="H455" s="505">
        <v>18474</v>
      </c>
      <c r="I455">
        <v>0</v>
      </c>
      <c r="J455" s="505">
        <v>1000</v>
      </c>
      <c r="K455">
        <v>0</v>
      </c>
      <c r="M455" s="505">
        <v>17474</v>
      </c>
      <c r="O455" s="505">
        <v>16617774</v>
      </c>
    </row>
    <row r="456" spans="1:15">
      <c r="A456" t="s">
        <v>1782</v>
      </c>
      <c r="B456" t="s">
        <v>3365</v>
      </c>
      <c r="C456" t="s">
        <v>2218</v>
      </c>
      <c r="D456" t="s">
        <v>1042</v>
      </c>
      <c r="E456" t="s">
        <v>2219</v>
      </c>
      <c r="F456" t="s">
        <v>2220</v>
      </c>
      <c r="G456">
        <v>4.7699999999999996</v>
      </c>
      <c r="H456" s="505">
        <v>177971</v>
      </c>
      <c r="I456">
        <v>0</v>
      </c>
      <c r="J456" s="505">
        <v>71100</v>
      </c>
      <c r="K456">
        <v>0</v>
      </c>
      <c r="M456" s="505">
        <v>106871</v>
      </c>
      <c r="O456">
        <v>0</v>
      </c>
    </row>
    <row r="457" spans="1:15">
      <c r="A457" t="s">
        <v>2047</v>
      </c>
      <c r="B457" t="s">
        <v>2549</v>
      </c>
      <c r="C457" t="s">
        <v>1238</v>
      </c>
      <c r="D457" t="s">
        <v>1232</v>
      </c>
      <c r="E457" t="s">
        <v>1240</v>
      </c>
      <c r="F457">
        <v>1001190</v>
      </c>
      <c r="G457">
        <v>12.57</v>
      </c>
      <c r="H457" s="505">
        <v>33100</v>
      </c>
      <c r="I457">
        <v>0</v>
      </c>
      <c r="J457">
        <v>0</v>
      </c>
      <c r="K457">
        <v>0</v>
      </c>
      <c r="M457" s="505">
        <v>33100</v>
      </c>
      <c r="O457" s="505">
        <v>37866400</v>
      </c>
    </row>
    <row r="458" spans="1:15">
      <c r="A458" t="s">
        <v>1774</v>
      </c>
      <c r="B458" t="s">
        <v>3426</v>
      </c>
      <c r="C458" t="s">
        <v>144</v>
      </c>
      <c r="D458" t="s">
        <v>145</v>
      </c>
      <c r="E458" t="s">
        <v>367</v>
      </c>
      <c r="F458">
        <v>1001072</v>
      </c>
      <c r="G458">
        <v>73.8</v>
      </c>
      <c r="H458" s="505">
        <v>50100</v>
      </c>
      <c r="I458">
        <v>0</v>
      </c>
      <c r="J458" s="505">
        <v>40500</v>
      </c>
      <c r="K458">
        <v>0</v>
      </c>
      <c r="M458" s="505">
        <v>9600</v>
      </c>
      <c r="O458" s="505">
        <v>46857600</v>
      </c>
    </row>
    <row r="459" spans="1:15">
      <c r="A459" t="s">
        <v>2061</v>
      </c>
      <c r="B459" t="s">
        <v>2550</v>
      </c>
      <c r="C459" t="s">
        <v>797</v>
      </c>
      <c r="D459" t="s">
        <v>477</v>
      </c>
      <c r="E459" t="s">
        <v>800</v>
      </c>
      <c r="F459">
        <v>2511185</v>
      </c>
      <c r="G459">
        <v>43.8</v>
      </c>
      <c r="H459" s="505">
        <v>2000</v>
      </c>
      <c r="I459">
        <v>0</v>
      </c>
      <c r="J459">
        <v>0</v>
      </c>
      <c r="K459">
        <v>0</v>
      </c>
      <c r="M459" s="505">
        <v>2000</v>
      </c>
      <c r="O459">
        <v>0</v>
      </c>
    </row>
    <row r="460" spans="1:15">
      <c r="A460" t="s">
        <v>1782</v>
      </c>
      <c r="B460" t="s">
        <v>2971</v>
      </c>
      <c r="C460" t="s">
        <v>2223</v>
      </c>
      <c r="D460" t="s">
        <v>1056</v>
      </c>
      <c r="E460" t="s">
        <v>2224</v>
      </c>
      <c r="F460" t="s">
        <v>2210</v>
      </c>
      <c r="G460">
        <v>41.21</v>
      </c>
      <c r="H460" s="505">
        <v>6164</v>
      </c>
      <c r="I460">
        <v>0</v>
      </c>
      <c r="J460">
        <v>0</v>
      </c>
      <c r="K460">
        <v>0</v>
      </c>
      <c r="M460" s="505">
        <v>6164</v>
      </c>
      <c r="O460">
        <v>0</v>
      </c>
    </row>
    <row r="461" spans="1:15">
      <c r="A461" t="s">
        <v>1782</v>
      </c>
      <c r="B461" t="s">
        <v>2961</v>
      </c>
      <c r="C461" t="s">
        <v>2225</v>
      </c>
      <c r="D461" t="s">
        <v>1042</v>
      </c>
      <c r="E461" t="s">
        <v>2226</v>
      </c>
      <c r="F461" t="s">
        <v>2220</v>
      </c>
      <c r="G461">
        <v>5.09</v>
      </c>
      <c r="H461" s="505">
        <v>17661</v>
      </c>
      <c r="I461">
        <v>0</v>
      </c>
      <c r="J461">
        <v>0</v>
      </c>
      <c r="K461">
        <v>0</v>
      </c>
      <c r="M461" s="505">
        <v>17661</v>
      </c>
      <c r="O461">
        <v>0</v>
      </c>
    </row>
    <row r="462" spans="1:15">
      <c r="A462" t="s">
        <v>2061</v>
      </c>
      <c r="B462" t="s">
        <v>2551</v>
      </c>
      <c r="C462" t="s">
        <v>1137</v>
      </c>
      <c r="D462" t="s">
        <v>1042</v>
      </c>
      <c r="E462" t="s">
        <v>2227</v>
      </c>
      <c r="F462" t="s">
        <v>2228</v>
      </c>
      <c r="G462">
        <v>11.19</v>
      </c>
      <c r="H462" s="505">
        <v>2800</v>
      </c>
      <c r="I462">
        <v>0</v>
      </c>
      <c r="J462">
        <v>0</v>
      </c>
      <c r="K462">
        <v>0</v>
      </c>
      <c r="M462" s="505">
        <v>2800</v>
      </c>
      <c r="O462">
        <v>134</v>
      </c>
    </row>
    <row r="463" spans="1:15">
      <c r="A463" t="s">
        <v>2061</v>
      </c>
      <c r="B463" t="s">
        <v>2552</v>
      </c>
      <c r="C463" t="s">
        <v>1244</v>
      </c>
      <c r="D463" t="s">
        <v>1042</v>
      </c>
      <c r="E463" t="s">
        <v>2229</v>
      </c>
      <c r="F463" t="s">
        <v>2230</v>
      </c>
      <c r="G463">
        <v>19.899999999999999</v>
      </c>
      <c r="H463" s="505">
        <v>10200</v>
      </c>
      <c r="I463">
        <v>0</v>
      </c>
      <c r="J463">
        <v>0</v>
      </c>
      <c r="K463">
        <v>0</v>
      </c>
      <c r="M463" s="505">
        <v>10200</v>
      </c>
      <c r="O463">
        <v>882</v>
      </c>
    </row>
    <row r="464" spans="1:15">
      <c r="A464" t="s">
        <v>2061</v>
      </c>
      <c r="B464" t="s">
        <v>2697</v>
      </c>
      <c r="C464" t="s">
        <v>1144</v>
      </c>
      <c r="D464" t="s">
        <v>1056</v>
      </c>
      <c r="E464" t="s">
        <v>1146</v>
      </c>
      <c r="F464" t="s">
        <v>2232</v>
      </c>
      <c r="G464">
        <v>111.5</v>
      </c>
      <c r="H464">
        <v>756</v>
      </c>
      <c r="I464">
        <v>0</v>
      </c>
      <c r="J464">
        <v>0</v>
      </c>
      <c r="K464">
        <v>0</v>
      </c>
      <c r="M464">
        <v>756</v>
      </c>
      <c r="O464" s="505">
        <v>1618</v>
      </c>
    </row>
    <row r="465" spans="1:15">
      <c r="A465" t="s">
        <v>1774</v>
      </c>
      <c r="B465" t="s">
        <v>3272</v>
      </c>
      <c r="C465" t="s">
        <v>2790</v>
      </c>
      <c r="D465" t="s">
        <v>1042</v>
      </c>
      <c r="E465" t="s">
        <v>2791</v>
      </c>
      <c r="F465" t="s">
        <v>2782</v>
      </c>
      <c r="G465">
        <v>0.06</v>
      </c>
      <c r="H465" s="505">
        <v>47333</v>
      </c>
      <c r="I465" s="505">
        <v>200000</v>
      </c>
      <c r="J465">
        <v>0</v>
      </c>
      <c r="K465">
        <v>0</v>
      </c>
      <c r="M465" s="505">
        <v>247333</v>
      </c>
      <c r="O465">
        <v>0</v>
      </c>
    </row>
    <row r="466" spans="1:15">
      <c r="A466" t="s">
        <v>1799</v>
      </c>
      <c r="B466" t="s">
        <v>2553</v>
      </c>
      <c r="C466" t="s">
        <v>1170</v>
      </c>
      <c r="D466" t="s">
        <v>1172</v>
      </c>
      <c r="E466" t="s">
        <v>2234</v>
      </c>
      <c r="F466">
        <v>1810160</v>
      </c>
      <c r="G466">
        <v>0.24</v>
      </c>
      <c r="H466" s="505">
        <v>150710</v>
      </c>
      <c r="I466">
        <v>0</v>
      </c>
      <c r="J466" s="505">
        <v>30000</v>
      </c>
      <c r="K466">
        <v>0</v>
      </c>
      <c r="M466" s="505">
        <v>120710</v>
      </c>
      <c r="O466">
        <v>700</v>
      </c>
    </row>
    <row r="467" spans="1:15">
      <c r="A467" t="s">
        <v>1799</v>
      </c>
      <c r="B467" t="s">
        <v>2764</v>
      </c>
      <c r="C467" t="s">
        <v>2236</v>
      </c>
      <c r="D467" t="s">
        <v>1193</v>
      </c>
      <c r="E467" t="s">
        <v>1194</v>
      </c>
      <c r="F467">
        <v>1850375</v>
      </c>
      <c r="G467">
        <v>0.47</v>
      </c>
      <c r="H467" s="505">
        <v>130000</v>
      </c>
      <c r="I467">
        <v>0</v>
      </c>
      <c r="J467">
        <v>0</v>
      </c>
      <c r="K467">
        <v>0</v>
      </c>
      <c r="M467" s="505">
        <v>130000</v>
      </c>
      <c r="O467">
        <v>546</v>
      </c>
    </row>
    <row r="468" spans="1:15">
      <c r="A468" t="s">
        <v>1803</v>
      </c>
      <c r="B468" t="s">
        <v>2554</v>
      </c>
      <c r="C468" t="s">
        <v>1723</v>
      </c>
      <c r="D468" t="s">
        <v>220</v>
      </c>
      <c r="E468" t="s">
        <v>2237</v>
      </c>
      <c r="F468">
        <v>1000225</v>
      </c>
      <c r="G468">
        <v>0.3</v>
      </c>
      <c r="H468" s="505">
        <v>70000</v>
      </c>
      <c r="I468">
        <v>0</v>
      </c>
      <c r="J468">
        <v>0</v>
      </c>
      <c r="K468">
        <v>0</v>
      </c>
      <c r="M468" s="505">
        <v>70000</v>
      </c>
      <c r="O468">
        <v>0</v>
      </c>
    </row>
    <row r="469" spans="1:15">
      <c r="A469" t="s">
        <v>1771</v>
      </c>
      <c r="B469" t="s">
        <v>2997</v>
      </c>
      <c r="C469" t="s">
        <v>2739</v>
      </c>
      <c r="D469" t="s">
        <v>167</v>
      </c>
      <c r="E469" t="s">
        <v>1053</v>
      </c>
      <c r="F469">
        <v>1850218</v>
      </c>
      <c r="G469">
        <v>0.28000000000000003</v>
      </c>
      <c r="H469" s="505">
        <v>116000</v>
      </c>
      <c r="I469">
        <v>0</v>
      </c>
      <c r="J469" s="505">
        <v>10000</v>
      </c>
      <c r="K469">
        <v>0</v>
      </c>
      <c r="M469" s="505">
        <v>106000</v>
      </c>
      <c r="O469">
        <v>0</v>
      </c>
    </row>
    <row r="470" spans="1:15">
      <c r="A470" t="s">
        <v>1774</v>
      </c>
      <c r="B470" t="s">
        <v>3231</v>
      </c>
      <c r="C470" t="s">
        <v>2785</v>
      </c>
      <c r="D470" t="s">
        <v>113</v>
      </c>
      <c r="E470" t="s">
        <v>2792</v>
      </c>
      <c r="F470">
        <v>1850225</v>
      </c>
      <c r="G470">
        <v>0.43</v>
      </c>
      <c r="H470" s="505">
        <v>5000</v>
      </c>
      <c r="I470" s="505">
        <v>130000</v>
      </c>
      <c r="J470" s="505">
        <v>120000</v>
      </c>
      <c r="K470">
        <v>0</v>
      </c>
      <c r="M470" s="505">
        <v>15000</v>
      </c>
      <c r="O470">
        <v>0</v>
      </c>
    </row>
    <row r="471" spans="1:15">
      <c r="A471" t="s">
        <v>2375</v>
      </c>
      <c r="B471" t="s">
        <v>3013</v>
      </c>
      <c r="C471" t="s">
        <v>2368</v>
      </c>
      <c r="D471" t="s">
        <v>2383</v>
      </c>
      <c r="E471" t="s">
        <v>2384</v>
      </c>
      <c r="F471">
        <v>1850212</v>
      </c>
      <c r="G471">
        <v>0.36</v>
      </c>
      <c r="H471" s="505">
        <v>290000</v>
      </c>
      <c r="I471">
        <v>0</v>
      </c>
      <c r="J471" s="505">
        <v>20000</v>
      </c>
      <c r="K471">
        <v>0</v>
      </c>
      <c r="M471" s="505">
        <v>270000</v>
      </c>
      <c r="O471">
        <v>0</v>
      </c>
    </row>
    <row r="472" spans="1:15">
      <c r="A472" t="s">
        <v>1774</v>
      </c>
      <c r="B472" t="s">
        <v>2671</v>
      </c>
      <c r="C472" t="s">
        <v>1151</v>
      </c>
      <c r="D472" t="s">
        <v>2240</v>
      </c>
      <c r="E472" t="s">
        <v>1154</v>
      </c>
      <c r="F472" t="s">
        <v>2241</v>
      </c>
      <c r="G472">
        <v>0.98</v>
      </c>
      <c r="H472" s="505">
        <v>248000</v>
      </c>
      <c r="I472">
        <v>0</v>
      </c>
      <c r="J472">
        <v>0</v>
      </c>
      <c r="K472">
        <v>0</v>
      </c>
      <c r="M472" s="505">
        <v>248000</v>
      </c>
      <c r="O472" s="505">
        <v>82832000</v>
      </c>
    </row>
    <row r="473" spans="1:15">
      <c r="A473" t="s">
        <v>2047</v>
      </c>
      <c r="B473" t="s">
        <v>3329</v>
      </c>
      <c r="C473" t="s">
        <v>1247</v>
      </c>
      <c r="D473" t="s">
        <v>1249</v>
      </c>
      <c r="E473" t="s">
        <v>1250</v>
      </c>
      <c r="F473">
        <v>3330295</v>
      </c>
      <c r="G473">
        <v>0.7</v>
      </c>
      <c r="H473" s="505">
        <v>110000</v>
      </c>
      <c r="I473">
        <v>0</v>
      </c>
      <c r="J473" s="505">
        <v>15000</v>
      </c>
      <c r="K473">
        <v>0</v>
      </c>
      <c r="M473" s="505">
        <v>95000</v>
      </c>
      <c r="O473" s="505">
        <v>20710000</v>
      </c>
    </row>
    <row r="474" spans="1:15">
      <c r="A474" t="s">
        <v>1807</v>
      </c>
      <c r="B474" t="s">
        <v>3014</v>
      </c>
      <c r="C474" t="s">
        <v>2246</v>
      </c>
      <c r="D474" t="s">
        <v>2247</v>
      </c>
      <c r="E474" t="s">
        <v>2248</v>
      </c>
      <c r="F474">
        <v>4350253</v>
      </c>
      <c r="G474">
        <v>0.52</v>
      </c>
      <c r="H474" s="505">
        <v>55000</v>
      </c>
      <c r="I474">
        <v>0</v>
      </c>
      <c r="J474">
        <v>0</v>
      </c>
      <c r="K474">
        <v>0</v>
      </c>
      <c r="M474" s="505">
        <v>55000</v>
      </c>
      <c r="O474">
        <v>0</v>
      </c>
    </row>
    <row r="475" spans="1:15">
      <c r="A475" t="s">
        <v>1807</v>
      </c>
      <c r="B475" t="s">
        <v>2679</v>
      </c>
      <c r="C475" t="s">
        <v>2252</v>
      </c>
      <c r="D475" t="s">
        <v>2247</v>
      </c>
      <c r="E475" t="s">
        <v>2253</v>
      </c>
      <c r="F475">
        <v>4350253</v>
      </c>
      <c r="G475">
        <v>0.85</v>
      </c>
      <c r="H475" s="505">
        <v>422000</v>
      </c>
      <c r="I475">
        <v>0</v>
      </c>
      <c r="J475">
        <v>0</v>
      </c>
      <c r="K475">
        <v>0</v>
      </c>
      <c r="M475" s="505">
        <v>422000</v>
      </c>
      <c r="O475">
        <v>0</v>
      </c>
    </row>
    <row r="476" spans="1:15">
      <c r="A476" t="s">
        <v>1858</v>
      </c>
      <c r="B476" t="s">
        <v>2555</v>
      </c>
      <c r="C476" t="s">
        <v>2254</v>
      </c>
      <c r="D476" t="s">
        <v>2255</v>
      </c>
      <c r="E476" t="s">
        <v>2256</v>
      </c>
      <c r="F476">
        <v>3020345</v>
      </c>
      <c r="G476">
        <v>2.13</v>
      </c>
      <c r="H476" s="505">
        <v>29000</v>
      </c>
      <c r="I476">
        <v>0</v>
      </c>
      <c r="J476">
        <v>0</v>
      </c>
      <c r="K476">
        <v>0</v>
      </c>
      <c r="M476" s="505">
        <v>29000</v>
      </c>
      <c r="O476" s="505">
        <v>10440000</v>
      </c>
    </row>
    <row r="477" spans="1:15">
      <c r="A477" t="s">
        <v>2375</v>
      </c>
      <c r="B477" t="s">
        <v>3037</v>
      </c>
      <c r="C477" t="s">
        <v>2369</v>
      </c>
      <c r="D477" t="s">
        <v>2385</v>
      </c>
      <c r="E477" t="s">
        <v>2386</v>
      </c>
      <c r="F477">
        <v>1850282</v>
      </c>
      <c r="G477">
        <v>1.32</v>
      </c>
      <c r="H477" s="505">
        <v>44000</v>
      </c>
      <c r="I477">
        <v>0</v>
      </c>
      <c r="J477" s="505">
        <v>26000</v>
      </c>
      <c r="K477">
        <v>0</v>
      </c>
      <c r="M477" s="505">
        <v>18000</v>
      </c>
      <c r="O477">
        <v>0</v>
      </c>
    </row>
    <row r="478" spans="1:15">
      <c r="A478" t="s">
        <v>1782</v>
      </c>
      <c r="B478" t="s">
        <v>2556</v>
      </c>
      <c r="C478" t="s">
        <v>1997</v>
      </c>
      <c r="D478" t="s">
        <v>1902</v>
      </c>
      <c r="E478" t="s">
        <v>2261</v>
      </c>
      <c r="F478" t="s">
        <v>1904</v>
      </c>
      <c r="G478">
        <v>0.15</v>
      </c>
      <c r="H478" s="505">
        <v>65500</v>
      </c>
      <c r="I478">
        <v>0</v>
      </c>
      <c r="J478">
        <v>0</v>
      </c>
      <c r="K478">
        <v>0</v>
      </c>
      <c r="M478" s="505">
        <v>65500</v>
      </c>
      <c r="O478">
        <v>0</v>
      </c>
    </row>
    <row r="479" spans="1:15">
      <c r="A479" t="s">
        <v>1858</v>
      </c>
      <c r="B479" t="s">
        <v>2557</v>
      </c>
      <c r="C479" t="s">
        <v>2262</v>
      </c>
      <c r="D479" t="s">
        <v>2263</v>
      </c>
      <c r="E479" t="s">
        <v>2264</v>
      </c>
      <c r="F479">
        <v>3020365</v>
      </c>
      <c r="G479">
        <v>2.78</v>
      </c>
      <c r="H479" s="505">
        <v>45000</v>
      </c>
      <c r="I479">
        <v>0</v>
      </c>
      <c r="J479">
        <v>0</v>
      </c>
      <c r="K479">
        <v>0</v>
      </c>
      <c r="M479" s="505">
        <v>45000</v>
      </c>
      <c r="O479">
        <v>0</v>
      </c>
    </row>
    <row r="480" spans="1:15">
      <c r="A480" t="s">
        <v>2375</v>
      </c>
      <c r="B480" t="s">
        <v>3188</v>
      </c>
      <c r="C480" t="s">
        <v>2370</v>
      </c>
      <c r="D480" t="s">
        <v>2387</v>
      </c>
      <c r="E480" t="s">
        <v>2388</v>
      </c>
      <c r="F480">
        <v>1850312</v>
      </c>
      <c r="G480">
        <v>1.07</v>
      </c>
      <c r="H480" s="505">
        <v>30000</v>
      </c>
      <c r="I480">
        <v>0</v>
      </c>
      <c r="J480">
        <v>0</v>
      </c>
      <c r="K480">
        <v>0</v>
      </c>
      <c r="M480" s="505">
        <v>30000</v>
      </c>
      <c r="O480">
        <v>0</v>
      </c>
    </row>
    <row r="481" spans="1:15">
      <c r="A481" t="s">
        <v>1755</v>
      </c>
      <c r="B481" t="s">
        <v>2826</v>
      </c>
      <c r="C481" t="s">
        <v>2358</v>
      </c>
      <c r="D481" t="s">
        <v>1268</v>
      </c>
      <c r="E481" t="s">
        <v>2344</v>
      </c>
      <c r="F481" t="s">
        <v>1758</v>
      </c>
      <c r="G481">
        <v>0.98</v>
      </c>
      <c r="H481" s="505">
        <v>285000</v>
      </c>
      <c r="I481">
        <v>0</v>
      </c>
      <c r="J481">
        <v>0</v>
      </c>
      <c r="K481">
        <v>0</v>
      </c>
      <c r="M481" s="505">
        <v>285000</v>
      </c>
      <c r="O481">
        <v>0</v>
      </c>
    </row>
    <row r="482" spans="1:15">
      <c r="A482" t="s">
        <v>1765</v>
      </c>
      <c r="B482" t="s">
        <v>2558</v>
      </c>
      <c r="C482" t="s">
        <v>863</v>
      </c>
      <c r="D482" t="s">
        <v>865</v>
      </c>
      <c r="E482" t="s">
        <v>866</v>
      </c>
      <c r="F482">
        <v>3330450</v>
      </c>
      <c r="G482">
        <v>2.82</v>
      </c>
      <c r="H482" s="505">
        <v>334256</v>
      </c>
      <c r="I482">
        <v>0</v>
      </c>
      <c r="J482">
        <v>0</v>
      </c>
      <c r="K482">
        <v>0</v>
      </c>
      <c r="M482" s="505">
        <v>334256</v>
      </c>
      <c r="O482" s="505">
        <v>220608960</v>
      </c>
    </row>
    <row r="483" spans="1:15">
      <c r="A483" t="s">
        <v>2061</v>
      </c>
      <c r="B483" t="s">
        <v>3472</v>
      </c>
      <c r="C483" t="s">
        <v>2845</v>
      </c>
      <c r="D483" t="s">
        <v>1056</v>
      </c>
      <c r="E483" t="s">
        <v>2846</v>
      </c>
      <c r="F483" t="s">
        <v>2062</v>
      </c>
      <c r="G483">
        <v>0.62</v>
      </c>
      <c r="H483" s="505">
        <v>25000</v>
      </c>
      <c r="I483">
        <v>0</v>
      </c>
      <c r="J483">
        <v>0</v>
      </c>
      <c r="K483">
        <v>0</v>
      </c>
      <c r="M483" s="505">
        <v>25000</v>
      </c>
      <c r="O483">
        <v>0</v>
      </c>
    </row>
    <row r="484" spans="1:15">
      <c r="A484" t="s">
        <v>2604</v>
      </c>
      <c r="B484" t="s">
        <v>3144</v>
      </c>
      <c r="C484" t="s">
        <v>2601</v>
      </c>
      <c r="D484" t="s">
        <v>2613</v>
      </c>
      <c r="E484" t="s">
        <v>2614</v>
      </c>
      <c r="F484">
        <v>1850355</v>
      </c>
      <c r="G484">
        <v>1.97</v>
      </c>
      <c r="H484" s="505">
        <v>940000</v>
      </c>
      <c r="I484" s="505">
        <v>1110000</v>
      </c>
      <c r="J484" s="505">
        <v>700000</v>
      </c>
      <c r="K484">
        <v>0</v>
      </c>
      <c r="M484" s="505">
        <v>1350000</v>
      </c>
      <c r="O484">
        <v>0</v>
      </c>
    </row>
    <row r="485" spans="1:15">
      <c r="A485" t="s">
        <v>1803</v>
      </c>
      <c r="B485" t="s">
        <v>2559</v>
      </c>
      <c r="C485" t="s">
        <v>2267</v>
      </c>
      <c r="D485" t="s">
        <v>2268</v>
      </c>
      <c r="F485">
        <v>3020407</v>
      </c>
      <c r="G485">
        <v>3.45</v>
      </c>
      <c r="H485" s="505">
        <v>17000</v>
      </c>
      <c r="I485">
        <v>0</v>
      </c>
      <c r="J485">
        <v>0</v>
      </c>
      <c r="K485">
        <v>0</v>
      </c>
      <c r="M485" s="505">
        <v>17000</v>
      </c>
      <c r="O485" s="505">
        <v>11798000</v>
      </c>
    </row>
    <row r="486" spans="1:15">
      <c r="A486" t="s">
        <v>1803</v>
      </c>
      <c r="B486" t="s">
        <v>2560</v>
      </c>
      <c r="C486" t="s">
        <v>2269</v>
      </c>
      <c r="D486" t="s">
        <v>2268</v>
      </c>
      <c r="E486" t="s">
        <v>2270</v>
      </c>
      <c r="F486">
        <v>3020407</v>
      </c>
      <c r="G486">
        <v>3.85</v>
      </c>
      <c r="H486" s="505">
        <v>42000</v>
      </c>
      <c r="I486">
        <v>0</v>
      </c>
      <c r="J486">
        <v>0</v>
      </c>
      <c r="K486">
        <v>0</v>
      </c>
      <c r="M486" s="505">
        <v>42000</v>
      </c>
      <c r="O486" s="505">
        <v>25116000</v>
      </c>
    </row>
    <row r="487" spans="1:15">
      <c r="A487" t="s">
        <v>1782</v>
      </c>
      <c r="B487" t="s">
        <v>3007</v>
      </c>
      <c r="C487" t="s">
        <v>3008</v>
      </c>
      <c r="D487" t="s">
        <v>1056</v>
      </c>
      <c r="E487" t="s">
        <v>3009</v>
      </c>
      <c r="F487" t="s">
        <v>2271</v>
      </c>
      <c r="G487">
        <v>0.86</v>
      </c>
      <c r="H487" s="505">
        <v>1139</v>
      </c>
      <c r="I487">
        <v>0</v>
      </c>
      <c r="J487">
        <v>0</v>
      </c>
      <c r="K487">
        <v>0</v>
      </c>
      <c r="M487" s="505">
        <v>1139</v>
      </c>
      <c r="O487">
        <v>0</v>
      </c>
    </row>
    <row r="488" spans="1:15">
      <c r="A488" t="s">
        <v>1774</v>
      </c>
      <c r="B488" t="s">
        <v>2779</v>
      </c>
      <c r="C488" t="s">
        <v>28</v>
      </c>
      <c r="D488" t="s">
        <v>41</v>
      </c>
      <c r="E488" t="s">
        <v>53</v>
      </c>
      <c r="F488">
        <v>4310430</v>
      </c>
      <c r="G488">
        <v>3.18</v>
      </c>
      <c r="H488" s="505">
        <v>22000</v>
      </c>
      <c r="I488" s="505">
        <v>602000</v>
      </c>
      <c r="J488" s="505">
        <v>125000</v>
      </c>
      <c r="K488">
        <v>0</v>
      </c>
      <c r="M488" s="505">
        <v>499000</v>
      </c>
      <c r="O488" s="505">
        <v>220558000</v>
      </c>
    </row>
    <row r="489" spans="1:15">
      <c r="A489" t="s">
        <v>2043</v>
      </c>
      <c r="B489" t="s">
        <v>3202</v>
      </c>
      <c r="C489" t="s">
        <v>187</v>
      </c>
      <c r="D489" t="s">
        <v>188</v>
      </c>
      <c r="E489" t="s">
        <v>448</v>
      </c>
      <c r="F489">
        <v>1000605</v>
      </c>
      <c r="G489">
        <v>5.96</v>
      </c>
      <c r="H489" s="505">
        <v>522000</v>
      </c>
      <c r="I489">
        <v>0</v>
      </c>
      <c r="J489" s="505">
        <v>50000</v>
      </c>
      <c r="K489">
        <v>0</v>
      </c>
      <c r="M489" s="505">
        <v>472000</v>
      </c>
      <c r="O489" s="505">
        <v>190216000</v>
      </c>
    </row>
    <row r="490" spans="1:15">
      <c r="A490" t="s">
        <v>2043</v>
      </c>
      <c r="B490" t="s">
        <v>3331</v>
      </c>
      <c r="C490" t="s">
        <v>450</v>
      </c>
      <c r="D490" t="s">
        <v>188</v>
      </c>
      <c r="E490" t="s">
        <v>452</v>
      </c>
      <c r="F490">
        <v>1000605</v>
      </c>
      <c r="G490">
        <v>6.53</v>
      </c>
      <c r="H490" s="505">
        <v>40001</v>
      </c>
      <c r="I490" s="505">
        <v>160000</v>
      </c>
      <c r="J490" s="505">
        <v>50000</v>
      </c>
      <c r="K490">
        <v>0</v>
      </c>
      <c r="M490" s="505">
        <v>150001</v>
      </c>
      <c r="O490">
        <v>0</v>
      </c>
    </row>
    <row r="491" spans="1:15">
      <c r="A491" t="s">
        <v>1772</v>
      </c>
      <c r="B491" t="s">
        <v>2561</v>
      </c>
      <c r="C491" t="s">
        <v>1450</v>
      </c>
      <c r="D491" t="s">
        <v>732</v>
      </c>
      <c r="E491" t="s">
        <v>733</v>
      </c>
      <c r="F491">
        <v>1000406</v>
      </c>
      <c r="G491">
        <v>1.55</v>
      </c>
      <c r="H491" s="505">
        <v>784000</v>
      </c>
      <c r="I491" s="505">
        <v>160000</v>
      </c>
      <c r="J491" s="505">
        <v>240000</v>
      </c>
      <c r="K491">
        <v>0</v>
      </c>
      <c r="M491" s="505">
        <v>704000</v>
      </c>
      <c r="O491" s="505">
        <v>96448000</v>
      </c>
    </row>
    <row r="492" spans="1:15">
      <c r="A492" t="s">
        <v>1772</v>
      </c>
      <c r="B492" t="s">
        <v>3397</v>
      </c>
      <c r="C492" t="s">
        <v>2637</v>
      </c>
      <c r="D492" t="s">
        <v>2638</v>
      </c>
      <c r="E492" t="s">
        <v>2639</v>
      </c>
      <c r="F492">
        <v>1000426</v>
      </c>
      <c r="G492">
        <v>2.57</v>
      </c>
      <c r="H492" s="505">
        <v>50000</v>
      </c>
      <c r="I492">
        <v>0</v>
      </c>
      <c r="J492">
        <v>0</v>
      </c>
      <c r="K492">
        <v>0</v>
      </c>
      <c r="M492" s="505">
        <v>50000</v>
      </c>
      <c r="O492">
        <v>0</v>
      </c>
    </row>
    <row r="493" spans="1:15">
      <c r="A493" t="s">
        <v>1772</v>
      </c>
      <c r="B493" t="s">
        <v>3513</v>
      </c>
      <c r="C493" t="s">
        <v>1702</v>
      </c>
      <c r="D493" t="s">
        <v>726</v>
      </c>
      <c r="E493" t="s">
        <v>2273</v>
      </c>
      <c r="F493">
        <v>1000406</v>
      </c>
      <c r="G493">
        <v>1.72</v>
      </c>
      <c r="H493" s="505">
        <v>208000</v>
      </c>
      <c r="I493" s="505">
        <v>128000</v>
      </c>
      <c r="J493" s="505">
        <v>240000</v>
      </c>
      <c r="K493">
        <v>0</v>
      </c>
      <c r="M493" s="505">
        <v>96000</v>
      </c>
      <c r="O493" s="505">
        <v>13824000</v>
      </c>
    </row>
    <row r="494" spans="1:15">
      <c r="A494" t="s">
        <v>1772</v>
      </c>
      <c r="B494" t="s">
        <v>2691</v>
      </c>
      <c r="C494" t="s">
        <v>2640</v>
      </c>
      <c r="D494" t="s">
        <v>726</v>
      </c>
      <c r="E494" t="s">
        <v>2641</v>
      </c>
      <c r="F494">
        <v>1000426</v>
      </c>
      <c r="G494">
        <v>2.9</v>
      </c>
      <c r="H494" s="505">
        <v>35000</v>
      </c>
      <c r="I494">
        <v>0</v>
      </c>
      <c r="J494">
        <v>0</v>
      </c>
      <c r="K494">
        <v>0</v>
      </c>
      <c r="M494" s="505">
        <v>35000</v>
      </c>
      <c r="O494">
        <v>0</v>
      </c>
    </row>
    <row r="495" spans="1:15">
      <c r="A495" t="s">
        <v>1771</v>
      </c>
      <c r="B495" t="s">
        <v>3011</v>
      </c>
      <c r="C495" t="s">
        <v>1070</v>
      </c>
      <c r="D495" t="s">
        <v>1056</v>
      </c>
      <c r="E495" t="s">
        <v>2275</v>
      </c>
      <c r="F495" t="s">
        <v>2104</v>
      </c>
      <c r="G495">
        <v>8.33</v>
      </c>
      <c r="H495" s="505">
        <v>77200</v>
      </c>
      <c r="I495">
        <v>0</v>
      </c>
      <c r="J495" s="505">
        <v>32800</v>
      </c>
      <c r="K495">
        <v>0</v>
      </c>
      <c r="M495" s="505">
        <v>44400</v>
      </c>
      <c r="O495" s="505">
        <v>21978000</v>
      </c>
    </row>
    <row r="496" spans="1:15">
      <c r="A496" t="s">
        <v>1774</v>
      </c>
      <c r="B496" t="s">
        <v>2644</v>
      </c>
      <c r="C496" t="s">
        <v>27</v>
      </c>
      <c r="D496" t="s">
        <v>40</v>
      </c>
      <c r="E496" t="s">
        <v>52</v>
      </c>
      <c r="F496">
        <v>1860545</v>
      </c>
      <c r="G496">
        <v>9.4</v>
      </c>
      <c r="H496" s="505">
        <v>590000</v>
      </c>
      <c r="I496" s="505">
        <v>838000</v>
      </c>
      <c r="J496" s="505">
        <v>626000</v>
      </c>
      <c r="K496">
        <v>0</v>
      </c>
      <c r="M496" s="505">
        <v>802000</v>
      </c>
      <c r="O496" s="505">
        <v>470774000</v>
      </c>
    </row>
    <row r="497" spans="1:15">
      <c r="A497" t="s">
        <v>1782</v>
      </c>
      <c r="B497" t="s">
        <v>3370</v>
      </c>
      <c r="C497" t="s">
        <v>2188</v>
      </c>
      <c r="D497" t="s">
        <v>1056</v>
      </c>
      <c r="E497" t="s">
        <v>2283</v>
      </c>
      <c r="F497" t="s">
        <v>2284</v>
      </c>
      <c r="G497">
        <v>2.67</v>
      </c>
      <c r="H497" s="505">
        <v>2546</v>
      </c>
      <c r="I497">
        <v>0</v>
      </c>
      <c r="J497">
        <v>0</v>
      </c>
      <c r="K497">
        <v>0</v>
      </c>
      <c r="M497" s="505">
        <v>2546</v>
      </c>
      <c r="O497">
        <v>0</v>
      </c>
    </row>
    <row r="498" spans="1:15">
      <c r="A498" t="s">
        <v>1839</v>
      </c>
      <c r="B498" t="s">
        <v>3015</v>
      </c>
      <c r="C498" t="s">
        <v>171</v>
      </c>
      <c r="D498" t="s">
        <v>172</v>
      </c>
      <c r="E498" t="s">
        <v>177</v>
      </c>
      <c r="F498">
        <v>4360565</v>
      </c>
      <c r="G498">
        <v>21.76</v>
      </c>
      <c r="H498" s="505">
        <v>571900</v>
      </c>
      <c r="I498" s="505">
        <v>193900</v>
      </c>
      <c r="J498" s="505">
        <v>268100</v>
      </c>
      <c r="K498">
        <v>0</v>
      </c>
      <c r="M498" s="505">
        <v>497700</v>
      </c>
      <c r="O498" s="505">
        <v>745554600</v>
      </c>
    </row>
    <row r="499" spans="1:15">
      <c r="A499" t="s">
        <v>1763</v>
      </c>
      <c r="B499" t="s">
        <v>2725</v>
      </c>
      <c r="C499" t="s">
        <v>489</v>
      </c>
      <c r="D499" t="s">
        <v>491</v>
      </c>
      <c r="E499" t="s">
        <v>492</v>
      </c>
      <c r="F499">
        <v>1000965</v>
      </c>
      <c r="G499">
        <v>12.13</v>
      </c>
      <c r="H499" s="505">
        <v>37000</v>
      </c>
      <c r="I499">
        <v>0</v>
      </c>
      <c r="J499">
        <v>0</v>
      </c>
      <c r="K499">
        <v>0</v>
      </c>
      <c r="M499" s="505">
        <v>37000</v>
      </c>
      <c r="O499" s="505">
        <v>38998000</v>
      </c>
    </row>
    <row r="500" spans="1:15">
      <c r="A500" t="s">
        <v>1763</v>
      </c>
      <c r="B500" t="s">
        <v>3038</v>
      </c>
      <c r="C500" t="s">
        <v>471</v>
      </c>
      <c r="D500" t="s">
        <v>473</v>
      </c>
      <c r="E500" t="s">
        <v>474</v>
      </c>
      <c r="F500">
        <v>1000780</v>
      </c>
      <c r="G500">
        <v>20.3</v>
      </c>
      <c r="H500" s="505">
        <v>54097</v>
      </c>
      <c r="I500">
        <v>0</v>
      </c>
      <c r="J500">
        <v>0</v>
      </c>
      <c r="K500">
        <v>0</v>
      </c>
      <c r="M500" s="505">
        <v>54097</v>
      </c>
      <c r="O500" s="505">
        <v>82119246</v>
      </c>
    </row>
    <row r="501" spans="1:15">
      <c r="A501" t="s">
        <v>1816</v>
      </c>
      <c r="B501" t="s">
        <v>3457</v>
      </c>
      <c r="C501" t="s">
        <v>1204</v>
      </c>
      <c r="D501" t="s">
        <v>720</v>
      </c>
      <c r="E501" t="s">
        <v>236</v>
      </c>
      <c r="F501" t="s">
        <v>2288</v>
      </c>
      <c r="G501">
        <v>16.96</v>
      </c>
      <c r="H501" s="505">
        <v>10450</v>
      </c>
      <c r="I501" s="505">
        <v>56500</v>
      </c>
      <c r="J501" s="505">
        <v>59000</v>
      </c>
      <c r="K501">
        <v>0</v>
      </c>
      <c r="M501" s="505">
        <v>7950</v>
      </c>
      <c r="O501" s="505">
        <v>31036800</v>
      </c>
    </row>
    <row r="502" spans="1:15">
      <c r="A502" t="s">
        <v>1813</v>
      </c>
      <c r="B502" t="s">
        <v>3217</v>
      </c>
      <c r="C502" t="s">
        <v>718</v>
      </c>
      <c r="D502" t="s">
        <v>720</v>
      </c>
      <c r="E502" t="s">
        <v>59</v>
      </c>
      <c r="F502" t="s">
        <v>2288</v>
      </c>
      <c r="G502">
        <v>1.9</v>
      </c>
      <c r="H502" s="505">
        <v>5800</v>
      </c>
      <c r="I502">
        <v>0</v>
      </c>
      <c r="J502">
        <v>0</v>
      </c>
      <c r="K502">
        <v>0</v>
      </c>
      <c r="M502" s="505">
        <v>5800</v>
      </c>
      <c r="O502" s="505">
        <v>9749800</v>
      </c>
    </row>
    <row r="503" spans="1:15">
      <c r="A503" t="s">
        <v>1755</v>
      </c>
      <c r="B503" t="s">
        <v>2813</v>
      </c>
      <c r="C503" t="s">
        <v>1682</v>
      </c>
      <c r="D503" t="s">
        <v>43</v>
      </c>
      <c r="E503" t="s">
        <v>371</v>
      </c>
      <c r="F503">
        <v>1001135</v>
      </c>
      <c r="G503">
        <v>104.5</v>
      </c>
      <c r="H503" s="505">
        <v>42900</v>
      </c>
      <c r="I503">
        <v>0</v>
      </c>
      <c r="J503" s="505">
        <v>11100</v>
      </c>
      <c r="K503">
        <v>0</v>
      </c>
      <c r="M503" s="505">
        <v>31800</v>
      </c>
      <c r="O503" s="505">
        <v>192835200</v>
      </c>
    </row>
    <row r="504" spans="1:15">
      <c r="B504" t="s">
        <v>2562</v>
      </c>
    </row>
  </sheetData>
  <phoneticPr fontId="7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00B0F0"/>
  </sheetPr>
  <dimension ref="A1:O444"/>
  <sheetViews>
    <sheetView workbookViewId="0">
      <selection activeCell="H18" sqref="H18"/>
    </sheetView>
  </sheetViews>
  <sheetFormatPr defaultColWidth="3.7109375" defaultRowHeight="15"/>
  <cols>
    <col min="1" max="1" width="3.85546875" bestFit="1" customWidth="1"/>
    <col min="2" max="2" width="12.7109375" bestFit="1" customWidth="1"/>
    <col min="3" max="3" width="22" bestFit="1" customWidth="1"/>
    <col min="4" max="4" width="13.85546875" bestFit="1" customWidth="1"/>
    <col min="5" max="5" width="8.28515625" bestFit="1" customWidth="1"/>
    <col min="6" max="6" width="9.85546875" bestFit="1" customWidth="1"/>
    <col min="7" max="7" width="12.28515625" bestFit="1" customWidth="1"/>
    <col min="8" max="8" width="11.5703125" bestFit="1" customWidth="1"/>
    <col min="9" max="9" width="11.85546875" bestFit="1" customWidth="1"/>
    <col min="10" max="10" width="16.5703125" bestFit="1" customWidth="1"/>
    <col min="11" max="11" width="13.140625" bestFit="1" customWidth="1"/>
    <col min="12" max="12" width="18.140625" bestFit="1" customWidth="1"/>
    <col min="13" max="13" width="17.28515625" style="499" customWidth="1"/>
    <col min="14" max="14" width="33.42578125" style="499" bestFit="1" customWidth="1"/>
    <col min="15" max="15" width="9.85546875" style="499" bestFit="1" customWidth="1"/>
    <col min="16" max="16384" width="3.7109375" style="499"/>
  </cols>
  <sheetData>
    <row r="1" spans="1:15" ht="16.5">
      <c r="A1" t="s">
        <v>2814</v>
      </c>
      <c r="B1" t="s">
        <v>2815</v>
      </c>
      <c r="C1" t="s">
        <v>292</v>
      </c>
      <c r="D1" t="s">
        <v>293</v>
      </c>
      <c r="E1" t="s">
        <v>2816</v>
      </c>
      <c r="F1" t="s">
        <v>2817</v>
      </c>
      <c r="G1" t="s">
        <v>2818</v>
      </c>
      <c r="H1" t="s">
        <v>2819</v>
      </c>
      <c r="I1" t="s">
        <v>2820</v>
      </c>
      <c r="J1" t="s">
        <v>2821</v>
      </c>
      <c r="K1" t="s">
        <v>2822</v>
      </c>
      <c r="L1" t="s">
        <v>2823</v>
      </c>
      <c r="N1" s="500" t="s">
        <v>2914</v>
      </c>
      <c r="O1" s="500" t="s">
        <v>2347</v>
      </c>
    </row>
    <row r="2" spans="1:15">
      <c r="A2">
        <v>1</v>
      </c>
      <c r="B2">
        <v>1000169</v>
      </c>
      <c r="C2" t="s">
        <v>133</v>
      </c>
      <c r="D2">
        <v>1.69</v>
      </c>
      <c r="E2">
        <v>0</v>
      </c>
      <c r="F2">
        <v>0</v>
      </c>
      <c r="G2">
        <v>114</v>
      </c>
      <c r="H2">
        <v>0</v>
      </c>
      <c r="I2">
        <v>0</v>
      </c>
      <c r="J2">
        <v>114</v>
      </c>
      <c r="K2">
        <v>114</v>
      </c>
      <c r="L2">
        <v>-114</v>
      </c>
      <c r="N2" s="499" t="str">
        <f>C2&amp;D2</f>
        <v>S10A HD1.69</v>
      </c>
      <c r="O2" s="501">
        <f>J2</f>
        <v>114</v>
      </c>
    </row>
    <row r="3" spans="1:15">
      <c r="A3">
        <v>2</v>
      </c>
      <c r="B3">
        <v>1000215</v>
      </c>
      <c r="C3" t="s">
        <v>133</v>
      </c>
      <c r="D3">
        <v>2.15</v>
      </c>
      <c r="E3">
        <v>0</v>
      </c>
      <c r="F3">
        <v>0</v>
      </c>
      <c r="G3">
        <v>7</v>
      </c>
      <c r="H3">
        <v>0</v>
      </c>
      <c r="I3">
        <v>0</v>
      </c>
      <c r="J3">
        <v>7</v>
      </c>
      <c r="K3">
        <v>7</v>
      </c>
      <c r="L3">
        <v>-7</v>
      </c>
      <c r="N3" s="499" t="str">
        <f t="shared" ref="N3:N66" si="0">C3&amp;D3</f>
        <v>S10A HD2.15</v>
      </c>
      <c r="O3" s="501">
        <f t="shared" ref="O3:O66" si="1">J3</f>
        <v>7</v>
      </c>
    </row>
    <row r="4" spans="1:15">
      <c r="A4">
        <v>3</v>
      </c>
      <c r="B4">
        <v>1000218</v>
      </c>
      <c r="C4" t="s">
        <v>133</v>
      </c>
      <c r="D4">
        <v>2.1800000000000002</v>
      </c>
      <c r="E4">
        <v>0</v>
      </c>
      <c r="F4">
        <v>0</v>
      </c>
      <c r="G4">
        <v>100</v>
      </c>
      <c r="H4">
        <v>0</v>
      </c>
      <c r="I4">
        <v>0</v>
      </c>
      <c r="J4">
        <v>100</v>
      </c>
      <c r="K4">
        <v>100</v>
      </c>
      <c r="L4">
        <v>-100</v>
      </c>
      <c r="N4" s="499" t="str">
        <f t="shared" si="0"/>
        <v>S10A HD2.18</v>
      </c>
      <c r="O4" s="501">
        <f t="shared" si="1"/>
        <v>100</v>
      </c>
    </row>
    <row r="5" spans="1:15">
      <c r="A5">
        <v>4</v>
      </c>
      <c r="B5">
        <v>1000225</v>
      </c>
      <c r="C5" t="s">
        <v>133</v>
      </c>
      <c r="D5">
        <v>2.25</v>
      </c>
      <c r="E5">
        <v>0</v>
      </c>
      <c r="F5">
        <v>0</v>
      </c>
      <c r="G5">
        <v>10</v>
      </c>
      <c r="H5">
        <v>0</v>
      </c>
      <c r="I5">
        <v>0</v>
      </c>
      <c r="J5">
        <v>10</v>
      </c>
      <c r="K5">
        <v>10</v>
      </c>
      <c r="L5">
        <v>-10</v>
      </c>
      <c r="M5" s="502"/>
      <c r="N5" s="499" t="str">
        <f t="shared" si="0"/>
        <v>S10A HD2.25</v>
      </c>
      <c r="O5" s="501">
        <f t="shared" si="1"/>
        <v>10</v>
      </c>
    </row>
    <row r="6" spans="1:15">
      <c r="A6">
        <v>5</v>
      </c>
      <c r="B6">
        <v>1000246</v>
      </c>
      <c r="C6" t="s">
        <v>133</v>
      </c>
      <c r="D6">
        <v>2.46</v>
      </c>
      <c r="E6">
        <v>178</v>
      </c>
      <c r="F6">
        <v>0</v>
      </c>
      <c r="G6" s="505">
        <v>1142</v>
      </c>
      <c r="H6">
        <v>0</v>
      </c>
      <c r="I6">
        <v>0</v>
      </c>
      <c r="J6" s="505">
        <v>1142</v>
      </c>
      <c r="K6" s="505">
        <v>1142</v>
      </c>
      <c r="L6">
        <v>-964</v>
      </c>
      <c r="M6" s="502"/>
      <c r="N6" s="499" t="str">
        <f t="shared" si="0"/>
        <v>S10A HD2.46</v>
      </c>
      <c r="O6" s="501">
        <f t="shared" si="1"/>
        <v>1142</v>
      </c>
    </row>
    <row r="7" spans="1:15">
      <c r="A7">
        <v>6</v>
      </c>
      <c r="B7">
        <v>1000260</v>
      </c>
      <c r="C7" t="s">
        <v>133</v>
      </c>
      <c r="D7">
        <v>2.6</v>
      </c>
      <c r="E7">
        <v>0</v>
      </c>
      <c r="F7">
        <v>0</v>
      </c>
      <c r="G7">
        <v>330</v>
      </c>
      <c r="H7">
        <v>0</v>
      </c>
      <c r="I7">
        <v>0</v>
      </c>
      <c r="J7">
        <v>330</v>
      </c>
      <c r="K7">
        <v>330</v>
      </c>
      <c r="L7">
        <v>-330</v>
      </c>
      <c r="N7" s="499" t="str">
        <f t="shared" si="0"/>
        <v>S10A HD2.6</v>
      </c>
      <c r="O7" s="501">
        <f t="shared" si="1"/>
        <v>330</v>
      </c>
    </row>
    <row r="8" spans="1:15">
      <c r="A8">
        <v>7</v>
      </c>
      <c r="B8">
        <v>1000295</v>
      </c>
      <c r="C8" t="s">
        <v>133</v>
      </c>
      <c r="D8">
        <v>2.95</v>
      </c>
      <c r="E8">
        <v>0</v>
      </c>
      <c r="F8">
        <v>0</v>
      </c>
      <c r="G8">
        <v>5</v>
      </c>
      <c r="H8">
        <v>0</v>
      </c>
      <c r="I8">
        <v>0</v>
      </c>
      <c r="J8">
        <v>5</v>
      </c>
      <c r="K8">
        <v>5</v>
      </c>
      <c r="L8">
        <v>-5</v>
      </c>
      <c r="N8" s="499" t="str">
        <f t="shared" si="0"/>
        <v>S10A HD2.95</v>
      </c>
      <c r="O8" s="501">
        <f t="shared" si="1"/>
        <v>5</v>
      </c>
    </row>
    <row r="9" spans="1:15">
      <c r="A9">
        <v>8</v>
      </c>
      <c r="B9">
        <v>1000300</v>
      </c>
      <c r="C9" t="s">
        <v>133</v>
      </c>
      <c r="D9">
        <v>3</v>
      </c>
      <c r="E9">
        <v>0</v>
      </c>
      <c r="F9">
        <v>0</v>
      </c>
      <c r="G9">
        <v>18</v>
      </c>
      <c r="H9">
        <v>0</v>
      </c>
      <c r="I9">
        <v>0</v>
      </c>
      <c r="J9">
        <v>18</v>
      </c>
      <c r="K9">
        <v>18</v>
      </c>
      <c r="L9">
        <v>-18</v>
      </c>
      <c r="N9" s="499" t="str">
        <f t="shared" si="0"/>
        <v>S10A HD3</v>
      </c>
      <c r="O9" s="501">
        <f t="shared" si="1"/>
        <v>18</v>
      </c>
    </row>
    <row r="10" spans="1:15">
      <c r="A10">
        <v>9</v>
      </c>
      <c r="B10">
        <v>1000320</v>
      </c>
      <c r="C10" t="s">
        <v>133</v>
      </c>
      <c r="D10">
        <v>3.2</v>
      </c>
      <c r="E10">
        <v>0</v>
      </c>
      <c r="F10">
        <v>0</v>
      </c>
      <c r="G10">
        <v>631</v>
      </c>
      <c r="H10">
        <v>0</v>
      </c>
      <c r="I10">
        <v>0</v>
      </c>
      <c r="J10">
        <v>631</v>
      </c>
      <c r="K10">
        <v>631</v>
      </c>
      <c r="L10">
        <v>-631</v>
      </c>
      <c r="N10" s="499" t="str">
        <f t="shared" si="0"/>
        <v>S10A HD3.2</v>
      </c>
      <c r="O10" s="501">
        <f t="shared" si="1"/>
        <v>631</v>
      </c>
    </row>
    <row r="11" spans="1:15">
      <c r="A11">
        <v>10</v>
      </c>
      <c r="B11">
        <v>1000325</v>
      </c>
      <c r="C11" t="s">
        <v>133</v>
      </c>
      <c r="D11">
        <v>3.25</v>
      </c>
      <c r="E11">
        <v>0</v>
      </c>
      <c r="F11">
        <v>0</v>
      </c>
      <c r="G11">
        <v>249</v>
      </c>
      <c r="H11">
        <v>0</v>
      </c>
      <c r="I11">
        <v>0</v>
      </c>
      <c r="J11">
        <v>249</v>
      </c>
      <c r="K11">
        <v>249</v>
      </c>
      <c r="L11">
        <v>-249</v>
      </c>
      <c r="M11" s="502"/>
      <c r="N11" s="499" t="str">
        <f t="shared" si="0"/>
        <v>S10A HD3.25</v>
      </c>
      <c r="O11" s="501">
        <f t="shared" si="1"/>
        <v>249</v>
      </c>
    </row>
    <row r="12" spans="1:15">
      <c r="A12">
        <v>11</v>
      </c>
      <c r="B12">
        <v>1000345</v>
      </c>
      <c r="C12" t="s">
        <v>133</v>
      </c>
      <c r="D12">
        <v>3.45</v>
      </c>
      <c r="E12">
        <v>214</v>
      </c>
      <c r="F12">
        <v>0</v>
      </c>
      <c r="G12">
        <v>700</v>
      </c>
      <c r="H12">
        <v>37</v>
      </c>
      <c r="I12">
        <v>0</v>
      </c>
      <c r="J12">
        <v>737</v>
      </c>
      <c r="K12">
        <v>737</v>
      </c>
      <c r="L12">
        <v>-523</v>
      </c>
      <c r="N12" s="499" t="str">
        <f t="shared" si="0"/>
        <v>S10A HD3.45</v>
      </c>
      <c r="O12" s="501">
        <f t="shared" si="1"/>
        <v>737</v>
      </c>
    </row>
    <row r="13" spans="1:15">
      <c r="A13">
        <v>12</v>
      </c>
      <c r="B13">
        <v>1000355</v>
      </c>
      <c r="C13" t="s">
        <v>133</v>
      </c>
      <c r="D13">
        <v>3.55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 s="499" t="str">
        <f t="shared" si="0"/>
        <v>S10A HD3.55</v>
      </c>
      <c r="O13" s="501">
        <f t="shared" si="1"/>
        <v>0</v>
      </c>
    </row>
    <row r="14" spans="1:15">
      <c r="A14">
        <v>13</v>
      </c>
      <c r="B14">
        <v>1000380</v>
      </c>
      <c r="C14" t="s">
        <v>133</v>
      </c>
      <c r="D14">
        <v>3.8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 s="499" t="str">
        <f t="shared" si="0"/>
        <v>S10A HD3.8</v>
      </c>
      <c r="O14" s="501">
        <f t="shared" si="1"/>
        <v>0</v>
      </c>
    </row>
    <row r="15" spans="1:15">
      <c r="A15">
        <v>14</v>
      </c>
      <c r="B15">
        <v>1000392</v>
      </c>
      <c r="C15" t="s">
        <v>133</v>
      </c>
      <c r="D15">
        <v>3.92</v>
      </c>
      <c r="E15">
        <v>0</v>
      </c>
      <c r="F15">
        <v>0</v>
      </c>
      <c r="G15">
        <v>25</v>
      </c>
      <c r="H15">
        <v>0</v>
      </c>
      <c r="I15">
        <v>0</v>
      </c>
      <c r="J15">
        <v>25</v>
      </c>
      <c r="K15">
        <v>25</v>
      </c>
      <c r="L15">
        <v>-25</v>
      </c>
      <c r="M15" s="502"/>
      <c r="N15" s="499" t="str">
        <f t="shared" si="0"/>
        <v>S10A HD3.92</v>
      </c>
      <c r="O15" s="501">
        <f t="shared" si="1"/>
        <v>25</v>
      </c>
    </row>
    <row r="16" spans="1:15">
      <c r="A16">
        <v>15</v>
      </c>
      <c r="B16">
        <v>1000406</v>
      </c>
      <c r="C16" t="s">
        <v>133</v>
      </c>
      <c r="D16">
        <v>4.0599999999999996</v>
      </c>
      <c r="E16" s="505">
        <v>1064</v>
      </c>
      <c r="F16">
        <v>0</v>
      </c>
      <c r="G16" s="505">
        <v>2080</v>
      </c>
      <c r="H16">
        <v>0</v>
      </c>
      <c r="I16">
        <v>0</v>
      </c>
      <c r="J16" s="505">
        <v>2080</v>
      </c>
      <c r="K16" s="505">
        <v>2080</v>
      </c>
      <c r="L16" s="505">
        <v>-1016</v>
      </c>
      <c r="N16" s="499" t="str">
        <f t="shared" si="0"/>
        <v>S10A HD4.06</v>
      </c>
      <c r="O16" s="501">
        <f t="shared" si="1"/>
        <v>2080</v>
      </c>
    </row>
    <row r="17" spans="1:15">
      <c r="A17">
        <v>16</v>
      </c>
      <c r="B17">
        <v>1000420</v>
      </c>
      <c r="C17" t="s">
        <v>133</v>
      </c>
      <c r="D17">
        <v>4.2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 s="499" t="str">
        <f t="shared" si="0"/>
        <v>S10A HD4.2</v>
      </c>
      <c r="O17" s="501">
        <f t="shared" si="1"/>
        <v>0</v>
      </c>
    </row>
    <row r="18" spans="1:15">
      <c r="A18">
        <v>17</v>
      </c>
      <c r="B18">
        <v>1000426</v>
      </c>
      <c r="C18" t="s">
        <v>133</v>
      </c>
      <c r="D18">
        <v>4.26</v>
      </c>
      <c r="E18">
        <v>89</v>
      </c>
      <c r="F18">
        <v>0</v>
      </c>
      <c r="G18">
        <v>290</v>
      </c>
      <c r="H18">
        <v>0</v>
      </c>
      <c r="I18">
        <v>0</v>
      </c>
      <c r="J18">
        <v>290</v>
      </c>
      <c r="K18">
        <v>290</v>
      </c>
      <c r="L18">
        <v>-201</v>
      </c>
      <c r="N18" s="499" t="str">
        <f t="shared" si="0"/>
        <v>S10A HD4.26</v>
      </c>
      <c r="O18" s="501">
        <f t="shared" si="1"/>
        <v>290</v>
      </c>
    </row>
    <row r="19" spans="1:15">
      <c r="A19">
        <v>18</v>
      </c>
      <c r="B19">
        <v>1000436</v>
      </c>
      <c r="C19" t="s">
        <v>133</v>
      </c>
      <c r="D19">
        <v>4.3600000000000003</v>
      </c>
      <c r="E19">
        <v>0</v>
      </c>
      <c r="F19">
        <v>0</v>
      </c>
      <c r="G19">
        <v>656</v>
      </c>
      <c r="H19">
        <v>0</v>
      </c>
      <c r="I19">
        <v>0</v>
      </c>
      <c r="J19">
        <v>656</v>
      </c>
      <c r="K19">
        <v>656</v>
      </c>
      <c r="L19">
        <v>-656</v>
      </c>
      <c r="N19" s="499" t="str">
        <f t="shared" si="0"/>
        <v>S10A HD4.36</v>
      </c>
      <c r="O19" s="501">
        <f t="shared" si="1"/>
        <v>656</v>
      </c>
    </row>
    <row r="20" spans="1:15">
      <c r="A20">
        <v>19</v>
      </c>
      <c r="B20">
        <v>1000445</v>
      </c>
      <c r="C20" t="s">
        <v>133</v>
      </c>
      <c r="D20">
        <v>4.45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502"/>
      <c r="N20" s="499" t="str">
        <f t="shared" si="0"/>
        <v>S10A HD4.45</v>
      </c>
      <c r="O20" s="501">
        <f t="shared" si="1"/>
        <v>0</v>
      </c>
    </row>
    <row r="21" spans="1:15">
      <c r="A21">
        <v>20</v>
      </c>
      <c r="B21">
        <v>1000450</v>
      </c>
      <c r="C21" t="s">
        <v>133</v>
      </c>
      <c r="D21">
        <v>4.5</v>
      </c>
      <c r="E21">
        <v>0</v>
      </c>
      <c r="F21">
        <v>0</v>
      </c>
      <c r="G21" s="505">
        <v>1677</v>
      </c>
      <c r="H21">
        <v>59</v>
      </c>
      <c r="I21">
        <v>0</v>
      </c>
      <c r="J21" s="505">
        <v>1736</v>
      </c>
      <c r="K21" s="505">
        <v>1736</v>
      </c>
      <c r="L21" s="505">
        <v>-1736</v>
      </c>
      <c r="N21" s="499" t="str">
        <f t="shared" si="0"/>
        <v>S10A HD4.5</v>
      </c>
      <c r="O21" s="501">
        <f t="shared" si="1"/>
        <v>1736</v>
      </c>
    </row>
    <row r="22" spans="1:15">
      <c r="A22">
        <v>21</v>
      </c>
      <c r="B22">
        <v>1000467</v>
      </c>
      <c r="C22" t="s">
        <v>133</v>
      </c>
      <c r="D22">
        <v>4.67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 s="499" t="str">
        <f t="shared" si="0"/>
        <v>S10A HD4.67</v>
      </c>
      <c r="O22" s="501">
        <f t="shared" si="1"/>
        <v>0</v>
      </c>
    </row>
    <row r="23" spans="1:15">
      <c r="A23">
        <v>22</v>
      </c>
      <c r="B23">
        <v>1000525</v>
      </c>
      <c r="C23" t="s">
        <v>133</v>
      </c>
      <c r="D23">
        <v>5.25</v>
      </c>
      <c r="E23">
        <v>0</v>
      </c>
      <c r="F23">
        <v>0</v>
      </c>
      <c r="G23" s="505">
        <v>1302</v>
      </c>
      <c r="H23">
        <v>0</v>
      </c>
      <c r="I23">
        <v>0</v>
      </c>
      <c r="J23" s="505">
        <v>1302</v>
      </c>
      <c r="K23" s="505">
        <v>1302</v>
      </c>
      <c r="L23" s="505">
        <v>-1302</v>
      </c>
      <c r="M23" s="502"/>
      <c r="N23" s="499" t="str">
        <f t="shared" si="0"/>
        <v>S10A HD5.25</v>
      </c>
      <c r="O23" s="501">
        <f t="shared" si="1"/>
        <v>1302</v>
      </c>
    </row>
    <row r="24" spans="1:15">
      <c r="A24">
        <v>23</v>
      </c>
      <c r="B24">
        <v>1000590</v>
      </c>
      <c r="C24" t="s">
        <v>133</v>
      </c>
      <c r="D24">
        <v>5.9</v>
      </c>
      <c r="E24">
        <v>33</v>
      </c>
      <c r="F24">
        <v>0</v>
      </c>
      <c r="G24">
        <v>112</v>
      </c>
      <c r="H24">
        <v>0</v>
      </c>
      <c r="I24">
        <v>0</v>
      </c>
      <c r="J24">
        <v>112</v>
      </c>
      <c r="K24">
        <v>112</v>
      </c>
      <c r="L24">
        <v>-79</v>
      </c>
      <c r="N24" s="499" t="str">
        <f t="shared" si="0"/>
        <v>S10A HD5.9</v>
      </c>
      <c r="O24" s="501">
        <f t="shared" si="1"/>
        <v>112</v>
      </c>
    </row>
    <row r="25" spans="1:15">
      <c r="A25">
        <v>24</v>
      </c>
      <c r="B25">
        <v>1000605</v>
      </c>
      <c r="C25" t="s">
        <v>133</v>
      </c>
      <c r="D25">
        <v>6.05</v>
      </c>
      <c r="E25">
        <v>0</v>
      </c>
      <c r="F25">
        <v>0</v>
      </c>
      <c r="G25" s="505">
        <v>2222</v>
      </c>
      <c r="H25">
        <v>0</v>
      </c>
      <c r="I25">
        <v>0</v>
      </c>
      <c r="J25" s="505">
        <v>2222</v>
      </c>
      <c r="K25" s="505">
        <v>2222</v>
      </c>
      <c r="L25" s="505">
        <v>-2222</v>
      </c>
      <c r="M25" s="502"/>
      <c r="N25" s="499" t="str">
        <f t="shared" si="0"/>
        <v>S10A HD6.05</v>
      </c>
      <c r="O25" s="501">
        <f t="shared" si="1"/>
        <v>2222</v>
      </c>
    </row>
    <row r="26" spans="1:15">
      <c r="A26">
        <v>25</v>
      </c>
      <c r="B26">
        <v>1000705</v>
      </c>
      <c r="C26" t="s">
        <v>133</v>
      </c>
      <c r="D26">
        <v>7.05</v>
      </c>
      <c r="E26" s="505">
        <v>3500</v>
      </c>
      <c r="F26" s="505">
        <v>1552</v>
      </c>
      <c r="G26" s="505">
        <v>9193</v>
      </c>
      <c r="H26">
        <v>98</v>
      </c>
      <c r="I26">
        <v>0</v>
      </c>
      <c r="J26" s="505">
        <v>9291</v>
      </c>
      <c r="K26" s="505">
        <v>9291</v>
      </c>
      <c r="L26" s="505">
        <v>-7343</v>
      </c>
      <c r="M26" s="502"/>
      <c r="N26" s="499" t="str">
        <f t="shared" si="0"/>
        <v>S10A HD7.05</v>
      </c>
      <c r="O26" s="501">
        <f t="shared" si="1"/>
        <v>9291</v>
      </c>
    </row>
    <row r="27" spans="1:15">
      <c r="A27">
        <v>26</v>
      </c>
      <c r="B27">
        <v>1000780</v>
      </c>
      <c r="C27" t="s">
        <v>133</v>
      </c>
      <c r="D27">
        <v>7.8</v>
      </c>
      <c r="E27">
        <v>0</v>
      </c>
      <c r="F27">
        <v>0</v>
      </c>
      <c r="G27" s="505">
        <v>1005</v>
      </c>
      <c r="H27">
        <v>594</v>
      </c>
      <c r="I27">
        <v>0</v>
      </c>
      <c r="J27" s="505">
        <v>1599</v>
      </c>
      <c r="K27" s="505">
        <v>1599</v>
      </c>
      <c r="L27" s="505">
        <v>-1599</v>
      </c>
      <c r="N27" s="499" t="str">
        <f t="shared" si="0"/>
        <v>S10A HD7.8</v>
      </c>
      <c r="O27" s="501">
        <f t="shared" si="1"/>
        <v>1599</v>
      </c>
    </row>
    <row r="28" spans="1:15">
      <c r="A28">
        <v>27</v>
      </c>
      <c r="B28">
        <v>1000790</v>
      </c>
      <c r="C28" t="s">
        <v>133</v>
      </c>
      <c r="D28">
        <v>7.9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 s="499" t="str">
        <f t="shared" si="0"/>
        <v>S10A HD7.9</v>
      </c>
      <c r="O28" s="501">
        <f t="shared" si="1"/>
        <v>0</v>
      </c>
    </row>
    <row r="29" spans="1:15">
      <c r="A29">
        <v>28</v>
      </c>
      <c r="B29">
        <v>1000885</v>
      </c>
      <c r="C29" t="s">
        <v>133</v>
      </c>
      <c r="D29">
        <v>8.85</v>
      </c>
      <c r="E29">
        <v>0</v>
      </c>
      <c r="F29">
        <v>0</v>
      </c>
      <c r="G29" s="505">
        <v>1234</v>
      </c>
      <c r="H29">
        <v>85</v>
      </c>
      <c r="I29">
        <v>0</v>
      </c>
      <c r="J29" s="505">
        <v>1319</v>
      </c>
      <c r="K29" s="505">
        <v>1319</v>
      </c>
      <c r="L29" s="505">
        <v>-1319</v>
      </c>
      <c r="M29" s="502"/>
      <c r="N29" s="499" t="str">
        <f t="shared" si="0"/>
        <v>S10A HD8.85</v>
      </c>
      <c r="O29" s="501">
        <f t="shared" si="1"/>
        <v>1319</v>
      </c>
    </row>
    <row r="30" spans="1:15">
      <c r="A30">
        <v>29</v>
      </c>
      <c r="B30">
        <v>1000965</v>
      </c>
      <c r="C30" t="s">
        <v>133</v>
      </c>
      <c r="D30">
        <v>9.65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502"/>
      <c r="N30" s="499" t="str">
        <f t="shared" si="0"/>
        <v>S10A HD9.65</v>
      </c>
      <c r="O30" s="501">
        <f t="shared" si="1"/>
        <v>0</v>
      </c>
    </row>
    <row r="31" spans="1:15">
      <c r="A31">
        <v>30</v>
      </c>
      <c r="B31">
        <v>1000988</v>
      </c>
      <c r="C31" t="s">
        <v>133</v>
      </c>
      <c r="D31">
        <v>9.8800000000000008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s="502"/>
      <c r="N31" s="499" t="str">
        <f t="shared" si="0"/>
        <v>S10A HD9.88</v>
      </c>
      <c r="O31" s="501">
        <f t="shared" si="1"/>
        <v>0</v>
      </c>
    </row>
    <row r="32" spans="1:15">
      <c r="A32">
        <v>31</v>
      </c>
      <c r="B32">
        <v>1000996</v>
      </c>
      <c r="C32" t="s">
        <v>133</v>
      </c>
      <c r="D32">
        <v>9.9600000000000009</v>
      </c>
      <c r="E32" s="505">
        <v>8880</v>
      </c>
      <c r="F32" s="505">
        <v>6450</v>
      </c>
      <c r="G32" s="505">
        <v>9945</v>
      </c>
      <c r="H32">
        <v>0</v>
      </c>
      <c r="I32">
        <v>0</v>
      </c>
      <c r="J32" s="505">
        <v>9945</v>
      </c>
      <c r="K32" s="505">
        <v>9945</v>
      </c>
      <c r="L32" s="505">
        <v>-7515</v>
      </c>
      <c r="M32" s="502"/>
      <c r="N32" s="499" t="str">
        <f t="shared" si="0"/>
        <v>S10A HD9.96</v>
      </c>
      <c r="O32" s="501">
        <f t="shared" si="1"/>
        <v>9945</v>
      </c>
    </row>
    <row r="33" spans="1:15">
      <c r="A33">
        <v>32</v>
      </c>
      <c r="B33">
        <v>1001072</v>
      </c>
      <c r="C33" t="s">
        <v>133</v>
      </c>
      <c r="D33">
        <v>10.72</v>
      </c>
      <c r="E33" s="505">
        <v>1692</v>
      </c>
      <c r="F33" s="505">
        <v>3000</v>
      </c>
      <c r="G33">
        <v>727</v>
      </c>
      <c r="H33" s="505">
        <v>2605</v>
      </c>
      <c r="I33">
        <v>0</v>
      </c>
      <c r="J33" s="505">
        <v>3332</v>
      </c>
      <c r="K33" s="505">
        <v>3332</v>
      </c>
      <c r="L33" s="505">
        <v>-4640</v>
      </c>
      <c r="M33" s="502"/>
      <c r="N33" s="499" t="str">
        <f t="shared" si="0"/>
        <v>S10A HD10.72</v>
      </c>
      <c r="O33" s="501">
        <f t="shared" si="1"/>
        <v>3332</v>
      </c>
    </row>
    <row r="34" spans="1:15">
      <c r="A34">
        <v>33</v>
      </c>
      <c r="B34">
        <v>1001135</v>
      </c>
      <c r="C34" t="s">
        <v>133</v>
      </c>
      <c r="D34">
        <v>11.35</v>
      </c>
      <c r="E34">
        <v>0</v>
      </c>
      <c r="F34">
        <v>0</v>
      </c>
      <c r="G34" s="505">
        <v>1612</v>
      </c>
      <c r="H34">
        <v>0</v>
      </c>
      <c r="I34">
        <v>0</v>
      </c>
      <c r="J34" s="505">
        <v>1612</v>
      </c>
      <c r="K34" s="505">
        <v>1612</v>
      </c>
      <c r="L34" s="505">
        <v>-1612</v>
      </c>
      <c r="M34" s="502"/>
      <c r="N34" s="499" t="str">
        <f t="shared" si="0"/>
        <v>S10A HD11.35</v>
      </c>
      <c r="O34" s="501">
        <f t="shared" si="1"/>
        <v>1612</v>
      </c>
    </row>
    <row r="35" spans="1:15">
      <c r="A35">
        <v>34</v>
      </c>
      <c r="B35">
        <v>1001220</v>
      </c>
      <c r="C35" t="s">
        <v>133</v>
      </c>
      <c r="D35">
        <v>12.2</v>
      </c>
      <c r="E35" s="505">
        <v>3443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05">
        <v>3443</v>
      </c>
      <c r="N35" s="499" t="str">
        <f t="shared" si="0"/>
        <v>S10A HD12.2</v>
      </c>
      <c r="O35" s="501">
        <f t="shared" si="1"/>
        <v>0</v>
      </c>
    </row>
    <row r="36" spans="1:15">
      <c r="A36">
        <v>35</v>
      </c>
      <c r="B36" t="s">
        <v>2657</v>
      </c>
      <c r="C36" t="s">
        <v>2631</v>
      </c>
      <c r="D36">
        <v>2.15</v>
      </c>
      <c r="E36">
        <v>0</v>
      </c>
      <c r="F36">
        <v>0</v>
      </c>
      <c r="G36">
        <v>40</v>
      </c>
      <c r="H36">
        <v>0</v>
      </c>
      <c r="I36">
        <v>0</v>
      </c>
      <c r="J36">
        <v>40</v>
      </c>
      <c r="K36">
        <v>40</v>
      </c>
      <c r="L36">
        <v>-40</v>
      </c>
      <c r="M36" s="502"/>
      <c r="N36" s="499" t="str">
        <f t="shared" si="0"/>
        <v>10B21 SAIP (F)2.15</v>
      </c>
      <c r="O36" s="501">
        <f t="shared" si="1"/>
        <v>40</v>
      </c>
    </row>
    <row r="37" spans="1:15">
      <c r="A37">
        <v>36</v>
      </c>
      <c r="B37" t="s">
        <v>2658</v>
      </c>
      <c r="C37" t="s">
        <v>2346</v>
      </c>
      <c r="D37">
        <v>5.45</v>
      </c>
      <c r="E37">
        <v>0</v>
      </c>
      <c r="F37">
        <v>0</v>
      </c>
      <c r="G37">
        <v>124</v>
      </c>
      <c r="H37">
        <v>0</v>
      </c>
      <c r="I37">
        <v>0</v>
      </c>
      <c r="J37">
        <v>124</v>
      </c>
      <c r="K37">
        <v>124</v>
      </c>
      <c r="L37">
        <v>-124</v>
      </c>
      <c r="N37" s="499" t="str">
        <f t="shared" si="0"/>
        <v>10B33 PASAIP (F)5.45</v>
      </c>
      <c r="O37" s="501">
        <f t="shared" si="1"/>
        <v>124</v>
      </c>
    </row>
    <row r="38" spans="1:15">
      <c r="A38">
        <v>37</v>
      </c>
      <c r="B38">
        <v>1200260</v>
      </c>
      <c r="C38" t="s">
        <v>1720</v>
      </c>
      <c r="D38">
        <v>2.6</v>
      </c>
      <c r="E38">
        <v>183</v>
      </c>
      <c r="F38">
        <v>0</v>
      </c>
      <c r="G38">
        <v>204</v>
      </c>
      <c r="H38">
        <v>376</v>
      </c>
      <c r="I38">
        <v>0</v>
      </c>
      <c r="J38">
        <v>580</v>
      </c>
      <c r="K38">
        <v>580</v>
      </c>
      <c r="L38">
        <v>-397</v>
      </c>
      <c r="N38" s="499" t="str">
        <f t="shared" si="0"/>
        <v>S12A HD2.6</v>
      </c>
      <c r="O38" s="501">
        <f t="shared" si="1"/>
        <v>580</v>
      </c>
    </row>
    <row r="39" spans="1:15">
      <c r="A39">
        <v>38</v>
      </c>
      <c r="B39">
        <v>1200345</v>
      </c>
      <c r="C39" t="s">
        <v>1720</v>
      </c>
      <c r="D39">
        <v>3.45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N39" s="499" t="str">
        <f t="shared" si="0"/>
        <v>S12A HD3.45</v>
      </c>
      <c r="O39" s="501">
        <f t="shared" si="1"/>
        <v>0</v>
      </c>
    </row>
    <row r="40" spans="1:15">
      <c r="A40">
        <v>39</v>
      </c>
      <c r="B40">
        <v>1650320</v>
      </c>
      <c r="C40" t="s">
        <v>3403</v>
      </c>
      <c r="D40">
        <v>3.2</v>
      </c>
      <c r="E40">
        <v>117</v>
      </c>
      <c r="F40">
        <v>200</v>
      </c>
      <c r="G40">
        <v>18</v>
      </c>
      <c r="H40">
        <v>0</v>
      </c>
      <c r="I40">
        <v>0</v>
      </c>
      <c r="J40">
        <v>18</v>
      </c>
      <c r="K40">
        <v>18</v>
      </c>
      <c r="L40">
        <v>-101</v>
      </c>
      <c r="N40" s="499" t="str">
        <f t="shared" si="0"/>
        <v>S16A SAIP (F)3.2</v>
      </c>
      <c r="O40" s="501">
        <f t="shared" si="1"/>
        <v>18</v>
      </c>
    </row>
    <row r="41" spans="1:15">
      <c r="A41">
        <v>40</v>
      </c>
      <c r="B41">
        <v>1650395</v>
      </c>
      <c r="C41" t="s">
        <v>2856</v>
      </c>
      <c r="D41">
        <v>3.95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 s="499" t="str">
        <f t="shared" si="0"/>
        <v>S16A SAIP3.95</v>
      </c>
      <c r="O41" s="501">
        <f t="shared" si="1"/>
        <v>0</v>
      </c>
    </row>
    <row r="42" spans="1:15">
      <c r="A42">
        <v>41</v>
      </c>
      <c r="B42">
        <v>1650436</v>
      </c>
      <c r="C42" t="s">
        <v>2856</v>
      </c>
      <c r="D42">
        <v>4.3600000000000003</v>
      </c>
      <c r="E42">
        <v>0</v>
      </c>
      <c r="F42">
        <v>0</v>
      </c>
      <c r="G42">
        <v>17</v>
      </c>
      <c r="H42">
        <v>0</v>
      </c>
      <c r="I42">
        <v>0</v>
      </c>
      <c r="J42">
        <v>17</v>
      </c>
      <c r="K42">
        <v>17</v>
      </c>
      <c r="L42">
        <v>-17</v>
      </c>
      <c r="N42" s="499" t="str">
        <f t="shared" si="0"/>
        <v>S16A SAIP4.36</v>
      </c>
      <c r="O42" s="501">
        <f t="shared" si="1"/>
        <v>17</v>
      </c>
    </row>
    <row r="43" spans="1:15">
      <c r="A43">
        <v>42</v>
      </c>
      <c r="B43">
        <v>1660395</v>
      </c>
      <c r="C43" t="s">
        <v>3149</v>
      </c>
      <c r="D43">
        <v>3.95</v>
      </c>
      <c r="E43">
        <v>541</v>
      </c>
      <c r="F43">
        <v>0</v>
      </c>
      <c r="G43" s="505">
        <v>1020</v>
      </c>
      <c r="H43">
        <v>0</v>
      </c>
      <c r="I43">
        <v>0</v>
      </c>
      <c r="J43" s="505">
        <v>1020</v>
      </c>
      <c r="K43" s="505">
        <v>1020</v>
      </c>
      <c r="L43">
        <v>-479</v>
      </c>
      <c r="N43" s="499" t="str">
        <f t="shared" si="0"/>
        <v>S16A SAIP (Y)3.95</v>
      </c>
      <c r="O43" s="501">
        <f t="shared" si="1"/>
        <v>1020</v>
      </c>
    </row>
    <row r="44" spans="1:15">
      <c r="A44">
        <v>43</v>
      </c>
      <c r="B44">
        <v>1810171</v>
      </c>
      <c r="C44" t="s">
        <v>136</v>
      </c>
      <c r="D44">
        <v>1.71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N44" s="499" t="str">
        <f t="shared" si="0"/>
        <v>S18A SAIP1.71</v>
      </c>
      <c r="O44" s="501">
        <f t="shared" si="1"/>
        <v>0</v>
      </c>
    </row>
    <row r="45" spans="1:15">
      <c r="A45">
        <v>44</v>
      </c>
      <c r="B45">
        <v>1810320</v>
      </c>
      <c r="C45" t="s">
        <v>136</v>
      </c>
      <c r="D45">
        <v>3.2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N45" s="499" t="str">
        <f t="shared" si="0"/>
        <v>S18A SAIP3.2</v>
      </c>
      <c r="O45" s="501">
        <f t="shared" si="1"/>
        <v>0</v>
      </c>
    </row>
    <row r="46" spans="1:15">
      <c r="A46">
        <v>45</v>
      </c>
      <c r="B46">
        <v>1810630</v>
      </c>
      <c r="C46" t="s">
        <v>1727</v>
      </c>
      <c r="D46">
        <v>6.3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 s="499" t="str">
        <f t="shared" si="0"/>
        <v>S18A HD6.3</v>
      </c>
      <c r="O46" s="501">
        <f t="shared" si="1"/>
        <v>0</v>
      </c>
    </row>
    <row r="47" spans="1:15">
      <c r="A47">
        <v>46</v>
      </c>
      <c r="B47">
        <v>1810675</v>
      </c>
      <c r="C47" t="s">
        <v>136</v>
      </c>
      <c r="D47">
        <v>6.75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 s="499" t="str">
        <f t="shared" si="0"/>
        <v>S18A SAIP6.75</v>
      </c>
      <c r="O47" s="501">
        <f t="shared" si="1"/>
        <v>0</v>
      </c>
    </row>
    <row r="48" spans="1:15">
      <c r="A48">
        <v>47</v>
      </c>
      <c r="B48">
        <v>1820545</v>
      </c>
      <c r="C48" t="s">
        <v>1289</v>
      </c>
      <c r="D48">
        <v>5.45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N48" s="499" t="str">
        <f t="shared" si="0"/>
        <v>S18A (S)AIP5.45</v>
      </c>
      <c r="O48" s="501">
        <f t="shared" si="1"/>
        <v>0</v>
      </c>
    </row>
    <row r="49" spans="1:15">
      <c r="A49">
        <v>48</v>
      </c>
      <c r="B49">
        <v>1820630</v>
      </c>
      <c r="C49" t="s">
        <v>1289</v>
      </c>
      <c r="D49">
        <v>6.3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N49" s="499" t="str">
        <f t="shared" si="0"/>
        <v>S18A (S)AIP6.3</v>
      </c>
      <c r="O49" s="501">
        <f t="shared" si="1"/>
        <v>0</v>
      </c>
    </row>
    <row r="50" spans="1:15">
      <c r="A50">
        <v>49</v>
      </c>
      <c r="B50">
        <v>1820695</v>
      </c>
      <c r="C50" t="s">
        <v>1289</v>
      </c>
      <c r="D50">
        <v>6.95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 s="499" t="str">
        <f t="shared" si="0"/>
        <v>S18A (S)AIP6.95</v>
      </c>
      <c r="O50" s="501">
        <f t="shared" si="1"/>
        <v>0</v>
      </c>
    </row>
    <row r="51" spans="1:15">
      <c r="A51">
        <v>50</v>
      </c>
      <c r="B51">
        <v>1850165</v>
      </c>
      <c r="C51" t="s">
        <v>1703</v>
      </c>
      <c r="D51">
        <v>1.65</v>
      </c>
      <c r="E51">
        <v>0</v>
      </c>
      <c r="F51">
        <v>0</v>
      </c>
      <c r="G51">
        <v>146</v>
      </c>
      <c r="H51">
        <v>0</v>
      </c>
      <c r="I51">
        <v>0</v>
      </c>
      <c r="J51">
        <v>146</v>
      </c>
      <c r="K51">
        <v>146</v>
      </c>
      <c r="L51">
        <v>-146</v>
      </c>
      <c r="N51" s="499" t="str">
        <f t="shared" si="0"/>
        <v>S18A SAIP (F)1.65</v>
      </c>
      <c r="O51" s="501">
        <f t="shared" si="1"/>
        <v>146</v>
      </c>
    </row>
    <row r="52" spans="1:15">
      <c r="A52">
        <v>51</v>
      </c>
      <c r="B52">
        <v>1850169</v>
      </c>
      <c r="C52" t="s">
        <v>1703</v>
      </c>
      <c r="D52">
        <v>1.69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 s="499" t="str">
        <f t="shared" si="0"/>
        <v>S18A SAIP (F)1.69</v>
      </c>
      <c r="O52" s="501">
        <f t="shared" si="1"/>
        <v>0</v>
      </c>
    </row>
    <row r="53" spans="1:15">
      <c r="A53">
        <v>52</v>
      </c>
      <c r="B53">
        <v>1850171</v>
      </c>
      <c r="C53" t="s">
        <v>1703</v>
      </c>
      <c r="D53">
        <v>1.71</v>
      </c>
      <c r="E53">
        <v>0</v>
      </c>
      <c r="F53">
        <v>0</v>
      </c>
      <c r="G53">
        <v>90</v>
      </c>
      <c r="H53">
        <v>0</v>
      </c>
      <c r="I53">
        <v>0</v>
      </c>
      <c r="J53">
        <v>90</v>
      </c>
      <c r="K53">
        <v>90</v>
      </c>
      <c r="L53">
        <v>-90</v>
      </c>
      <c r="N53" s="499" t="str">
        <f t="shared" si="0"/>
        <v>S18A SAIP (F)1.71</v>
      </c>
      <c r="O53" s="501">
        <f t="shared" si="1"/>
        <v>90</v>
      </c>
    </row>
    <row r="54" spans="1:15">
      <c r="A54">
        <v>53</v>
      </c>
      <c r="B54">
        <v>1850212</v>
      </c>
      <c r="C54" t="s">
        <v>1703</v>
      </c>
      <c r="D54">
        <v>2.12</v>
      </c>
      <c r="E54">
        <v>0</v>
      </c>
      <c r="F54">
        <v>0</v>
      </c>
      <c r="G54">
        <v>25</v>
      </c>
      <c r="H54">
        <v>0</v>
      </c>
      <c r="I54">
        <v>0</v>
      </c>
      <c r="J54">
        <v>25</v>
      </c>
      <c r="K54">
        <v>25</v>
      </c>
      <c r="L54">
        <v>-25</v>
      </c>
      <c r="N54" s="499" t="str">
        <f t="shared" si="0"/>
        <v>S18A SAIP (F)2.12</v>
      </c>
      <c r="O54" s="501">
        <f t="shared" si="1"/>
        <v>25</v>
      </c>
    </row>
    <row r="55" spans="1:15">
      <c r="A55">
        <v>54</v>
      </c>
      <c r="B55">
        <v>1850215</v>
      </c>
      <c r="C55" t="s">
        <v>1703</v>
      </c>
      <c r="D55">
        <v>2.15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 s="499" t="str">
        <f t="shared" si="0"/>
        <v>S18A SAIP (F)2.15</v>
      </c>
      <c r="O55" s="501">
        <f t="shared" si="1"/>
        <v>0</v>
      </c>
    </row>
    <row r="56" spans="1:15">
      <c r="A56">
        <v>55</v>
      </c>
      <c r="B56">
        <v>1850218</v>
      </c>
      <c r="C56" t="s">
        <v>1703</v>
      </c>
      <c r="D56">
        <v>2.1800000000000002</v>
      </c>
      <c r="E56">
        <v>0</v>
      </c>
      <c r="F56">
        <v>0</v>
      </c>
      <c r="G56">
        <v>79</v>
      </c>
      <c r="H56">
        <v>0</v>
      </c>
      <c r="I56">
        <v>0</v>
      </c>
      <c r="J56">
        <v>79</v>
      </c>
      <c r="K56">
        <v>79</v>
      </c>
      <c r="L56">
        <v>-79</v>
      </c>
      <c r="N56" s="499" t="str">
        <f t="shared" si="0"/>
        <v>S18A SAIP (F)2.18</v>
      </c>
      <c r="O56" s="501">
        <f t="shared" si="1"/>
        <v>79</v>
      </c>
    </row>
    <row r="57" spans="1:15">
      <c r="A57">
        <v>56</v>
      </c>
      <c r="B57">
        <v>1850225</v>
      </c>
      <c r="C57" t="s">
        <v>1703</v>
      </c>
      <c r="D57">
        <v>2.25</v>
      </c>
      <c r="E57">
        <v>7</v>
      </c>
      <c r="F57">
        <v>0</v>
      </c>
      <c r="G57">
        <v>100</v>
      </c>
      <c r="H57">
        <v>3</v>
      </c>
      <c r="I57">
        <v>0</v>
      </c>
      <c r="J57">
        <v>103</v>
      </c>
      <c r="K57">
        <v>103</v>
      </c>
      <c r="L57">
        <v>-96</v>
      </c>
      <c r="N57" s="499" t="str">
        <f t="shared" si="0"/>
        <v>S18A SAIP (F)2.25</v>
      </c>
      <c r="O57" s="501">
        <f t="shared" si="1"/>
        <v>103</v>
      </c>
    </row>
    <row r="58" spans="1:15">
      <c r="A58">
        <v>57</v>
      </c>
      <c r="B58">
        <v>1850230</v>
      </c>
      <c r="C58" t="s">
        <v>1703</v>
      </c>
      <c r="D58">
        <v>2.2999999999999998</v>
      </c>
      <c r="E58">
        <v>0</v>
      </c>
      <c r="F58">
        <v>0</v>
      </c>
      <c r="G58">
        <v>81</v>
      </c>
      <c r="H58">
        <v>0</v>
      </c>
      <c r="I58">
        <v>0</v>
      </c>
      <c r="J58">
        <v>81</v>
      </c>
      <c r="K58">
        <v>81</v>
      </c>
      <c r="L58">
        <v>-81</v>
      </c>
      <c r="N58" s="499" t="str">
        <f t="shared" si="0"/>
        <v>S18A SAIP (F)2.3</v>
      </c>
      <c r="O58" s="501">
        <f t="shared" si="1"/>
        <v>81</v>
      </c>
    </row>
    <row r="59" spans="1:15">
      <c r="A59">
        <v>58</v>
      </c>
      <c r="B59">
        <v>1850246</v>
      </c>
      <c r="C59" t="s">
        <v>1703</v>
      </c>
      <c r="D59">
        <v>2.46</v>
      </c>
      <c r="E59" s="505">
        <v>2619</v>
      </c>
      <c r="F59" s="505">
        <v>2000</v>
      </c>
      <c r="G59" s="505">
        <v>2675</v>
      </c>
      <c r="H59" s="505">
        <v>1206</v>
      </c>
      <c r="I59">
        <v>0</v>
      </c>
      <c r="J59" s="505">
        <v>3881</v>
      </c>
      <c r="K59" s="505">
        <v>3881</v>
      </c>
      <c r="L59" s="505">
        <v>-3262</v>
      </c>
      <c r="N59" s="499" t="str">
        <f t="shared" si="0"/>
        <v>S18A SAIP (F)2.46</v>
      </c>
      <c r="O59" s="501">
        <f t="shared" si="1"/>
        <v>3881</v>
      </c>
    </row>
    <row r="60" spans="1:15">
      <c r="A60">
        <v>59</v>
      </c>
      <c r="B60">
        <v>1850260</v>
      </c>
      <c r="C60" t="s">
        <v>1703</v>
      </c>
      <c r="D60">
        <v>2.6</v>
      </c>
      <c r="E60">
        <v>0</v>
      </c>
      <c r="F60">
        <v>0</v>
      </c>
      <c r="G60">
        <v>305</v>
      </c>
      <c r="H60">
        <v>0</v>
      </c>
      <c r="I60">
        <v>0</v>
      </c>
      <c r="J60">
        <v>305</v>
      </c>
      <c r="K60">
        <v>305</v>
      </c>
      <c r="L60">
        <v>-305</v>
      </c>
      <c r="N60" s="499" t="str">
        <f t="shared" si="0"/>
        <v>S18A SAIP (F)2.6</v>
      </c>
      <c r="O60" s="501">
        <f t="shared" si="1"/>
        <v>305</v>
      </c>
    </row>
    <row r="61" spans="1:15">
      <c r="A61">
        <v>60</v>
      </c>
      <c r="B61">
        <v>1850282</v>
      </c>
      <c r="C61" t="s">
        <v>1703</v>
      </c>
      <c r="D61">
        <v>2.82</v>
      </c>
      <c r="E61">
        <v>0</v>
      </c>
      <c r="F61">
        <v>0</v>
      </c>
      <c r="G61">
        <v>100</v>
      </c>
      <c r="H61">
        <v>0</v>
      </c>
      <c r="I61">
        <v>0</v>
      </c>
      <c r="J61">
        <v>100</v>
      </c>
      <c r="K61">
        <v>100</v>
      </c>
      <c r="L61">
        <v>-100</v>
      </c>
      <c r="N61" s="499" t="str">
        <f t="shared" si="0"/>
        <v>S18A SAIP (F)2.82</v>
      </c>
      <c r="O61" s="501">
        <f t="shared" si="1"/>
        <v>100</v>
      </c>
    </row>
    <row r="62" spans="1:15">
      <c r="A62">
        <v>61</v>
      </c>
      <c r="B62">
        <v>1850295</v>
      </c>
      <c r="C62" t="s">
        <v>1703</v>
      </c>
      <c r="D62">
        <v>2.95</v>
      </c>
      <c r="E62">
        <v>16</v>
      </c>
      <c r="F62">
        <v>0</v>
      </c>
      <c r="G62">
        <v>75</v>
      </c>
      <c r="H62">
        <v>0</v>
      </c>
      <c r="I62">
        <v>0</v>
      </c>
      <c r="J62">
        <v>75</v>
      </c>
      <c r="K62">
        <v>75</v>
      </c>
      <c r="L62">
        <v>-59</v>
      </c>
      <c r="N62" s="499" t="str">
        <f t="shared" si="0"/>
        <v>S18A SAIP (F)2.95</v>
      </c>
      <c r="O62" s="501">
        <f t="shared" si="1"/>
        <v>75</v>
      </c>
    </row>
    <row r="63" spans="1:15">
      <c r="A63">
        <v>62</v>
      </c>
      <c r="B63">
        <v>1850312</v>
      </c>
      <c r="C63" t="s">
        <v>1703</v>
      </c>
      <c r="D63">
        <v>3.12</v>
      </c>
      <c r="E63">
        <v>0</v>
      </c>
      <c r="F63">
        <v>0</v>
      </c>
      <c r="G63">
        <v>398</v>
      </c>
      <c r="H63">
        <v>0</v>
      </c>
      <c r="I63">
        <v>0</v>
      </c>
      <c r="J63">
        <v>398</v>
      </c>
      <c r="K63">
        <v>398</v>
      </c>
      <c r="L63">
        <v>-398</v>
      </c>
      <c r="N63" s="499" t="str">
        <f t="shared" si="0"/>
        <v>S18A SAIP (F)3.12</v>
      </c>
      <c r="O63" s="501">
        <f t="shared" si="1"/>
        <v>398</v>
      </c>
    </row>
    <row r="64" spans="1:15">
      <c r="A64">
        <v>63</v>
      </c>
      <c r="B64">
        <v>1850318</v>
      </c>
      <c r="C64" t="s">
        <v>1703</v>
      </c>
      <c r="D64">
        <v>3.18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 s="499" t="str">
        <f t="shared" si="0"/>
        <v>S18A SAIP (F)3.18</v>
      </c>
      <c r="O64" s="501">
        <f t="shared" si="1"/>
        <v>0</v>
      </c>
    </row>
    <row r="65" spans="1:15">
      <c r="A65">
        <v>64</v>
      </c>
      <c r="B65">
        <v>1850320</v>
      </c>
      <c r="C65" t="s">
        <v>1703</v>
      </c>
      <c r="D65">
        <v>3.2</v>
      </c>
      <c r="E65" s="505">
        <v>15145</v>
      </c>
      <c r="F65" s="505">
        <v>10000</v>
      </c>
      <c r="G65" s="505">
        <v>11389</v>
      </c>
      <c r="H65" s="505">
        <v>1403</v>
      </c>
      <c r="I65">
        <v>0</v>
      </c>
      <c r="J65" s="505">
        <v>12792</v>
      </c>
      <c r="K65" s="505">
        <v>12792</v>
      </c>
      <c r="L65" s="505">
        <v>-7647</v>
      </c>
      <c r="N65" s="499" t="str">
        <f t="shared" si="0"/>
        <v>S18A SAIP (F)3.2</v>
      </c>
      <c r="O65" s="501">
        <f t="shared" si="1"/>
        <v>12792</v>
      </c>
    </row>
    <row r="66" spans="1:15">
      <c r="A66">
        <v>65</v>
      </c>
      <c r="B66">
        <v>1850325</v>
      </c>
      <c r="C66" t="s">
        <v>1703</v>
      </c>
      <c r="D66">
        <v>3.25</v>
      </c>
      <c r="E66" s="505">
        <v>9515</v>
      </c>
      <c r="F66" s="505">
        <v>8000</v>
      </c>
      <c r="G66" s="505">
        <v>6764</v>
      </c>
      <c r="H66">
        <v>887</v>
      </c>
      <c r="I66">
        <v>0</v>
      </c>
      <c r="J66" s="505">
        <v>7651</v>
      </c>
      <c r="K66" s="505">
        <v>7651</v>
      </c>
      <c r="L66" s="505">
        <v>-6136</v>
      </c>
      <c r="N66" s="499" t="str">
        <f t="shared" si="0"/>
        <v>S18A SAIP (F)3.25</v>
      </c>
      <c r="O66" s="501">
        <f t="shared" si="1"/>
        <v>7651</v>
      </c>
    </row>
    <row r="67" spans="1:15">
      <c r="A67">
        <v>66</v>
      </c>
      <c r="B67">
        <v>1850330</v>
      </c>
      <c r="C67" t="s">
        <v>1703</v>
      </c>
      <c r="D67">
        <v>3.3</v>
      </c>
      <c r="E67">
        <v>0</v>
      </c>
      <c r="F67">
        <v>0</v>
      </c>
      <c r="G67">
        <v>861</v>
      </c>
      <c r="H67">
        <v>0</v>
      </c>
      <c r="I67">
        <v>0</v>
      </c>
      <c r="J67">
        <v>861</v>
      </c>
      <c r="K67">
        <v>861</v>
      </c>
      <c r="L67">
        <v>-861</v>
      </c>
      <c r="M67" s="502"/>
      <c r="N67" s="499" t="str">
        <f t="shared" ref="N67:N130" si="2">C67&amp;D67</f>
        <v>S18A SAIP (F)3.3</v>
      </c>
      <c r="O67" s="501">
        <f t="shared" ref="O67:O130" si="3">J67</f>
        <v>861</v>
      </c>
    </row>
    <row r="68" spans="1:15">
      <c r="A68">
        <v>67</v>
      </c>
      <c r="B68">
        <v>1850337</v>
      </c>
      <c r="C68" t="s">
        <v>1703</v>
      </c>
      <c r="D68">
        <v>3.37</v>
      </c>
      <c r="E68">
        <v>0</v>
      </c>
      <c r="F68">
        <v>0</v>
      </c>
      <c r="G68">
        <v>40</v>
      </c>
      <c r="H68">
        <v>0</v>
      </c>
      <c r="I68">
        <v>0</v>
      </c>
      <c r="J68">
        <v>40</v>
      </c>
      <c r="K68">
        <v>40</v>
      </c>
      <c r="L68">
        <v>-40</v>
      </c>
      <c r="N68" s="499" t="str">
        <f t="shared" si="2"/>
        <v>S18A SAIP (F)3.37</v>
      </c>
      <c r="O68" s="501">
        <f t="shared" si="3"/>
        <v>40</v>
      </c>
    </row>
    <row r="69" spans="1:15">
      <c r="A69">
        <v>68</v>
      </c>
      <c r="B69">
        <v>1850345</v>
      </c>
      <c r="C69" t="s">
        <v>1703</v>
      </c>
      <c r="D69">
        <v>3.45</v>
      </c>
      <c r="E69">
        <v>583</v>
      </c>
      <c r="F69">
        <v>0</v>
      </c>
      <c r="G69" s="505">
        <v>1258</v>
      </c>
      <c r="H69">
        <v>255</v>
      </c>
      <c r="I69">
        <v>0</v>
      </c>
      <c r="J69" s="505">
        <v>1513</v>
      </c>
      <c r="K69" s="505">
        <v>1513</v>
      </c>
      <c r="L69">
        <v>-930</v>
      </c>
      <c r="N69" s="499" t="str">
        <f t="shared" si="2"/>
        <v>S18A SAIP (F)3.45</v>
      </c>
      <c r="O69" s="501">
        <f t="shared" si="3"/>
        <v>1513</v>
      </c>
    </row>
    <row r="70" spans="1:15">
      <c r="A70">
        <v>69</v>
      </c>
      <c r="B70">
        <v>1850348</v>
      </c>
      <c r="C70" t="s">
        <v>1703</v>
      </c>
      <c r="D70">
        <v>3.48</v>
      </c>
      <c r="E70">
        <v>0</v>
      </c>
      <c r="F70">
        <v>0</v>
      </c>
      <c r="G70">
        <v>0</v>
      </c>
      <c r="H70">
        <v>26</v>
      </c>
      <c r="I70">
        <v>0</v>
      </c>
      <c r="J70">
        <v>26</v>
      </c>
      <c r="K70">
        <v>26</v>
      </c>
      <c r="L70">
        <v>-26</v>
      </c>
      <c r="N70" s="499" t="str">
        <f t="shared" si="2"/>
        <v>S18A SAIP (F)3.48</v>
      </c>
      <c r="O70" s="501">
        <f t="shared" si="3"/>
        <v>26</v>
      </c>
    </row>
    <row r="71" spans="1:15">
      <c r="A71">
        <v>70</v>
      </c>
      <c r="B71">
        <v>1850355</v>
      </c>
      <c r="C71" t="s">
        <v>1703</v>
      </c>
      <c r="D71">
        <v>3.55</v>
      </c>
      <c r="E71" s="505">
        <v>1204</v>
      </c>
      <c r="F71" s="505">
        <v>1000</v>
      </c>
      <c r="G71" s="505">
        <v>1627</v>
      </c>
      <c r="H71">
        <v>-36</v>
      </c>
      <c r="I71">
        <v>0</v>
      </c>
      <c r="J71" s="505">
        <v>1591</v>
      </c>
      <c r="K71" s="505">
        <v>1591</v>
      </c>
      <c r="L71" s="505">
        <v>-1387</v>
      </c>
      <c r="N71" s="499" t="str">
        <f t="shared" si="2"/>
        <v>S18A SAIP (F)3.55</v>
      </c>
      <c r="O71" s="501">
        <f t="shared" si="3"/>
        <v>1591</v>
      </c>
    </row>
    <row r="72" spans="1:15">
      <c r="A72">
        <v>71</v>
      </c>
      <c r="B72">
        <v>1850360</v>
      </c>
      <c r="C72" t="s">
        <v>1703</v>
      </c>
      <c r="D72">
        <v>3.6</v>
      </c>
      <c r="E72">
        <v>0</v>
      </c>
      <c r="F72">
        <v>0</v>
      </c>
      <c r="G72">
        <v>50</v>
      </c>
      <c r="H72">
        <v>0</v>
      </c>
      <c r="I72">
        <v>0</v>
      </c>
      <c r="J72">
        <v>50</v>
      </c>
      <c r="K72">
        <v>50</v>
      </c>
      <c r="L72">
        <v>-50</v>
      </c>
      <c r="N72" s="499" t="str">
        <f t="shared" si="2"/>
        <v>S18A SAIP (F)3.6</v>
      </c>
      <c r="O72" s="501">
        <f t="shared" si="3"/>
        <v>50</v>
      </c>
    </row>
    <row r="73" spans="1:15">
      <c r="A73">
        <v>72</v>
      </c>
      <c r="B73">
        <v>1850375</v>
      </c>
      <c r="C73" t="s">
        <v>1703</v>
      </c>
      <c r="D73">
        <v>3.75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N73" s="499" t="str">
        <f t="shared" si="2"/>
        <v>S18A SAIP (F)3.75</v>
      </c>
      <c r="O73" s="501">
        <f t="shared" si="3"/>
        <v>0</v>
      </c>
    </row>
    <row r="74" spans="1:15">
      <c r="A74">
        <v>73</v>
      </c>
      <c r="B74">
        <v>1850383</v>
      </c>
      <c r="C74" t="s">
        <v>1703</v>
      </c>
      <c r="D74">
        <v>3.83</v>
      </c>
      <c r="E74">
        <v>0</v>
      </c>
      <c r="F74">
        <v>0</v>
      </c>
      <c r="G74">
        <v>0</v>
      </c>
      <c r="H74">
        <v>24</v>
      </c>
      <c r="I74">
        <v>0</v>
      </c>
      <c r="J74">
        <v>24</v>
      </c>
      <c r="K74">
        <v>24</v>
      </c>
      <c r="L74">
        <v>-24</v>
      </c>
      <c r="N74" s="499" t="str">
        <f t="shared" si="2"/>
        <v>S18A SAIP (F)3.83</v>
      </c>
      <c r="O74" s="501">
        <f t="shared" si="3"/>
        <v>24</v>
      </c>
    </row>
    <row r="75" spans="1:15">
      <c r="A75">
        <v>74</v>
      </c>
      <c r="B75">
        <v>1850391</v>
      </c>
      <c r="C75" t="s">
        <v>1703</v>
      </c>
      <c r="D75">
        <v>3.91</v>
      </c>
      <c r="E75">
        <v>0</v>
      </c>
      <c r="F75">
        <v>0</v>
      </c>
      <c r="G75">
        <v>12</v>
      </c>
      <c r="H75">
        <v>0</v>
      </c>
      <c r="I75">
        <v>0</v>
      </c>
      <c r="J75">
        <v>12</v>
      </c>
      <c r="K75">
        <v>12</v>
      </c>
      <c r="L75">
        <v>-12</v>
      </c>
      <c r="M75" s="502"/>
      <c r="N75" s="499" t="str">
        <f t="shared" si="2"/>
        <v>S18A SAIP (F)3.91</v>
      </c>
      <c r="O75" s="501">
        <f t="shared" si="3"/>
        <v>12</v>
      </c>
    </row>
    <row r="76" spans="1:15">
      <c r="A76">
        <v>75</v>
      </c>
      <c r="B76">
        <v>1850393</v>
      </c>
      <c r="C76" t="s">
        <v>1704</v>
      </c>
      <c r="D76">
        <v>3.93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N76" s="499" t="str">
        <f t="shared" si="2"/>
        <v>S18A (S)AIP (F)3.93</v>
      </c>
      <c r="O76" s="501">
        <f t="shared" si="3"/>
        <v>0</v>
      </c>
    </row>
    <row r="77" spans="1:15">
      <c r="A77">
        <v>76</v>
      </c>
      <c r="B77">
        <v>1850395</v>
      </c>
      <c r="C77" t="s">
        <v>1703</v>
      </c>
      <c r="D77">
        <v>3.95</v>
      </c>
      <c r="E77">
        <v>433</v>
      </c>
      <c r="F77">
        <v>0</v>
      </c>
      <c r="G77">
        <v>358</v>
      </c>
      <c r="H77">
        <v>541</v>
      </c>
      <c r="I77">
        <v>0</v>
      </c>
      <c r="J77">
        <v>899</v>
      </c>
      <c r="K77">
        <v>899</v>
      </c>
      <c r="L77">
        <v>-466</v>
      </c>
      <c r="N77" s="499" t="str">
        <f t="shared" si="2"/>
        <v>S18A SAIP (F)3.95</v>
      </c>
      <c r="O77" s="501">
        <f t="shared" si="3"/>
        <v>899</v>
      </c>
    </row>
    <row r="78" spans="1:15">
      <c r="A78">
        <v>77</v>
      </c>
      <c r="B78">
        <v>1850406</v>
      </c>
      <c r="C78" t="s">
        <v>1703</v>
      </c>
      <c r="D78">
        <v>4.0599999999999996</v>
      </c>
      <c r="E78">
        <v>124</v>
      </c>
      <c r="F78">
        <v>0</v>
      </c>
      <c r="G78">
        <v>561</v>
      </c>
      <c r="H78">
        <v>173</v>
      </c>
      <c r="I78">
        <v>0</v>
      </c>
      <c r="J78">
        <v>734</v>
      </c>
      <c r="K78">
        <v>734</v>
      </c>
      <c r="L78">
        <v>-610</v>
      </c>
      <c r="N78" s="499" t="str">
        <f t="shared" si="2"/>
        <v>S18A SAIP (F)4.06</v>
      </c>
      <c r="O78" s="501">
        <f t="shared" si="3"/>
        <v>734</v>
      </c>
    </row>
    <row r="79" spans="1:15">
      <c r="A79">
        <v>78</v>
      </c>
      <c r="B79">
        <v>1850436</v>
      </c>
      <c r="C79" t="s">
        <v>1703</v>
      </c>
      <c r="D79">
        <v>4.3600000000000003</v>
      </c>
      <c r="E79" s="505">
        <v>13228</v>
      </c>
      <c r="F79" s="505">
        <v>6779</v>
      </c>
      <c r="G79" s="505">
        <v>6638</v>
      </c>
      <c r="H79">
        <v>83</v>
      </c>
      <c r="I79">
        <v>0</v>
      </c>
      <c r="J79" s="505">
        <v>6721</v>
      </c>
      <c r="K79" s="505">
        <v>6721</v>
      </c>
      <c r="L79">
        <v>-272</v>
      </c>
      <c r="N79" s="499" t="str">
        <f t="shared" si="2"/>
        <v>S18A SAIP (F)4.36</v>
      </c>
      <c r="O79" s="501">
        <f t="shared" si="3"/>
        <v>6721</v>
      </c>
    </row>
    <row r="80" spans="1:15">
      <c r="A80">
        <v>79</v>
      </c>
      <c r="B80">
        <v>1850438</v>
      </c>
      <c r="C80" t="s">
        <v>1703</v>
      </c>
      <c r="D80">
        <v>4.38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N80" s="499" t="str">
        <f t="shared" si="2"/>
        <v>S18A SAIP (F)4.38</v>
      </c>
      <c r="O80" s="501">
        <f t="shared" si="3"/>
        <v>0</v>
      </c>
    </row>
    <row r="81" spans="1:15">
      <c r="A81">
        <v>80</v>
      </c>
      <c r="B81">
        <v>1850455</v>
      </c>
      <c r="C81" t="s">
        <v>1703</v>
      </c>
      <c r="D81">
        <v>4.55</v>
      </c>
      <c r="E81">
        <v>423</v>
      </c>
      <c r="F81">
        <v>0</v>
      </c>
      <c r="G81">
        <v>0</v>
      </c>
      <c r="H81">
        <v>674</v>
      </c>
      <c r="I81">
        <v>0</v>
      </c>
      <c r="J81">
        <v>674</v>
      </c>
      <c r="K81">
        <v>674</v>
      </c>
      <c r="L81">
        <v>-251</v>
      </c>
      <c r="N81" s="499" t="str">
        <f t="shared" si="2"/>
        <v>S18A SAIP (F)4.55</v>
      </c>
      <c r="O81" s="501">
        <f t="shared" si="3"/>
        <v>674</v>
      </c>
    </row>
    <row r="82" spans="1:15">
      <c r="A82">
        <v>81</v>
      </c>
      <c r="B82">
        <v>1850458</v>
      </c>
      <c r="C82" t="s">
        <v>1703</v>
      </c>
      <c r="D82">
        <v>4.58</v>
      </c>
      <c r="E82">
        <v>0</v>
      </c>
      <c r="F82">
        <v>0</v>
      </c>
      <c r="G82">
        <v>165</v>
      </c>
      <c r="H82">
        <v>0</v>
      </c>
      <c r="I82">
        <v>0</v>
      </c>
      <c r="J82">
        <v>165</v>
      </c>
      <c r="K82">
        <v>165</v>
      </c>
      <c r="L82">
        <v>-165</v>
      </c>
      <c r="N82" s="499" t="str">
        <f t="shared" si="2"/>
        <v>S18A SAIP (F)4.58</v>
      </c>
      <c r="O82" s="501">
        <f t="shared" si="3"/>
        <v>165</v>
      </c>
    </row>
    <row r="83" spans="1:15">
      <c r="A83">
        <v>82</v>
      </c>
      <c r="B83">
        <v>1850467</v>
      </c>
      <c r="C83" t="s">
        <v>1703</v>
      </c>
      <c r="D83">
        <v>4.67</v>
      </c>
      <c r="E83">
        <v>500</v>
      </c>
      <c r="F83">
        <v>0</v>
      </c>
      <c r="G83">
        <v>941</v>
      </c>
      <c r="H83">
        <v>0</v>
      </c>
      <c r="I83">
        <v>0</v>
      </c>
      <c r="J83">
        <v>941</v>
      </c>
      <c r="K83">
        <v>941</v>
      </c>
      <c r="L83">
        <v>-441</v>
      </c>
      <c r="M83" s="502"/>
      <c r="N83" s="499" t="str">
        <f t="shared" si="2"/>
        <v>S18A SAIP (F)4.67</v>
      </c>
      <c r="O83" s="501">
        <f t="shared" si="3"/>
        <v>941</v>
      </c>
    </row>
    <row r="84" spans="1:15">
      <c r="A84">
        <v>83</v>
      </c>
      <c r="B84">
        <v>1850480</v>
      </c>
      <c r="C84" t="s">
        <v>1703</v>
      </c>
      <c r="D84">
        <v>4.8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s="502"/>
      <c r="N84" s="499" t="str">
        <f t="shared" si="2"/>
        <v>S18A SAIP (F)4.8</v>
      </c>
      <c r="O84" s="501">
        <f t="shared" si="3"/>
        <v>0</v>
      </c>
    </row>
    <row r="85" spans="1:15">
      <c r="A85">
        <v>84</v>
      </c>
      <c r="B85">
        <v>1850485</v>
      </c>
      <c r="C85" t="s">
        <v>1703</v>
      </c>
      <c r="D85">
        <v>4.8499999999999996</v>
      </c>
      <c r="E85" s="505">
        <v>1772</v>
      </c>
      <c r="F85">
        <v>500</v>
      </c>
      <c r="G85" s="505">
        <v>2142</v>
      </c>
      <c r="H85">
        <v>160</v>
      </c>
      <c r="I85">
        <v>0</v>
      </c>
      <c r="J85" s="505">
        <v>2302</v>
      </c>
      <c r="K85" s="505">
        <v>2302</v>
      </c>
      <c r="L85" s="505">
        <v>-1030</v>
      </c>
      <c r="N85" s="499" t="str">
        <f t="shared" si="2"/>
        <v>S18A SAIP (F)4.85</v>
      </c>
      <c r="O85" s="501">
        <f t="shared" si="3"/>
        <v>2302</v>
      </c>
    </row>
    <row r="86" spans="1:15">
      <c r="A86">
        <v>85</v>
      </c>
      <c r="B86">
        <v>1850495</v>
      </c>
      <c r="C86" t="s">
        <v>1703</v>
      </c>
      <c r="D86">
        <v>4.95</v>
      </c>
      <c r="E86">
        <v>0</v>
      </c>
      <c r="F86" s="505">
        <v>2000</v>
      </c>
      <c r="G86">
        <v>0</v>
      </c>
      <c r="H86">
        <v>0</v>
      </c>
      <c r="I86">
        <v>0</v>
      </c>
      <c r="J86">
        <v>0</v>
      </c>
      <c r="K86">
        <v>0</v>
      </c>
      <c r="L86" s="505">
        <v>-2000</v>
      </c>
      <c r="N86" s="499" t="str">
        <f t="shared" si="2"/>
        <v>S18A SAIP (F)4.95</v>
      </c>
      <c r="O86" s="501">
        <f t="shared" si="3"/>
        <v>0</v>
      </c>
    </row>
    <row r="87" spans="1:15">
      <c r="A87">
        <v>86</v>
      </c>
      <c r="B87">
        <v>1850518</v>
      </c>
      <c r="C87" t="s">
        <v>1703</v>
      </c>
      <c r="D87">
        <v>5.18</v>
      </c>
      <c r="E87">
        <v>0</v>
      </c>
      <c r="F87">
        <v>0</v>
      </c>
      <c r="G87">
        <v>30</v>
      </c>
      <c r="H87">
        <v>0</v>
      </c>
      <c r="I87">
        <v>0</v>
      </c>
      <c r="J87">
        <v>30</v>
      </c>
      <c r="K87">
        <v>30</v>
      </c>
      <c r="L87">
        <v>-30</v>
      </c>
      <c r="N87" s="499" t="str">
        <f t="shared" si="2"/>
        <v>S18A SAIP (F)5.18</v>
      </c>
      <c r="O87" s="501">
        <f t="shared" si="3"/>
        <v>30</v>
      </c>
    </row>
    <row r="88" spans="1:15">
      <c r="A88">
        <v>87</v>
      </c>
      <c r="B88">
        <v>1850525</v>
      </c>
      <c r="C88" t="s">
        <v>1703</v>
      </c>
      <c r="D88">
        <v>5.25</v>
      </c>
      <c r="E88" s="505">
        <v>1740</v>
      </c>
      <c r="F88">
        <v>0</v>
      </c>
      <c r="G88">
        <v>829</v>
      </c>
      <c r="H88">
        <v>0</v>
      </c>
      <c r="I88">
        <v>0</v>
      </c>
      <c r="J88">
        <v>829</v>
      </c>
      <c r="K88">
        <v>829</v>
      </c>
      <c r="L88">
        <v>911</v>
      </c>
      <c r="M88" s="502"/>
      <c r="N88" s="499" t="str">
        <f t="shared" si="2"/>
        <v>S18A SAIP (F)5.25</v>
      </c>
      <c r="O88" s="501">
        <f t="shared" si="3"/>
        <v>829</v>
      </c>
    </row>
    <row r="89" spans="1:15">
      <c r="A89">
        <v>88</v>
      </c>
      <c r="B89">
        <v>1850565</v>
      </c>
      <c r="C89" t="s">
        <v>1703</v>
      </c>
      <c r="D89">
        <v>5.65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s="502"/>
      <c r="N89" s="499" t="str">
        <f t="shared" si="2"/>
        <v>S18A SAIP (F)5.65</v>
      </c>
      <c r="O89" s="501">
        <f t="shared" si="3"/>
        <v>0</v>
      </c>
    </row>
    <row r="90" spans="1:15">
      <c r="A90">
        <v>89</v>
      </c>
      <c r="B90">
        <v>1850625</v>
      </c>
      <c r="C90" t="s">
        <v>1703</v>
      </c>
      <c r="D90">
        <v>6.25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s="502"/>
      <c r="N90" s="499" t="str">
        <f t="shared" si="2"/>
        <v>S18A SAIP (F)6.25</v>
      </c>
      <c r="O90" s="501">
        <f t="shared" si="3"/>
        <v>0</v>
      </c>
    </row>
    <row r="91" spans="1:15">
      <c r="A91">
        <v>90</v>
      </c>
      <c r="B91">
        <v>1850705</v>
      </c>
      <c r="C91" t="s">
        <v>1703</v>
      </c>
      <c r="D91">
        <v>7.05</v>
      </c>
      <c r="E91">
        <v>0</v>
      </c>
      <c r="F91">
        <v>0</v>
      </c>
      <c r="G91" s="505">
        <v>1073</v>
      </c>
      <c r="H91">
        <v>0</v>
      </c>
      <c r="I91">
        <v>0</v>
      </c>
      <c r="J91" s="505">
        <v>1073</v>
      </c>
      <c r="K91" s="505">
        <v>1073</v>
      </c>
      <c r="L91" s="505">
        <v>-1073</v>
      </c>
      <c r="N91" s="499" t="str">
        <f t="shared" si="2"/>
        <v>S18A SAIP (F)7.05</v>
      </c>
      <c r="O91" s="501">
        <f t="shared" si="3"/>
        <v>1073</v>
      </c>
    </row>
    <row r="92" spans="1:15">
      <c r="A92">
        <v>91</v>
      </c>
      <c r="B92">
        <v>1850820</v>
      </c>
      <c r="C92" t="s">
        <v>1703</v>
      </c>
      <c r="D92">
        <v>8.1999999999999993</v>
      </c>
      <c r="E92">
        <v>0</v>
      </c>
      <c r="F92">
        <v>50</v>
      </c>
      <c r="G92">
        <v>0</v>
      </c>
      <c r="H92">
        <v>0</v>
      </c>
      <c r="I92">
        <v>0</v>
      </c>
      <c r="J92">
        <v>0</v>
      </c>
      <c r="K92">
        <v>0</v>
      </c>
      <c r="L92">
        <v>-50</v>
      </c>
      <c r="M92" s="502"/>
      <c r="N92" s="499" t="str">
        <f t="shared" si="2"/>
        <v>S18A SAIP (F)8.2</v>
      </c>
      <c r="O92" s="501">
        <f t="shared" si="3"/>
        <v>0</v>
      </c>
    </row>
    <row r="93" spans="1:15">
      <c r="A93">
        <v>92</v>
      </c>
      <c r="B93">
        <v>1850880</v>
      </c>
      <c r="C93" t="s">
        <v>1703</v>
      </c>
      <c r="D93">
        <v>8.8000000000000007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N93" s="499" t="str">
        <f t="shared" si="2"/>
        <v>S18A SAIP (F)8.8</v>
      </c>
      <c r="O93" s="501">
        <f t="shared" si="3"/>
        <v>0</v>
      </c>
    </row>
    <row r="94" spans="1:15">
      <c r="A94">
        <v>93</v>
      </c>
      <c r="B94">
        <v>1860337</v>
      </c>
      <c r="C94" t="s">
        <v>1704</v>
      </c>
      <c r="D94">
        <v>3.37</v>
      </c>
      <c r="E94">
        <v>0</v>
      </c>
      <c r="F94">
        <v>0</v>
      </c>
      <c r="G94">
        <v>30</v>
      </c>
      <c r="H94">
        <v>0</v>
      </c>
      <c r="I94">
        <v>0</v>
      </c>
      <c r="J94">
        <v>30</v>
      </c>
      <c r="K94">
        <v>30</v>
      </c>
      <c r="L94">
        <v>-30</v>
      </c>
      <c r="M94" s="502"/>
      <c r="N94" s="499" t="str">
        <f t="shared" si="2"/>
        <v>S18A (S)AIP (F)3.37</v>
      </c>
      <c r="O94" s="501">
        <f t="shared" si="3"/>
        <v>30</v>
      </c>
    </row>
    <row r="95" spans="1:15">
      <c r="A95">
        <v>94</v>
      </c>
      <c r="B95">
        <v>1860345</v>
      </c>
      <c r="C95" t="s">
        <v>1704</v>
      </c>
      <c r="D95">
        <v>3.45</v>
      </c>
      <c r="E95">
        <v>0</v>
      </c>
      <c r="F95">
        <v>0</v>
      </c>
      <c r="G95">
        <v>11</v>
      </c>
      <c r="H95">
        <v>0</v>
      </c>
      <c r="I95">
        <v>0</v>
      </c>
      <c r="J95">
        <v>11</v>
      </c>
      <c r="K95">
        <v>11</v>
      </c>
      <c r="L95">
        <v>-11</v>
      </c>
      <c r="N95" s="499" t="str">
        <f t="shared" si="2"/>
        <v>S18A (S)AIP (F)3.45</v>
      </c>
      <c r="O95" s="501">
        <f t="shared" si="3"/>
        <v>11</v>
      </c>
    </row>
    <row r="96" spans="1:15">
      <c r="A96">
        <v>95</v>
      </c>
      <c r="B96">
        <v>1860383</v>
      </c>
      <c r="C96" t="s">
        <v>1704</v>
      </c>
      <c r="D96">
        <v>3.83</v>
      </c>
      <c r="E96">
        <v>0</v>
      </c>
      <c r="F96">
        <v>0</v>
      </c>
      <c r="G96">
        <v>27</v>
      </c>
      <c r="H96">
        <v>0</v>
      </c>
      <c r="I96">
        <v>0</v>
      </c>
      <c r="J96">
        <v>27</v>
      </c>
      <c r="K96">
        <v>27</v>
      </c>
      <c r="L96">
        <v>-27</v>
      </c>
      <c r="N96" s="499" t="str">
        <f t="shared" si="2"/>
        <v>S18A (S)AIP (F)3.83</v>
      </c>
      <c r="O96" s="501">
        <f t="shared" si="3"/>
        <v>27</v>
      </c>
    </row>
    <row r="97" spans="1:15">
      <c r="A97">
        <v>96</v>
      </c>
      <c r="B97">
        <v>1860391</v>
      </c>
      <c r="C97" t="s">
        <v>1704</v>
      </c>
      <c r="D97">
        <v>3.91</v>
      </c>
      <c r="E97">
        <v>0</v>
      </c>
      <c r="F97">
        <v>0</v>
      </c>
      <c r="G97">
        <v>31</v>
      </c>
      <c r="H97">
        <v>12</v>
      </c>
      <c r="I97">
        <v>0</v>
      </c>
      <c r="J97">
        <v>43</v>
      </c>
      <c r="K97">
        <v>43</v>
      </c>
      <c r="L97">
        <v>-43</v>
      </c>
      <c r="N97" s="499" t="str">
        <f t="shared" si="2"/>
        <v>S18A (S)AIP (F)3.91</v>
      </c>
      <c r="O97" s="501">
        <f t="shared" si="3"/>
        <v>43</v>
      </c>
    </row>
    <row r="98" spans="1:15">
      <c r="A98">
        <v>97</v>
      </c>
      <c r="B98">
        <v>1860436</v>
      </c>
      <c r="C98" t="s">
        <v>1704</v>
      </c>
      <c r="D98">
        <v>4.3600000000000003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 s="499" t="str">
        <f t="shared" si="2"/>
        <v>S18A (S)AIP (F)4.36</v>
      </c>
      <c r="O98" s="501">
        <f t="shared" si="3"/>
        <v>0</v>
      </c>
    </row>
    <row r="99" spans="1:15">
      <c r="A99">
        <v>98</v>
      </c>
      <c r="B99">
        <v>1860438</v>
      </c>
      <c r="C99" t="s">
        <v>1704</v>
      </c>
      <c r="D99">
        <v>4.38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s="502"/>
      <c r="N99" s="499" t="str">
        <f t="shared" si="2"/>
        <v>S18A (S)AIP (F)4.38</v>
      </c>
      <c r="O99" s="501">
        <f t="shared" si="3"/>
        <v>0</v>
      </c>
    </row>
    <row r="100" spans="1:15">
      <c r="A100">
        <v>99</v>
      </c>
      <c r="B100">
        <v>1860518</v>
      </c>
      <c r="C100" t="s">
        <v>1704</v>
      </c>
      <c r="D100">
        <v>5.18</v>
      </c>
      <c r="E100">
        <v>0</v>
      </c>
      <c r="F100">
        <v>0</v>
      </c>
      <c r="G100">
        <v>29</v>
      </c>
      <c r="H100">
        <v>0</v>
      </c>
      <c r="I100">
        <v>0</v>
      </c>
      <c r="J100">
        <v>29</v>
      </c>
      <c r="K100">
        <v>29</v>
      </c>
      <c r="L100">
        <v>-29</v>
      </c>
      <c r="M100" s="502"/>
      <c r="N100" s="499" t="str">
        <f t="shared" si="2"/>
        <v>S18A (S)AIP (F)5.18</v>
      </c>
      <c r="O100" s="501">
        <f t="shared" si="3"/>
        <v>29</v>
      </c>
    </row>
    <row r="101" spans="1:15">
      <c r="A101">
        <v>100</v>
      </c>
      <c r="B101">
        <v>1860545</v>
      </c>
      <c r="C101" t="s">
        <v>1704</v>
      </c>
      <c r="D101">
        <v>5.45</v>
      </c>
      <c r="E101" s="505">
        <v>4837</v>
      </c>
      <c r="F101" s="505">
        <v>15095</v>
      </c>
      <c r="G101">
        <v>543</v>
      </c>
      <c r="H101">
        <v>0</v>
      </c>
      <c r="I101">
        <v>0</v>
      </c>
      <c r="J101">
        <v>543</v>
      </c>
      <c r="K101">
        <v>543</v>
      </c>
      <c r="L101" s="505">
        <v>-10801</v>
      </c>
      <c r="M101" s="502"/>
      <c r="N101" s="499" t="str">
        <f t="shared" si="2"/>
        <v>S18A (S)AIP (F)5.45</v>
      </c>
      <c r="O101" s="501">
        <f t="shared" si="3"/>
        <v>543</v>
      </c>
    </row>
    <row r="102" spans="1:15">
      <c r="A102">
        <v>101</v>
      </c>
      <c r="B102">
        <v>1870337</v>
      </c>
      <c r="C102" t="s">
        <v>1727</v>
      </c>
      <c r="D102">
        <v>3.37</v>
      </c>
      <c r="E102">
        <v>0</v>
      </c>
      <c r="F102">
        <v>0</v>
      </c>
      <c r="G102">
        <v>30</v>
      </c>
      <c r="H102">
        <v>0</v>
      </c>
      <c r="I102">
        <v>0</v>
      </c>
      <c r="J102">
        <v>30</v>
      </c>
      <c r="K102">
        <v>30</v>
      </c>
      <c r="L102">
        <v>-30</v>
      </c>
      <c r="N102" s="499" t="str">
        <f t="shared" si="2"/>
        <v>S18A HD3.37</v>
      </c>
      <c r="O102" s="501">
        <f t="shared" si="3"/>
        <v>30</v>
      </c>
    </row>
    <row r="103" spans="1:15">
      <c r="A103">
        <v>102</v>
      </c>
      <c r="B103">
        <v>1870345</v>
      </c>
      <c r="C103" t="s">
        <v>1727</v>
      </c>
      <c r="D103">
        <v>3.45</v>
      </c>
      <c r="E103">
        <v>0</v>
      </c>
      <c r="F103">
        <v>0</v>
      </c>
      <c r="G103">
        <v>27</v>
      </c>
      <c r="H103">
        <v>0</v>
      </c>
      <c r="I103">
        <v>0</v>
      </c>
      <c r="J103">
        <v>27</v>
      </c>
      <c r="K103">
        <v>27</v>
      </c>
      <c r="L103">
        <v>-27</v>
      </c>
      <c r="N103" s="499" t="str">
        <f t="shared" si="2"/>
        <v>S18A HD3.45</v>
      </c>
      <c r="O103" s="501">
        <f t="shared" si="3"/>
        <v>27</v>
      </c>
    </row>
    <row r="104" spans="1:15">
      <c r="A104">
        <v>103</v>
      </c>
      <c r="B104">
        <v>1870383</v>
      </c>
      <c r="C104" t="s">
        <v>1727</v>
      </c>
      <c r="D104">
        <v>3.83</v>
      </c>
      <c r="E104">
        <v>0</v>
      </c>
      <c r="F104">
        <v>0</v>
      </c>
      <c r="G104">
        <v>30</v>
      </c>
      <c r="H104">
        <v>0</v>
      </c>
      <c r="I104">
        <v>0</v>
      </c>
      <c r="J104">
        <v>30</v>
      </c>
      <c r="K104">
        <v>30</v>
      </c>
      <c r="L104">
        <v>-30</v>
      </c>
      <c r="M104" s="502"/>
      <c r="N104" s="499" t="str">
        <f t="shared" si="2"/>
        <v>S18A HD3.83</v>
      </c>
      <c r="O104" s="501">
        <f t="shared" si="3"/>
        <v>30</v>
      </c>
    </row>
    <row r="105" spans="1:15">
      <c r="A105">
        <v>104</v>
      </c>
      <c r="B105">
        <v>1870391</v>
      </c>
      <c r="C105" t="s">
        <v>1727</v>
      </c>
      <c r="D105">
        <v>3.91</v>
      </c>
      <c r="E105">
        <v>0</v>
      </c>
      <c r="F105">
        <v>0</v>
      </c>
      <c r="G105">
        <v>0</v>
      </c>
      <c r="H105">
        <v>30</v>
      </c>
      <c r="I105">
        <v>0</v>
      </c>
      <c r="J105">
        <v>30</v>
      </c>
      <c r="K105">
        <v>30</v>
      </c>
      <c r="L105">
        <v>-30</v>
      </c>
      <c r="N105" s="499" t="str">
        <f t="shared" si="2"/>
        <v>S18A HD3.91</v>
      </c>
      <c r="O105" s="501">
        <f t="shared" si="3"/>
        <v>30</v>
      </c>
    </row>
    <row r="106" spans="1:15">
      <c r="A106">
        <v>105</v>
      </c>
      <c r="B106">
        <v>2200220</v>
      </c>
      <c r="C106" t="s">
        <v>2345</v>
      </c>
      <c r="D106">
        <v>2.2000000000000002</v>
      </c>
      <c r="E106">
        <v>0</v>
      </c>
      <c r="F106">
        <v>0</v>
      </c>
      <c r="G106">
        <v>144</v>
      </c>
      <c r="H106">
        <v>0</v>
      </c>
      <c r="I106">
        <v>0</v>
      </c>
      <c r="J106">
        <v>144</v>
      </c>
      <c r="K106">
        <v>144</v>
      </c>
      <c r="L106">
        <v>-144</v>
      </c>
      <c r="N106" s="499" t="str">
        <f t="shared" si="2"/>
        <v>S22A SAIP (F)2.2</v>
      </c>
      <c r="O106" s="501">
        <f t="shared" si="3"/>
        <v>144</v>
      </c>
    </row>
    <row r="107" spans="1:15">
      <c r="A107">
        <v>106</v>
      </c>
      <c r="B107">
        <v>2200288</v>
      </c>
      <c r="C107" t="s">
        <v>2345</v>
      </c>
      <c r="D107">
        <v>2.88</v>
      </c>
      <c r="E107">
        <v>0</v>
      </c>
      <c r="F107">
        <v>0</v>
      </c>
      <c r="G107">
        <v>10</v>
      </c>
      <c r="H107">
        <v>0</v>
      </c>
      <c r="I107">
        <v>0</v>
      </c>
      <c r="J107">
        <v>10</v>
      </c>
      <c r="K107">
        <v>10</v>
      </c>
      <c r="L107">
        <v>-10</v>
      </c>
      <c r="N107" s="499" t="str">
        <f t="shared" si="2"/>
        <v>S22A SAIP (F)2.88</v>
      </c>
      <c r="O107" s="501">
        <f t="shared" si="3"/>
        <v>10</v>
      </c>
    </row>
    <row r="108" spans="1:15">
      <c r="A108">
        <v>107</v>
      </c>
      <c r="B108">
        <v>2200320</v>
      </c>
      <c r="C108" t="s">
        <v>2345</v>
      </c>
      <c r="D108">
        <v>3.2</v>
      </c>
      <c r="E108">
        <v>0</v>
      </c>
      <c r="F108">
        <v>0</v>
      </c>
      <c r="G108">
        <v>78</v>
      </c>
      <c r="H108">
        <v>0</v>
      </c>
      <c r="I108">
        <v>0</v>
      </c>
      <c r="J108">
        <v>78</v>
      </c>
      <c r="K108">
        <v>78</v>
      </c>
      <c r="L108">
        <v>-78</v>
      </c>
      <c r="N108" s="499" t="str">
        <f t="shared" si="2"/>
        <v>S22A SAIP (F)3.2</v>
      </c>
      <c r="O108" s="501">
        <f t="shared" si="3"/>
        <v>78</v>
      </c>
    </row>
    <row r="109" spans="1:15">
      <c r="A109">
        <v>108</v>
      </c>
      <c r="B109">
        <v>2200325</v>
      </c>
      <c r="C109" t="s">
        <v>2345</v>
      </c>
      <c r="D109">
        <v>3.25</v>
      </c>
      <c r="E109">
        <v>0</v>
      </c>
      <c r="F109">
        <v>0</v>
      </c>
      <c r="G109">
        <v>96</v>
      </c>
      <c r="H109">
        <v>0</v>
      </c>
      <c r="I109">
        <v>0</v>
      </c>
      <c r="J109">
        <v>96</v>
      </c>
      <c r="K109">
        <v>96</v>
      </c>
      <c r="L109">
        <v>-96</v>
      </c>
      <c r="N109" s="499" t="str">
        <f t="shared" si="2"/>
        <v>S22A SAIP (F)3.25</v>
      </c>
      <c r="O109" s="501">
        <f t="shared" si="3"/>
        <v>96</v>
      </c>
    </row>
    <row r="110" spans="1:15">
      <c r="A110">
        <v>109</v>
      </c>
      <c r="B110">
        <v>2200330</v>
      </c>
      <c r="C110" t="s">
        <v>2345</v>
      </c>
      <c r="D110">
        <v>3.3</v>
      </c>
      <c r="E110">
        <v>0</v>
      </c>
      <c r="F110">
        <v>0</v>
      </c>
      <c r="G110">
        <v>73</v>
      </c>
      <c r="H110">
        <v>0</v>
      </c>
      <c r="I110">
        <v>0</v>
      </c>
      <c r="J110">
        <v>73</v>
      </c>
      <c r="K110">
        <v>73</v>
      </c>
      <c r="L110">
        <v>-73</v>
      </c>
      <c r="N110" s="499" t="str">
        <f t="shared" si="2"/>
        <v>S22A SAIP (F)3.3</v>
      </c>
      <c r="O110" s="501">
        <f t="shared" si="3"/>
        <v>73</v>
      </c>
    </row>
    <row r="111" spans="1:15">
      <c r="A111">
        <v>110</v>
      </c>
      <c r="B111">
        <v>2200348</v>
      </c>
      <c r="C111" t="s">
        <v>2345</v>
      </c>
      <c r="D111">
        <v>3.48</v>
      </c>
      <c r="E111">
        <v>0</v>
      </c>
      <c r="F111">
        <v>0</v>
      </c>
      <c r="G111">
        <v>155</v>
      </c>
      <c r="H111">
        <v>0</v>
      </c>
      <c r="I111">
        <v>0</v>
      </c>
      <c r="J111">
        <v>155</v>
      </c>
      <c r="K111">
        <v>155</v>
      </c>
      <c r="L111">
        <v>-155</v>
      </c>
      <c r="M111" s="502"/>
      <c r="N111" s="499" t="str">
        <f t="shared" si="2"/>
        <v>S22A SAIP (F)3.48</v>
      </c>
      <c r="O111" s="501">
        <f t="shared" si="3"/>
        <v>155</v>
      </c>
    </row>
    <row r="112" spans="1:15">
      <c r="A112">
        <v>111</v>
      </c>
      <c r="B112">
        <v>2200355</v>
      </c>
      <c r="C112" t="s">
        <v>2345</v>
      </c>
      <c r="D112">
        <v>3.55</v>
      </c>
      <c r="E112">
        <v>150</v>
      </c>
      <c r="F112">
        <v>0</v>
      </c>
      <c r="G112">
        <v>343</v>
      </c>
      <c r="H112">
        <v>0</v>
      </c>
      <c r="I112">
        <v>0</v>
      </c>
      <c r="J112">
        <v>343</v>
      </c>
      <c r="K112">
        <v>343</v>
      </c>
      <c r="L112">
        <v>-193</v>
      </c>
      <c r="N112" s="499" t="str">
        <f t="shared" si="2"/>
        <v>S22A SAIP (F)3.55</v>
      </c>
      <c r="O112" s="501">
        <f t="shared" si="3"/>
        <v>343</v>
      </c>
    </row>
    <row r="113" spans="1:15">
      <c r="A113">
        <v>112</v>
      </c>
      <c r="B113">
        <v>2200545</v>
      </c>
      <c r="C113" t="s">
        <v>2345</v>
      </c>
      <c r="D113">
        <v>5.45</v>
      </c>
      <c r="E113">
        <v>0</v>
      </c>
      <c r="F113">
        <v>0</v>
      </c>
      <c r="G113">
        <v>770</v>
      </c>
      <c r="H113">
        <v>0</v>
      </c>
      <c r="I113">
        <v>0</v>
      </c>
      <c r="J113">
        <v>770</v>
      </c>
      <c r="K113">
        <v>770</v>
      </c>
      <c r="L113">
        <v>-770</v>
      </c>
      <c r="N113" s="499" t="str">
        <f t="shared" si="2"/>
        <v>S22A SAIP (F)5.45</v>
      </c>
      <c r="O113" s="501">
        <f t="shared" si="3"/>
        <v>770</v>
      </c>
    </row>
    <row r="114" spans="1:15">
      <c r="A114">
        <v>113</v>
      </c>
      <c r="B114">
        <v>2510878</v>
      </c>
      <c r="C114" t="s">
        <v>141</v>
      </c>
      <c r="D114">
        <v>8.7799999999999994</v>
      </c>
      <c r="E114">
        <v>0</v>
      </c>
      <c r="F114">
        <v>0</v>
      </c>
      <c r="G114" s="505">
        <v>3279</v>
      </c>
      <c r="H114">
        <v>0</v>
      </c>
      <c r="I114">
        <v>0</v>
      </c>
      <c r="J114" s="505">
        <v>3279</v>
      </c>
      <c r="K114" s="505">
        <v>3279</v>
      </c>
      <c r="L114" s="505">
        <v>-3279</v>
      </c>
      <c r="M114" s="502"/>
      <c r="N114" s="499" t="str">
        <f t="shared" si="2"/>
        <v>S25K SAIP8.78</v>
      </c>
      <c r="O114" s="501">
        <f t="shared" si="3"/>
        <v>3279</v>
      </c>
    </row>
    <row r="115" spans="1:15">
      <c r="A115">
        <v>114</v>
      </c>
      <c r="B115">
        <v>2700345</v>
      </c>
      <c r="C115" t="s">
        <v>1731</v>
      </c>
      <c r="D115">
        <v>3.45</v>
      </c>
      <c r="E115">
        <v>0</v>
      </c>
      <c r="F115">
        <v>0</v>
      </c>
      <c r="G115">
        <v>128</v>
      </c>
      <c r="H115">
        <v>0</v>
      </c>
      <c r="I115">
        <v>0</v>
      </c>
      <c r="J115">
        <v>128</v>
      </c>
      <c r="K115">
        <v>128</v>
      </c>
      <c r="L115">
        <v>-128</v>
      </c>
      <c r="N115" s="499" t="str">
        <f t="shared" si="2"/>
        <v>C2700 W BRASS 1/4H3.45</v>
      </c>
      <c r="O115" s="501">
        <f t="shared" si="3"/>
        <v>128</v>
      </c>
    </row>
    <row r="116" spans="1:15">
      <c r="A116">
        <v>115</v>
      </c>
      <c r="B116">
        <v>2700435</v>
      </c>
      <c r="C116" t="s">
        <v>1731</v>
      </c>
      <c r="D116">
        <v>4.3499999999999996</v>
      </c>
      <c r="E116">
        <v>0</v>
      </c>
      <c r="F116">
        <v>0</v>
      </c>
      <c r="G116">
        <v>89</v>
      </c>
      <c r="H116">
        <v>0</v>
      </c>
      <c r="I116">
        <v>0</v>
      </c>
      <c r="J116">
        <v>89</v>
      </c>
      <c r="K116">
        <v>89</v>
      </c>
      <c r="L116">
        <v>-89</v>
      </c>
      <c r="N116" s="499" t="str">
        <f t="shared" si="2"/>
        <v>C2700 W BRASS 1/4H4.35</v>
      </c>
      <c r="O116" s="501">
        <f t="shared" si="3"/>
        <v>89</v>
      </c>
    </row>
    <row r="117" spans="1:15">
      <c r="A117">
        <v>116</v>
      </c>
      <c r="B117">
        <v>2700525</v>
      </c>
      <c r="C117" t="s">
        <v>1731</v>
      </c>
      <c r="D117">
        <v>5.25</v>
      </c>
      <c r="E117">
        <v>0</v>
      </c>
      <c r="F117">
        <v>0</v>
      </c>
      <c r="G117">
        <v>46</v>
      </c>
      <c r="H117">
        <v>0</v>
      </c>
      <c r="I117">
        <v>0</v>
      </c>
      <c r="J117">
        <v>46</v>
      </c>
      <c r="K117">
        <v>46</v>
      </c>
      <c r="L117">
        <v>-46</v>
      </c>
      <c r="N117" s="499" t="str">
        <f t="shared" si="2"/>
        <v>C2700 W BRASS 1/4H5.25</v>
      </c>
      <c r="O117" s="501">
        <f t="shared" si="3"/>
        <v>46</v>
      </c>
    </row>
    <row r="118" spans="1:15">
      <c r="A118">
        <v>117</v>
      </c>
      <c r="B118">
        <v>2700702</v>
      </c>
      <c r="C118" t="s">
        <v>2187</v>
      </c>
      <c r="D118">
        <v>7.02</v>
      </c>
      <c r="E118">
        <v>0</v>
      </c>
      <c r="F118">
        <v>0</v>
      </c>
      <c r="G118">
        <v>178</v>
      </c>
      <c r="H118">
        <v>0</v>
      </c>
      <c r="I118">
        <v>0</v>
      </c>
      <c r="J118">
        <v>178</v>
      </c>
      <c r="K118">
        <v>178</v>
      </c>
      <c r="L118">
        <v>-178</v>
      </c>
      <c r="M118" s="502"/>
      <c r="N118" s="499" t="str">
        <f t="shared" si="2"/>
        <v>C2700 W BRASS 1/2H7.02</v>
      </c>
      <c r="O118" s="501">
        <f t="shared" si="3"/>
        <v>178</v>
      </c>
    </row>
    <row r="119" spans="1:15">
      <c r="A119">
        <v>118</v>
      </c>
      <c r="B119">
        <v>3020170</v>
      </c>
      <c r="C119" t="s">
        <v>2629</v>
      </c>
      <c r="D119">
        <v>1.7</v>
      </c>
      <c r="E119">
        <v>0</v>
      </c>
      <c r="F119">
        <v>0</v>
      </c>
      <c r="G119">
        <v>10</v>
      </c>
      <c r="H119">
        <v>0</v>
      </c>
      <c r="I119">
        <v>0</v>
      </c>
      <c r="J119">
        <v>10</v>
      </c>
      <c r="K119">
        <v>10</v>
      </c>
      <c r="L119">
        <v>-10</v>
      </c>
      <c r="N119" s="499" t="str">
        <f t="shared" si="2"/>
        <v>STS304CU WSB1.7</v>
      </c>
      <c r="O119" s="501">
        <f t="shared" si="3"/>
        <v>10</v>
      </c>
    </row>
    <row r="120" spans="1:15">
      <c r="A120">
        <v>119</v>
      </c>
      <c r="B120">
        <v>3020180</v>
      </c>
      <c r="C120" t="s">
        <v>2629</v>
      </c>
      <c r="D120">
        <v>1.8</v>
      </c>
      <c r="E120">
        <v>0</v>
      </c>
      <c r="F120">
        <v>0</v>
      </c>
      <c r="G120">
        <v>10</v>
      </c>
      <c r="H120">
        <v>0</v>
      </c>
      <c r="I120">
        <v>0</v>
      </c>
      <c r="J120">
        <v>10</v>
      </c>
      <c r="K120">
        <v>10</v>
      </c>
      <c r="L120">
        <v>-10</v>
      </c>
      <c r="N120" s="499" t="str">
        <f t="shared" si="2"/>
        <v>STS304CU WSB1.8</v>
      </c>
      <c r="O120" s="501">
        <f t="shared" si="3"/>
        <v>10</v>
      </c>
    </row>
    <row r="121" spans="1:15">
      <c r="A121">
        <v>120</v>
      </c>
      <c r="B121">
        <v>3020185</v>
      </c>
      <c r="C121" t="s">
        <v>135</v>
      </c>
      <c r="D121">
        <v>1.85</v>
      </c>
      <c r="E121">
        <v>0</v>
      </c>
      <c r="F121">
        <v>0</v>
      </c>
      <c r="G121">
        <v>10</v>
      </c>
      <c r="H121">
        <v>0</v>
      </c>
      <c r="I121">
        <v>0</v>
      </c>
      <c r="J121">
        <v>10</v>
      </c>
      <c r="K121">
        <v>10</v>
      </c>
      <c r="L121">
        <v>-10</v>
      </c>
      <c r="N121" s="499" t="str">
        <f t="shared" si="2"/>
        <v>STS304CU WSA1.85</v>
      </c>
      <c r="O121" s="501">
        <f t="shared" si="3"/>
        <v>10</v>
      </c>
    </row>
    <row r="122" spans="1:15">
      <c r="A122">
        <v>121</v>
      </c>
      <c r="B122">
        <v>3020246</v>
      </c>
      <c r="C122" t="s">
        <v>135</v>
      </c>
      <c r="D122">
        <v>2.46</v>
      </c>
      <c r="E122">
        <v>164</v>
      </c>
      <c r="F122">
        <v>0</v>
      </c>
      <c r="G122">
        <v>497</v>
      </c>
      <c r="H122">
        <v>0</v>
      </c>
      <c r="I122">
        <v>0</v>
      </c>
      <c r="J122">
        <v>497</v>
      </c>
      <c r="K122">
        <v>497</v>
      </c>
      <c r="L122">
        <v>-333</v>
      </c>
      <c r="N122" s="499" t="str">
        <f t="shared" si="2"/>
        <v>STS304CU WSA2.46</v>
      </c>
      <c r="O122" s="501">
        <f t="shared" si="3"/>
        <v>497</v>
      </c>
    </row>
    <row r="123" spans="1:15">
      <c r="A123">
        <v>122</v>
      </c>
      <c r="B123">
        <v>3020248</v>
      </c>
      <c r="C123" t="s">
        <v>135</v>
      </c>
      <c r="D123">
        <v>2.48</v>
      </c>
      <c r="E123">
        <v>0</v>
      </c>
      <c r="F123">
        <v>0</v>
      </c>
      <c r="G123">
        <v>106</v>
      </c>
      <c r="H123">
        <v>0</v>
      </c>
      <c r="I123">
        <v>0</v>
      </c>
      <c r="J123">
        <v>106</v>
      </c>
      <c r="K123">
        <v>106</v>
      </c>
      <c r="L123">
        <v>-106</v>
      </c>
      <c r="N123" s="499" t="str">
        <f t="shared" si="2"/>
        <v>STS304CU WSA2.48</v>
      </c>
      <c r="O123" s="501">
        <f t="shared" si="3"/>
        <v>106</v>
      </c>
    </row>
    <row r="124" spans="1:15">
      <c r="A124">
        <v>123</v>
      </c>
      <c r="B124">
        <v>3020260</v>
      </c>
      <c r="C124" t="s">
        <v>135</v>
      </c>
      <c r="D124">
        <v>2.6</v>
      </c>
      <c r="E124">
        <v>0</v>
      </c>
      <c r="F124">
        <v>0</v>
      </c>
      <c r="G124">
        <v>20</v>
      </c>
      <c r="H124">
        <v>0</v>
      </c>
      <c r="I124">
        <v>0</v>
      </c>
      <c r="J124">
        <v>20</v>
      </c>
      <c r="K124">
        <v>20</v>
      </c>
      <c r="L124">
        <v>-20</v>
      </c>
      <c r="N124" s="499" t="str">
        <f t="shared" si="2"/>
        <v>STS304CU WSA2.6</v>
      </c>
      <c r="O124" s="501">
        <f t="shared" si="3"/>
        <v>20</v>
      </c>
    </row>
    <row r="125" spans="1:15">
      <c r="A125">
        <v>124</v>
      </c>
      <c r="B125">
        <v>3020300</v>
      </c>
      <c r="C125" t="s">
        <v>135</v>
      </c>
      <c r="D125">
        <v>3</v>
      </c>
      <c r="E125">
        <v>0</v>
      </c>
      <c r="F125">
        <v>0</v>
      </c>
      <c r="G125">
        <v>63</v>
      </c>
      <c r="H125">
        <v>0</v>
      </c>
      <c r="I125">
        <v>0</v>
      </c>
      <c r="J125">
        <v>63</v>
      </c>
      <c r="K125">
        <v>63</v>
      </c>
      <c r="L125">
        <v>-63</v>
      </c>
      <c r="N125" s="499" t="str">
        <f t="shared" si="2"/>
        <v>STS304CU WSA3</v>
      </c>
      <c r="O125" s="501">
        <f t="shared" si="3"/>
        <v>63</v>
      </c>
    </row>
    <row r="126" spans="1:15">
      <c r="A126">
        <v>125</v>
      </c>
      <c r="B126">
        <v>3020320</v>
      </c>
      <c r="C126" t="s">
        <v>135</v>
      </c>
      <c r="D126">
        <v>3.2</v>
      </c>
      <c r="E126">
        <v>947</v>
      </c>
      <c r="F126">
        <v>0</v>
      </c>
      <c r="G126" s="505">
        <v>1038</v>
      </c>
      <c r="H126">
        <v>132</v>
      </c>
      <c r="I126">
        <v>0</v>
      </c>
      <c r="J126" s="505">
        <v>1170</v>
      </c>
      <c r="K126" s="505">
        <v>1170</v>
      </c>
      <c r="L126">
        <v>-223</v>
      </c>
      <c r="N126" s="499" t="str">
        <f t="shared" si="2"/>
        <v>STS304CU WSA3.2</v>
      </c>
      <c r="O126" s="501">
        <f t="shared" si="3"/>
        <v>1170</v>
      </c>
    </row>
    <row r="127" spans="1:15">
      <c r="A127">
        <v>126</v>
      </c>
      <c r="B127">
        <v>3020325</v>
      </c>
      <c r="C127" t="s">
        <v>135</v>
      </c>
      <c r="D127">
        <v>3.25</v>
      </c>
      <c r="E127">
        <v>751</v>
      </c>
      <c r="F127">
        <v>500</v>
      </c>
      <c r="G127">
        <v>511</v>
      </c>
      <c r="H127">
        <v>280</v>
      </c>
      <c r="I127">
        <v>0</v>
      </c>
      <c r="J127">
        <v>791</v>
      </c>
      <c r="K127">
        <v>791</v>
      </c>
      <c r="L127">
        <v>-540</v>
      </c>
      <c r="N127" s="499" t="str">
        <f t="shared" si="2"/>
        <v>STS304CU WSA3.25</v>
      </c>
      <c r="O127" s="501">
        <f t="shared" si="3"/>
        <v>791</v>
      </c>
    </row>
    <row r="128" spans="1:15">
      <c r="A128">
        <v>127</v>
      </c>
      <c r="B128">
        <v>3020328</v>
      </c>
      <c r="C128" t="s">
        <v>135</v>
      </c>
      <c r="D128">
        <v>3.28</v>
      </c>
      <c r="E128">
        <v>63</v>
      </c>
      <c r="F128">
        <v>0</v>
      </c>
      <c r="G128">
        <v>0</v>
      </c>
      <c r="H128">
        <v>246</v>
      </c>
      <c r="I128">
        <v>0</v>
      </c>
      <c r="J128">
        <v>246</v>
      </c>
      <c r="K128">
        <v>246</v>
      </c>
      <c r="L128">
        <v>-183</v>
      </c>
      <c r="N128" s="499" t="str">
        <f t="shared" si="2"/>
        <v>STS304CU WSA3.28</v>
      </c>
      <c r="O128" s="501">
        <f t="shared" si="3"/>
        <v>246</v>
      </c>
    </row>
    <row r="129" spans="1:15">
      <c r="A129">
        <v>128</v>
      </c>
      <c r="B129">
        <v>3020330</v>
      </c>
      <c r="C129" t="s">
        <v>135</v>
      </c>
      <c r="D129">
        <v>3.3</v>
      </c>
      <c r="E129">
        <v>0</v>
      </c>
      <c r="F129">
        <v>0</v>
      </c>
      <c r="G129">
        <v>74</v>
      </c>
      <c r="H129">
        <v>0</v>
      </c>
      <c r="I129">
        <v>0</v>
      </c>
      <c r="J129">
        <v>74</v>
      </c>
      <c r="K129">
        <v>74</v>
      </c>
      <c r="L129">
        <v>-74</v>
      </c>
      <c r="N129" s="499" t="str">
        <f t="shared" si="2"/>
        <v>STS304CU WSA3.3</v>
      </c>
      <c r="O129" s="501">
        <f t="shared" si="3"/>
        <v>74</v>
      </c>
    </row>
    <row r="130" spans="1:15">
      <c r="A130">
        <v>129</v>
      </c>
      <c r="B130">
        <v>3020332</v>
      </c>
      <c r="C130" t="s">
        <v>135</v>
      </c>
      <c r="D130">
        <v>3.32</v>
      </c>
      <c r="E130">
        <v>0</v>
      </c>
      <c r="F130">
        <v>0</v>
      </c>
      <c r="G130">
        <v>51</v>
      </c>
      <c r="H130">
        <v>0</v>
      </c>
      <c r="I130">
        <v>0</v>
      </c>
      <c r="J130">
        <v>51</v>
      </c>
      <c r="K130">
        <v>51</v>
      </c>
      <c r="L130">
        <v>-51</v>
      </c>
      <c r="N130" s="499" t="str">
        <f t="shared" si="2"/>
        <v>STS304CU WSA3.32</v>
      </c>
      <c r="O130" s="501">
        <f t="shared" si="3"/>
        <v>51</v>
      </c>
    </row>
    <row r="131" spans="1:15">
      <c r="A131">
        <v>130</v>
      </c>
      <c r="B131">
        <v>3020345</v>
      </c>
      <c r="C131" t="s">
        <v>2629</v>
      </c>
      <c r="D131">
        <v>3.45</v>
      </c>
      <c r="E131">
        <v>513</v>
      </c>
      <c r="F131">
        <v>0</v>
      </c>
      <c r="G131">
        <v>729</v>
      </c>
      <c r="H131">
        <v>362</v>
      </c>
      <c r="I131">
        <v>0</v>
      </c>
      <c r="J131" s="505">
        <v>1091</v>
      </c>
      <c r="K131" s="505">
        <v>1091</v>
      </c>
      <c r="L131">
        <v>-578</v>
      </c>
      <c r="N131" s="499" t="str">
        <f t="shared" ref="N131:N194" si="4">C131&amp;D131</f>
        <v>STS304CU WSB3.45</v>
      </c>
      <c r="O131" s="501">
        <f t="shared" ref="O131:O194" si="5">J131</f>
        <v>1091</v>
      </c>
    </row>
    <row r="132" spans="1:15">
      <c r="A132">
        <v>131</v>
      </c>
      <c r="B132">
        <v>3020352</v>
      </c>
      <c r="C132" t="s">
        <v>2629</v>
      </c>
      <c r="D132">
        <v>3.52</v>
      </c>
      <c r="E132">
        <v>0</v>
      </c>
      <c r="F132">
        <v>0</v>
      </c>
      <c r="G132">
        <v>16</v>
      </c>
      <c r="H132">
        <v>0</v>
      </c>
      <c r="I132">
        <v>0</v>
      </c>
      <c r="J132">
        <v>16</v>
      </c>
      <c r="K132">
        <v>16</v>
      </c>
      <c r="L132">
        <v>-16</v>
      </c>
      <c r="M132" s="502"/>
      <c r="N132" s="499" t="str">
        <f t="shared" si="4"/>
        <v>STS304CU WSB3.52</v>
      </c>
      <c r="O132" s="501">
        <f t="shared" si="5"/>
        <v>16</v>
      </c>
    </row>
    <row r="133" spans="1:15">
      <c r="A133">
        <v>132</v>
      </c>
      <c r="B133">
        <v>3020355</v>
      </c>
      <c r="C133" t="s">
        <v>135</v>
      </c>
      <c r="D133">
        <v>3.55</v>
      </c>
      <c r="E133">
        <v>0</v>
      </c>
      <c r="F133">
        <v>0</v>
      </c>
      <c r="G133">
        <v>20</v>
      </c>
      <c r="H133">
        <v>0</v>
      </c>
      <c r="I133">
        <v>0</v>
      </c>
      <c r="J133">
        <v>20</v>
      </c>
      <c r="K133">
        <v>20</v>
      </c>
      <c r="L133">
        <v>-20</v>
      </c>
      <c r="N133" s="499" t="str">
        <f t="shared" si="4"/>
        <v>STS304CU WSA3.55</v>
      </c>
      <c r="O133" s="501">
        <f t="shared" si="5"/>
        <v>20</v>
      </c>
    </row>
    <row r="134" spans="1:15">
      <c r="A134">
        <v>133</v>
      </c>
      <c r="B134">
        <v>3020395</v>
      </c>
      <c r="C134" t="s">
        <v>135</v>
      </c>
      <c r="D134">
        <v>3.95</v>
      </c>
      <c r="E134">
        <v>0</v>
      </c>
      <c r="F134">
        <v>0</v>
      </c>
      <c r="G134">
        <v>486</v>
      </c>
      <c r="H134">
        <v>0</v>
      </c>
      <c r="I134">
        <v>0</v>
      </c>
      <c r="J134">
        <v>486</v>
      </c>
      <c r="K134">
        <v>486</v>
      </c>
      <c r="L134">
        <v>-486</v>
      </c>
      <c r="N134" s="499" t="str">
        <f t="shared" si="4"/>
        <v>STS304CU WSA3.95</v>
      </c>
      <c r="O134" s="501">
        <f t="shared" si="5"/>
        <v>486</v>
      </c>
    </row>
    <row r="135" spans="1:15">
      <c r="A135">
        <v>134</v>
      </c>
      <c r="B135">
        <v>3020405</v>
      </c>
      <c r="C135" t="s">
        <v>135</v>
      </c>
      <c r="D135">
        <v>4.05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N135" s="499" t="str">
        <f t="shared" si="4"/>
        <v>STS304CU WSA4.05</v>
      </c>
      <c r="O135" s="501">
        <f t="shared" si="5"/>
        <v>0</v>
      </c>
    </row>
    <row r="136" spans="1:15">
      <c r="A136">
        <v>135</v>
      </c>
      <c r="B136">
        <v>3020417</v>
      </c>
      <c r="C136" t="s">
        <v>135</v>
      </c>
      <c r="D136">
        <v>4.17</v>
      </c>
      <c r="E136">
        <v>1</v>
      </c>
      <c r="F136">
        <v>0</v>
      </c>
      <c r="G136">
        <v>14</v>
      </c>
      <c r="H136">
        <v>0</v>
      </c>
      <c r="I136">
        <v>0</v>
      </c>
      <c r="J136">
        <v>14</v>
      </c>
      <c r="K136">
        <v>14</v>
      </c>
      <c r="L136">
        <v>-13</v>
      </c>
      <c r="N136" s="499" t="str">
        <f t="shared" si="4"/>
        <v>STS304CU WSA4.17</v>
      </c>
      <c r="O136" s="501">
        <f t="shared" si="5"/>
        <v>14</v>
      </c>
    </row>
    <row r="137" spans="1:15">
      <c r="A137">
        <v>136</v>
      </c>
      <c r="B137">
        <v>3020438</v>
      </c>
      <c r="C137" t="s">
        <v>2629</v>
      </c>
      <c r="D137">
        <v>4.38</v>
      </c>
      <c r="E137">
        <v>400</v>
      </c>
      <c r="F137">
        <v>0</v>
      </c>
      <c r="G137">
        <v>511</v>
      </c>
      <c r="H137">
        <v>0</v>
      </c>
      <c r="I137">
        <v>0</v>
      </c>
      <c r="J137">
        <v>511</v>
      </c>
      <c r="K137">
        <v>511</v>
      </c>
      <c r="L137">
        <v>-111</v>
      </c>
      <c r="N137" s="499" t="str">
        <f t="shared" si="4"/>
        <v>STS304CU WSB4.38</v>
      </c>
      <c r="O137" s="501">
        <f t="shared" si="5"/>
        <v>511</v>
      </c>
    </row>
    <row r="138" spans="1:15">
      <c r="A138">
        <v>137</v>
      </c>
      <c r="B138">
        <v>3020467</v>
      </c>
      <c r="C138" t="s">
        <v>135</v>
      </c>
      <c r="D138">
        <v>4.67</v>
      </c>
      <c r="E138">
        <v>78</v>
      </c>
      <c r="F138">
        <v>97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-19</v>
      </c>
      <c r="N138" s="499" t="str">
        <f t="shared" si="4"/>
        <v>STS304CU WSA4.67</v>
      </c>
      <c r="O138" s="501">
        <f t="shared" si="5"/>
        <v>0</v>
      </c>
    </row>
    <row r="139" spans="1:15">
      <c r="A139">
        <v>138</v>
      </c>
      <c r="B139">
        <v>3020525</v>
      </c>
      <c r="C139" t="s">
        <v>2629</v>
      </c>
      <c r="D139">
        <v>5.25</v>
      </c>
      <c r="E139">
        <v>0</v>
      </c>
      <c r="F139">
        <v>0</v>
      </c>
      <c r="G139">
        <v>356</v>
      </c>
      <c r="H139">
        <v>0</v>
      </c>
      <c r="I139">
        <v>0</v>
      </c>
      <c r="J139">
        <v>356</v>
      </c>
      <c r="K139">
        <v>356</v>
      </c>
      <c r="L139">
        <v>-356</v>
      </c>
      <c r="N139" s="499" t="str">
        <f t="shared" si="4"/>
        <v>STS304CU WSB5.25</v>
      </c>
      <c r="O139" s="501">
        <f t="shared" si="5"/>
        <v>356</v>
      </c>
    </row>
    <row r="140" spans="1:15">
      <c r="A140">
        <v>139</v>
      </c>
      <c r="B140">
        <v>3020528</v>
      </c>
      <c r="C140" t="s">
        <v>2629</v>
      </c>
      <c r="D140">
        <v>5.28</v>
      </c>
      <c r="E140">
        <v>0</v>
      </c>
      <c r="F140">
        <v>0</v>
      </c>
      <c r="G140">
        <v>60</v>
      </c>
      <c r="H140">
        <v>0</v>
      </c>
      <c r="I140">
        <v>0</v>
      </c>
      <c r="J140">
        <v>60</v>
      </c>
      <c r="K140">
        <v>60</v>
      </c>
      <c r="L140">
        <v>-60</v>
      </c>
      <c r="N140" s="499" t="str">
        <f t="shared" si="4"/>
        <v>STS304CU WSB5.28</v>
      </c>
      <c r="O140" s="501">
        <f t="shared" si="5"/>
        <v>60</v>
      </c>
    </row>
    <row r="141" spans="1:15">
      <c r="A141">
        <v>140</v>
      </c>
      <c r="B141">
        <v>3020583</v>
      </c>
      <c r="C141" t="s">
        <v>2629</v>
      </c>
      <c r="D141">
        <v>5.83</v>
      </c>
      <c r="E141">
        <v>0</v>
      </c>
      <c r="F141">
        <v>0</v>
      </c>
      <c r="G141">
        <v>37</v>
      </c>
      <c r="H141">
        <v>0</v>
      </c>
      <c r="I141">
        <v>0</v>
      </c>
      <c r="J141">
        <v>37</v>
      </c>
      <c r="K141">
        <v>37</v>
      </c>
      <c r="L141">
        <v>-37</v>
      </c>
      <c r="N141" s="499" t="str">
        <f t="shared" si="4"/>
        <v>STS304CU WSB5.83</v>
      </c>
      <c r="O141" s="501">
        <f t="shared" si="5"/>
        <v>37</v>
      </c>
    </row>
    <row r="142" spans="1:15">
      <c r="A142">
        <v>141</v>
      </c>
      <c r="B142">
        <v>3020702</v>
      </c>
      <c r="C142" t="s">
        <v>2629</v>
      </c>
      <c r="D142">
        <v>7.02</v>
      </c>
      <c r="E142" s="505">
        <v>4434</v>
      </c>
      <c r="F142" s="505">
        <v>7098</v>
      </c>
      <c r="G142" s="505">
        <v>3060</v>
      </c>
      <c r="H142">
        <v>774</v>
      </c>
      <c r="I142">
        <v>0</v>
      </c>
      <c r="J142" s="505">
        <v>3834</v>
      </c>
      <c r="K142" s="505">
        <v>3834</v>
      </c>
      <c r="L142" s="505">
        <v>-6498</v>
      </c>
      <c r="N142" s="499" t="str">
        <f t="shared" si="4"/>
        <v>STS304CU WSB7.02</v>
      </c>
      <c r="O142" s="501">
        <f t="shared" si="5"/>
        <v>3834</v>
      </c>
    </row>
    <row r="143" spans="1:15">
      <c r="A143">
        <v>142</v>
      </c>
      <c r="B143">
        <v>3020780</v>
      </c>
      <c r="C143" t="s">
        <v>135</v>
      </c>
      <c r="D143">
        <v>7.8</v>
      </c>
      <c r="E143">
        <v>0</v>
      </c>
      <c r="F143">
        <v>0</v>
      </c>
      <c r="G143">
        <v>20</v>
      </c>
      <c r="H143">
        <v>0</v>
      </c>
      <c r="I143">
        <v>0</v>
      </c>
      <c r="J143">
        <v>20</v>
      </c>
      <c r="K143">
        <v>20</v>
      </c>
      <c r="L143">
        <v>-20</v>
      </c>
      <c r="N143" s="499" t="str">
        <f t="shared" si="4"/>
        <v>STS304CU WSA7.8</v>
      </c>
      <c r="O143" s="501">
        <f t="shared" si="5"/>
        <v>20</v>
      </c>
    </row>
    <row r="144" spans="1:15">
      <c r="A144">
        <v>143</v>
      </c>
      <c r="B144">
        <v>3020980</v>
      </c>
      <c r="C144" t="s">
        <v>1730</v>
      </c>
      <c r="D144">
        <v>9.8000000000000007</v>
      </c>
      <c r="E144">
        <v>777</v>
      </c>
      <c r="F144">
        <v>0</v>
      </c>
      <c r="G144">
        <v>927</v>
      </c>
      <c r="H144">
        <v>871</v>
      </c>
      <c r="I144">
        <v>0</v>
      </c>
      <c r="J144" s="505">
        <v>1798</v>
      </c>
      <c r="K144" s="505">
        <v>1798</v>
      </c>
      <c r="L144" s="505">
        <v>-1021</v>
      </c>
      <c r="M144" s="502"/>
      <c r="N144" s="499" t="str">
        <f t="shared" si="4"/>
        <v>STS304CU WSA (XM7)9.8</v>
      </c>
      <c r="O144" s="501">
        <f t="shared" si="5"/>
        <v>1798</v>
      </c>
    </row>
    <row r="145" spans="1:15">
      <c r="A145">
        <v>144</v>
      </c>
      <c r="B145">
        <v>3021262</v>
      </c>
      <c r="C145" t="s">
        <v>2629</v>
      </c>
      <c r="D145">
        <v>12.62</v>
      </c>
      <c r="E145">
        <v>2</v>
      </c>
      <c r="F145">
        <v>0</v>
      </c>
      <c r="G145">
        <v>243</v>
      </c>
      <c r="H145">
        <v>0</v>
      </c>
      <c r="I145">
        <v>0</v>
      </c>
      <c r="J145">
        <v>243</v>
      </c>
      <c r="K145">
        <v>243</v>
      </c>
      <c r="L145">
        <v>-241</v>
      </c>
      <c r="N145" s="499" t="str">
        <f t="shared" si="4"/>
        <v>STS304CU WSB12.62</v>
      </c>
      <c r="O145" s="501">
        <f t="shared" si="5"/>
        <v>243</v>
      </c>
    </row>
    <row r="146" spans="1:15">
      <c r="A146">
        <v>145</v>
      </c>
      <c r="B146">
        <v>3030246</v>
      </c>
      <c r="C146" t="s">
        <v>1852</v>
      </c>
      <c r="D146">
        <v>2.46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s="502"/>
      <c r="N146" s="499" t="str">
        <f t="shared" si="4"/>
        <v>STS304 WSB2.46</v>
      </c>
      <c r="O146" s="501">
        <f t="shared" si="5"/>
        <v>0</v>
      </c>
    </row>
    <row r="147" spans="1:15">
      <c r="A147">
        <v>146</v>
      </c>
      <c r="B147">
        <v>3031262</v>
      </c>
      <c r="C147" t="s">
        <v>135</v>
      </c>
      <c r="D147">
        <v>12.62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N147" s="499" t="str">
        <f t="shared" si="4"/>
        <v>STS304CU WSA12.62</v>
      </c>
      <c r="O147" s="501">
        <f t="shared" si="5"/>
        <v>0</v>
      </c>
    </row>
    <row r="148" spans="1:15">
      <c r="A148">
        <v>147</v>
      </c>
      <c r="B148">
        <v>3040160</v>
      </c>
      <c r="C148" t="s">
        <v>135</v>
      </c>
      <c r="D148">
        <v>1.6</v>
      </c>
      <c r="E148">
        <v>0</v>
      </c>
      <c r="F148">
        <v>0</v>
      </c>
      <c r="G148">
        <v>10</v>
      </c>
      <c r="H148">
        <v>0</v>
      </c>
      <c r="I148">
        <v>0</v>
      </c>
      <c r="J148">
        <v>10</v>
      </c>
      <c r="K148">
        <v>10</v>
      </c>
      <c r="L148">
        <v>-10</v>
      </c>
      <c r="N148" s="499" t="str">
        <f t="shared" si="4"/>
        <v>STS304CU WSA1.6</v>
      </c>
      <c r="O148" s="501">
        <f t="shared" si="5"/>
        <v>10</v>
      </c>
    </row>
    <row r="149" spans="1:15">
      <c r="A149">
        <v>148</v>
      </c>
      <c r="B149">
        <v>3070525</v>
      </c>
      <c r="C149" t="s">
        <v>2645</v>
      </c>
      <c r="D149">
        <v>5.25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N149" s="499" t="str">
        <f t="shared" si="4"/>
        <v>STS304CU WSB A2-705.25</v>
      </c>
      <c r="O149" s="501">
        <f t="shared" si="5"/>
        <v>0</v>
      </c>
    </row>
    <row r="150" spans="1:15">
      <c r="A150">
        <v>149</v>
      </c>
      <c r="B150">
        <v>3070702</v>
      </c>
      <c r="C150" t="s">
        <v>2645</v>
      </c>
      <c r="D150">
        <v>7.02</v>
      </c>
      <c r="E150">
        <v>0</v>
      </c>
      <c r="F150">
        <v>0</v>
      </c>
      <c r="G150">
        <v>10</v>
      </c>
      <c r="H150">
        <v>0</v>
      </c>
      <c r="I150">
        <v>0</v>
      </c>
      <c r="J150">
        <v>10</v>
      </c>
      <c r="K150">
        <v>10</v>
      </c>
      <c r="L150">
        <v>-10</v>
      </c>
      <c r="N150" s="499" t="str">
        <f t="shared" si="4"/>
        <v>STS304CU WSB A2-707.02</v>
      </c>
      <c r="O150" s="501">
        <f t="shared" si="5"/>
        <v>10</v>
      </c>
    </row>
    <row r="151" spans="1:15">
      <c r="A151">
        <v>150</v>
      </c>
      <c r="B151">
        <v>3330020</v>
      </c>
      <c r="C151" t="s">
        <v>1776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N151" s="499" t="str">
        <f t="shared" si="4"/>
        <v>STS304J3S WSB2</v>
      </c>
      <c r="O151" s="501">
        <f t="shared" si="5"/>
        <v>0</v>
      </c>
    </row>
    <row r="152" spans="1:15">
      <c r="A152">
        <v>151</v>
      </c>
      <c r="B152">
        <v>3330195</v>
      </c>
      <c r="C152" t="s">
        <v>1776</v>
      </c>
      <c r="D152">
        <v>1.95</v>
      </c>
      <c r="E152">
        <v>0</v>
      </c>
      <c r="F152">
        <v>0</v>
      </c>
      <c r="G152">
        <v>14</v>
      </c>
      <c r="H152">
        <v>0</v>
      </c>
      <c r="I152">
        <v>0</v>
      </c>
      <c r="J152">
        <v>14</v>
      </c>
      <c r="K152">
        <v>14</v>
      </c>
      <c r="L152">
        <v>-14</v>
      </c>
      <c r="N152" s="499" t="str">
        <f t="shared" si="4"/>
        <v>STS304J3S WSB1.95</v>
      </c>
      <c r="O152" s="501">
        <f t="shared" si="5"/>
        <v>14</v>
      </c>
    </row>
    <row r="153" spans="1:15">
      <c r="A153">
        <v>152</v>
      </c>
      <c r="B153">
        <v>3330295</v>
      </c>
      <c r="C153" t="s">
        <v>1865</v>
      </c>
      <c r="D153">
        <v>2.95</v>
      </c>
      <c r="E153">
        <v>0</v>
      </c>
      <c r="F153">
        <v>0</v>
      </c>
      <c r="G153">
        <v>57</v>
      </c>
      <c r="H153">
        <v>0</v>
      </c>
      <c r="I153">
        <v>0</v>
      </c>
      <c r="J153">
        <v>57</v>
      </c>
      <c r="K153">
        <v>57</v>
      </c>
      <c r="L153">
        <v>-57</v>
      </c>
      <c r="N153" s="499" t="str">
        <f t="shared" si="4"/>
        <v>STS304J3S WSA2.95</v>
      </c>
      <c r="O153" s="501">
        <f t="shared" si="5"/>
        <v>57</v>
      </c>
    </row>
    <row r="154" spans="1:15">
      <c r="A154">
        <v>153</v>
      </c>
      <c r="B154">
        <v>3330450</v>
      </c>
      <c r="C154" t="s">
        <v>1776</v>
      </c>
      <c r="D154">
        <v>4.5</v>
      </c>
      <c r="E154">
        <v>0</v>
      </c>
      <c r="F154">
        <v>0</v>
      </c>
      <c r="G154">
        <v>519</v>
      </c>
      <c r="H154">
        <v>0</v>
      </c>
      <c r="I154">
        <v>0</v>
      </c>
      <c r="J154">
        <v>519</v>
      </c>
      <c r="K154">
        <v>519</v>
      </c>
      <c r="L154">
        <v>-519</v>
      </c>
      <c r="N154" s="499" t="str">
        <f t="shared" si="4"/>
        <v>STS304J3S WSB4.5</v>
      </c>
      <c r="O154" s="501">
        <f t="shared" si="5"/>
        <v>519</v>
      </c>
    </row>
    <row r="155" spans="1:15">
      <c r="A155">
        <v>154</v>
      </c>
      <c r="B155">
        <v>3330625</v>
      </c>
      <c r="C155" t="s">
        <v>2629</v>
      </c>
      <c r="D155">
        <v>6.25</v>
      </c>
      <c r="E155">
        <v>0</v>
      </c>
      <c r="F155">
        <v>0</v>
      </c>
      <c r="G155">
        <v>30</v>
      </c>
      <c r="H155">
        <v>0</v>
      </c>
      <c r="I155">
        <v>0</v>
      </c>
      <c r="J155">
        <v>30</v>
      </c>
      <c r="K155">
        <v>30</v>
      </c>
      <c r="L155">
        <v>-30</v>
      </c>
      <c r="N155" s="499" t="str">
        <f t="shared" si="4"/>
        <v>STS304CU WSB6.25</v>
      </c>
      <c r="O155" s="501">
        <f t="shared" si="5"/>
        <v>30</v>
      </c>
    </row>
    <row r="156" spans="1:15">
      <c r="A156">
        <v>155</v>
      </c>
      <c r="B156">
        <v>4300246</v>
      </c>
      <c r="C156" t="s">
        <v>185</v>
      </c>
      <c r="D156">
        <v>2.46</v>
      </c>
      <c r="E156">
        <v>35</v>
      </c>
      <c r="F156">
        <v>0</v>
      </c>
      <c r="G156">
        <v>227</v>
      </c>
      <c r="H156">
        <v>0</v>
      </c>
      <c r="I156">
        <v>0</v>
      </c>
      <c r="J156">
        <v>227</v>
      </c>
      <c r="K156">
        <v>227</v>
      </c>
      <c r="L156">
        <v>-192</v>
      </c>
      <c r="N156" s="499" t="str">
        <f t="shared" si="4"/>
        <v>STS430 WSA2.46</v>
      </c>
      <c r="O156" s="501">
        <f t="shared" si="5"/>
        <v>227</v>
      </c>
    </row>
    <row r="157" spans="1:15">
      <c r="A157">
        <v>156</v>
      </c>
      <c r="B157">
        <v>4300320</v>
      </c>
      <c r="C157" t="s">
        <v>185</v>
      </c>
      <c r="D157">
        <v>3.2</v>
      </c>
      <c r="E157">
        <v>0</v>
      </c>
      <c r="F157">
        <v>0</v>
      </c>
      <c r="G157" s="505">
        <v>1354</v>
      </c>
      <c r="H157">
        <v>227</v>
      </c>
      <c r="I157">
        <v>0</v>
      </c>
      <c r="J157" s="505">
        <v>1581</v>
      </c>
      <c r="K157" s="505">
        <v>1581</v>
      </c>
      <c r="L157" s="505">
        <v>-1581</v>
      </c>
      <c r="N157" s="499" t="str">
        <f t="shared" si="4"/>
        <v>STS430 WSA3.2</v>
      </c>
      <c r="O157" s="501">
        <f t="shared" si="5"/>
        <v>1581</v>
      </c>
    </row>
    <row r="158" spans="1:15">
      <c r="A158">
        <v>157</v>
      </c>
      <c r="B158">
        <v>4300325</v>
      </c>
      <c r="C158" t="s">
        <v>185</v>
      </c>
      <c r="D158">
        <v>3.25</v>
      </c>
      <c r="E158">
        <v>98</v>
      </c>
      <c r="F158">
        <v>0</v>
      </c>
      <c r="G158" s="505">
        <v>1354</v>
      </c>
      <c r="H158">
        <v>23</v>
      </c>
      <c r="I158">
        <v>0</v>
      </c>
      <c r="J158" s="505">
        <v>1377</v>
      </c>
      <c r="K158" s="505">
        <v>1377</v>
      </c>
      <c r="L158" s="505">
        <v>-1279</v>
      </c>
      <c r="N158" s="499" t="str">
        <f t="shared" si="4"/>
        <v>STS430 WSA3.25</v>
      </c>
      <c r="O158" s="501">
        <f t="shared" si="5"/>
        <v>1377</v>
      </c>
    </row>
    <row r="159" spans="1:15">
      <c r="A159">
        <v>158</v>
      </c>
      <c r="B159">
        <v>4310405</v>
      </c>
      <c r="C159" t="s">
        <v>137</v>
      </c>
      <c r="D159">
        <v>4.05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N159" s="499" t="str">
        <f t="shared" si="4"/>
        <v>STS430 WSB4.05</v>
      </c>
      <c r="O159" s="501">
        <f t="shared" si="5"/>
        <v>0</v>
      </c>
    </row>
    <row r="160" spans="1:15">
      <c r="A160">
        <v>159</v>
      </c>
      <c r="B160">
        <v>4310430</v>
      </c>
      <c r="C160" t="s">
        <v>137</v>
      </c>
      <c r="D160">
        <v>4.3</v>
      </c>
      <c r="E160">
        <v>35</v>
      </c>
      <c r="F160">
        <v>0</v>
      </c>
      <c r="G160">
        <v>513</v>
      </c>
      <c r="H160">
        <v>290</v>
      </c>
      <c r="I160">
        <v>0</v>
      </c>
      <c r="J160">
        <v>803</v>
      </c>
      <c r="K160">
        <v>803</v>
      </c>
      <c r="L160">
        <v>-768</v>
      </c>
      <c r="N160" s="499" t="str">
        <f t="shared" si="4"/>
        <v>STS430 WSB4.3</v>
      </c>
      <c r="O160" s="501">
        <f t="shared" si="5"/>
        <v>803</v>
      </c>
    </ro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   </c>
      <c r="F161">
        <v>0</v>
      </c>
      <c r="G161" s="505">
        <v>1211</v>
      </c>
      <c r="H161">
        <v>503</v>
      </c>
      <c r="I161">
        <v>0</v>
      </c>
      <c r="J161" s="505">
        <v>1714</v>
      </c>
      <c r="K161" s="505">
        <v>1714</v>
      </c>
      <c r="L161" s="505">
        <v>-1713</v>
      </c>
      <c r="N161" s="499" t="str">
        <f t="shared" si="4"/>
        <v>STS430 WSB4.38</v>
      </c>
      <c r="O161" s="501">
        <f t="shared" si="5"/>
        <v>1714</v>
      </c>
    </row>
    <row r="162" spans="1:15">
      <c r="A162">
        <v>161</v>
      </c>
      <c r="B162">
        <v>4310702</v>
      </c>
      <c r="C162" t="s">
        <v>137</v>
      </c>
      <c r="D162">
        <v>7.02</v>
      </c>
      <c r="E162" s="505">
        <v>1608</v>
      </c>
      <c r="F162" s="505">
        <v>4078</v>
      </c>
      <c r="G162" s="505">
        <v>2766</v>
      </c>
      <c r="H162">
        <v>863</v>
      </c>
      <c r="I162">
        <v>0</v>
      </c>
      <c r="J162" s="505">
        <v>3629</v>
      </c>
      <c r="K162" s="505">
        <v>3629</v>
      </c>
      <c r="L162" s="505">
        <v>-6099</v>
      </c>
      <c r="N162" s="499" t="str">
        <f t="shared" si="4"/>
        <v>STS430 WSB7.02</v>
      </c>
      <c r="O162" s="501">
        <f t="shared" si="5"/>
        <v>3629</v>
      </c>
    </row>
    <row r="163" spans="1:15">
      <c r="A163">
        <v>162</v>
      </c>
      <c r="B163">
        <v>4350253</v>
      </c>
      <c r="C163" t="s">
        <v>184</v>
      </c>
      <c r="D163">
        <v>2.5299999999999998</v>
      </c>
      <c r="E163">
        <v>0</v>
      </c>
      <c r="F163">
        <v>0</v>
      </c>
      <c r="G163">
        <v>184</v>
      </c>
      <c r="H163">
        <v>0</v>
      </c>
      <c r="I163">
        <v>0</v>
      </c>
      <c r="J163">
        <v>184</v>
      </c>
      <c r="K163">
        <v>184</v>
      </c>
      <c r="L163">
        <v>-184</v>
      </c>
      <c r="N163" s="499" t="str">
        <f t="shared" si="4"/>
        <v>SCM435 PASAIP2.53</v>
      </c>
      <c r="O163" s="501">
        <f t="shared" si="5"/>
        <v>184</v>
      </c>
    </row>
    <row r="164" spans="1:15">
      <c r="A164">
        <v>163</v>
      </c>
      <c r="B164">
        <v>4350260</v>
      </c>
      <c r="C164" t="s">
        <v>184</v>
      </c>
      <c r="D164">
        <v>2.6</v>
      </c>
      <c r="E164">
        <v>0</v>
      </c>
      <c r="F164">
        <v>0</v>
      </c>
      <c r="G164" s="505">
        <v>8787</v>
      </c>
      <c r="H164">
        <v>0</v>
      </c>
      <c r="I164">
        <v>0</v>
      </c>
      <c r="J164" s="505">
        <v>8787</v>
      </c>
      <c r="K164" s="505">
        <v>8787</v>
      </c>
      <c r="L164" s="505">
        <v>-8787</v>
      </c>
      <c r="N164" s="499" t="str">
        <f t="shared" si="4"/>
        <v>SCM435 PASAIP2.6</v>
      </c>
      <c r="O164" s="501">
        <f t="shared" si="5"/>
        <v>8787</v>
      </c>
    </row>
    <row r="165" spans="1:15">
      <c r="A165">
        <v>164</v>
      </c>
      <c r="B165">
        <v>4350268</v>
      </c>
      <c r="C165" t="s">
        <v>184</v>
      </c>
      <c r="D165">
        <v>2.68</v>
      </c>
      <c r="E165">
        <v>0</v>
      </c>
      <c r="F165">
        <v>0</v>
      </c>
      <c r="G165">
        <v>10</v>
      </c>
      <c r="H165">
        <v>0</v>
      </c>
      <c r="I165">
        <v>0</v>
      </c>
      <c r="J165">
        <v>10</v>
      </c>
      <c r="K165">
        <v>10</v>
      </c>
      <c r="L165">
        <v>-10</v>
      </c>
      <c r="N165" s="499" t="str">
        <f t="shared" si="4"/>
        <v>SCM435 PASAIP2.68</v>
      </c>
      <c r="O165" s="501">
        <f t="shared" si="5"/>
        <v>10</v>
      </c>
    </row>
    <row r="166" spans="1:15">
      <c r="A166">
        <v>165</v>
      </c>
      <c r="B166">
        <v>4350271</v>
      </c>
      <c r="C166" t="s">
        <v>184</v>
      </c>
      <c r="D166">
        <v>2.71</v>
      </c>
      <c r="E166">
        <v>0</v>
      </c>
      <c r="F166">
        <v>0</v>
      </c>
      <c r="G166" s="505">
        <v>2127</v>
      </c>
      <c r="H166">
        <v>0</v>
      </c>
      <c r="I166">
        <v>0</v>
      </c>
      <c r="J166" s="505">
        <v>2127</v>
      </c>
      <c r="K166" s="505">
        <v>2127</v>
      </c>
      <c r="L166" s="505">
        <v>-2127</v>
      </c>
      <c r="N166" s="499" t="str">
        <f t="shared" si="4"/>
        <v>SCM435 PASAIP2.71</v>
      </c>
      <c r="O166" s="501">
        <f t="shared" si="5"/>
        <v>2127</v>
      </c>
    </row>
    <row r="167" spans="1:15">
      <c r="A167">
        <v>166</v>
      </c>
      <c r="B167">
        <v>4350285</v>
      </c>
      <c r="C167" t="s">
        <v>184</v>
      </c>
      <c r="D167">
        <v>2.85</v>
      </c>
      <c r="E167">
        <v>0</v>
      </c>
      <c r="F167">
        <v>0</v>
      </c>
      <c r="G167">
        <v>95</v>
      </c>
      <c r="H167">
        <v>0</v>
      </c>
      <c r="I167">
        <v>0</v>
      </c>
      <c r="J167">
        <v>95</v>
      </c>
      <c r="K167">
        <v>95</v>
      </c>
      <c r="L167">
        <v>-95</v>
      </c>
      <c r="M167" s="502"/>
      <c r="N167" s="499" t="str">
        <f t="shared" si="4"/>
        <v>SCM435 PASAIP2.85</v>
      </c>
      <c r="O167" s="501">
        <f t="shared" si="5"/>
        <v>95</v>
      </c>
    </row>
    <row r="168" spans="1:15">
      <c r="A168">
        <v>167</v>
      </c>
      <c r="B168">
        <v>4350293</v>
      </c>
      <c r="C168" t="s">
        <v>184</v>
      </c>
      <c r="D168">
        <v>2.93</v>
      </c>
      <c r="E168">
        <v>0</v>
      </c>
      <c r="F168">
        <v>0</v>
      </c>
      <c r="G168">
        <v>967</v>
      </c>
      <c r="H168">
        <v>0</v>
      </c>
      <c r="I168">
        <v>0</v>
      </c>
      <c r="J168">
        <v>967</v>
      </c>
      <c r="K168">
        <v>967</v>
      </c>
      <c r="L168">
        <v>-967</v>
      </c>
      <c r="N168" s="499" t="str">
        <f t="shared" si="4"/>
        <v>SCM435 PASAIP2.93</v>
      </c>
      <c r="O168" s="501">
        <f t="shared" si="5"/>
        <v>967</v>
      </c>
    </row>
    <row r="169" spans="1:15">
      <c r="A169">
        <v>168</v>
      </c>
      <c r="B169">
        <v>4350345</v>
      </c>
      <c r="C169" t="s">
        <v>184</v>
      </c>
      <c r="D169">
        <v>3.45</v>
      </c>
      <c r="E169">
        <v>39</v>
      </c>
      <c r="F169">
        <v>0</v>
      </c>
      <c r="G169">
        <v>984</v>
      </c>
      <c r="H169">
        <v>0</v>
      </c>
      <c r="I169">
        <v>0</v>
      </c>
      <c r="J169">
        <v>984</v>
      </c>
      <c r="K169">
        <v>984</v>
      </c>
      <c r="L169">
        <v>-945</v>
      </c>
      <c r="N169" s="499" t="str">
        <f t="shared" si="4"/>
        <v>SCM435 PASAIP3.45</v>
      </c>
      <c r="O169" s="501">
        <f t="shared" si="5"/>
        <v>984</v>
      </c>
    </row>
    <row r="170" spans="1:15">
      <c r="A170">
        <v>169</v>
      </c>
      <c r="B170">
        <v>4350390</v>
      </c>
      <c r="C170" t="s">
        <v>184</v>
      </c>
      <c r="D170">
        <v>3.9</v>
      </c>
      <c r="E170">
        <v>0</v>
      </c>
      <c r="F170">
        <v>0</v>
      </c>
      <c r="G170">
        <v>160</v>
      </c>
      <c r="H170">
        <v>0</v>
      </c>
      <c r="I170">
        <v>0</v>
      </c>
      <c r="J170">
        <v>160</v>
      </c>
      <c r="K170">
        <v>160</v>
      </c>
      <c r="L170">
        <v>-160</v>
      </c>
      <c r="M170" s="502"/>
      <c r="N170" s="499" t="str">
        <f t="shared" si="4"/>
        <v>SCM435 PASAIP3.9</v>
      </c>
      <c r="O170" s="501">
        <f t="shared" si="5"/>
        <v>160</v>
      </c>
    </row>
    <row r="171" spans="1:15">
      <c r="A171">
        <v>170</v>
      </c>
      <c r="B171">
        <v>4350392</v>
      </c>
      <c r="C171" t="s">
        <v>184</v>
      </c>
      <c r="D171">
        <v>3.92</v>
      </c>
      <c r="E171">
        <v>0</v>
      </c>
      <c r="F171">
        <v>0</v>
      </c>
      <c r="G171">
        <v>5</v>
      </c>
      <c r="H171">
        <v>0</v>
      </c>
      <c r="I171">
        <v>0</v>
      </c>
      <c r="J171">
        <v>5</v>
      </c>
      <c r="K171">
        <v>5</v>
      </c>
      <c r="L171">
        <v>-5</v>
      </c>
      <c r="M171" s="502"/>
      <c r="N171" s="499" t="str">
        <f t="shared" si="4"/>
        <v>SCM435 PASAIP3.92</v>
      </c>
      <c r="O171" s="501">
        <f t="shared" si="5"/>
        <v>5</v>
      </c>
    </row>
    <row r="172" spans="1:15">
      <c r="A172">
        <v>171</v>
      </c>
      <c r="B172">
        <v>4350479</v>
      </c>
      <c r="C172" t="s">
        <v>184</v>
      </c>
      <c r="D172">
        <v>4.79</v>
      </c>
      <c r="E172">
        <v>0</v>
      </c>
      <c r="F172">
        <v>0</v>
      </c>
      <c r="G172" s="505">
        <v>1099</v>
      </c>
      <c r="H172">
        <v>0</v>
      </c>
      <c r="I172">
        <v>0</v>
      </c>
      <c r="J172" s="505">
        <v>1099</v>
      </c>
      <c r="K172" s="505">
        <v>1099</v>
      </c>
      <c r="L172" s="505">
        <v>-1099</v>
      </c>
      <c r="M172" s="502"/>
      <c r="N172" s="499" t="str">
        <f t="shared" si="4"/>
        <v>SCM435 PASAIP4.79</v>
      </c>
      <c r="O172" s="501">
        <f t="shared" si="5"/>
        <v>1099</v>
      </c>
    </row>
    <row r="173" spans="1:15">
      <c r="A173">
        <v>172</v>
      </c>
      <c r="B173">
        <v>4350550</v>
      </c>
      <c r="C173" t="s">
        <v>134</v>
      </c>
      <c r="D173">
        <v>5.5</v>
      </c>
      <c r="E173">
        <v>0</v>
      </c>
      <c r="F173">
        <v>0</v>
      </c>
      <c r="G173">
        <v>94</v>
      </c>
      <c r="H173">
        <v>0</v>
      </c>
      <c r="I173">
        <v>0</v>
      </c>
      <c r="J173">
        <v>94</v>
      </c>
      <c r="K173">
        <v>94</v>
      </c>
      <c r="L173">
        <v>-94</v>
      </c>
      <c r="N173" s="499" t="str">
        <f t="shared" si="4"/>
        <v>SCM435 (S)AIP5.5</v>
      </c>
      <c r="O173" s="501">
        <f t="shared" si="5"/>
        <v>94</v>
      </c>
    </row>
    <row r="174" spans="1:15">
      <c r="A174">
        <v>173</v>
      </c>
      <c r="B174">
        <v>4350675</v>
      </c>
      <c r="C174" t="s">
        <v>184</v>
      </c>
      <c r="D174">
        <v>6.75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s="502"/>
      <c r="N174" s="499" t="str">
        <f t="shared" si="4"/>
        <v>SCM435 PASAIP6.75</v>
      </c>
      <c r="O174" s="501">
        <f t="shared" si="5"/>
        <v>0</v>
      </c>
    </row>
    <row r="175" spans="1:15">
      <c r="A175">
        <v>174</v>
      </c>
      <c r="B175">
        <v>4350930</v>
      </c>
      <c r="C175" t="s">
        <v>184</v>
      </c>
      <c r="D175">
        <v>9.3000000000000007</v>
      </c>
      <c r="E175">
        <v>0</v>
      </c>
      <c r="F175">
        <v>0</v>
      </c>
      <c r="G175" s="505">
        <v>3573</v>
      </c>
      <c r="H175">
        <v>0</v>
      </c>
      <c r="I175">
        <v>0</v>
      </c>
      <c r="J175" s="505">
        <v>3573</v>
      </c>
      <c r="K175" s="505">
        <v>3573</v>
      </c>
      <c r="L175" s="505">
        <v>-3573</v>
      </c>
      <c r="N175" s="499" t="str">
        <f t="shared" si="4"/>
        <v>SCM435 PASAIP9.3</v>
      </c>
      <c r="O175" s="501">
        <f t="shared" si="5"/>
        <v>3573</v>
      </c>
    </row>
    <row r="176" spans="1:15">
      <c r="A176">
        <v>175</v>
      </c>
      <c r="B176">
        <v>4360436</v>
      </c>
      <c r="C176" t="s">
        <v>134</v>
      </c>
      <c r="D176">
        <v>4.3600000000000003</v>
      </c>
      <c r="E176">
        <v>0</v>
      </c>
      <c r="F176">
        <v>0</v>
      </c>
      <c r="G176">
        <v>491</v>
      </c>
      <c r="H176">
        <v>0</v>
      </c>
      <c r="I176">
        <v>0</v>
      </c>
      <c r="J176">
        <v>491</v>
      </c>
      <c r="K176">
        <v>491</v>
      </c>
      <c r="L176">
        <v>-491</v>
      </c>
      <c r="M176" s="502"/>
      <c r="N176" s="499" t="str">
        <f t="shared" si="4"/>
        <v>SCM435 (S)AIP4.36</v>
      </c>
      <c r="O176" s="501">
        <f t="shared" si="5"/>
        <v>491</v>
      </c>
    </row>
    <row r="177" spans="1:15">
      <c r="A177">
        <v>176</v>
      </c>
      <c r="B177">
        <v>4360525</v>
      </c>
      <c r="C177" t="s">
        <v>134</v>
      </c>
      <c r="D177">
        <v>5.25</v>
      </c>
      <c r="E177" s="505">
        <v>3728</v>
      </c>
      <c r="F177">
        <v>0</v>
      </c>
      <c r="G177" s="505">
        <v>8414</v>
      </c>
      <c r="H177">
        <v>0</v>
      </c>
      <c r="I177">
        <v>0</v>
      </c>
      <c r="J177" s="505">
        <v>8414</v>
      </c>
      <c r="K177" s="505">
        <v>8414</v>
      </c>
      <c r="L177" s="505">
        <v>-4686</v>
      </c>
      <c r="N177" s="499" t="str">
        <f t="shared" si="4"/>
        <v>SCM435 (S)AIP5.25</v>
      </c>
      <c r="O177" s="501">
        <f t="shared" si="5"/>
        <v>8414</v>
      </c>
    </row>
    <row r="178" spans="1:15">
      <c r="A178">
        <v>177</v>
      </c>
      <c r="B178">
        <v>4360545</v>
      </c>
      <c r="C178" t="s">
        <v>134</v>
      </c>
      <c r="D178">
        <v>5.45</v>
      </c>
      <c r="E178" s="505">
        <v>8376</v>
      </c>
      <c r="F178" s="505">
        <v>8000</v>
      </c>
      <c r="G178" s="505">
        <v>8428</v>
      </c>
      <c r="H178">
        <v>0</v>
      </c>
      <c r="I178">
        <v>0</v>
      </c>
      <c r="J178" s="505">
        <v>8428</v>
      </c>
      <c r="K178" s="505">
        <v>8428</v>
      </c>
      <c r="L178" s="505">
        <v>-8052</v>
      </c>
      <c r="M178" s="502"/>
      <c r="N178" s="499" t="str">
        <f t="shared" si="4"/>
        <v>SCM435 (S)AIP5.45</v>
      </c>
      <c r="O178" s="501">
        <f t="shared" si="5"/>
        <v>8428</v>
      </c>
    </row>
    <row r="179" spans="1:15">
      <c r="A179">
        <v>178</v>
      </c>
      <c r="B179">
        <v>4360565</v>
      </c>
      <c r="C179" t="s">
        <v>134</v>
      </c>
      <c r="D179">
        <v>5.65</v>
      </c>
      <c r="E179">
        <v>0</v>
      </c>
      <c r="F179">
        <v>0</v>
      </c>
      <c r="G179" s="505">
        <v>7628</v>
      </c>
      <c r="H179">
        <v>0</v>
      </c>
      <c r="I179">
        <v>0</v>
      </c>
      <c r="J179" s="505">
        <v>7628</v>
      </c>
      <c r="K179" s="505">
        <v>7628</v>
      </c>
      <c r="L179" s="505">
        <v>-7628</v>
      </c>
      <c r="N179" s="499" t="str">
        <f t="shared" si="4"/>
        <v>SCM435 (S)AIP5.65</v>
      </c>
      <c r="O179" s="501">
        <f t="shared" si="5"/>
        <v>7628</v>
      </c>
    </row>
    <row r="180" spans="1:15">
      <c r="A180">
        <v>179</v>
      </c>
      <c r="B180">
        <v>4360705</v>
      </c>
      <c r="C180" t="s">
        <v>134</v>
      </c>
      <c r="D180">
        <v>7.05</v>
      </c>
      <c r="E180">
        <v>0</v>
      </c>
      <c r="F180">
        <v>0</v>
      </c>
      <c r="G180">
        <v>43</v>
      </c>
      <c r="H180">
        <v>0</v>
      </c>
      <c r="I180">
        <v>0</v>
      </c>
      <c r="J180">
        <v>43</v>
      </c>
      <c r="K180">
        <v>43</v>
      </c>
      <c r="L180">
        <v>-43</v>
      </c>
      <c r="M180" s="502"/>
      <c r="N180" s="499" t="str">
        <f t="shared" si="4"/>
        <v>SCM435 (S)AIP7.05</v>
      </c>
      <c r="O180" s="501">
        <f t="shared" si="5"/>
        <v>43</v>
      </c>
    </row>
    <row r="181" spans="1:15">
      <c r="A181">
        <v>180</v>
      </c>
      <c r="B181">
        <v>4360780</v>
      </c>
      <c r="C181" t="s">
        <v>134</v>
      </c>
      <c r="D181">
        <v>7.8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N181" s="499" t="str">
        <f t="shared" si="4"/>
        <v>SCM435 (S)AIP7.8</v>
      </c>
      <c r="O181" s="501">
        <f t="shared" si="5"/>
        <v>0</v>
      </c>
    </row>
    <row r="182" spans="1:15">
      <c r="A182">
        <v>181</v>
      </c>
      <c r="B182">
        <v>4400780</v>
      </c>
      <c r="C182" t="s">
        <v>3070</v>
      </c>
      <c r="D182">
        <v>7.8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502"/>
      <c r="N182" s="499" t="str">
        <f t="shared" si="4"/>
        <v>SCM4407.8</v>
      </c>
      <c r="O182" s="501">
        <f t="shared" si="5"/>
        <v>0</v>
      </c>
    </row>
    <row r="183" spans="1:15">
      <c r="A183">
        <v>182</v>
      </c>
      <c r="B183">
        <v>4510436</v>
      </c>
      <c r="C183" t="s">
        <v>825</v>
      </c>
      <c r="D183">
        <v>4.3600000000000003</v>
      </c>
      <c r="E183">
        <v>0</v>
      </c>
      <c r="F183">
        <v>0</v>
      </c>
      <c r="G183">
        <v>243</v>
      </c>
      <c r="H183">
        <v>0</v>
      </c>
      <c r="I183">
        <v>0</v>
      </c>
      <c r="J183">
        <v>243</v>
      </c>
      <c r="K183">
        <v>243</v>
      </c>
      <c r="L183">
        <v>-243</v>
      </c>
      <c r="N183" s="499" t="str">
        <f t="shared" si="4"/>
        <v>S45K SAIP4.36</v>
      </c>
      <c r="O183" s="501">
        <f t="shared" si="5"/>
        <v>243</v>
      </c>
    </row>
    <row r="184" spans="1:15">
      <c r="A184">
        <v>183</v>
      </c>
      <c r="B184">
        <v>4510525</v>
      </c>
      <c r="C184" t="s">
        <v>811</v>
      </c>
      <c r="D184">
        <v>5.25</v>
      </c>
      <c r="E184">
        <v>0</v>
      </c>
      <c r="F184">
        <v>0</v>
      </c>
      <c r="G184">
        <v>491</v>
      </c>
      <c r="H184">
        <v>0</v>
      </c>
      <c r="I184">
        <v>0</v>
      </c>
      <c r="J184">
        <v>491</v>
      </c>
      <c r="K184">
        <v>491</v>
      </c>
      <c r="L184">
        <v>-491</v>
      </c>
      <c r="N184" s="499" t="str">
        <f t="shared" si="4"/>
        <v>S45F SAIP5.25</v>
      </c>
      <c r="O184" s="501">
        <f t="shared" si="5"/>
        <v>491</v>
      </c>
    </row>
    <row r="185" spans="1:15">
      <c r="A185">
        <v>184</v>
      </c>
      <c r="B185">
        <v>4510795</v>
      </c>
      <c r="C185" t="s">
        <v>815</v>
      </c>
      <c r="D185">
        <v>7.95</v>
      </c>
      <c r="E185">
        <v>142</v>
      </c>
      <c r="F185">
        <v>0</v>
      </c>
      <c r="G185">
        <v>525</v>
      </c>
      <c r="H185">
        <v>0</v>
      </c>
      <c r="I185">
        <v>0</v>
      </c>
      <c r="J185">
        <v>525</v>
      </c>
      <c r="K185">
        <v>525</v>
      </c>
      <c r="L185">
        <v>-383</v>
      </c>
      <c r="M185" s="502"/>
      <c r="N185" s="499" t="str">
        <f t="shared" si="4"/>
        <v>S45K (S)AIP7.95</v>
      </c>
      <c r="O185" s="501">
        <f t="shared" si="5"/>
        <v>525</v>
      </c>
    </row>
    <row r="186" spans="1:15">
      <c r="A186">
        <v>185</v>
      </c>
      <c r="B186">
        <v>4510985</v>
      </c>
      <c r="C186" t="s">
        <v>825</v>
      </c>
      <c r="D186">
        <v>9.85</v>
      </c>
      <c r="E186">
        <v>0</v>
      </c>
      <c r="F186">
        <v>0</v>
      </c>
      <c r="G186" s="505">
        <v>1147</v>
      </c>
      <c r="H186">
        <v>0</v>
      </c>
      <c r="I186">
        <v>0</v>
      </c>
      <c r="J186" s="505">
        <v>1147</v>
      </c>
      <c r="K186" s="505">
        <v>1147</v>
      </c>
      <c r="L186" s="505">
        <v>-1147</v>
      </c>
      <c r="N186" s="499" t="str">
        <f t="shared" si="4"/>
        <v>S45K SAIP9.85</v>
      </c>
      <c r="O186" s="501">
        <f t="shared" si="5"/>
        <v>1147</v>
      </c>
    </row>
    <row r="187" spans="1:15">
      <c r="A187">
        <v>186</v>
      </c>
      <c r="B187">
        <v>800293</v>
      </c>
      <c r="C187" t="s">
        <v>3285</v>
      </c>
      <c r="D187">
        <v>2.93</v>
      </c>
      <c r="E187">
        <v>0</v>
      </c>
      <c r="F187">
        <v>0</v>
      </c>
      <c r="G187">
        <v>30</v>
      </c>
      <c r="H187">
        <v>0</v>
      </c>
      <c r="I187">
        <v>0</v>
      </c>
      <c r="J187">
        <v>30</v>
      </c>
      <c r="K187">
        <v>30</v>
      </c>
      <c r="L187">
        <v>-30</v>
      </c>
      <c r="N187" s="499" t="str">
        <f t="shared" si="4"/>
        <v>S8A SAIP2.93</v>
      </c>
      <c r="O187" s="501">
        <f t="shared" si="5"/>
        <v>30</v>
      </c>
    </row>
    <row r="188" spans="1:15">
      <c r="A188">
        <v>187</v>
      </c>
      <c r="B188">
        <v>800302</v>
      </c>
      <c r="C188" t="s">
        <v>3285</v>
      </c>
      <c r="D188">
        <v>3.02</v>
      </c>
      <c r="E188">
        <v>0</v>
      </c>
      <c r="F188">
        <v>0</v>
      </c>
      <c r="G188">
        <v>18</v>
      </c>
      <c r="H188">
        <v>0</v>
      </c>
      <c r="I188">
        <v>0</v>
      </c>
      <c r="J188">
        <v>18</v>
      </c>
      <c r="K188">
        <v>18</v>
      </c>
      <c r="L188">
        <v>-18</v>
      </c>
      <c r="M188" s="502"/>
      <c r="N188" s="499" t="str">
        <f t="shared" si="4"/>
        <v>S8A SAIP3.02</v>
      </c>
      <c r="O188" s="501">
        <f t="shared" si="5"/>
        <v>18</v>
      </c>
    </row>
    <row r="189" spans="1:15">
      <c r="A189">
        <v>188</v>
      </c>
      <c r="B189">
        <v>810302</v>
      </c>
      <c r="C189" t="s">
        <v>3286</v>
      </c>
      <c r="D189">
        <v>3.02</v>
      </c>
      <c r="E189">
        <v>0</v>
      </c>
      <c r="F189">
        <v>0</v>
      </c>
      <c r="G189">
        <v>19</v>
      </c>
      <c r="H189">
        <v>0</v>
      </c>
      <c r="I189">
        <v>0</v>
      </c>
      <c r="J189">
        <v>19</v>
      </c>
      <c r="K189">
        <v>19</v>
      </c>
      <c r="L189">
        <v>-19</v>
      </c>
      <c r="M189" s="502"/>
      <c r="N189" s="499" t="str">
        <f t="shared" si="4"/>
        <v>S8A (S)AIP3.02</v>
      </c>
      <c r="O189" s="501">
        <f t="shared" si="5"/>
        <v>19</v>
      </c>
    </row>
    <row r="190" spans="1:15">
      <c r="A190">
        <v>189</v>
      </c>
      <c r="B190" t="s">
        <v>3232</v>
      </c>
      <c r="C190" t="s">
        <v>3233</v>
      </c>
      <c r="D190" t="s">
        <v>3438</v>
      </c>
      <c r="E190">
        <v>0</v>
      </c>
      <c r="F190">
        <v>0</v>
      </c>
      <c r="G190">
        <v>20</v>
      </c>
      <c r="H190">
        <v>0</v>
      </c>
      <c r="I190">
        <v>0</v>
      </c>
      <c r="J190">
        <v>20</v>
      </c>
      <c r="K190">
        <v>20</v>
      </c>
      <c r="L190">
        <v>-20</v>
      </c>
      <c r="M190" s="502"/>
      <c r="N190" s="499" t="str">
        <f t="shared" si="4"/>
        <v>D?u tectyl MTV 7114-1Ph? gia tan b?t</v>
      </c>
      <c r="O190" s="501">
        <f t="shared" si="5"/>
        <v>20</v>
      </c>
    </row>
    <row r="191" spans="1:15">
      <c r="A191">
        <v>190</v>
      </c>
      <c r="B191" t="s">
        <v>2980</v>
      </c>
      <c r="C191" t="s">
        <v>2981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N191" s="499" t="str">
        <f t="shared" si="4"/>
        <v>STS3040</v>
      </c>
      <c r="O191" s="501">
        <f t="shared" si="5"/>
        <v>0</v>
      </c>
    </row>
    <row r="192" spans="1:15">
      <c r="A192">
        <v>191</v>
      </c>
      <c r="B192" t="s">
        <v>2782</v>
      </c>
      <c r="C192" t="s">
        <v>1790</v>
      </c>
      <c r="D192" t="s">
        <v>1795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N192" s="499" t="str">
        <f t="shared" si="4"/>
        <v>S/W SWCH620.6T</v>
      </c>
      <c r="O192" s="501">
        <f t="shared" si="5"/>
        <v>0</v>
      </c>
    </row>
    <row r="193" spans="1:15">
      <c r="A193">
        <v>192</v>
      </c>
      <c r="B193" t="s">
        <v>2618</v>
      </c>
      <c r="C193" t="s">
        <v>2619</v>
      </c>
      <c r="D193" t="s">
        <v>2871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N193" s="499" t="str">
        <f t="shared" si="4"/>
        <v>D?u VBC FINEFORM 20HSRL</v>
      </c>
      <c r="O193" s="501">
        <f t="shared" si="5"/>
        <v>0</v>
      </c>
    </row>
    <row r="194" spans="1:15">
      <c r="A194">
        <v>193</v>
      </c>
      <c r="B194" t="s">
        <v>2620</v>
      </c>
      <c r="C194" t="s">
        <v>2621</v>
      </c>
      <c r="D194" t="s">
        <v>3439</v>
      </c>
      <c r="E194">
        <v>0</v>
      </c>
      <c r="F194">
        <v>600</v>
      </c>
      <c r="G194" s="505">
        <v>2600</v>
      </c>
      <c r="H194">
        <v>0</v>
      </c>
      <c r="I194">
        <v>0</v>
      </c>
      <c r="J194" s="505">
        <v>2600</v>
      </c>
      <c r="K194" s="505">
        <v>2600</v>
      </c>
      <c r="L194" s="505">
        <v>-3200</v>
      </c>
      <c r="N194" s="499" t="str">
        <f t="shared" si="4"/>
        <v>D?u VBC FINEFORM 46HSHD Header</v>
      </c>
      <c r="O194" s="501">
        <f t="shared" si="5"/>
        <v>2600</v>
      </c>
    </row>
    <row r="195" spans="1:15">
      <c r="A195">
        <v>194</v>
      </c>
      <c r="B195" t="s">
        <v>3175</v>
      </c>
      <c r="C195" t="s">
        <v>3440</v>
      </c>
      <c r="D195" t="s">
        <v>3438</v>
      </c>
      <c r="E195">
        <v>0</v>
      </c>
      <c r="F195">
        <v>0</v>
      </c>
      <c r="G195">
        <v>40</v>
      </c>
      <c r="H195">
        <v>0</v>
      </c>
      <c r="I195">
        <v>0</v>
      </c>
      <c r="J195">
        <v>40</v>
      </c>
      <c r="K195">
        <v>40</v>
      </c>
      <c r="L195">
        <v>-40</v>
      </c>
      <c r="N195" s="499" t="str">
        <f t="shared" ref="N195:N258" si="6">C195&amp;D195</f>
        <v>D?u tectyl form AdditivePh? gia tan b?t</v>
      </c>
      <c r="O195" s="501">
        <f t="shared" ref="O195:O258" si="7">J195</f>
        <v>40</v>
      </c>
    </row>
    <row r="196" spans="1:15">
      <c r="A196">
        <v>195</v>
      </c>
      <c r="B196" t="s">
        <v>3450</v>
      </c>
      <c r="C196" t="s">
        <v>3451</v>
      </c>
      <c r="E196">
        <v>0</v>
      </c>
      <c r="F196">
        <v>0</v>
      </c>
      <c r="G196">
        <v>20</v>
      </c>
      <c r="H196">
        <v>0</v>
      </c>
      <c r="I196">
        <v>0</v>
      </c>
      <c r="J196">
        <v>20</v>
      </c>
      <c r="K196">
        <v>20</v>
      </c>
      <c r="L196">
        <v>-20</v>
      </c>
      <c r="N196" s="499" t="str">
        <f t="shared" si="6"/>
        <v>D?u tectyl Cut 012</v>
      </c>
      <c r="O196" s="501">
        <f t="shared" si="7"/>
        <v>20</v>
      </c>
    </row>
    <row r="197" spans="1:15">
      <c r="A197">
        <v>196</v>
      </c>
      <c r="B197" t="s">
        <v>2742</v>
      </c>
      <c r="C197" t="s">
        <v>2726</v>
      </c>
      <c r="D197" t="s">
        <v>2871</v>
      </c>
      <c r="E197">
        <v>0</v>
      </c>
      <c r="F197">
        <v>400</v>
      </c>
      <c r="G197" s="505">
        <v>3800</v>
      </c>
      <c r="H197">
        <v>0</v>
      </c>
      <c r="I197">
        <v>0</v>
      </c>
      <c r="J197" s="505">
        <v>3800</v>
      </c>
      <c r="K197" s="505">
        <v>3800</v>
      </c>
      <c r="L197" s="505">
        <v>-4200</v>
      </c>
      <c r="M197" s="502"/>
      <c r="N197" s="499" t="str">
        <f t="shared" si="6"/>
        <v>D?u tectyl form 322RL</v>
      </c>
      <c r="O197" s="501">
        <f t="shared" si="7"/>
        <v>3800</v>
      </c>
    </row>
    <row r="198" spans="1:15">
      <c r="A198">
        <v>197</v>
      </c>
      <c r="B198" t="s">
        <v>2862</v>
      </c>
      <c r="C198" t="s">
        <v>2863</v>
      </c>
      <c r="D198" t="s">
        <v>2865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N198" s="499" t="str">
        <f t="shared" si="6"/>
        <v>D?u tectyl form RL 330R2 &amp; TS-1</v>
      </c>
      <c r="O198" s="501">
        <f t="shared" si="7"/>
        <v>0</v>
      </c>
    </row>
    <row r="199" spans="1:15">
      <c r="A199">
        <v>198</v>
      </c>
      <c r="B199" t="s">
        <v>2669</v>
      </c>
      <c r="C199" t="s">
        <v>2670</v>
      </c>
      <c r="D199" t="s">
        <v>3441</v>
      </c>
      <c r="E199">
        <v>0</v>
      </c>
      <c r="F199" s="505">
        <v>2000</v>
      </c>
      <c r="G199" s="505">
        <v>1400</v>
      </c>
      <c r="H199">
        <v>0</v>
      </c>
      <c r="I199">
        <v>0</v>
      </c>
      <c r="J199" s="505">
        <v>1400</v>
      </c>
      <c r="K199" s="505">
        <v>1400</v>
      </c>
      <c r="L199" s="505">
        <v>-3400</v>
      </c>
      <c r="N199" s="499" t="str">
        <f t="shared" si="6"/>
        <v>D?u tectyl form 527VHD Former</v>
      </c>
      <c r="O199" s="501">
        <f t="shared" si="7"/>
        <v>1400</v>
      </c>
    </row>
    <row r="200" spans="1:15">
      <c r="A200">
        <v>199</v>
      </c>
      <c r="B200" t="s">
        <v>3000</v>
      </c>
      <c r="C200" t="s">
        <v>3001</v>
      </c>
      <c r="D200" t="s">
        <v>3442</v>
      </c>
      <c r="E200">
        <v>0</v>
      </c>
      <c r="F200">
        <v>0</v>
      </c>
      <c r="G200">
        <v>20</v>
      </c>
      <c r="H200">
        <v>0</v>
      </c>
      <c r="I200">
        <v>0</v>
      </c>
      <c r="J200">
        <v>20</v>
      </c>
      <c r="K200">
        <v>20</v>
      </c>
      <c r="L200">
        <v>-20</v>
      </c>
      <c r="N200" s="499" t="str">
        <f t="shared" si="6"/>
        <v>D?u tectyl WL 68ACh?ng xu?c NVL</v>
      </c>
      <c r="O200" s="501">
        <f t="shared" si="7"/>
        <v>20</v>
      </c>
    </row>
    <row r="201" spans="1:15">
      <c r="N201" s="499" t="str">
        <f t="shared" si="6"/>
        <v/>
      </c>
      <c r="O201" s="501">
        <f t="shared" si="7"/>
        <v>0</v>
      </c>
    </row>
    <row r="202" spans="1:15">
      <c r="N202" s="499" t="str">
        <f t="shared" si="6"/>
        <v/>
      </c>
      <c r="O202" s="501">
        <f t="shared" si="7"/>
        <v>0</v>
      </c>
    </row>
    <row r="203" spans="1:15">
      <c r="N203" s="499" t="str">
        <f t="shared" si="6"/>
        <v/>
      </c>
      <c r="O203" s="501">
        <f t="shared" si="7"/>
        <v>0</v>
      </c>
    </row>
    <row r="204" spans="1:15">
      <c r="N204" s="499" t="str">
        <f t="shared" si="6"/>
        <v/>
      </c>
      <c r="O204" s="501">
        <f t="shared" si="7"/>
        <v>0</v>
      </c>
    </row>
    <row r="205" spans="1:15">
      <c r="N205" s="499" t="str">
        <f t="shared" si="6"/>
        <v/>
      </c>
      <c r="O205" s="501">
        <f t="shared" si="7"/>
        <v>0</v>
      </c>
    </row>
    <row r="206" spans="1:15">
      <c r="N206" s="499" t="str">
        <f t="shared" si="6"/>
        <v/>
      </c>
      <c r="O206" s="501">
        <f t="shared" si="7"/>
        <v>0</v>
      </c>
    </row>
    <row r="207" spans="1:15">
      <c r="N207" s="499" t="str">
        <f t="shared" si="6"/>
        <v/>
      </c>
      <c r="O207" s="501">
        <f t="shared" si="7"/>
        <v>0</v>
      </c>
    </row>
    <row r="208" spans="1:15">
      <c r="N208" s="499" t="str">
        <f t="shared" si="6"/>
        <v/>
      </c>
      <c r="O208" s="501">
        <f t="shared" si="7"/>
        <v>0</v>
      </c>
    </row>
    <row r="209" spans="14:15">
      <c r="N209" s="499" t="str">
        <f t="shared" si="6"/>
        <v/>
      </c>
      <c r="O209" s="501">
        <f t="shared" si="7"/>
        <v>0</v>
      </c>
    </row>
    <row r="210" spans="14:15">
      <c r="N210" s="499" t="str">
        <f t="shared" si="6"/>
        <v/>
      </c>
      <c r="O210" s="501">
        <f t="shared" si="7"/>
        <v>0</v>
      </c>
    </row>
    <row r="211" spans="14:15">
      <c r="N211" s="499" t="str">
        <f t="shared" si="6"/>
        <v/>
      </c>
      <c r="O211" s="501">
        <f t="shared" si="7"/>
        <v>0</v>
      </c>
    </row>
    <row r="212" spans="14:15">
      <c r="N212" s="499" t="str">
        <f t="shared" si="6"/>
        <v/>
      </c>
      <c r="O212" s="501">
        <f t="shared" si="7"/>
        <v>0</v>
      </c>
    </row>
    <row r="213" spans="14:15">
      <c r="N213" s="499" t="str">
        <f t="shared" si="6"/>
        <v/>
      </c>
      <c r="O213" s="501">
        <f t="shared" si="7"/>
        <v>0</v>
      </c>
    </row>
    <row r="214" spans="14:15">
      <c r="N214" s="499" t="str">
        <f t="shared" si="6"/>
        <v/>
      </c>
      <c r="O214" s="501">
        <f t="shared" si="7"/>
        <v>0</v>
      </c>
    </row>
    <row r="215" spans="14:15">
      <c r="N215" s="499" t="str">
        <f t="shared" si="6"/>
        <v/>
      </c>
      <c r="O215" s="501">
        <f t="shared" si="7"/>
        <v>0</v>
      </c>
    </row>
    <row r="216" spans="14:15">
      <c r="N216" s="499" t="str">
        <f t="shared" si="6"/>
        <v/>
      </c>
      <c r="O216" s="501">
        <f t="shared" si="7"/>
        <v>0</v>
      </c>
    </row>
    <row r="217" spans="14:15">
      <c r="N217" s="499" t="str">
        <f t="shared" si="6"/>
        <v/>
      </c>
      <c r="O217" s="501">
        <f t="shared" si="7"/>
        <v>0</v>
      </c>
    </row>
    <row r="218" spans="14:15">
      <c r="N218" s="499" t="str">
        <f t="shared" si="6"/>
        <v/>
      </c>
      <c r="O218" s="501">
        <f t="shared" si="7"/>
        <v>0</v>
      </c>
    </row>
    <row r="219" spans="14:15">
      <c r="N219" s="499" t="str">
        <f t="shared" si="6"/>
        <v/>
      </c>
      <c r="O219" s="501">
        <f t="shared" si="7"/>
        <v>0</v>
      </c>
    </row>
    <row r="220" spans="14:15">
      <c r="N220" s="499" t="str">
        <f t="shared" si="6"/>
        <v/>
      </c>
      <c r="O220" s="501">
        <f t="shared" si="7"/>
        <v>0</v>
      </c>
    </row>
    <row r="221" spans="14:15">
      <c r="N221" s="499" t="str">
        <f t="shared" si="6"/>
        <v/>
      </c>
      <c r="O221" s="501">
        <f t="shared" si="7"/>
        <v>0</v>
      </c>
    </row>
    <row r="222" spans="14:15">
      <c r="N222" s="499" t="str">
        <f t="shared" si="6"/>
        <v/>
      </c>
      <c r="O222" s="501">
        <f t="shared" si="7"/>
        <v>0</v>
      </c>
    </row>
    <row r="223" spans="14:15">
      <c r="N223" s="499" t="str">
        <f t="shared" si="6"/>
        <v/>
      </c>
      <c r="O223" s="501">
        <f t="shared" si="7"/>
        <v>0</v>
      </c>
    </row>
    <row r="224" spans="14:15">
      <c r="N224" s="499" t="str">
        <f t="shared" si="6"/>
        <v/>
      </c>
      <c r="O224" s="501">
        <f t="shared" si="7"/>
        <v>0</v>
      </c>
    </row>
    <row r="225" spans="14:15">
      <c r="N225" s="499" t="str">
        <f t="shared" si="6"/>
        <v/>
      </c>
      <c r="O225" s="501">
        <f t="shared" si="7"/>
        <v>0</v>
      </c>
    </row>
    <row r="226" spans="14:15">
      <c r="N226" s="499" t="str">
        <f t="shared" si="6"/>
        <v/>
      </c>
      <c r="O226" s="501">
        <f t="shared" si="7"/>
        <v>0</v>
      </c>
    </row>
    <row r="227" spans="14:15">
      <c r="N227" s="499" t="str">
        <f t="shared" si="6"/>
        <v/>
      </c>
      <c r="O227" s="501">
        <f t="shared" si="7"/>
        <v>0</v>
      </c>
    </row>
    <row r="228" spans="14:15">
      <c r="N228" s="499" t="str">
        <f t="shared" si="6"/>
        <v/>
      </c>
      <c r="O228" s="501">
        <f t="shared" si="7"/>
        <v>0</v>
      </c>
    </row>
    <row r="229" spans="14:15">
      <c r="N229" s="499" t="str">
        <f t="shared" si="6"/>
        <v/>
      </c>
      <c r="O229" s="501">
        <f t="shared" si="7"/>
        <v>0</v>
      </c>
    </row>
    <row r="230" spans="14:15">
      <c r="N230" s="499" t="str">
        <f t="shared" si="6"/>
        <v/>
      </c>
      <c r="O230" s="501">
        <f t="shared" si="7"/>
        <v>0</v>
      </c>
    </row>
    <row r="231" spans="14:15">
      <c r="N231" s="499" t="str">
        <f t="shared" si="6"/>
        <v/>
      </c>
      <c r="O231" s="501">
        <f t="shared" si="7"/>
        <v>0</v>
      </c>
    </row>
    <row r="232" spans="14:15">
      <c r="N232" s="499" t="str">
        <f t="shared" si="6"/>
        <v/>
      </c>
      <c r="O232" s="501">
        <f t="shared" si="7"/>
        <v>0</v>
      </c>
    </row>
    <row r="233" spans="14:15">
      <c r="N233" s="499" t="str">
        <f t="shared" si="6"/>
        <v/>
      </c>
      <c r="O233" s="501">
        <f t="shared" si="7"/>
        <v>0</v>
      </c>
    </row>
    <row r="234" spans="14:15">
      <c r="N234" s="499" t="str">
        <f t="shared" si="6"/>
        <v/>
      </c>
      <c r="O234" s="501">
        <f t="shared" si="7"/>
        <v>0</v>
      </c>
    </row>
    <row r="235" spans="14:15">
      <c r="N235" s="499" t="str">
        <f t="shared" si="6"/>
        <v/>
      </c>
      <c r="O235" s="501">
        <f t="shared" si="7"/>
        <v>0</v>
      </c>
    </row>
    <row r="236" spans="14:15">
      <c r="N236" s="499" t="str">
        <f t="shared" si="6"/>
        <v/>
      </c>
      <c r="O236" s="501">
        <f t="shared" si="7"/>
        <v>0</v>
      </c>
    </row>
    <row r="237" spans="14:15">
      <c r="N237" s="499" t="str">
        <f t="shared" si="6"/>
        <v/>
      </c>
      <c r="O237" s="501">
        <f t="shared" si="7"/>
        <v>0</v>
      </c>
    </row>
    <row r="238" spans="14:15">
      <c r="N238" s="499" t="str">
        <f t="shared" si="6"/>
        <v/>
      </c>
      <c r="O238" s="501">
        <f t="shared" si="7"/>
        <v>0</v>
      </c>
    </row>
    <row r="239" spans="14:15">
      <c r="N239" s="499" t="str">
        <f t="shared" si="6"/>
        <v/>
      </c>
      <c r="O239" s="501">
        <f t="shared" si="7"/>
        <v>0</v>
      </c>
    </row>
    <row r="240" spans="14:15">
      <c r="N240" s="499" t="str">
        <f t="shared" si="6"/>
        <v/>
      </c>
      <c r="O240" s="501">
        <f t="shared" si="7"/>
        <v>0</v>
      </c>
    </row>
    <row r="241" spans="14:15">
      <c r="N241" s="499" t="str">
        <f t="shared" si="6"/>
        <v/>
      </c>
      <c r="O241" s="501">
        <f t="shared" si="7"/>
        <v>0</v>
      </c>
    </row>
    <row r="242" spans="14:15">
      <c r="N242" s="499" t="str">
        <f t="shared" si="6"/>
        <v/>
      </c>
      <c r="O242" s="501">
        <f t="shared" si="7"/>
        <v>0</v>
      </c>
    </row>
    <row r="243" spans="14:15">
      <c r="N243" s="499" t="str">
        <f t="shared" si="6"/>
        <v/>
      </c>
      <c r="O243" s="501">
        <f t="shared" si="7"/>
        <v>0</v>
      </c>
    </row>
    <row r="244" spans="14:15">
      <c r="N244" s="499" t="str">
        <f t="shared" si="6"/>
        <v/>
      </c>
      <c r="O244" s="501">
        <f t="shared" si="7"/>
        <v>0</v>
      </c>
    </row>
    <row r="245" spans="14:15">
      <c r="N245" s="499" t="str">
        <f t="shared" si="6"/>
        <v/>
      </c>
      <c r="O245" s="501">
        <f t="shared" si="7"/>
        <v>0</v>
      </c>
    </row>
    <row r="246" spans="14:15">
      <c r="N246" s="499" t="str">
        <f t="shared" si="6"/>
        <v/>
      </c>
      <c r="O246" s="501">
        <f t="shared" si="7"/>
        <v>0</v>
      </c>
    </row>
    <row r="247" spans="14:15">
      <c r="N247" s="499" t="str">
        <f t="shared" si="6"/>
        <v/>
      </c>
      <c r="O247" s="501">
        <f t="shared" si="7"/>
        <v>0</v>
      </c>
    </row>
    <row r="248" spans="14:15">
      <c r="N248" s="499" t="str">
        <f t="shared" si="6"/>
        <v/>
      </c>
      <c r="O248" s="501">
        <f t="shared" si="7"/>
        <v>0</v>
      </c>
    </row>
    <row r="249" spans="14:15">
      <c r="N249" s="499" t="str">
        <f t="shared" si="6"/>
        <v/>
      </c>
      <c r="O249" s="501">
        <f t="shared" si="7"/>
        <v>0</v>
      </c>
    </row>
    <row r="250" spans="14:15">
      <c r="N250" s="499" t="str">
        <f t="shared" si="6"/>
        <v/>
      </c>
      <c r="O250" s="501">
        <f t="shared" si="7"/>
        <v>0</v>
      </c>
    </row>
    <row r="251" spans="14:15">
      <c r="N251" s="499" t="str">
        <f t="shared" si="6"/>
        <v/>
      </c>
      <c r="O251" s="501">
        <f t="shared" si="7"/>
        <v>0</v>
      </c>
    </row>
    <row r="252" spans="14:15">
      <c r="N252" s="499" t="str">
        <f t="shared" si="6"/>
        <v/>
      </c>
      <c r="O252" s="501">
        <f t="shared" si="7"/>
        <v>0</v>
      </c>
    </row>
    <row r="253" spans="14:15">
      <c r="N253" s="499" t="str">
        <f t="shared" si="6"/>
        <v/>
      </c>
      <c r="O253" s="501">
        <f t="shared" si="7"/>
        <v>0</v>
      </c>
    </row>
    <row r="254" spans="14:15">
      <c r="N254" s="499" t="str">
        <f t="shared" si="6"/>
        <v/>
      </c>
      <c r="O254" s="501">
        <f t="shared" si="7"/>
        <v>0</v>
      </c>
    </row>
    <row r="255" spans="14:15">
      <c r="N255" s="499" t="str">
        <f t="shared" si="6"/>
        <v/>
      </c>
      <c r="O255" s="501">
        <f t="shared" si="7"/>
        <v>0</v>
      </c>
    </row>
    <row r="256" spans="14:15">
      <c r="N256" s="499" t="str">
        <f t="shared" si="6"/>
        <v/>
      </c>
      <c r="O256" s="501">
        <f t="shared" si="7"/>
        <v>0</v>
      </c>
    </row>
    <row r="257" spans="13:15">
      <c r="N257" s="499" t="str">
        <f t="shared" si="6"/>
        <v/>
      </c>
      <c r="O257" s="501">
        <f t="shared" si="7"/>
        <v>0</v>
      </c>
    </row>
    <row r="258" spans="13:15">
      <c r="N258" s="499" t="str">
        <f t="shared" si="6"/>
        <v/>
      </c>
      <c r="O258" s="501">
        <f t="shared" si="7"/>
        <v>0</v>
      </c>
    </row>
    <row r="259" spans="13:15">
      <c r="N259" s="499" t="str">
        <f t="shared" ref="N259:N322" si="8">C259&amp;D259</f>
        <v/>
      </c>
      <c r="O259" s="501">
        <f t="shared" ref="O259:O322" si="9">J259</f>
        <v>0</v>
      </c>
    </row>
    <row r="260" spans="13:15">
      <c r="N260" s="499" t="str">
        <f t="shared" si="8"/>
        <v/>
      </c>
      <c r="O260" s="501">
        <f t="shared" si="9"/>
        <v>0</v>
      </c>
    </row>
    <row r="261" spans="13:15">
      <c r="N261" s="499" t="str">
        <f t="shared" si="8"/>
        <v/>
      </c>
      <c r="O261" s="501">
        <f t="shared" si="9"/>
        <v>0</v>
      </c>
    </row>
    <row r="262" spans="13:15">
      <c r="N262" s="499" t="str">
        <f t="shared" si="8"/>
        <v/>
      </c>
      <c r="O262" s="501">
        <f t="shared" si="9"/>
        <v>0</v>
      </c>
    </row>
    <row r="263" spans="13:15">
      <c r="N263" s="499" t="str">
        <f t="shared" si="8"/>
        <v/>
      </c>
      <c r="O263" s="501">
        <f t="shared" si="9"/>
        <v>0</v>
      </c>
    </row>
    <row r="264" spans="13:15">
      <c r="N264" s="499" t="str">
        <f t="shared" si="8"/>
        <v/>
      </c>
      <c r="O264" s="501">
        <f t="shared" si="9"/>
        <v>0</v>
      </c>
    </row>
    <row r="265" spans="13:15">
      <c r="N265" s="499" t="str">
        <f t="shared" si="8"/>
        <v/>
      </c>
      <c r="O265" s="501">
        <f t="shared" si="9"/>
        <v>0</v>
      </c>
    </row>
    <row r="266" spans="13:15">
      <c r="N266" s="499" t="str">
        <f t="shared" si="8"/>
        <v/>
      </c>
      <c r="O266" s="501">
        <f t="shared" si="9"/>
        <v>0</v>
      </c>
    </row>
    <row r="267" spans="13:15">
      <c r="N267" s="499" t="str">
        <f t="shared" si="8"/>
        <v/>
      </c>
      <c r="O267" s="501">
        <f t="shared" si="9"/>
        <v>0</v>
      </c>
    </row>
    <row r="268" spans="13:15">
      <c r="N268" s="499" t="str">
        <f t="shared" si="8"/>
        <v/>
      </c>
      <c r="O268" s="501">
        <f t="shared" si="9"/>
        <v>0</v>
      </c>
    </row>
    <row r="269" spans="13:15">
      <c r="N269" s="499" t="str">
        <f t="shared" si="8"/>
        <v/>
      </c>
      <c r="O269" s="501">
        <f t="shared" si="9"/>
        <v>0</v>
      </c>
    </row>
    <row r="270" spans="13:15">
      <c r="M270" s="502"/>
      <c r="N270" s="499" t="str">
        <f t="shared" si="8"/>
        <v/>
      </c>
      <c r="O270" s="501">
        <f t="shared" si="9"/>
        <v>0</v>
      </c>
    </row>
    <row r="271" spans="13:15">
      <c r="M271" s="502"/>
      <c r="N271" s="499" t="str">
        <f t="shared" si="8"/>
        <v/>
      </c>
      <c r="O271" s="501">
        <f t="shared" si="9"/>
        <v>0</v>
      </c>
    </row>
    <row r="272" spans="13:15">
      <c r="N272" s="499" t="str">
        <f t="shared" si="8"/>
        <v/>
      </c>
      <c r="O272" s="501">
        <f t="shared" si="9"/>
        <v>0</v>
      </c>
    </row>
    <row r="273" spans="14:15">
      <c r="N273" s="499" t="str">
        <f t="shared" si="8"/>
        <v/>
      </c>
      <c r="O273" s="501">
        <f t="shared" si="9"/>
        <v>0</v>
      </c>
    </row>
    <row r="274" spans="14:15">
      <c r="N274" s="499" t="str">
        <f t="shared" si="8"/>
        <v/>
      </c>
      <c r="O274" s="501">
        <f t="shared" si="9"/>
        <v>0</v>
      </c>
    </row>
    <row r="275" spans="14:15">
      <c r="N275" s="499" t="str">
        <f t="shared" si="8"/>
        <v/>
      </c>
      <c r="O275" s="501">
        <f t="shared" si="9"/>
        <v>0</v>
      </c>
    </row>
    <row r="276" spans="14:15">
      <c r="N276" s="499" t="str">
        <f t="shared" si="8"/>
        <v/>
      </c>
      <c r="O276" s="501">
        <f t="shared" si="9"/>
        <v>0</v>
      </c>
    </row>
    <row r="277" spans="14:15">
      <c r="N277" s="499" t="str">
        <f t="shared" si="8"/>
        <v/>
      </c>
      <c r="O277" s="501">
        <f t="shared" si="9"/>
        <v>0</v>
      </c>
    </row>
    <row r="278" spans="14:15">
      <c r="N278" s="499" t="str">
        <f t="shared" si="8"/>
        <v/>
      </c>
      <c r="O278" s="501">
        <f t="shared" si="9"/>
        <v>0</v>
      </c>
    </row>
    <row r="279" spans="14:15">
      <c r="N279" s="499" t="str">
        <f t="shared" si="8"/>
        <v/>
      </c>
      <c r="O279" s="501">
        <f t="shared" si="9"/>
        <v>0</v>
      </c>
    </row>
    <row r="280" spans="14:15">
      <c r="N280" s="499" t="str">
        <f t="shared" si="8"/>
        <v/>
      </c>
      <c r="O280" s="501">
        <f t="shared" si="9"/>
        <v>0</v>
      </c>
    </row>
    <row r="281" spans="14:15">
      <c r="N281" s="499" t="str">
        <f t="shared" si="8"/>
        <v/>
      </c>
      <c r="O281" s="501">
        <f t="shared" si="9"/>
        <v>0</v>
      </c>
    </row>
    <row r="282" spans="14:15">
      <c r="N282" s="499" t="str">
        <f t="shared" si="8"/>
        <v/>
      </c>
      <c r="O282" s="501">
        <f t="shared" si="9"/>
        <v>0</v>
      </c>
    </row>
    <row r="283" spans="14:15">
      <c r="N283" s="499" t="str">
        <f t="shared" si="8"/>
        <v/>
      </c>
      <c r="O283" s="501">
        <f t="shared" si="9"/>
        <v>0</v>
      </c>
    </row>
    <row r="284" spans="14:15">
      <c r="N284" s="499" t="str">
        <f t="shared" si="8"/>
        <v/>
      </c>
      <c r="O284" s="501">
        <f t="shared" si="9"/>
        <v>0</v>
      </c>
    </row>
    <row r="285" spans="14:15">
      <c r="N285" s="499" t="str">
        <f t="shared" si="8"/>
        <v/>
      </c>
      <c r="O285" s="501">
        <f t="shared" si="9"/>
        <v>0</v>
      </c>
    </row>
    <row r="286" spans="14:15">
      <c r="N286" s="499" t="str">
        <f t="shared" si="8"/>
        <v/>
      </c>
      <c r="O286" s="501">
        <f t="shared" si="9"/>
        <v>0</v>
      </c>
    </row>
    <row r="287" spans="14:15">
      <c r="N287" s="499" t="str">
        <f t="shared" si="8"/>
        <v/>
      </c>
      <c r="O287" s="501">
        <f t="shared" si="9"/>
        <v>0</v>
      </c>
    </row>
    <row r="288" spans="14:15">
      <c r="N288" s="499" t="str">
        <f t="shared" si="8"/>
        <v/>
      </c>
      <c r="O288" s="501">
        <f t="shared" si="9"/>
        <v>0</v>
      </c>
    </row>
    <row r="289" spans="14:15">
      <c r="N289" s="499" t="str">
        <f t="shared" si="8"/>
        <v/>
      </c>
      <c r="O289" s="501">
        <f t="shared" si="9"/>
        <v>0</v>
      </c>
    </row>
    <row r="290" spans="14:15">
      <c r="N290" s="499" t="str">
        <f t="shared" si="8"/>
        <v/>
      </c>
      <c r="O290" s="501">
        <f t="shared" si="9"/>
        <v>0</v>
      </c>
    </row>
    <row r="291" spans="14:15">
      <c r="N291" s="499" t="str">
        <f t="shared" si="8"/>
        <v/>
      </c>
      <c r="O291" s="501">
        <f t="shared" si="9"/>
        <v>0</v>
      </c>
    </row>
    <row r="292" spans="14:15">
      <c r="N292" s="499" t="str">
        <f t="shared" si="8"/>
        <v/>
      </c>
      <c r="O292" s="501">
        <f t="shared" si="9"/>
        <v>0</v>
      </c>
    </row>
    <row r="293" spans="14:15">
      <c r="N293" s="499" t="str">
        <f t="shared" si="8"/>
        <v/>
      </c>
      <c r="O293" s="501">
        <f t="shared" si="9"/>
        <v>0</v>
      </c>
    </row>
    <row r="294" spans="14:15">
      <c r="N294" s="499" t="str">
        <f t="shared" si="8"/>
        <v/>
      </c>
      <c r="O294" s="501">
        <f t="shared" si="9"/>
        <v>0</v>
      </c>
    </row>
    <row r="295" spans="14:15">
      <c r="N295" s="499" t="str">
        <f t="shared" si="8"/>
        <v/>
      </c>
      <c r="O295" s="501">
        <f t="shared" si="9"/>
        <v>0</v>
      </c>
    </row>
    <row r="296" spans="14:15">
      <c r="N296" s="499" t="str">
        <f t="shared" si="8"/>
        <v/>
      </c>
      <c r="O296" s="501">
        <f t="shared" si="9"/>
        <v>0</v>
      </c>
    </row>
    <row r="297" spans="14:15">
      <c r="N297" s="499" t="str">
        <f t="shared" si="8"/>
        <v/>
      </c>
      <c r="O297" s="501">
        <f t="shared" si="9"/>
        <v>0</v>
      </c>
    </row>
    <row r="298" spans="14:15">
      <c r="N298" s="499" t="str">
        <f t="shared" si="8"/>
        <v/>
      </c>
      <c r="O298" s="501">
        <f t="shared" si="9"/>
        <v>0</v>
      </c>
    </row>
    <row r="299" spans="14:15">
      <c r="N299" s="499" t="str">
        <f t="shared" si="8"/>
        <v/>
      </c>
      <c r="O299" s="501">
        <f t="shared" si="9"/>
        <v>0</v>
      </c>
    </row>
    <row r="300" spans="14:15">
      <c r="N300" s="499" t="str">
        <f t="shared" si="8"/>
        <v/>
      </c>
      <c r="O300" s="501">
        <f t="shared" si="9"/>
        <v>0</v>
      </c>
    </row>
    <row r="301" spans="14:15">
      <c r="N301" s="499" t="str">
        <f t="shared" si="8"/>
        <v/>
      </c>
      <c r="O301" s="501">
        <f t="shared" si="9"/>
        <v>0</v>
      </c>
    </row>
    <row r="302" spans="14:15">
      <c r="N302" s="499" t="str">
        <f t="shared" si="8"/>
        <v/>
      </c>
      <c r="O302" s="501">
        <f t="shared" si="9"/>
        <v>0</v>
      </c>
    </row>
    <row r="303" spans="14:15">
      <c r="N303" s="499" t="str">
        <f t="shared" si="8"/>
        <v/>
      </c>
      <c r="O303" s="501">
        <f t="shared" si="9"/>
        <v>0</v>
      </c>
    </row>
    <row r="304" spans="14:15">
      <c r="N304" s="499" t="str">
        <f t="shared" si="8"/>
        <v/>
      </c>
      <c r="O304" s="501">
        <f t="shared" si="9"/>
        <v>0</v>
      </c>
    </row>
    <row r="305" spans="14:15">
      <c r="N305" s="499" t="str">
        <f t="shared" si="8"/>
        <v/>
      </c>
      <c r="O305" s="501">
        <f t="shared" si="9"/>
        <v>0</v>
      </c>
    </row>
    <row r="306" spans="14:15">
      <c r="N306" s="499" t="str">
        <f t="shared" si="8"/>
        <v/>
      </c>
      <c r="O306" s="501">
        <f t="shared" si="9"/>
        <v>0</v>
      </c>
    </row>
    <row r="307" spans="14:15">
      <c r="N307" s="499" t="str">
        <f t="shared" si="8"/>
        <v/>
      </c>
      <c r="O307" s="501">
        <f t="shared" si="9"/>
        <v>0</v>
      </c>
    </row>
    <row r="308" spans="14:15">
      <c r="N308" s="499" t="str">
        <f t="shared" si="8"/>
        <v/>
      </c>
      <c r="O308" s="501">
        <f t="shared" si="9"/>
        <v>0</v>
      </c>
    </row>
    <row r="309" spans="14:15">
      <c r="N309" s="499" t="str">
        <f t="shared" si="8"/>
        <v/>
      </c>
      <c r="O309" s="501">
        <f t="shared" si="9"/>
        <v>0</v>
      </c>
    </row>
    <row r="310" spans="14:15">
      <c r="N310" s="499" t="str">
        <f t="shared" si="8"/>
        <v/>
      </c>
      <c r="O310" s="501">
        <f t="shared" si="9"/>
        <v>0</v>
      </c>
    </row>
    <row r="311" spans="14:15">
      <c r="N311" s="499" t="str">
        <f t="shared" si="8"/>
        <v/>
      </c>
      <c r="O311" s="501">
        <f t="shared" si="9"/>
        <v>0</v>
      </c>
    </row>
    <row r="312" spans="14:15">
      <c r="N312" s="499" t="str">
        <f t="shared" si="8"/>
        <v/>
      </c>
      <c r="O312" s="501">
        <f t="shared" si="9"/>
        <v>0</v>
      </c>
    </row>
    <row r="313" spans="14:15">
      <c r="N313" s="499" t="str">
        <f t="shared" si="8"/>
        <v/>
      </c>
      <c r="O313" s="501">
        <f t="shared" si="9"/>
        <v>0</v>
      </c>
    </row>
    <row r="314" spans="14:15">
      <c r="N314" s="499" t="str">
        <f t="shared" si="8"/>
        <v/>
      </c>
      <c r="O314" s="501">
        <f t="shared" si="9"/>
        <v>0</v>
      </c>
    </row>
    <row r="315" spans="14:15">
      <c r="N315" s="499" t="str">
        <f t="shared" si="8"/>
        <v/>
      </c>
      <c r="O315" s="501">
        <f t="shared" si="9"/>
        <v>0</v>
      </c>
    </row>
    <row r="316" spans="14:15">
      <c r="N316" s="499" t="str">
        <f t="shared" si="8"/>
        <v/>
      </c>
      <c r="O316" s="501">
        <f t="shared" si="9"/>
        <v>0</v>
      </c>
    </row>
    <row r="317" spans="14:15">
      <c r="N317" s="499" t="str">
        <f t="shared" si="8"/>
        <v/>
      </c>
      <c r="O317" s="501">
        <f t="shared" si="9"/>
        <v>0</v>
      </c>
    </row>
    <row r="318" spans="14:15">
      <c r="N318" s="499" t="str">
        <f t="shared" si="8"/>
        <v/>
      </c>
      <c r="O318" s="501">
        <f t="shared" si="9"/>
        <v>0</v>
      </c>
    </row>
    <row r="319" spans="14:15">
      <c r="N319" s="499" t="str">
        <f t="shared" si="8"/>
        <v/>
      </c>
      <c r="O319" s="501">
        <f t="shared" si="9"/>
        <v>0</v>
      </c>
    </row>
    <row r="320" spans="14:15">
      <c r="N320" s="499" t="str">
        <f t="shared" si="8"/>
        <v/>
      </c>
      <c r="O320" s="501">
        <f t="shared" si="9"/>
        <v>0</v>
      </c>
    </row>
    <row r="321" spans="14:15">
      <c r="N321" s="499" t="str">
        <f t="shared" si="8"/>
        <v/>
      </c>
      <c r="O321" s="501">
        <f t="shared" si="9"/>
        <v>0</v>
      </c>
    </row>
    <row r="322" spans="14:15">
      <c r="N322" s="499" t="str">
        <f t="shared" si="8"/>
        <v/>
      </c>
      <c r="O322" s="501">
        <f t="shared" si="9"/>
        <v>0</v>
      </c>
    </row>
    <row r="323" spans="14:15">
      <c r="N323" s="499" t="str">
        <f t="shared" ref="N323:N386" si="10">C323&amp;D323</f>
        <v/>
      </c>
      <c r="O323" s="501">
        <f t="shared" ref="O323:O386" si="11">J323</f>
        <v>0</v>
      </c>
    </row>
    <row r="324" spans="14:15">
      <c r="N324" s="499" t="str">
        <f t="shared" si="10"/>
        <v/>
      </c>
      <c r="O324" s="501">
        <f t="shared" si="11"/>
        <v>0</v>
      </c>
    </row>
    <row r="325" spans="14:15">
      <c r="N325" s="499" t="str">
        <f t="shared" si="10"/>
        <v/>
      </c>
      <c r="O325" s="501">
        <f t="shared" si="11"/>
        <v>0</v>
      </c>
    </row>
    <row r="326" spans="14:15">
      <c r="N326" s="499" t="str">
        <f t="shared" si="10"/>
        <v/>
      </c>
      <c r="O326" s="501">
        <f t="shared" si="11"/>
        <v>0</v>
      </c>
    </row>
    <row r="327" spans="14:15">
      <c r="N327" s="499" t="str">
        <f t="shared" si="10"/>
        <v/>
      </c>
      <c r="O327" s="501">
        <f t="shared" si="11"/>
        <v>0</v>
      </c>
    </row>
    <row r="328" spans="14:15">
      <c r="N328" s="499" t="str">
        <f t="shared" si="10"/>
        <v/>
      </c>
      <c r="O328" s="501">
        <f t="shared" si="11"/>
        <v>0</v>
      </c>
    </row>
    <row r="329" spans="14:15">
      <c r="N329" s="499" t="str">
        <f t="shared" si="10"/>
        <v/>
      </c>
      <c r="O329" s="501">
        <f t="shared" si="11"/>
        <v>0</v>
      </c>
    </row>
    <row r="330" spans="14:15">
      <c r="N330" s="499" t="str">
        <f t="shared" si="10"/>
        <v/>
      </c>
      <c r="O330" s="501">
        <f t="shared" si="11"/>
        <v>0</v>
      </c>
    </row>
    <row r="331" spans="14:15">
      <c r="N331" s="499" t="str">
        <f t="shared" si="10"/>
        <v/>
      </c>
      <c r="O331" s="501">
        <f t="shared" si="11"/>
        <v>0</v>
      </c>
    </row>
    <row r="332" spans="14:15">
      <c r="N332" s="499" t="str">
        <f t="shared" si="10"/>
        <v/>
      </c>
      <c r="O332" s="501">
        <f t="shared" si="11"/>
        <v>0</v>
      </c>
    </row>
    <row r="333" spans="14:15">
      <c r="N333" s="499" t="str">
        <f t="shared" si="10"/>
        <v/>
      </c>
      <c r="O333" s="501">
        <f t="shared" si="11"/>
        <v>0</v>
      </c>
    </row>
    <row r="334" spans="14:15">
      <c r="N334" s="499" t="str">
        <f t="shared" si="10"/>
        <v/>
      </c>
      <c r="O334" s="501">
        <f t="shared" si="11"/>
        <v>0</v>
      </c>
    </row>
    <row r="335" spans="14:15">
      <c r="N335" s="499" t="str">
        <f t="shared" si="10"/>
        <v/>
      </c>
      <c r="O335" s="501">
        <f t="shared" si="11"/>
        <v>0</v>
      </c>
    </row>
    <row r="336" spans="14:15">
      <c r="N336" s="499" t="str">
        <f t="shared" si="10"/>
        <v/>
      </c>
      <c r="O336" s="501">
        <f t="shared" si="11"/>
        <v>0</v>
      </c>
    </row>
    <row r="337" spans="14:15">
      <c r="N337" s="499" t="str">
        <f t="shared" si="10"/>
        <v/>
      </c>
      <c r="O337" s="501">
        <f t="shared" si="11"/>
        <v>0</v>
      </c>
    </row>
    <row r="338" spans="14:15">
      <c r="N338" s="499" t="str">
        <f t="shared" si="10"/>
        <v/>
      </c>
      <c r="O338" s="501">
        <f t="shared" si="11"/>
        <v>0</v>
      </c>
    </row>
    <row r="339" spans="14:15">
      <c r="N339" s="499" t="str">
        <f t="shared" si="10"/>
        <v/>
      </c>
      <c r="O339" s="501">
        <f t="shared" si="11"/>
        <v>0</v>
      </c>
    </row>
    <row r="340" spans="14:15">
      <c r="N340" s="499" t="str">
        <f t="shared" si="10"/>
        <v/>
      </c>
      <c r="O340" s="501">
        <f t="shared" si="11"/>
        <v>0</v>
      </c>
    </row>
    <row r="341" spans="14:15">
      <c r="N341" s="499" t="str">
        <f t="shared" si="10"/>
        <v/>
      </c>
      <c r="O341" s="501">
        <f t="shared" si="11"/>
        <v>0</v>
      </c>
    </row>
    <row r="342" spans="14:15">
      <c r="N342" s="499" t="str">
        <f t="shared" si="10"/>
        <v/>
      </c>
      <c r="O342" s="501">
        <f t="shared" si="11"/>
        <v>0</v>
      </c>
    </row>
    <row r="343" spans="14:15">
      <c r="N343" s="499" t="str">
        <f t="shared" si="10"/>
        <v/>
      </c>
      <c r="O343" s="501">
        <f t="shared" si="11"/>
        <v>0</v>
      </c>
    </row>
    <row r="344" spans="14:15">
      <c r="N344" s="499" t="str">
        <f t="shared" si="10"/>
        <v/>
      </c>
      <c r="O344" s="501">
        <f t="shared" si="11"/>
        <v>0</v>
      </c>
    </row>
    <row r="345" spans="14:15">
      <c r="N345" s="499" t="str">
        <f t="shared" si="10"/>
        <v/>
      </c>
      <c r="O345" s="501">
        <f t="shared" si="11"/>
        <v>0</v>
      </c>
    </row>
    <row r="346" spans="14:15">
      <c r="N346" s="499" t="str">
        <f t="shared" si="10"/>
        <v/>
      </c>
      <c r="O346" s="501">
        <f t="shared" si="11"/>
        <v>0</v>
      </c>
    </row>
    <row r="347" spans="14:15">
      <c r="N347" s="499" t="str">
        <f t="shared" si="10"/>
        <v/>
      </c>
      <c r="O347" s="501">
        <f t="shared" si="11"/>
        <v>0</v>
      </c>
    </row>
    <row r="348" spans="14:15">
      <c r="N348" s="499" t="str">
        <f t="shared" si="10"/>
        <v/>
      </c>
      <c r="O348" s="501">
        <f t="shared" si="11"/>
        <v>0</v>
      </c>
    </row>
    <row r="349" spans="14:15">
      <c r="N349" s="499" t="str">
        <f t="shared" si="10"/>
        <v/>
      </c>
      <c r="O349" s="501">
        <f t="shared" si="11"/>
        <v>0</v>
      </c>
    </row>
    <row r="350" spans="14:15">
      <c r="N350" s="499" t="str">
        <f t="shared" si="10"/>
        <v/>
      </c>
      <c r="O350" s="501">
        <f t="shared" si="11"/>
        <v>0</v>
      </c>
    </row>
    <row r="351" spans="14:15">
      <c r="N351" s="499" t="str">
        <f t="shared" si="10"/>
        <v/>
      </c>
      <c r="O351" s="501">
        <f t="shared" si="11"/>
        <v>0</v>
      </c>
    </row>
    <row r="352" spans="14:15">
      <c r="N352" s="499" t="str">
        <f t="shared" si="10"/>
        <v/>
      </c>
      <c r="O352" s="501">
        <f t="shared" si="11"/>
        <v>0</v>
      </c>
    </row>
    <row r="353" spans="14:15">
      <c r="N353" s="499" t="str">
        <f t="shared" si="10"/>
        <v/>
      </c>
      <c r="O353" s="501">
        <f t="shared" si="11"/>
        <v>0</v>
      </c>
    </row>
    <row r="354" spans="14:15">
      <c r="N354" s="499" t="str">
        <f t="shared" si="10"/>
        <v/>
      </c>
      <c r="O354" s="501">
        <f t="shared" si="11"/>
        <v>0</v>
      </c>
    </row>
    <row r="355" spans="14:15">
      <c r="N355" s="499" t="str">
        <f t="shared" si="10"/>
        <v/>
      </c>
      <c r="O355" s="501">
        <f t="shared" si="11"/>
        <v>0</v>
      </c>
    </row>
    <row r="356" spans="14:15">
      <c r="N356" s="499" t="str">
        <f t="shared" si="10"/>
        <v/>
      </c>
      <c r="O356" s="501">
        <f t="shared" si="11"/>
        <v>0</v>
      </c>
    </row>
    <row r="357" spans="14:15">
      <c r="N357" s="499" t="str">
        <f t="shared" si="10"/>
        <v/>
      </c>
      <c r="O357" s="501">
        <f t="shared" si="11"/>
        <v>0</v>
      </c>
    </row>
    <row r="358" spans="14:15">
      <c r="N358" s="499" t="str">
        <f t="shared" si="10"/>
        <v/>
      </c>
      <c r="O358" s="501">
        <f t="shared" si="11"/>
        <v>0</v>
      </c>
    </row>
    <row r="359" spans="14:15">
      <c r="N359" s="499" t="str">
        <f t="shared" si="10"/>
        <v/>
      </c>
      <c r="O359" s="501">
        <f t="shared" si="11"/>
        <v>0</v>
      </c>
    </row>
    <row r="360" spans="14:15">
      <c r="N360" s="499" t="str">
        <f t="shared" si="10"/>
        <v/>
      </c>
      <c r="O360" s="501">
        <f t="shared" si="11"/>
        <v>0</v>
      </c>
    </row>
    <row r="361" spans="14:15">
      <c r="N361" s="499" t="str">
        <f t="shared" si="10"/>
        <v/>
      </c>
      <c r="O361" s="501">
        <f t="shared" si="11"/>
        <v>0</v>
      </c>
    </row>
    <row r="362" spans="14:15">
      <c r="N362" s="499" t="str">
        <f t="shared" si="10"/>
        <v/>
      </c>
      <c r="O362" s="501">
        <f t="shared" si="11"/>
        <v>0</v>
      </c>
    </row>
    <row r="363" spans="14:15">
      <c r="N363" s="499" t="str">
        <f t="shared" si="10"/>
        <v/>
      </c>
      <c r="O363" s="501">
        <f t="shared" si="11"/>
        <v>0</v>
      </c>
    </row>
    <row r="364" spans="14:15">
      <c r="N364" s="499" t="str">
        <f t="shared" si="10"/>
        <v/>
      </c>
      <c r="O364" s="501">
        <f t="shared" si="11"/>
        <v>0</v>
      </c>
    </row>
    <row r="365" spans="14:15">
      <c r="N365" s="499" t="str">
        <f t="shared" si="10"/>
        <v/>
      </c>
      <c r="O365" s="501">
        <f t="shared" si="11"/>
        <v>0</v>
      </c>
    </row>
    <row r="366" spans="14:15">
      <c r="N366" s="499" t="str">
        <f t="shared" si="10"/>
        <v/>
      </c>
      <c r="O366" s="501">
        <f t="shared" si="11"/>
        <v>0</v>
      </c>
    </row>
    <row r="367" spans="14:15">
      <c r="N367" s="499" t="str">
        <f t="shared" si="10"/>
        <v/>
      </c>
      <c r="O367" s="501">
        <f t="shared" si="11"/>
        <v>0</v>
      </c>
    </row>
    <row r="368" spans="14:15">
      <c r="N368" s="499" t="str">
        <f t="shared" si="10"/>
        <v/>
      </c>
      <c r="O368" s="501">
        <f t="shared" si="11"/>
        <v>0</v>
      </c>
    </row>
    <row r="369" spans="14:15">
      <c r="N369" s="499" t="str">
        <f t="shared" si="10"/>
        <v/>
      </c>
      <c r="O369" s="501">
        <f t="shared" si="11"/>
        <v>0</v>
      </c>
    </row>
    <row r="370" spans="14:15">
      <c r="N370" s="499" t="str">
        <f t="shared" si="10"/>
        <v/>
      </c>
      <c r="O370" s="501">
        <f t="shared" si="11"/>
        <v>0</v>
      </c>
    </row>
    <row r="371" spans="14:15">
      <c r="N371" s="499" t="str">
        <f t="shared" si="10"/>
        <v/>
      </c>
      <c r="O371" s="501">
        <f t="shared" si="11"/>
        <v>0</v>
      </c>
    </row>
    <row r="372" spans="14:15">
      <c r="N372" s="499" t="str">
        <f t="shared" si="10"/>
        <v/>
      </c>
      <c r="O372" s="501">
        <f t="shared" si="11"/>
        <v>0</v>
      </c>
    </row>
    <row r="373" spans="14:15">
      <c r="N373" s="499" t="str">
        <f t="shared" si="10"/>
        <v/>
      </c>
      <c r="O373" s="501">
        <f t="shared" si="11"/>
        <v>0</v>
      </c>
    </row>
    <row r="374" spans="14:15">
      <c r="N374" s="499" t="str">
        <f t="shared" si="10"/>
        <v/>
      </c>
      <c r="O374" s="501">
        <f t="shared" si="11"/>
        <v>0</v>
      </c>
    </row>
    <row r="375" spans="14:15">
      <c r="N375" s="499" t="str">
        <f t="shared" si="10"/>
        <v/>
      </c>
      <c r="O375" s="501">
        <f t="shared" si="11"/>
        <v>0</v>
      </c>
    </row>
    <row r="376" spans="14:15">
      <c r="N376" s="499" t="str">
        <f t="shared" si="10"/>
        <v/>
      </c>
      <c r="O376" s="501">
        <f t="shared" si="11"/>
        <v>0</v>
      </c>
    </row>
    <row r="377" spans="14:15">
      <c r="N377" s="499" t="str">
        <f t="shared" si="10"/>
        <v/>
      </c>
      <c r="O377" s="501">
        <f t="shared" si="11"/>
        <v>0</v>
      </c>
    </row>
    <row r="378" spans="14:15">
      <c r="N378" s="499" t="str">
        <f t="shared" si="10"/>
        <v/>
      </c>
      <c r="O378" s="501">
        <f t="shared" si="11"/>
        <v>0</v>
      </c>
    </row>
    <row r="379" spans="14:15">
      <c r="N379" s="499" t="str">
        <f t="shared" si="10"/>
        <v/>
      </c>
      <c r="O379" s="501">
        <f t="shared" si="11"/>
        <v>0</v>
      </c>
    </row>
    <row r="380" spans="14:15">
      <c r="N380" s="499" t="str">
        <f t="shared" si="10"/>
        <v/>
      </c>
      <c r="O380" s="501">
        <f t="shared" si="11"/>
        <v>0</v>
      </c>
    </row>
    <row r="381" spans="14:15">
      <c r="N381" s="499" t="str">
        <f t="shared" si="10"/>
        <v/>
      </c>
      <c r="O381" s="501">
        <f t="shared" si="11"/>
        <v>0</v>
      </c>
    </row>
    <row r="382" spans="14:15">
      <c r="N382" s="499" t="str">
        <f t="shared" si="10"/>
        <v/>
      </c>
      <c r="O382" s="501">
        <f t="shared" si="11"/>
        <v>0</v>
      </c>
    </row>
    <row r="383" spans="14:15">
      <c r="N383" s="499" t="str">
        <f t="shared" si="10"/>
        <v/>
      </c>
      <c r="O383" s="501">
        <f t="shared" si="11"/>
        <v>0</v>
      </c>
    </row>
    <row r="384" spans="14:15">
      <c r="N384" s="499" t="str">
        <f t="shared" si="10"/>
        <v/>
      </c>
      <c r="O384" s="501">
        <f t="shared" si="11"/>
        <v>0</v>
      </c>
    </row>
    <row r="385" spans="14:15">
      <c r="N385" s="499" t="str">
        <f t="shared" si="10"/>
        <v/>
      </c>
      <c r="O385" s="501">
        <f t="shared" si="11"/>
        <v>0</v>
      </c>
    </row>
    <row r="386" spans="14:15">
      <c r="N386" s="499" t="str">
        <f t="shared" si="10"/>
        <v/>
      </c>
      <c r="O386" s="501">
        <f t="shared" si="11"/>
        <v>0</v>
      </c>
    </row>
    <row r="387" spans="14:15">
      <c r="N387" s="499" t="str">
        <f t="shared" ref="N387:N444" si="12">C387&amp;D387</f>
        <v/>
      </c>
      <c r="O387" s="501">
        <f t="shared" ref="O387:O443" si="13">J387</f>
        <v>0</v>
      </c>
    </row>
    <row r="388" spans="14:15">
      <c r="N388" s="499" t="str">
        <f t="shared" si="12"/>
        <v/>
      </c>
      <c r="O388" s="501">
        <f t="shared" si="13"/>
        <v>0</v>
      </c>
    </row>
    <row r="389" spans="14:15">
      <c r="N389" s="499" t="str">
        <f t="shared" si="12"/>
        <v/>
      </c>
      <c r="O389" s="501">
        <f t="shared" si="13"/>
        <v>0</v>
      </c>
    </row>
    <row r="390" spans="14:15">
      <c r="N390" s="499" t="str">
        <f t="shared" si="12"/>
        <v/>
      </c>
      <c r="O390" s="501">
        <f t="shared" si="13"/>
        <v>0</v>
      </c>
    </row>
    <row r="391" spans="14:15">
      <c r="N391" s="499" t="str">
        <f t="shared" si="12"/>
        <v/>
      </c>
      <c r="O391" s="501">
        <f t="shared" si="13"/>
        <v>0</v>
      </c>
    </row>
    <row r="392" spans="14:15">
      <c r="N392" s="499" t="str">
        <f t="shared" si="12"/>
        <v/>
      </c>
      <c r="O392" s="501">
        <f t="shared" si="13"/>
        <v>0</v>
      </c>
    </row>
    <row r="393" spans="14:15">
      <c r="N393" s="499" t="str">
        <f t="shared" si="12"/>
        <v/>
      </c>
      <c r="O393" s="501">
        <f t="shared" si="13"/>
        <v>0</v>
      </c>
    </row>
    <row r="394" spans="14:15">
      <c r="N394" s="499" t="str">
        <f t="shared" si="12"/>
        <v/>
      </c>
      <c r="O394" s="501">
        <f t="shared" si="13"/>
        <v>0</v>
      </c>
    </row>
    <row r="395" spans="14:15">
      <c r="N395" s="499" t="str">
        <f t="shared" si="12"/>
        <v/>
      </c>
      <c r="O395" s="501">
        <f t="shared" si="13"/>
        <v>0</v>
      </c>
    </row>
    <row r="396" spans="14:15">
      <c r="N396" s="499" t="str">
        <f t="shared" si="12"/>
        <v/>
      </c>
      <c r="O396" s="501">
        <f t="shared" si="13"/>
        <v>0</v>
      </c>
    </row>
    <row r="397" spans="14:15">
      <c r="N397" s="499" t="str">
        <f t="shared" si="12"/>
        <v/>
      </c>
      <c r="O397" s="501">
        <f t="shared" si="13"/>
        <v>0</v>
      </c>
    </row>
    <row r="398" spans="14:15">
      <c r="N398" s="499" t="str">
        <f t="shared" si="12"/>
        <v/>
      </c>
      <c r="O398" s="501">
        <f t="shared" si="13"/>
        <v>0</v>
      </c>
    </row>
    <row r="399" spans="14:15">
      <c r="N399" s="499" t="str">
        <f t="shared" si="12"/>
        <v/>
      </c>
      <c r="O399" s="501">
        <f t="shared" si="13"/>
        <v>0</v>
      </c>
    </row>
    <row r="400" spans="14:15">
      <c r="N400" s="499" t="str">
        <f t="shared" si="12"/>
        <v/>
      </c>
      <c r="O400" s="501">
        <f t="shared" si="13"/>
        <v>0</v>
      </c>
    </row>
    <row r="401" spans="14:15">
      <c r="N401" s="499" t="str">
        <f t="shared" si="12"/>
        <v/>
      </c>
      <c r="O401" s="501">
        <f t="shared" si="13"/>
        <v>0</v>
      </c>
    </row>
    <row r="402" spans="14:15">
      <c r="N402" s="499" t="str">
        <f t="shared" si="12"/>
        <v/>
      </c>
      <c r="O402" s="501">
        <f t="shared" si="13"/>
        <v>0</v>
      </c>
    </row>
    <row r="403" spans="14:15">
      <c r="N403" s="499" t="str">
        <f t="shared" si="12"/>
        <v/>
      </c>
      <c r="O403" s="501">
        <f t="shared" si="13"/>
        <v>0</v>
      </c>
    </row>
    <row r="404" spans="14:15">
      <c r="N404" s="499" t="str">
        <f t="shared" si="12"/>
        <v/>
      </c>
      <c r="O404" s="501">
        <f t="shared" si="13"/>
        <v>0</v>
      </c>
    </row>
    <row r="405" spans="14:15">
      <c r="N405" s="499" t="str">
        <f t="shared" si="12"/>
        <v/>
      </c>
      <c r="O405" s="501">
        <f t="shared" si="13"/>
        <v>0</v>
      </c>
    </row>
    <row r="406" spans="14:15">
      <c r="N406" s="499" t="str">
        <f t="shared" si="12"/>
        <v/>
      </c>
      <c r="O406" s="501">
        <f t="shared" si="13"/>
        <v>0</v>
      </c>
    </row>
    <row r="407" spans="14:15">
      <c r="N407" s="499" t="str">
        <f t="shared" si="12"/>
        <v/>
      </c>
      <c r="O407" s="501">
        <f t="shared" si="13"/>
        <v>0</v>
      </c>
    </row>
    <row r="408" spans="14:15">
      <c r="N408" s="499" t="str">
        <f t="shared" si="12"/>
        <v/>
      </c>
      <c r="O408" s="501">
        <f t="shared" si="13"/>
        <v>0</v>
      </c>
    </row>
    <row r="409" spans="14:15">
      <c r="N409" s="499" t="str">
        <f t="shared" si="12"/>
        <v/>
      </c>
      <c r="O409" s="501">
        <f t="shared" si="13"/>
        <v>0</v>
      </c>
    </row>
    <row r="410" spans="14:15">
      <c r="N410" s="499" t="str">
        <f t="shared" si="12"/>
        <v/>
      </c>
      <c r="O410" s="501">
        <f t="shared" si="13"/>
        <v>0</v>
      </c>
    </row>
    <row r="411" spans="14:15">
      <c r="N411" s="499" t="str">
        <f t="shared" si="12"/>
        <v/>
      </c>
      <c r="O411" s="501">
        <f t="shared" si="13"/>
        <v>0</v>
      </c>
    </row>
    <row r="412" spans="14:15">
      <c r="N412" s="499" t="str">
        <f t="shared" si="12"/>
        <v/>
      </c>
      <c r="O412" s="501">
        <f t="shared" si="13"/>
        <v>0</v>
      </c>
    </row>
    <row r="413" spans="14:15">
      <c r="N413" s="499" t="str">
        <f t="shared" si="12"/>
        <v/>
      </c>
      <c r="O413" s="501">
        <f t="shared" si="13"/>
        <v>0</v>
      </c>
    </row>
    <row r="414" spans="14:15">
      <c r="N414" s="499" t="str">
        <f t="shared" si="12"/>
        <v/>
      </c>
      <c r="O414" s="501">
        <f t="shared" si="13"/>
        <v>0</v>
      </c>
    </row>
    <row r="415" spans="14:15">
      <c r="N415" s="499" t="str">
        <f t="shared" si="12"/>
        <v/>
      </c>
      <c r="O415" s="501">
        <f t="shared" si="13"/>
        <v>0</v>
      </c>
    </row>
    <row r="416" spans="14:15">
      <c r="N416" s="499" t="str">
        <f t="shared" si="12"/>
        <v/>
      </c>
      <c r="O416" s="501">
        <f t="shared" si="13"/>
        <v>0</v>
      </c>
    </row>
    <row r="417" spans="14:15">
      <c r="N417" s="499" t="str">
        <f t="shared" si="12"/>
        <v/>
      </c>
      <c r="O417" s="501">
        <f t="shared" si="13"/>
        <v>0</v>
      </c>
    </row>
    <row r="418" spans="14:15">
      <c r="N418" s="499" t="str">
        <f t="shared" si="12"/>
        <v/>
      </c>
      <c r="O418" s="501">
        <f t="shared" si="13"/>
        <v>0</v>
      </c>
    </row>
    <row r="419" spans="14:15">
      <c r="N419" s="499" t="str">
        <f t="shared" si="12"/>
        <v/>
      </c>
      <c r="O419" s="501">
        <f t="shared" si="13"/>
        <v>0</v>
      </c>
    </row>
    <row r="420" spans="14:15">
      <c r="N420" s="499" t="str">
        <f t="shared" si="12"/>
        <v/>
      </c>
      <c r="O420" s="501">
        <f t="shared" si="13"/>
        <v>0</v>
      </c>
    </row>
    <row r="421" spans="14:15">
      <c r="N421" s="499" t="str">
        <f t="shared" si="12"/>
        <v/>
      </c>
      <c r="O421" s="501">
        <f t="shared" si="13"/>
        <v>0</v>
      </c>
    </row>
    <row r="422" spans="14:15">
      <c r="N422" s="499" t="str">
        <f t="shared" si="12"/>
        <v/>
      </c>
      <c r="O422" s="501">
        <f t="shared" si="13"/>
        <v>0</v>
      </c>
    </row>
    <row r="423" spans="14:15">
      <c r="N423" s="499" t="str">
        <f t="shared" si="12"/>
        <v/>
      </c>
      <c r="O423" s="501">
        <f t="shared" si="13"/>
        <v>0</v>
      </c>
    </row>
    <row r="424" spans="14:15">
      <c r="N424" s="499" t="str">
        <f t="shared" si="12"/>
        <v/>
      </c>
      <c r="O424" s="501">
        <f t="shared" si="13"/>
        <v>0</v>
      </c>
    </row>
    <row r="425" spans="14:15">
      <c r="N425" s="499" t="str">
        <f t="shared" si="12"/>
        <v/>
      </c>
      <c r="O425" s="501">
        <f t="shared" si="13"/>
        <v>0</v>
      </c>
    </row>
    <row r="426" spans="14:15">
      <c r="N426" s="499" t="str">
        <f t="shared" si="12"/>
        <v/>
      </c>
      <c r="O426" s="501">
        <f t="shared" si="13"/>
        <v>0</v>
      </c>
    </row>
    <row r="427" spans="14:15">
      <c r="N427" s="499" t="str">
        <f t="shared" si="12"/>
        <v/>
      </c>
      <c r="O427" s="501">
        <f t="shared" si="13"/>
        <v>0</v>
      </c>
    </row>
    <row r="428" spans="14:15">
      <c r="N428" s="499" t="str">
        <f t="shared" si="12"/>
        <v/>
      </c>
      <c r="O428" s="501">
        <f t="shared" si="13"/>
        <v>0</v>
      </c>
    </row>
    <row r="429" spans="14:15">
      <c r="N429" s="499" t="str">
        <f t="shared" si="12"/>
        <v/>
      </c>
      <c r="O429" s="501">
        <f t="shared" si="13"/>
        <v>0</v>
      </c>
    </row>
    <row r="430" spans="14:15">
      <c r="N430" s="499" t="str">
        <f t="shared" si="12"/>
        <v/>
      </c>
      <c r="O430" s="501">
        <f t="shared" si="13"/>
        <v>0</v>
      </c>
    </row>
    <row r="431" spans="14:15">
      <c r="N431" s="499" t="str">
        <f t="shared" si="12"/>
        <v/>
      </c>
      <c r="O431" s="501">
        <f t="shared" si="13"/>
        <v>0</v>
      </c>
    </row>
    <row r="432" spans="14:15">
      <c r="N432" s="499" t="str">
        <f t="shared" si="12"/>
        <v/>
      </c>
      <c r="O432" s="501">
        <f t="shared" si="13"/>
        <v>0</v>
      </c>
    </row>
    <row r="433" spans="14:15">
      <c r="N433" s="499" t="str">
        <f t="shared" si="12"/>
        <v/>
      </c>
      <c r="O433" s="501">
        <f t="shared" si="13"/>
        <v>0</v>
      </c>
    </row>
    <row r="434" spans="14:15">
      <c r="N434" s="499" t="str">
        <f t="shared" si="12"/>
        <v/>
      </c>
      <c r="O434" s="501">
        <f t="shared" si="13"/>
        <v>0</v>
      </c>
    </row>
    <row r="435" spans="14:15">
      <c r="N435" s="499" t="str">
        <f t="shared" si="12"/>
        <v/>
      </c>
      <c r="O435" s="501">
        <f t="shared" si="13"/>
        <v>0</v>
      </c>
    </row>
    <row r="436" spans="14:15">
      <c r="N436" s="499" t="str">
        <f t="shared" si="12"/>
        <v/>
      </c>
      <c r="O436" s="501">
        <f t="shared" si="13"/>
        <v>0</v>
      </c>
    </row>
    <row r="437" spans="14:15">
      <c r="N437" s="499" t="str">
        <f t="shared" si="12"/>
        <v/>
      </c>
      <c r="O437" s="501">
        <f t="shared" si="13"/>
        <v>0</v>
      </c>
    </row>
    <row r="438" spans="14:15">
      <c r="N438" s="499" t="str">
        <f t="shared" si="12"/>
        <v/>
      </c>
      <c r="O438" s="501">
        <f t="shared" si="13"/>
        <v>0</v>
      </c>
    </row>
    <row r="439" spans="14:15">
      <c r="N439" s="499" t="str">
        <f t="shared" si="12"/>
        <v/>
      </c>
      <c r="O439" s="501">
        <f t="shared" si="13"/>
        <v>0</v>
      </c>
    </row>
    <row r="440" spans="14:15">
      <c r="N440" s="499" t="str">
        <f t="shared" si="12"/>
        <v/>
      </c>
      <c r="O440" s="501">
        <f t="shared" si="13"/>
        <v>0</v>
      </c>
    </row>
    <row r="441" spans="14:15">
      <c r="N441" s="499" t="str">
        <f t="shared" si="12"/>
        <v/>
      </c>
      <c r="O441" s="501">
        <f t="shared" si="13"/>
        <v>0</v>
      </c>
    </row>
    <row r="442" spans="14:15">
      <c r="N442" s="499" t="str">
        <f t="shared" si="12"/>
        <v/>
      </c>
      <c r="O442" s="501">
        <f t="shared" si="13"/>
        <v>0</v>
      </c>
    </row>
    <row r="443" spans="14:15">
      <c r="N443" s="499" t="str">
        <f t="shared" si="12"/>
        <v/>
      </c>
      <c r="O443" s="501">
        <f t="shared" si="13"/>
        <v>0</v>
      </c>
    </row>
    <row r="444" spans="14:15">
      <c r="N444" s="499" t="str">
        <f t="shared" si="12"/>
        <v/>
      </c>
      <c r="O444" s="501">
        <f>J444</f>
        <v>0</v>
      </c>
    </row>
  </sheetData>
  <autoFilter ref="N1:O444" xr:uid="{00000000-0009-0000-0000-000007000000}"/>
  <phoneticPr fontId="74" type="noConversion"/>
  <conditionalFormatting sqref="F2:M272">
    <cfRule type="cellIs" dxfId="28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4"/>
  <dimension ref="A1:T96"/>
  <sheetViews>
    <sheetView topLeftCell="A7" zoomScale="85" zoomScaleNormal="85" workbookViewId="0">
      <selection activeCell="C23" sqref="C23:E23"/>
    </sheetView>
  </sheetViews>
  <sheetFormatPr defaultColWidth="9.140625" defaultRowHeight="15.75"/>
  <cols>
    <col min="1" max="1" width="4.85546875" style="14" customWidth="1"/>
    <col min="2" max="2" width="16.140625" style="14" customWidth="1"/>
    <col min="3" max="3" width="20.42578125" style="14" bestFit="1" customWidth="1"/>
    <col min="4" max="4" width="28.140625" style="14" customWidth="1"/>
    <col min="5" max="5" width="10" style="14" customWidth="1"/>
    <col min="6" max="6" width="19.42578125" style="14" customWidth="1"/>
    <col min="7" max="7" width="7.85546875" style="14" customWidth="1"/>
    <col min="8" max="8" width="11.42578125" style="14" customWidth="1"/>
    <col min="9" max="9" width="11.42578125" style="14" bestFit="1" customWidth="1"/>
    <col min="10" max="10" width="10.42578125" style="14" bestFit="1" customWidth="1"/>
    <col min="11" max="11" width="12.42578125" style="14" bestFit="1" customWidth="1"/>
    <col min="12" max="13" width="10.85546875" style="14" customWidth="1"/>
    <col min="14" max="15" width="12.42578125" style="14" customWidth="1"/>
    <col min="16" max="16" width="16.140625" style="14" customWidth="1"/>
    <col min="17" max="18" width="16.140625" style="3" customWidth="1"/>
    <col min="19" max="19" width="17" style="3" customWidth="1"/>
    <col min="20" max="20" width="14.42578125" style="3" bestFit="1" customWidth="1"/>
    <col min="21" max="21" width="15.42578125" style="3" customWidth="1"/>
    <col min="22" max="22" width="14.85546875" style="3" customWidth="1"/>
    <col min="23" max="48" width="3.42578125" style="3" customWidth="1"/>
    <col min="49" max="16384" width="9.140625" style="3"/>
  </cols>
  <sheetData>
    <row r="1" spans="1:20" ht="21" customHeight="1" thickBot="1">
      <c r="P1" s="131" t="s">
        <v>5</v>
      </c>
      <c r="Q1" s="132" t="s">
        <v>17</v>
      </c>
      <c r="R1" s="131" t="s">
        <v>0</v>
      </c>
    </row>
    <row r="2" spans="1:20" ht="26.25" customHeight="1">
      <c r="P2" s="672"/>
      <c r="Q2" s="667"/>
      <c r="R2" s="669"/>
    </row>
    <row r="3" spans="1:20" ht="26.25" customHeight="1" thickBot="1">
      <c r="A3" s="626">
        <f ca="1">TODAY()</f>
        <v>46130</v>
      </c>
      <c r="B3" s="626"/>
      <c r="P3" s="673"/>
      <c r="Q3" s="668"/>
      <c r="R3" s="668"/>
    </row>
    <row r="4" spans="1:20" ht="5.25" customHeight="1" thickBot="1"/>
    <row r="5" spans="1:20" ht="21.75" customHeight="1">
      <c r="A5" s="627"/>
      <c r="B5" s="628"/>
      <c r="C5" s="633" t="s">
        <v>6</v>
      </c>
      <c r="D5" s="634"/>
      <c r="E5" s="634"/>
      <c r="F5" s="634"/>
      <c r="G5" s="634"/>
      <c r="H5" s="634"/>
      <c r="I5" s="634"/>
      <c r="J5" s="634"/>
      <c r="K5" s="634"/>
      <c r="L5" s="634"/>
      <c r="M5" s="634"/>
      <c r="N5" s="634"/>
      <c r="O5" s="634"/>
      <c r="P5" s="634"/>
      <c r="Q5" s="1" t="s">
        <v>1</v>
      </c>
      <c r="R5" s="10" t="s">
        <v>18</v>
      </c>
    </row>
    <row r="6" spans="1:20" ht="21.75" customHeight="1">
      <c r="A6" s="629"/>
      <c r="B6" s="630"/>
      <c r="C6" s="635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  <c r="O6" s="636"/>
      <c r="P6" s="636"/>
      <c r="Q6" s="2" t="s">
        <v>2</v>
      </c>
      <c r="R6" s="11" t="s">
        <v>138</v>
      </c>
    </row>
    <row r="7" spans="1:20" ht="21.75" customHeight="1" thickBot="1">
      <c r="A7" s="631"/>
      <c r="B7" s="632"/>
      <c r="C7" s="637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5" t="s">
        <v>3</v>
      </c>
      <c r="R7" s="12" t="s">
        <v>63</v>
      </c>
    </row>
    <row r="8" spans="1:20" ht="19.5" customHeight="1">
      <c r="A8" s="639" t="s">
        <v>4</v>
      </c>
      <c r="B8" s="641" t="s">
        <v>8</v>
      </c>
      <c r="C8" s="643" t="s">
        <v>70</v>
      </c>
      <c r="D8" s="641" t="s">
        <v>9</v>
      </c>
      <c r="E8" s="641" t="s">
        <v>10</v>
      </c>
      <c r="F8" s="641" t="s">
        <v>131</v>
      </c>
      <c r="G8" s="641" t="s">
        <v>132</v>
      </c>
      <c r="H8" s="680" t="s">
        <v>7</v>
      </c>
      <c r="I8" s="641" t="s">
        <v>11</v>
      </c>
      <c r="J8" s="641" t="s">
        <v>12</v>
      </c>
      <c r="K8" s="641" t="s">
        <v>13</v>
      </c>
      <c r="L8" s="647" t="s">
        <v>1407</v>
      </c>
      <c r="M8" s="648"/>
      <c r="N8" s="649" t="s">
        <v>245</v>
      </c>
      <c r="O8" s="645" t="s">
        <v>246</v>
      </c>
      <c r="P8" s="643" t="s">
        <v>247</v>
      </c>
      <c r="Q8" s="641" t="s">
        <v>250</v>
      </c>
      <c r="R8" s="670" t="s">
        <v>16</v>
      </c>
    </row>
    <row r="9" spans="1:20" s="6" customFormat="1" ht="18.75" customHeight="1">
      <c r="A9" s="640"/>
      <c r="B9" s="642"/>
      <c r="C9" s="644"/>
      <c r="D9" s="642"/>
      <c r="E9" s="642"/>
      <c r="F9" s="642"/>
      <c r="G9" s="642"/>
      <c r="H9" s="681"/>
      <c r="I9" s="642"/>
      <c r="J9" s="642"/>
      <c r="K9" s="642"/>
      <c r="L9" s="416" t="s">
        <v>1408</v>
      </c>
      <c r="M9" s="416" t="s">
        <v>1409</v>
      </c>
      <c r="N9" s="650"/>
      <c r="O9" s="646"/>
      <c r="P9" s="644"/>
      <c r="Q9" s="642"/>
      <c r="R9" s="671"/>
    </row>
    <row r="10" spans="1:20" s="6" customFormat="1" ht="12.75" customHeight="1">
      <c r="A10" s="406">
        <v>1</v>
      </c>
      <c r="B10" s="133" t="s">
        <v>1390</v>
      </c>
      <c r="C10" s="138" t="s">
        <v>23</v>
      </c>
      <c r="D10" s="139" t="s">
        <v>36</v>
      </c>
      <c r="E10" s="133" t="s">
        <v>1392</v>
      </c>
      <c r="F10" s="133" t="s">
        <v>184</v>
      </c>
      <c r="G10" s="133">
        <v>9.3000000000000007</v>
      </c>
      <c r="H10" s="679">
        <v>1</v>
      </c>
      <c r="I10" s="140">
        <v>300000</v>
      </c>
      <c r="J10" s="141">
        <v>249000</v>
      </c>
      <c r="K10" s="33">
        <f t="shared" ref="K10:K21" si="0">I10-J10</f>
        <v>51000</v>
      </c>
      <c r="L10" s="418"/>
      <c r="M10" s="418"/>
      <c r="N10" s="186"/>
      <c r="O10" s="187"/>
      <c r="P10" s="177"/>
      <c r="Q10" s="142"/>
      <c r="R10" s="143"/>
      <c r="S10" s="119"/>
      <c r="T10" s="119"/>
    </row>
    <row r="11" spans="1:20" s="6" customFormat="1" ht="12.75" customHeight="1">
      <c r="A11" s="406">
        <v>2</v>
      </c>
      <c r="B11" s="120" t="s">
        <v>1460</v>
      </c>
      <c r="C11" s="121" t="s">
        <v>24</v>
      </c>
      <c r="D11" s="122" t="s">
        <v>37</v>
      </c>
      <c r="E11" s="120" t="s">
        <v>49</v>
      </c>
      <c r="F11" s="120" t="s">
        <v>133</v>
      </c>
      <c r="G11" s="120">
        <v>12.2</v>
      </c>
      <c r="H11" s="678"/>
      <c r="I11" s="123">
        <v>200000</v>
      </c>
      <c r="J11" s="124">
        <v>123000</v>
      </c>
      <c r="K11" s="124">
        <f t="shared" si="0"/>
        <v>77000</v>
      </c>
      <c r="L11" s="446"/>
      <c r="M11" s="446"/>
      <c r="N11" s="174"/>
      <c r="O11" s="180">
        <v>23000</v>
      </c>
      <c r="P11" s="175"/>
      <c r="Q11" s="125"/>
      <c r="R11" s="144"/>
      <c r="S11" s="119"/>
      <c r="T11" s="119"/>
    </row>
    <row r="12" spans="1:20" s="6" customFormat="1" ht="12.75" customHeight="1">
      <c r="A12" s="406">
        <v>3</v>
      </c>
      <c r="B12" s="133" t="s">
        <v>1393</v>
      </c>
      <c r="C12" s="138" t="s">
        <v>144</v>
      </c>
      <c r="D12" s="139" t="s">
        <v>145</v>
      </c>
      <c r="E12" s="133" t="s">
        <v>146</v>
      </c>
      <c r="F12" s="133" t="s">
        <v>133</v>
      </c>
      <c r="G12" s="133">
        <v>10.72</v>
      </c>
      <c r="H12" s="677">
        <v>2</v>
      </c>
      <c r="I12" s="407">
        <v>200000</v>
      </c>
      <c r="J12" s="408">
        <v>186000</v>
      </c>
      <c r="K12" s="408">
        <f t="shared" si="0"/>
        <v>14000</v>
      </c>
      <c r="L12" s="419"/>
      <c r="M12" s="419"/>
      <c r="N12" s="186"/>
      <c r="O12" s="187"/>
      <c r="P12" s="409"/>
      <c r="Q12" s="410"/>
      <c r="R12" s="411"/>
      <c r="S12" s="119"/>
      <c r="T12" s="119"/>
    </row>
    <row r="13" spans="1:20" s="6" customFormat="1" ht="12.75" customHeight="1">
      <c r="A13" s="406">
        <v>4</v>
      </c>
      <c r="B13" s="133" t="s">
        <v>1444</v>
      </c>
      <c r="C13" s="138" t="s">
        <v>1238</v>
      </c>
      <c r="D13" s="139" t="s">
        <v>1232</v>
      </c>
      <c r="E13" s="133" t="s">
        <v>1434</v>
      </c>
      <c r="F13" s="133" t="s">
        <v>133</v>
      </c>
      <c r="G13" s="133">
        <v>11.9</v>
      </c>
      <c r="H13" s="677"/>
      <c r="I13" s="407">
        <v>10000</v>
      </c>
      <c r="J13" s="408">
        <v>0</v>
      </c>
      <c r="K13" s="408">
        <f t="shared" si="0"/>
        <v>10000</v>
      </c>
      <c r="L13" s="419"/>
      <c r="M13" s="419"/>
      <c r="N13" s="186"/>
      <c r="O13" s="187"/>
      <c r="P13" s="409"/>
      <c r="Q13" s="410"/>
      <c r="R13" s="411"/>
      <c r="S13" s="119"/>
      <c r="T13" s="119"/>
    </row>
    <row r="14" spans="1:20" s="6" customFormat="1" ht="12.75" customHeight="1">
      <c r="A14" s="406">
        <v>5</v>
      </c>
      <c r="B14" s="133" t="s">
        <v>1452</v>
      </c>
      <c r="C14" s="138" t="s">
        <v>241</v>
      </c>
      <c r="D14" s="139" t="s">
        <v>242</v>
      </c>
      <c r="E14" s="133">
        <v>8.26</v>
      </c>
      <c r="F14" s="133" t="s">
        <v>133</v>
      </c>
      <c r="G14" s="133">
        <v>7.8</v>
      </c>
      <c r="H14" s="677"/>
      <c r="I14" s="407">
        <v>100000</v>
      </c>
      <c r="J14" s="408">
        <v>93000</v>
      </c>
      <c r="K14" s="408">
        <f t="shared" si="0"/>
        <v>7000</v>
      </c>
      <c r="L14" s="419"/>
      <c r="M14" s="419"/>
      <c r="N14" s="186"/>
      <c r="O14" s="187"/>
      <c r="P14" s="409"/>
      <c r="Q14" s="410"/>
      <c r="R14" s="411"/>
      <c r="S14" s="119"/>
      <c r="T14" s="119"/>
    </row>
    <row r="15" spans="1:20" s="6" customFormat="1" ht="12.75" customHeight="1">
      <c r="A15" s="406">
        <v>6</v>
      </c>
      <c r="B15" s="120" t="s">
        <v>1438</v>
      </c>
      <c r="C15" s="121" t="s">
        <v>496</v>
      </c>
      <c r="D15" s="122" t="s">
        <v>498</v>
      </c>
      <c r="E15" s="120" t="s">
        <v>499</v>
      </c>
      <c r="F15" s="120" t="s">
        <v>133</v>
      </c>
      <c r="G15" s="120">
        <v>9.9600000000000009</v>
      </c>
      <c r="H15" s="678"/>
      <c r="I15" s="171">
        <v>100000</v>
      </c>
      <c r="J15" s="172">
        <v>75500</v>
      </c>
      <c r="K15" s="172">
        <f t="shared" si="0"/>
        <v>24500</v>
      </c>
      <c r="L15" s="451"/>
      <c r="M15" s="451"/>
      <c r="N15" s="174"/>
      <c r="O15" s="180">
        <v>25000</v>
      </c>
      <c r="P15" s="176"/>
      <c r="Q15" s="173"/>
      <c r="R15" s="96"/>
      <c r="S15" s="119"/>
      <c r="T15" s="119"/>
    </row>
    <row r="16" spans="1:20" s="6" customFormat="1" ht="12.75" customHeight="1">
      <c r="A16" s="406">
        <v>7</v>
      </c>
      <c r="B16" s="133" t="s">
        <v>1470</v>
      </c>
      <c r="C16" s="138" t="s">
        <v>151</v>
      </c>
      <c r="D16" s="139" t="s">
        <v>152</v>
      </c>
      <c r="E16" s="133" t="s">
        <v>210</v>
      </c>
      <c r="F16" s="133" t="s">
        <v>135</v>
      </c>
      <c r="G16" s="133">
        <v>7.02</v>
      </c>
      <c r="H16" s="679">
        <v>3</v>
      </c>
      <c r="I16" s="140">
        <v>100000</v>
      </c>
      <c r="J16" s="141">
        <v>109400</v>
      </c>
      <c r="K16" s="141">
        <f t="shared" si="0"/>
        <v>-9400</v>
      </c>
      <c r="L16" s="418"/>
      <c r="M16" s="418"/>
      <c r="N16" s="186"/>
      <c r="O16" s="187">
        <v>28000</v>
      </c>
      <c r="P16" s="177"/>
      <c r="Q16" s="142"/>
      <c r="R16" s="143"/>
      <c r="S16" s="119"/>
      <c r="T16" s="119"/>
    </row>
    <row r="17" spans="1:20" s="6" customFormat="1" ht="12.75" customHeight="1">
      <c r="A17" s="406">
        <v>8</v>
      </c>
      <c r="B17" s="120" t="s">
        <v>1584</v>
      </c>
      <c r="C17" s="121" t="s">
        <v>151</v>
      </c>
      <c r="D17" s="122" t="s">
        <v>152</v>
      </c>
      <c r="E17" s="120" t="s">
        <v>210</v>
      </c>
      <c r="F17" s="120" t="s">
        <v>135</v>
      </c>
      <c r="G17" s="120">
        <v>7.02</v>
      </c>
      <c r="H17" s="678"/>
      <c r="I17" s="123">
        <v>300000</v>
      </c>
      <c r="J17" s="124">
        <v>0</v>
      </c>
      <c r="K17" s="124">
        <f t="shared" si="0"/>
        <v>300000</v>
      </c>
      <c r="L17" s="418"/>
      <c r="M17" s="418"/>
      <c r="N17" s="174"/>
      <c r="O17" s="180"/>
      <c r="P17" s="175" t="s">
        <v>1582</v>
      </c>
      <c r="Q17" s="125"/>
      <c r="R17" s="144"/>
      <c r="S17" s="119"/>
      <c r="T17" s="119"/>
    </row>
    <row r="18" spans="1:20" s="6" customFormat="1" ht="12.75" customHeight="1">
      <c r="A18" s="406">
        <v>9</v>
      </c>
      <c r="B18" s="120" t="s">
        <v>1342</v>
      </c>
      <c r="C18" s="121" t="s">
        <v>90</v>
      </c>
      <c r="D18" s="122" t="s">
        <v>91</v>
      </c>
      <c r="E18" s="120" t="s">
        <v>205</v>
      </c>
      <c r="F18" s="120" t="s">
        <v>133</v>
      </c>
      <c r="G18" s="120">
        <v>9.9600000000000009</v>
      </c>
      <c r="H18" s="676">
        <v>4</v>
      </c>
      <c r="I18" s="123">
        <v>800000</v>
      </c>
      <c r="J18" s="124">
        <v>592000</v>
      </c>
      <c r="K18" s="124">
        <f t="shared" si="0"/>
        <v>208000</v>
      </c>
      <c r="L18" s="446"/>
      <c r="M18" s="446"/>
      <c r="N18" s="174"/>
      <c r="O18" s="180">
        <v>31000</v>
      </c>
      <c r="P18" s="175"/>
      <c r="Q18" s="125"/>
      <c r="R18" s="144"/>
      <c r="S18" s="119"/>
      <c r="T18" s="119"/>
    </row>
    <row r="19" spans="1:20" s="6" customFormat="1" ht="12.75" customHeight="1">
      <c r="A19" s="406">
        <v>10</v>
      </c>
      <c r="B19" s="133" t="s">
        <v>211</v>
      </c>
      <c r="C19" s="138" t="s">
        <v>154</v>
      </c>
      <c r="D19" s="139" t="s">
        <v>155</v>
      </c>
      <c r="E19" s="133" t="s">
        <v>157</v>
      </c>
      <c r="F19" s="133" t="s">
        <v>156</v>
      </c>
      <c r="G19" s="133">
        <v>9.8000000000000007</v>
      </c>
      <c r="H19" s="674"/>
      <c r="I19" s="140">
        <v>30000</v>
      </c>
      <c r="J19" s="141">
        <v>15000</v>
      </c>
      <c r="K19" s="141">
        <f t="shared" si="0"/>
        <v>15000</v>
      </c>
      <c r="L19" s="418"/>
      <c r="M19" s="418"/>
      <c r="N19" s="186"/>
      <c r="O19" s="187"/>
      <c r="P19" s="177"/>
      <c r="Q19" s="142"/>
      <c r="R19" s="143"/>
      <c r="S19" s="119"/>
      <c r="T19" s="119"/>
    </row>
    <row r="20" spans="1:20" s="8" customFormat="1" ht="12.75" customHeight="1">
      <c r="A20" s="406">
        <v>11</v>
      </c>
      <c r="B20" s="67" t="s">
        <v>1435</v>
      </c>
      <c r="C20" s="457" t="s">
        <v>143</v>
      </c>
      <c r="D20" s="458" t="s">
        <v>38</v>
      </c>
      <c r="E20" s="67" t="s">
        <v>50</v>
      </c>
      <c r="F20" s="67" t="s">
        <v>133</v>
      </c>
      <c r="G20" s="135">
        <v>7.05</v>
      </c>
      <c r="H20" s="675"/>
      <c r="I20" s="158">
        <v>600000</v>
      </c>
      <c r="J20" s="67">
        <v>573000</v>
      </c>
      <c r="K20" s="46">
        <f t="shared" si="0"/>
        <v>27000</v>
      </c>
      <c r="L20" s="417"/>
      <c r="M20" s="417"/>
      <c r="N20" s="186"/>
      <c r="O20" s="187"/>
      <c r="P20" s="159"/>
      <c r="Q20" s="159"/>
      <c r="R20" s="411"/>
      <c r="S20" s="119"/>
      <c r="T20" s="119"/>
    </row>
    <row r="21" spans="1:20" s="8" customFormat="1" ht="12.75" customHeight="1">
      <c r="A21" s="406">
        <v>12</v>
      </c>
      <c r="B21" s="67" t="s">
        <v>1288</v>
      </c>
      <c r="C21" s="69" t="s">
        <v>159</v>
      </c>
      <c r="D21" s="130" t="s">
        <v>160</v>
      </c>
      <c r="E21" s="67" t="s">
        <v>1290</v>
      </c>
      <c r="F21" s="67" t="s">
        <v>1289</v>
      </c>
      <c r="G21" s="135">
        <v>3.93</v>
      </c>
      <c r="H21" s="676" t="s">
        <v>65</v>
      </c>
      <c r="I21" s="158">
        <v>100000</v>
      </c>
      <c r="J21" s="67">
        <v>82000</v>
      </c>
      <c r="K21" s="46">
        <f t="shared" si="0"/>
        <v>18000</v>
      </c>
      <c r="L21" s="417"/>
      <c r="M21" s="417"/>
      <c r="N21" s="186"/>
      <c r="O21" s="187"/>
      <c r="P21" s="159"/>
      <c r="Q21" s="159"/>
      <c r="R21" s="160"/>
      <c r="S21" s="119"/>
      <c r="T21" s="119"/>
    </row>
    <row r="22" spans="1:20" s="8" customFormat="1" ht="12.75" customHeight="1">
      <c r="A22" s="406">
        <v>13</v>
      </c>
      <c r="B22" s="484" t="s">
        <v>1458</v>
      </c>
      <c r="C22" s="170" t="s">
        <v>173</v>
      </c>
      <c r="D22" s="485" t="s">
        <v>174</v>
      </c>
      <c r="E22" s="484" t="s">
        <v>175</v>
      </c>
      <c r="F22" s="484" t="s">
        <v>134</v>
      </c>
      <c r="G22" s="486">
        <v>7.05</v>
      </c>
      <c r="H22" s="674"/>
      <c r="I22" s="487">
        <v>200000</v>
      </c>
      <c r="J22" s="484">
        <v>162000</v>
      </c>
      <c r="K22" s="484">
        <f t="shared" ref="K22:K30" si="1">I22-J22</f>
        <v>38000</v>
      </c>
      <c r="L22" s="420"/>
      <c r="M22" s="420"/>
      <c r="N22" s="186"/>
      <c r="O22" s="187"/>
      <c r="P22" s="489"/>
      <c r="Q22" s="488"/>
      <c r="R22" s="160"/>
      <c r="S22" s="119"/>
      <c r="T22" s="119"/>
    </row>
    <row r="23" spans="1:20" s="8" customFormat="1" ht="12.75" customHeight="1">
      <c r="A23" s="406">
        <v>14</v>
      </c>
      <c r="B23" s="466" t="s">
        <v>1455</v>
      </c>
      <c r="C23" s="467" t="s">
        <v>206</v>
      </c>
      <c r="D23" s="468" t="s">
        <v>36</v>
      </c>
      <c r="E23" s="466" t="s">
        <v>1459</v>
      </c>
      <c r="F23" s="466" t="s">
        <v>134</v>
      </c>
      <c r="G23" s="469">
        <v>5.45</v>
      </c>
      <c r="H23" s="675"/>
      <c r="I23" s="470">
        <v>200000</v>
      </c>
      <c r="J23" s="466">
        <v>70000</v>
      </c>
      <c r="K23" s="466">
        <f t="shared" si="1"/>
        <v>130000</v>
      </c>
      <c r="L23" s="471"/>
      <c r="M23" s="471"/>
      <c r="N23" s="472"/>
      <c r="O23" s="473"/>
      <c r="P23" s="490" t="s">
        <v>1542</v>
      </c>
      <c r="Q23" s="474"/>
      <c r="R23" s="475"/>
      <c r="S23" s="119"/>
      <c r="T23" s="119"/>
    </row>
    <row r="24" spans="1:20" s="8" customFormat="1" ht="12.75" customHeight="1">
      <c r="A24" s="406">
        <v>15</v>
      </c>
      <c r="B24" s="434" t="s">
        <v>1548</v>
      </c>
      <c r="C24" s="165" t="s">
        <v>139</v>
      </c>
      <c r="D24" s="435" t="s">
        <v>140</v>
      </c>
      <c r="E24" s="434" t="s">
        <v>1583</v>
      </c>
      <c r="F24" s="434" t="s">
        <v>141</v>
      </c>
      <c r="G24" s="436">
        <v>8.7799999999999994</v>
      </c>
      <c r="H24" s="476">
        <v>6</v>
      </c>
      <c r="I24" s="437">
        <v>200000</v>
      </c>
      <c r="J24" s="434">
        <v>6000</v>
      </c>
      <c r="K24" s="90">
        <f t="shared" si="1"/>
        <v>194000</v>
      </c>
      <c r="L24" s="438"/>
      <c r="M24" s="438"/>
      <c r="N24" s="174"/>
      <c r="O24" s="180">
        <v>6000</v>
      </c>
      <c r="P24" s="439" t="s">
        <v>1542</v>
      </c>
      <c r="Q24" s="440"/>
      <c r="R24" s="441"/>
      <c r="S24" s="119"/>
      <c r="T24" s="119"/>
    </row>
    <row r="25" spans="1:20" s="8" customFormat="1" ht="12.75" customHeight="1">
      <c r="A25" s="406">
        <v>16</v>
      </c>
      <c r="B25" s="90" t="s">
        <v>1477</v>
      </c>
      <c r="C25" s="149" t="s">
        <v>171</v>
      </c>
      <c r="D25" s="150" t="s">
        <v>172</v>
      </c>
      <c r="E25" s="90" t="s">
        <v>177</v>
      </c>
      <c r="F25" s="90" t="s">
        <v>134</v>
      </c>
      <c r="G25" s="134">
        <v>5.65</v>
      </c>
      <c r="H25" s="674" t="s">
        <v>66</v>
      </c>
      <c r="I25" s="93">
        <v>300000</v>
      </c>
      <c r="J25" s="90">
        <v>270000</v>
      </c>
      <c r="K25" s="90">
        <f t="shared" si="1"/>
        <v>30000</v>
      </c>
      <c r="L25" s="422"/>
      <c r="M25" s="422"/>
      <c r="N25" s="174"/>
      <c r="O25" s="180">
        <v>45000</v>
      </c>
      <c r="P25" s="178"/>
      <c r="Q25" s="95"/>
      <c r="R25" s="96"/>
      <c r="S25" s="119"/>
      <c r="T25" s="119"/>
    </row>
    <row r="26" spans="1:20" s="8" customFormat="1" ht="12.75" customHeight="1">
      <c r="A26" s="406">
        <v>17</v>
      </c>
      <c r="B26" s="90" t="s">
        <v>1585</v>
      </c>
      <c r="C26" s="149" t="s">
        <v>171</v>
      </c>
      <c r="D26" s="150" t="s">
        <v>172</v>
      </c>
      <c r="E26" s="90" t="s">
        <v>177</v>
      </c>
      <c r="F26" s="90" t="s">
        <v>134</v>
      </c>
      <c r="G26" s="134">
        <v>5.65</v>
      </c>
      <c r="H26" s="674"/>
      <c r="I26" s="93">
        <v>400000</v>
      </c>
      <c r="J26" s="90">
        <v>0</v>
      </c>
      <c r="K26" s="90">
        <f t="shared" si="1"/>
        <v>400000</v>
      </c>
      <c r="L26" s="422"/>
      <c r="M26" s="422"/>
      <c r="N26" s="174"/>
      <c r="O26" s="180"/>
      <c r="P26" s="178" t="s">
        <v>1582</v>
      </c>
      <c r="Q26" s="95"/>
      <c r="R26" s="96"/>
      <c r="S26" s="119"/>
      <c r="T26" s="119"/>
    </row>
    <row r="27" spans="1:20" s="8" customFormat="1" ht="12.75" customHeight="1">
      <c r="A27" s="406">
        <v>18</v>
      </c>
      <c r="B27" s="67" t="s">
        <v>1436</v>
      </c>
      <c r="C27" s="69" t="s">
        <v>74</v>
      </c>
      <c r="D27" s="130" t="s">
        <v>75</v>
      </c>
      <c r="E27" s="67" t="s">
        <v>177</v>
      </c>
      <c r="F27" s="67" t="s">
        <v>1437</v>
      </c>
      <c r="G27" s="135">
        <v>6.25</v>
      </c>
      <c r="H27" s="675"/>
      <c r="I27" s="158">
        <v>30000</v>
      </c>
      <c r="J27" s="67">
        <v>21000</v>
      </c>
      <c r="K27" s="67">
        <f t="shared" si="1"/>
        <v>9000</v>
      </c>
      <c r="L27" s="417"/>
      <c r="M27" s="417"/>
      <c r="N27" s="186"/>
      <c r="O27" s="187"/>
      <c r="P27" s="412"/>
      <c r="Q27" s="159"/>
      <c r="R27" s="411"/>
      <c r="S27" s="119"/>
      <c r="T27" s="119"/>
    </row>
    <row r="28" spans="1:20" s="8" customFormat="1" ht="12.75" customHeight="1">
      <c r="A28" s="406">
        <v>19</v>
      </c>
      <c r="B28" s="90" t="s">
        <v>1410</v>
      </c>
      <c r="C28" s="149" t="s">
        <v>27</v>
      </c>
      <c r="D28" s="150" t="s">
        <v>40</v>
      </c>
      <c r="E28" s="90" t="s">
        <v>52</v>
      </c>
      <c r="F28" s="90" t="s">
        <v>158</v>
      </c>
      <c r="G28" s="134">
        <v>5.45</v>
      </c>
      <c r="H28" s="62" t="s">
        <v>1589</v>
      </c>
      <c r="I28" s="93">
        <v>3000000</v>
      </c>
      <c r="J28" s="90">
        <v>1720200</v>
      </c>
      <c r="K28" s="90">
        <f t="shared" si="1"/>
        <v>1279800</v>
      </c>
      <c r="L28" s="417"/>
      <c r="M28" s="417"/>
      <c r="N28" s="174"/>
      <c r="O28" s="180">
        <f>78000+45000</f>
        <v>123000</v>
      </c>
      <c r="P28" s="178"/>
      <c r="Q28" s="95"/>
      <c r="R28" s="96"/>
      <c r="S28" s="119"/>
      <c r="T28" s="119"/>
    </row>
    <row r="29" spans="1:20" s="6" customFormat="1" ht="12.75" customHeight="1">
      <c r="A29" s="406">
        <v>20</v>
      </c>
      <c r="B29" s="90" t="s">
        <v>1453</v>
      </c>
      <c r="C29" s="18" t="s">
        <v>26</v>
      </c>
      <c r="D29" s="150" t="s">
        <v>39</v>
      </c>
      <c r="E29" s="90" t="s">
        <v>51</v>
      </c>
      <c r="F29" s="90" t="s">
        <v>137</v>
      </c>
      <c r="G29" s="134">
        <v>7.02</v>
      </c>
      <c r="H29" s="62" t="s">
        <v>218</v>
      </c>
      <c r="I29" s="93">
        <v>600000</v>
      </c>
      <c r="J29" s="90">
        <v>474500</v>
      </c>
      <c r="K29" s="90">
        <f t="shared" si="1"/>
        <v>125500</v>
      </c>
      <c r="L29" s="417"/>
      <c r="M29" s="417"/>
      <c r="N29" s="174"/>
      <c r="O29" s="180">
        <f>6000+15000</f>
        <v>21000</v>
      </c>
      <c r="P29" s="178"/>
      <c r="Q29" s="95"/>
      <c r="R29" s="162"/>
      <c r="S29" s="119"/>
      <c r="T29" s="119"/>
    </row>
    <row r="30" spans="1:20" s="6" customFormat="1" ht="12.75" customHeight="1">
      <c r="A30" s="406">
        <v>21</v>
      </c>
      <c r="B30" s="67" t="s">
        <v>1447</v>
      </c>
      <c r="C30" s="50" t="s">
        <v>1401</v>
      </c>
      <c r="D30" s="130" t="s">
        <v>828</v>
      </c>
      <c r="E30" s="67" t="s">
        <v>1402</v>
      </c>
      <c r="F30" s="67" t="s">
        <v>1391</v>
      </c>
      <c r="G30" s="135">
        <v>2.95</v>
      </c>
      <c r="H30" s="656">
        <v>8</v>
      </c>
      <c r="I30" s="158">
        <v>20000</v>
      </c>
      <c r="J30" s="67">
        <v>0</v>
      </c>
      <c r="K30" s="67">
        <f t="shared" si="1"/>
        <v>20000</v>
      </c>
      <c r="L30" s="417"/>
      <c r="M30" s="417"/>
      <c r="N30" s="186"/>
      <c r="O30" s="187"/>
      <c r="P30" s="412"/>
      <c r="Q30" s="159"/>
      <c r="R30" s="164"/>
      <c r="S30" s="119"/>
      <c r="T30" s="119"/>
    </row>
    <row r="31" spans="1:20" s="6" customFormat="1" ht="12.75" customHeight="1">
      <c r="A31" s="406">
        <v>22</v>
      </c>
      <c r="B31" s="20" t="s">
        <v>1298</v>
      </c>
      <c r="C31" s="19" t="s">
        <v>968</v>
      </c>
      <c r="D31" s="20" t="s">
        <v>152</v>
      </c>
      <c r="E31" s="20" t="s">
        <v>1299</v>
      </c>
      <c r="F31" s="136" t="s">
        <v>135</v>
      </c>
      <c r="G31" s="134">
        <v>7.02</v>
      </c>
      <c r="H31" s="656"/>
      <c r="I31" s="18">
        <v>300000</v>
      </c>
      <c r="J31" s="17">
        <v>261500</v>
      </c>
      <c r="K31" s="17">
        <f t="shared" ref="K31:K72" si="2">I31-J31</f>
        <v>38500</v>
      </c>
      <c r="L31" s="422"/>
      <c r="M31" s="422"/>
      <c r="N31" s="174"/>
      <c r="O31" s="180">
        <v>25000</v>
      </c>
      <c r="P31" s="18"/>
      <c r="Q31" s="20"/>
      <c r="R31" s="162"/>
      <c r="S31" s="119"/>
      <c r="T31" s="119"/>
    </row>
    <row r="32" spans="1:20" s="6" customFormat="1" ht="12.75" customHeight="1">
      <c r="A32" s="406">
        <v>23</v>
      </c>
      <c r="B32" s="44" t="s">
        <v>186</v>
      </c>
      <c r="C32" s="45" t="s">
        <v>187</v>
      </c>
      <c r="D32" s="44" t="s">
        <v>188</v>
      </c>
      <c r="E32" s="44" t="s">
        <v>189</v>
      </c>
      <c r="F32" s="68" t="s">
        <v>133</v>
      </c>
      <c r="G32" s="135">
        <v>6.05</v>
      </c>
      <c r="H32" s="655"/>
      <c r="I32" s="50">
        <v>200000</v>
      </c>
      <c r="J32" s="46">
        <v>181000</v>
      </c>
      <c r="K32" s="46">
        <f t="shared" si="2"/>
        <v>19000</v>
      </c>
      <c r="L32" s="417"/>
      <c r="M32" s="417"/>
      <c r="N32" s="186"/>
      <c r="O32" s="187"/>
      <c r="P32" s="50"/>
      <c r="Q32" s="44"/>
      <c r="R32" s="164"/>
      <c r="S32" s="119"/>
      <c r="T32" s="119"/>
    </row>
    <row r="33" spans="1:20" s="6" customFormat="1" ht="12.75" customHeight="1">
      <c r="A33" s="406">
        <v>24</v>
      </c>
      <c r="B33" s="136" t="s">
        <v>1465</v>
      </c>
      <c r="C33" s="148" t="s">
        <v>780</v>
      </c>
      <c r="D33" s="136" t="s">
        <v>783</v>
      </c>
      <c r="E33" s="136" t="s">
        <v>56</v>
      </c>
      <c r="F33" s="136" t="s">
        <v>136</v>
      </c>
      <c r="G33" s="134">
        <v>4.67</v>
      </c>
      <c r="H33" s="447">
        <v>9</v>
      </c>
      <c r="I33" s="149">
        <v>200000</v>
      </c>
      <c r="J33" s="90">
        <v>177000</v>
      </c>
      <c r="K33" s="17">
        <f t="shared" si="2"/>
        <v>23000</v>
      </c>
      <c r="L33" s="422"/>
      <c r="M33" s="422"/>
      <c r="N33" s="174"/>
      <c r="O33" s="180">
        <v>26000</v>
      </c>
      <c r="P33" s="149"/>
      <c r="Q33" s="136"/>
      <c r="R33" s="162"/>
      <c r="S33" s="119"/>
      <c r="T33" s="119"/>
    </row>
    <row r="34" spans="1:20" s="6" customFormat="1" ht="12.75" customHeight="1">
      <c r="A34" s="406">
        <v>25</v>
      </c>
      <c r="B34" s="68" t="s">
        <v>1456</v>
      </c>
      <c r="C34" s="161" t="s">
        <v>28</v>
      </c>
      <c r="D34" s="68" t="s">
        <v>41</v>
      </c>
      <c r="E34" s="68" t="s">
        <v>53</v>
      </c>
      <c r="F34" s="68" t="s">
        <v>137</v>
      </c>
      <c r="G34" s="135">
        <v>4.3</v>
      </c>
      <c r="H34" s="654">
        <v>10</v>
      </c>
      <c r="I34" s="69">
        <v>500000</v>
      </c>
      <c r="J34" s="67">
        <v>488000</v>
      </c>
      <c r="K34" s="46">
        <f t="shared" si="2"/>
        <v>12000</v>
      </c>
      <c r="L34" s="417"/>
      <c r="M34" s="417"/>
      <c r="N34" s="186"/>
      <c r="O34" s="187"/>
      <c r="P34" s="69"/>
      <c r="Q34" s="68"/>
      <c r="R34" s="164"/>
      <c r="S34" s="119"/>
      <c r="T34" s="119"/>
    </row>
    <row r="35" spans="1:20" s="6" customFormat="1" ht="12.75" customHeight="1">
      <c r="A35" s="406">
        <v>26</v>
      </c>
      <c r="B35" s="136" t="s">
        <v>1471</v>
      </c>
      <c r="C35" s="148" t="s">
        <v>198</v>
      </c>
      <c r="D35" s="136" t="s">
        <v>199</v>
      </c>
      <c r="E35" s="136" t="s">
        <v>54</v>
      </c>
      <c r="F35" s="136" t="s">
        <v>136</v>
      </c>
      <c r="G35" s="134">
        <v>4.0599999999999996</v>
      </c>
      <c r="H35" s="655"/>
      <c r="I35" s="149">
        <v>200000</v>
      </c>
      <c r="J35" s="90">
        <v>89100</v>
      </c>
      <c r="K35" s="17">
        <f t="shared" si="2"/>
        <v>110900</v>
      </c>
      <c r="L35" s="422"/>
      <c r="M35" s="422"/>
      <c r="N35" s="174"/>
      <c r="O35" s="180">
        <v>23000</v>
      </c>
      <c r="P35" s="149"/>
      <c r="Q35" s="136"/>
      <c r="R35" s="162"/>
      <c r="S35" s="119"/>
      <c r="T35" s="119"/>
    </row>
    <row r="36" spans="1:20" s="6" customFormat="1" ht="12.75" customHeight="1">
      <c r="A36" s="406">
        <v>27</v>
      </c>
      <c r="B36" s="136" t="s">
        <v>1466</v>
      </c>
      <c r="C36" s="148" t="s">
        <v>30</v>
      </c>
      <c r="D36" s="136" t="s">
        <v>43</v>
      </c>
      <c r="E36" s="136" t="s">
        <v>55</v>
      </c>
      <c r="F36" s="136" t="s">
        <v>134</v>
      </c>
      <c r="G36" s="134">
        <v>5.25</v>
      </c>
      <c r="H36" s="448">
        <v>11</v>
      </c>
      <c r="I36" s="149">
        <v>500000</v>
      </c>
      <c r="J36" s="90">
        <v>243400</v>
      </c>
      <c r="K36" s="17">
        <f t="shared" si="2"/>
        <v>256600</v>
      </c>
      <c r="L36" s="417"/>
      <c r="M36" s="417"/>
      <c r="N36" s="174"/>
      <c r="O36" s="180">
        <v>40000</v>
      </c>
      <c r="P36" s="149"/>
      <c r="Q36" s="136"/>
      <c r="R36" s="162"/>
      <c r="S36" s="119"/>
      <c r="T36" s="119"/>
    </row>
    <row r="37" spans="1:20" s="6" customFormat="1" ht="12.75" customHeight="1">
      <c r="A37" s="406">
        <v>28</v>
      </c>
      <c r="B37" s="68" t="s">
        <v>1448</v>
      </c>
      <c r="C37" s="161" t="s">
        <v>759</v>
      </c>
      <c r="D37" s="68" t="s">
        <v>45</v>
      </c>
      <c r="E37" s="68" t="s">
        <v>54</v>
      </c>
      <c r="F37" s="68" t="s">
        <v>136</v>
      </c>
      <c r="G37" s="135">
        <v>3.95</v>
      </c>
      <c r="H37" s="651">
        <v>12</v>
      </c>
      <c r="I37" s="69">
        <v>400000</v>
      </c>
      <c r="J37" s="67">
        <v>0</v>
      </c>
      <c r="K37" s="46">
        <f t="shared" si="2"/>
        <v>400000</v>
      </c>
      <c r="L37" s="417"/>
      <c r="M37" s="417"/>
      <c r="N37" s="186"/>
      <c r="O37" s="187"/>
      <c r="P37" s="69"/>
      <c r="Q37" s="68"/>
      <c r="R37" s="443"/>
      <c r="S37" s="119"/>
      <c r="T37" s="119"/>
    </row>
    <row r="38" spans="1:20" s="6" customFormat="1" ht="12.75" customHeight="1">
      <c r="A38" s="406">
        <v>29</v>
      </c>
      <c r="B38" s="68" t="s">
        <v>1449</v>
      </c>
      <c r="C38" s="161" t="s">
        <v>1450</v>
      </c>
      <c r="D38" s="68" t="s">
        <v>732</v>
      </c>
      <c r="E38" s="68" t="s">
        <v>1451</v>
      </c>
      <c r="F38" s="68" t="s">
        <v>133</v>
      </c>
      <c r="G38" s="135">
        <v>4.0599999999999996</v>
      </c>
      <c r="H38" s="652"/>
      <c r="I38" s="69">
        <v>300000</v>
      </c>
      <c r="J38" s="67">
        <v>45300</v>
      </c>
      <c r="K38" s="46">
        <f t="shared" si="2"/>
        <v>254700</v>
      </c>
      <c r="L38" s="417"/>
      <c r="M38" s="417"/>
      <c r="N38" s="186"/>
      <c r="O38" s="187"/>
      <c r="P38" s="69"/>
      <c r="Q38" s="68"/>
      <c r="R38" s="443"/>
      <c r="S38" s="119"/>
      <c r="T38" s="119"/>
    </row>
    <row r="39" spans="1:20" s="6" customFormat="1" ht="12.75" customHeight="1">
      <c r="A39" s="406">
        <v>30</v>
      </c>
      <c r="B39" s="136" t="s">
        <v>1552</v>
      </c>
      <c r="C39" s="148" t="s">
        <v>926</v>
      </c>
      <c r="D39" s="136" t="s">
        <v>927</v>
      </c>
      <c r="E39" s="136" t="s">
        <v>928</v>
      </c>
      <c r="F39" s="136" t="s">
        <v>1391</v>
      </c>
      <c r="G39" s="134">
        <v>3.95</v>
      </c>
      <c r="H39" s="653"/>
      <c r="I39" s="149">
        <v>200000</v>
      </c>
      <c r="J39" s="90">
        <v>57600</v>
      </c>
      <c r="K39" s="17">
        <f t="shared" si="2"/>
        <v>142400</v>
      </c>
      <c r="L39" s="417"/>
      <c r="M39" s="417"/>
      <c r="N39" s="174"/>
      <c r="O39" s="180">
        <v>43100</v>
      </c>
      <c r="P39" s="149"/>
      <c r="Q39" s="136"/>
      <c r="R39" s="169"/>
      <c r="S39" s="119"/>
      <c r="T39" s="119"/>
    </row>
    <row r="40" spans="1:20" s="6" customFormat="1" ht="12.75" customHeight="1">
      <c r="A40" s="406">
        <v>31</v>
      </c>
      <c r="B40" s="136" t="s">
        <v>1446</v>
      </c>
      <c r="C40" s="148" t="s">
        <v>29</v>
      </c>
      <c r="D40" s="136" t="s">
        <v>42</v>
      </c>
      <c r="E40" s="405" t="s">
        <v>54</v>
      </c>
      <c r="F40" s="136" t="s">
        <v>136</v>
      </c>
      <c r="G40" s="134">
        <v>4.3600000000000003</v>
      </c>
      <c r="H40" s="660">
        <v>13</v>
      </c>
      <c r="I40" s="149">
        <v>800000</v>
      </c>
      <c r="J40" s="90">
        <v>492600</v>
      </c>
      <c r="K40" s="17">
        <f t="shared" si="2"/>
        <v>307400</v>
      </c>
      <c r="L40" s="417"/>
      <c r="M40" s="417"/>
      <c r="N40" s="174"/>
      <c r="O40" s="180">
        <v>57800</v>
      </c>
      <c r="P40" s="149"/>
      <c r="Q40" s="136"/>
      <c r="R40" s="169"/>
      <c r="S40" s="119"/>
      <c r="T40" s="119"/>
    </row>
    <row r="41" spans="1:20" s="6" customFormat="1" ht="12.75" customHeight="1">
      <c r="A41" s="406">
        <v>32</v>
      </c>
      <c r="B41" s="68" t="s">
        <v>1397</v>
      </c>
      <c r="C41" s="161" t="s">
        <v>1001</v>
      </c>
      <c r="D41" s="68" t="s">
        <v>1002</v>
      </c>
      <c r="E41" s="413" t="s">
        <v>1398</v>
      </c>
      <c r="F41" s="68" t="s">
        <v>136</v>
      </c>
      <c r="G41" s="135">
        <v>5.25</v>
      </c>
      <c r="H41" s="661"/>
      <c r="I41" s="69">
        <v>100000</v>
      </c>
      <c r="J41" s="67">
        <v>42000</v>
      </c>
      <c r="K41" s="46">
        <f t="shared" si="2"/>
        <v>58000</v>
      </c>
      <c r="L41" s="417"/>
      <c r="M41" s="417"/>
      <c r="N41" s="186"/>
      <c r="O41" s="187"/>
      <c r="P41" s="69"/>
      <c r="Q41" s="68"/>
      <c r="R41" s="414"/>
      <c r="S41" s="119"/>
      <c r="T41" s="119"/>
    </row>
    <row r="42" spans="1:20" s="6" customFormat="1" ht="12.75" customHeight="1">
      <c r="A42" s="406">
        <v>33</v>
      </c>
      <c r="B42" s="136" t="s">
        <v>1443</v>
      </c>
      <c r="C42" s="148" t="s">
        <v>226</v>
      </c>
      <c r="D42" s="136" t="s">
        <v>227</v>
      </c>
      <c r="E42" s="136" t="s">
        <v>54</v>
      </c>
      <c r="F42" s="136" t="s">
        <v>137</v>
      </c>
      <c r="G42" s="134">
        <v>4.38</v>
      </c>
      <c r="H42" s="52">
        <v>14</v>
      </c>
      <c r="I42" s="149">
        <v>300000</v>
      </c>
      <c r="J42" s="90">
        <v>248000</v>
      </c>
      <c r="K42" s="17">
        <f t="shared" si="2"/>
        <v>52000</v>
      </c>
      <c r="L42" s="417"/>
      <c r="M42" s="417"/>
      <c r="N42" s="174"/>
      <c r="O42" s="180">
        <v>46900</v>
      </c>
      <c r="P42" s="149"/>
      <c r="Q42" s="136"/>
      <c r="R42" s="146"/>
      <c r="S42" s="119"/>
      <c r="T42" s="119"/>
    </row>
    <row r="43" spans="1:20" s="6" customFormat="1" ht="12.75" customHeight="1">
      <c r="A43" s="406">
        <v>34</v>
      </c>
      <c r="B43" s="136" t="s">
        <v>1467</v>
      </c>
      <c r="C43" s="148" t="s">
        <v>149</v>
      </c>
      <c r="D43" s="136" t="s">
        <v>150</v>
      </c>
      <c r="E43" s="136" t="s">
        <v>56</v>
      </c>
      <c r="F43" s="136" t="s">
        <v>136</v>
      </c>
      <c r="G43" s="134">
        <v>3.2</v>
      </c>
      <c r="H43" s="654" t="s">
        <v>1588</v>
      </c>
      <c r="I43" s="149">
        <v>2400000</v>
      </c>
      <c r="J43" s="90">
        <v>2237000</v>
      </c>
      <c r="K43" s="17">
        <f t="shared" si="2"/>
        <v>163000</v>
      </c>
      <c r="L43" s="422"/>
      <c r="M43" s="422"/>
      <c r="N43" s="174"/>
      <c r="O43" s="180">
        <f>124000+51000</f>
        <v>175000</v>
      </c>
      <c r="P43" s="149"/>
      <c r="Q43" s="136"/>
      <c r="R43" s="146"/>
      <c r="S43" s="119"/>
      <c r="T43" s="119"/>
    </row>
    <row r="44" spans="1:20" s="6" customFormat="1" ht="12.75" customHeight="1">
      <c r="A44" s="406">
        <v>35</v>
      </c>
      <c r="B44" s="136" t="s">
        <v>1592</v>
      </c>
      <c r="C44" s="148" t="s">
        <v>149</v>
      </c>
      <c r="D44" s="136" t="s">
        <v>150</v>
      </c>
      <c r="E44" s="136" t="s">
        <v>56</v>
      </c>
      <c r="F44" s="136" t="s">
        <v>136</v>
      </c>
      <c r="G44" s="134">
        <v>3.2</v>
      </c>
      <c r="H44" s="655"/>
      <c r="I44" s="149">
        <v>1000000</v>
      </c>
      <c r="J44" s="90"/>
      <c r="K44" s="17">
        <f t="shared" si="2"/>
        <v>1000000</v>
      </c>
      <c r="L44" s="422"/>
      <c r="M44" s="422"/>
      <c r="N44" s="174"/>
      <c r="O44" s="180"/>
      <c r="P44" s="149" t="s">
        <v>1591</v>
      </c>
      <c r="Q44" s="136"/>
      <c r="R44" s="146"/>
      <c r="S44" s="119"/>
      <c r="T44" s="119"/>
    </row>
    <row r="45" spans="1:20" s="6" customFormat="1" ht="12.75" customHeight="1">
      <c r="A45" s="406">
        <v>36</v>
      </c>
      <c r="B45" s="136" t="s">
        <v>1469</v>
      </c>
      <c r="C45" s="148" t="s">
        <v>125</v>
      </c>
      <c r="D45" s="136" t="s">
        <v>980</v>
      </c>
      <c r="E45" s="136" t="s">
        <v>57</v>
      </c>
      <c r="F45" s="136" t="s">
        <v>185</v>
      </c>
      <c r="G45" s="134">
        <v>3.2</v>
      </c>
      <c r="H45" s="654">
        <v>21</v>
      </c>
      <c r="I45" s="149">
        <v>400000</v>
      </c>
      <c r="J45" s="90">
        <v>336900</v>
      </c>
      <c r="K45" s="17">
        <f t="shared" si="2"/>
        <v>63100</v>
      </c>
      <c r="L45" s="417"/>
      <c r="M45" s="417"/>
      <c r="N45" s="174"/>
      <c r="O45" s="180">
        <v>93400</v>
      </c>
      <c r="P45" s="149"/>
      <c r="Q45" s="136"/>
      <c r="R45" s="146"/>
      <c r="S45" s="119"/>
      <c r="T45" s="119"/>
    </row>
    <row r="46" spans="1:20" s="6" customFormat="1" ht="12.75" customHeight="1">
      <c r="A46" s="406">
        <v>37</v>
      </c>
      <c r="B46" s="136" t="s">
        <v>1590</v>
      </c>
      <c r="C46" s="148" t="s">
        <v>76</v>
      </c>
      <c r="D46" s="136" t="s">
        <v>692</v>
      </c>
      <c r="E46" s="136" t="s">
        <v>56</v>
      </c>
      <c r="F46" s="136" t="s">
        <v>136</v>
      </c>
      <c r="G46" s="134">
        <v>3.25</v>
      </c>
      <c r="H46" s="655"/>
      <c r="I46" s="149">
        <v>100000</v>
      </c>
      <c r="J46" s="90"/>
      <c r="K46" s="17">
        <f t="shared" si="2"/>
        <v>100000</v>
      </c>
      <c r="L46" s="417"/>
      <c r="M46" s="417"/>
      <c r="N46" s="174"/>
      <c r="O46" s="180"/>
      <c r="P46" s="149" t="s">
        <v>1591</v>
      </c>
      <c r="Q46" s="136"/>
      <c r="R46" s="146"/>
      <c r="S46" s="119"/>
      <c r="T46" s="119"/>
    </row>
    <row r="47" spans="1:20" s="6" customFormat="1" ht="12.75" customHeight="1">
      <c r="A47" s="406">
        <v>38</v>
      </c>
      <c r="B47" s="68" t="s">
        <v>1431</v>
      </c>
      <c r="C47" s="161" t="s">
        <v>237</v>
      </c>
      <c r="D47" s="68" t="s">
        <v>238</v>
      </c>
      <c r="E47" s="68" t="s">
        <v>1432</v>
      </c>
      <c r="F47" s="68" t="s">
        <v>133</v>
      </c>
      <c r="G47" s="135">
        <v>2.46</v>
      </c>
      <c r="H47" s="654">
        <v>22</v>
      </c>
      <c r="I47" s="69">
        <v>200000</v>
      </c>
      <c r="J47" s="67">
        <v>203800</v>
      </c>
      <c r="K47" s="46">
        <f t="shared" si="2"/>
        <v>-3800</v>
      </c>
      <c r="L47" s="417"/>
      <c r="M47" s="417"/>
      <c r="N47" s="186"/>
      <c r="O47" s="187">
        <v>15000</v>
      </c>
      <c r="P47" s="69"/>
      <c r="Q47" s="68"/>
      <c r="R47" s="145"/>
      <c r="S47" s="119"/>
      <c r="T47" s="119"/>
    </row>
    <row r="48" spans="1:20" s="6" customFormat="1" ht="12.75" customHeight="1">
      <c r="A48" s="406">
        <v>39</v>
      </c>
      <c r="B48" s="136" t="s">
        <v>1543</v>
      </c>
      <c r="C48" s="148" t="s">
        <v>80</v>
      </c>
      <c r="D48" s="136" t="s">
        <v>81</v>
      </c>
      <c r="E48" s="136" t="s">
        <v>60</v>
      </c>
      <c r="F48" s="136" t="s">
        <v>136</v>
      </c>
      <c r="G48" s="134">
        <v>3.2</v>
      </c>
      <c r="H48" s="655"/>
      <c r="I48" s="149">
        <v>2800000</v>
      </c>
      <c r="J48" s="90">
        <v>47500</v>
      </c>
      <c r="K48" s="17">
        <f t="shared" si="2"/>
        <v>2752500</v>
      </c>
      <c r="L48" s="422"/>
      <c r="M48" s="422"/>
      <c r="N48" s="174"/>
      <c r="O48" s="180">
        <v>47500</v>
      </c>
      <c r="P48" s="165"/>
      <c r="Q48" s="136"/>
      <c r="R48" s="146"/>
      <c r="S48" s="119"/>
      <c r="T48" s="119"/>
    </row>
    <row r="49" spans="1:20" s="6" customFormat="1" ht="12.75" customHeight="1">
      <c r="A49" s="406">
        <v>40</v>
      </c>
      <c r="B49" s="68" t="s">
        <v>1440</v>
      </c>
      <c r="C49" s="161" t="s">
        <v>1441</v>
      </c>
      <c r="D49" s="68" t="s">
        <v>1442</v>
      </c>
      <c r="E49" s="68" t="s">
        <v>653</v>
      </c>
      <c r="F49" s="68" t="s">
        <v>133</v>
      </c>
      <c r="G49" s="135">
        <v>3.25</v>
      </c>
      <c r="H49" s="654">
        <v>30</v>
      </c>
      <c r="I49" s="69">
        <v>200000</v>
      </c>
      <c r="J49" s="67">
        <v>52000</v>
      </c>
      <c r="K49" s="46">
        <f t="shared" si="2"/>
        <v>148000</v>
      </c>
      <c r="L49" s="417"/>
      <c r="M49" s="417"/>
      <c r="N49" s="186"/>
      <c r="O49" s="187"/>
      <c r="P49" s="170"/>
      <c r="Q49" s="68"/>
      <c r="R49" s="145"/>
      <c r="S49" s="119"/>
      <c r="T49" s="119"/>
    </row>
    <row r="50" spans="1:20" s="6" customFormat="1" ht="12.75" customHeight="1">
      <c r="A50" s="406">
        <v>41</v>
      </c>
      <c r="B50" s="136" t="s">
        <v>1404</v>
      </c>
      <c r="C50" s="148" t="s">
        <v>1399</v>
      </c>
      <c r="D50" s="136" t="s">
        <v>1400</v>
      </c>
      <c r="E50" s="136" t="s">
        <v>253</v>
      </c>
      <c r="F50" s="136" t="s">
        <v>135</v>
      </c>
      <c r="G50" s="134">
        <v>2.46</v>
      </c>
      <c r="H50" s="656"/>
      <c r="I50" s="149">
        <v>800000</v>
      </c>
      <c r="J50" s="90">
        <v>733000</v>
      </c>
      <c r="K50" s="17">
        <f t="shared" si="2"/>
        <v>67000</v>
      </c>
      <c r="L50" s="422"/>
      <c r="M50" s="422"/>
      <c r="N50" s="174"/>
      <c r="O50" s="180"/>
      <c r="P50" s="165"/>
      <c r="Q50" s="136"/>
      <c r="R50" s="445"/>
      <c r="S50" s="119"/>
      <c r="T50" s="119"/>
    </row>
    <row r="51" spans="1:20" s="6" customFormat="1" ht="12.75" customHeight="1">
      <c r="A51" s="406">
        <v>42</v>
      </c>
      <c r="B51" s="477" t="s">
        <v>1551</v>
      </c>
      <c r="C51" s="478" t="s">
        <v>682</v>
      </c>
      <c r="D51" s="477" t="s">
        <v>684</v>
      </c>
      <c r="E51" s="477" t="s">
        <v>57</v>
      </c>
      <c r="F51" s="477" t="s">
        <v>136</v>
      </c>
      <c r="G51" s="479">
        <v>3.25</v>
      </c>
      <c r="H51" s="655"/>
      <c r="I51" s="480">
        <v>300000</v>
      </c>
      <c r="J51" s="481">
        <v>0</v>
      </c>
      <c r="K51" s="17">
        <f t="shared" si="2"/>
        <v>300000</v>
      </c>
      <c r="L51" s="422"/>
      <c r="M51" s="422"/>
      <c r="N51" s="174"/>
      <c r="O51" s="180"/>
      <c r="P51" s="482" t="s">
        <v>1542</v>
      </c>
      <c r="Q51" s="477"/>
      <c r="R51" s="483"/>
      <c r="S51" s="119"/>
      <c r="T51" s="119"/>
    </row>
    <row r="52" spans="1:20" s="6" customFormat="1" ht="12.75" customHeight="1">
      <c r="A52" s="406">
        <v>43</v>
      </c>
      <c r="B52" s="151" t="s">
        <v>1549</v>
      </c>
      <c r="C52" s="152" t="s">
        <v>909</v>
      </c>
      <c r="D52" s="151" t="s">
        <v>1550</v>
      </c>
      <c r="E52" s="151" t="s">
        <v>56</v>
      </c>
      <c r="F52" s="151" t="s">
        <v>135</v>
      </c>
      <c r="G52" s="154">
        <v>3.25</v>
      </c>
      <c r="H52" s="656">
        <v>25</v>
      </c>
      <c r="I52" s="155">
        <v>50000</v>
      </c>
      <c r="J52" s="156">
        <v>8500</v>
      </c>
      <c r="K52" s="423">
        <f t="shared" si="2"/>
        <v>41500</v>
      </c>
      <c r="L52" s="422"/>
      <c r="M52" s="422"/>
      <c r="N52" s="174"/>
      <c r="O52" s="180">
        <v>8500</v>
      </c>
      <c r="P52" s="179"/>
      <c r="Q52" s="151"/>
      <c r="R52" s="157"/>
      <c r="S52" s="119"/>
      <c r="T52" s="119"/>
    </row>
    <row r="53" spans="1:20" s="6" customFormat="1" ht="12.75" customHeight="1">
      <c r="A53" s="406">
        <v>44</v>
      </c>
      <c r="B53" s="151" t="s">
        <v>1433</v>
      </c>
      <c r="C53" s="152" t="s">
        <v>906</v>
      </c>
      <c r="D53" s="151" t="s">
        <v>629</v>
      </c>
      <c r="E53" s="151" t="s">
        <v>59</v>
      </c>
      <c r="F53" s="151" t="s">
        <v>135</v>
      </c>
      <c r="G53" s="154">
        <v>3.25</v>
      </c>
      <c r="H53" s="655"/>
      <c r="I53" s="155">
        <v>300000</v>
      </c>
      <c r="J53" s="156">
        <v>233000</v>
      </c>
      <c r="K53" s="423">
        <f t="shared" si="2"/>
        <v>67000</v>
      </c>
      <c r="L53" s="422"/>
      <c r="M53" s="422"/>
      <c r="N53" s="174"/>
      <c r="O53" s="180"/>
      <c r="P53" s="179"/>
      <c r="Q53" s="151"/>
      <c r="R53" s="157"/>
      <c r="S53" s="119"/>
      <c r="T53" s="119"/>
    </row>
    <row r="54" spans="1:20" s="6" customFormat="1" ht="12.75" customHeight="1">
      <c r="A54" s="406">
        <v>45</v>
      </c>
      <c r="B54" s="427" t="s">
        <v>1439</v>
      </c>
      <c r="C54" s="428" t="s">
        <v>203</v>
      </c>
      <c r="D54" s="427" t="s">
        <v>204</v>
      </c>
      <c r="E54" s="427" t="s">
        <v>57</v>
      </c>
      <c r="F54" s="427" t="s">
        <v>136</v>
      </c>
      <c r="G54" s="429">
        <v>3.2</v>
      </c>
      <c r="H54" s="76" t="s">
        <v>1464</v>
      </c>
      <c r="I54" s="430">
        <v>5000000</v>
      </c>
      <c r="J54" s="431">
        <v>4246500</v>
      </c>
      <c r="K54" s="423">
        <f t="shared" si="2"/>
        <v>753500</v>
      </c>
      <c r="L54" s="424"/>
      <c r="M54" s="424"/>
      <c r="N54" s="425"/>
      <c r="O54" s="426">
        <f>113000+116000+109000</f>
        <v>338000</v>
      </c>
      <c r="P54" s="432"/>
      <c r="Q54" s="427"/>
      <c r="R54" s="433"/>
      <c r="S54" s="119"/>
      <c r="T54" s="119"/>
    </row>
    <row r="55" spans="1:20" s="6" customFormat="1" ht="12.75" customHeight="1">
      <c r="A55" s="406">
        <v>46</v>
      </c>
      <c r="B55" s="126" t="s">
        <v>1479</v>
      </c>
      <c r="C55" s="127" t="s">
        <v>1394</v>
      </c>
      <c r="D55" s="126" t="s">
        <v>1395</v>
      </c>
      <c r="E55" s="126" t="s">
        <v>1396</v>
      </c>
      <c r="F55" s="126" t="s">
        <v>1391</v>
      </c>
      <c r="G55" s="137">
        <v>2.95</v>
      </c>
      <c r="H55" s="76"/>
      <c r="I55" s="128">
        <v>200000</v>
      </c>
      <c r="J55" s="129">
        <v>0</v>
      </c>
      <c r="K55" s="46">
        <f t="shared" si="2"/>
        <v>200000</v>
      </c>
      <c r="L55" s="417"/>
      <c r="M55" s="417"/>
      <c r="N55" s="186"/>
      <c r="O55" s="187"/>
      <c r="P55" s="456" t="s">
        <v>1478</v>
      </c>
      <c r="Q55" s="126"/>
      <c r="R55" s="147"/>
      <c r="S55" s="119"/>
      <c r="T55" s="119"/>
    </row>
    <row r="56" spans="1:20" s="6" customFormat="1" ht="12.75" customHeight="1">
      <c r="A56" s="406">
        <v>47</v>
      </c>
      <c r="B56" s="126" t="s">
        <v>1457</v>
      </c>
      <c r="C56" s="127" t="s">
        <v>128</v>
      </c>
      <c r="D56" s="126" t="s">
        <v>129</v>
      </c>
      <c r="E56" s="126" t="s">
        <v>59</v>
      </c>
      <c r="F56" s="126" t="s">
        <v>136</v>
      </c>
      <c r="G56" s="137">
        <v>3.45</v>
      </c>
      <c r="H56" s="664" t="s">
        <v>1510</v>
      </c>
      <c r="I56" s="128">
        <v>2000000</v>
      </c>
      <c r="J56" s="129">
        <v>2010900</v>
      </c>
      <c r="K56" s="46">
        <f t="shared" si="2"/>
        <v>-10900</v>
      </c>
      <c r="L56" s="417"/>
      <c r="M56" s="417"/>
      <c r="N56" s="186"/>
      <c r="O56" s="187">
        <v>12000</v>
      </c>
      <c r="P56" s="456"/>
      <c r="Q56" s="126"/>
      <c r="R56" s="147"/>
      <c r="S56" s="119"/>
      <c r="T56" s="119"/>
    </row>
    <row r="57" spans="1:20" s="6" customFormat="1" ht="12.75" customHeight="1">
      <c r="A57" s="406">
        <v>48</v>
      </c>
      <c r="B57" s="151" t="s">
        <v>1544</v>
      </c>
      <c r="C57" s="152" t="s">
        <v>128</v>
      </c>
      <c r="D57" s="151" t="s">
        <v>129</v>
      </c>
      <c r="E57" s="151" t="s">
        <v>59</v>
      </c>
      <c r="F57" s="151" t="s">
        <v>136</v>
      </c>
      <c r="G57" s="154">
        <v>3.45</v>
      </c>
      <c r="H57" s="665"/>
      <c r="I57" s="155">
        <v>500000</v>
      </c>
      <c r="J57" s="156">
        <v>315000</v>
      </c>
      <c r="K57" s="17">
        <f t="shared" si="2"/>
        <v>185000</v>
      </c>
      <c r="L57" s="422"/>
      <c r="M57" s="422"/>
      <c r="N57" s="174"/>
      <c r="O57" s="180">
        <f>111000+119000</f>
        <v>230000</v>
      </c>
      <c r="P57" s="179"/>
      <c r="Q57" s="151"/>
      <c r="R57" s="157"/>
      <c r="S57" s="119"/>
      <c r="T57" s="119"/>
    </row>
    <row r="58" spans="1:20" s="6" customFormat="1" ht="12.75" customHeight="1">
      <c r="A58" s="406">
        <v>49</v>
      </c>
      <c r="B58" s="151" t="s">
        <v>1593</v>
      </c>
      <c r="C58" s="152" t="s">
        <v>128</v>
      </c>
      <c r="D58" s="151" t="s">
        <v>129</v>
      </c>
      <c r="E58" s="151" t="s">
        <v>59</v>
      </c>
      <c r="F58" s="151" t="s">
        <v>136</v>
      </c>
      <c r="G58" s="154">
        <v>3.45</v>
      </c>
      <c r="H58" s="666"/>
      <c r="I58" s="155">
        <v>1000000</v>
      </c>
      <c r="J58" s="156"/>
      <c r="K58" s="17">
        <f t="shared" si="2"/>
        <v>1000000</v>
      </c>
      <c r="L58" s="422"/>
      <c r="M58" s="422"/>
      <c r="N58" s="174"/>
      <c r="O58" s="180"/>
      <c r="P58" s="179" t="s">
        <v>1594</v>
      </c>
      <c r="Q58" s="151"/>
      <c r="R58" s="157"/>
      <c r="S58" s="119"/>
      <c r="T58" s="119"/>
    </row>
    <row r="59" spans="1:20" s="6" customFormat="1" ht="12.75" customHeight="1">
      <c r="A59" s="406">
        <v>50</v>
      </c>
      <c r="B59" s="151" t="s">
        <v>1545</v>
      </c>
      <c r="C59" s="152" t="s">
        <v>162</v>
      </c>
      <c r="D59" s="151" t="s">
        <v>163</v>
      </c>
      <c r="E59" s="151" t="s">
        <v>56</v>
      </c>
      <c r="F59" s="151" t="s">
        <v>136</v>
      </c>
      <c r="G59" s="154">
        <v>3.25</v>
      </c>
      <c r="H59" s="664" t="s">
        <v>1454</v>
      </c>
      <c r="I59" s="155">
        <v>600000</v>
      </c>
      <c r="J59" s="156">
        <v>400000</v>
      </c>
      <c r="K59" s="17">
        <f t="shared" si="2"/>
        <v>200000</v>
      </c>
      <c r="L59" s="417"/>
      <c r="M59" s="417"/>
      <c r="N59" s="174"/>
      <c r="O59" s="180">
        <f>109000+130000</f>
        <v>239000</v>
      </c>
      <c r="P59" s="179"/>
      <c r="Q59" s="151"/>
      <c r="R59" s="157"/>
      <c r="S59" s="119"/>
      <c r="T59" s="119"/>
    </row>
    <row r="60" spans="1:20" s="6" customFormat="1" ht="12.75" customHeight="1">
      <c r="A60" s="406">
        <v>51</v>
      </c>
      <c r="B60" s="151" t="s">
        <v>1595</v>
      </c>
      <c r="C60" s="152" t="s">
        <v>162</v>
      </c>
      <c r="D60" s="151" t="s">
        <v>163</v>
      </c>
      <c r="E60" s="151" t="s">
        <v>56</v>
      </c>
      <c r="F60" s="151" t="s">
        <v>136</v>
      </c>
      <c r="G60" s="154">
        <v>3.25</v>
      </c>
      <c r="H60" s="666"/>
      <c r="I60" s="155">
        <v>100000</v>
      </c>
      <c r="J60" s="156"/>
      <c r="K60" s="17">
        <f t="shared" si="2"/>
        <v>100000</v>
      </c>
      <c r="L60" s="417"/>
      <c r="M60" s="417"/>
      <c r="N60" s="174"/>
      <c r="O60" s="180"/>
      <c r="P60" s="179" t="s">
        <v>1591</v>
      </c>
      <c r="Q60" s="151"/>
      <c r="R60" s="157"/>
      <c r="S60" s="119"/>
      <c r="T60" s="119"/>
    </row>
    <row r="61" spans="1:20" s="6" customFormat="1" ht="12.75" customHeight="1">
      <c r="A61" s="406">
        <v>52</v>
      </c>
      <c r="B61" s="151" t="s">
        <v>1546</v>
      </c>
      <c r="C61" s="152" t="s">
        <v>164</v>
      </c>
      <c r="D61" s="151" t="s">
        <v>165</v>
      </c>
      <c r="E61" s="415" t="s">
        <v>56</v>
      </c>
      <c r="F61" s="151" t="s">
        <v>136</v>
      </c>
      <c r="G61" s="154">
        <v>3.2</v>
      </c>
      <c r="H61" s="76">
        <v>15</v>
      </c>
      <c r="I61" s="155">
        <v>2000000</v>
      </c>
      <c r="J61" s="156">
        <v>340800</v>
      </c>
      <c r="K61" s="17">
        <f t="shared" si="2"/>
        <v>1659200</v>
      </c>
      <c r="L61" s="422"/>
      <c r="M61" s="422"/>
      <c r="N61" s="174"/>
      <c r="O61" s="180">
        <v>115800</v>
      </c>
      <c r="P61" s="155"/>
      <c r="Q61" s="151"/>
      <c r="R61" s="157"/>
      <c r="S61" s="119"/>
      <c r="T61" s="119"/>
    </row>
    <row r="62" spans="1:20" s="6" customFormat="1" ht="12.75" customHeight="1">
      <c r="A62" s="406">
        <v>53</v>
      </c>
      <c r="B62" s="151" t="s">
        <v>1547</v>
      </c>
      <c r="C62" s="152" t="s">
        <v>637</v>
      </c>
      <c r="D62" s="151" t="s">
        <v>81</v>
      </c>
      <c r="E62" s="415" t="s">
        <v>56</v>
      </c>
      <c r="F62" s="151" t="s">
        <v>136</v>
      </c>
      <c r="G62" s="154">
        <v>3.2</v>
      </c>
      <c r="H62" s="66">
        <v>29</v>
      </c>
      <c r="I62" s="155">
        <v>2400000</v>
      </c>
      <c r="J62" s="156">
        <v>116000</v>
      </c>
      <c r="K62" s="17">
        <f t="shared" si="2"/>
        <v>2284000</v>
      </c>
      <c r="L62" s="422"/>
      <c r="M62" s="422"/>
      <c r="N62" s="174"/>
      <c r="O62" s="180">
        <v>116000</v>
      </c>
      <c r="P62" s="155"/>
      <c r="Q62" s="151"/>
      <c r="R62" s="157"/>
      <c r="S62" s="119"/>
      <c r="T62" s="119"/>
    </row>
    <row r="63" spans="1:20" s="6" customFormat="1" ht="12.75" customHeight="1">
      <c r="A63" s="406">
        <v>54</v>
      </c>
      <c r="B63" s="398" t="s">
        <v>1475</v>
      </c>
      <c r="C63" s="399" t="s">
        <v>33</v>
      </c>
      <c r="D63" s="398" t="s">
        <v>45</v>
      </c>
      <c r="E63" s="398" t="s">
        <v>58</v>
      </c>
      <c r="F63" s="398" t="s">
        <v>136</v>
      </c>
      <c r="G63" s="400">
        <v>3.25</v>
      </c>
      <c r="H63" s="76">
        <v>23</v>
      </c>
      <c r="I63" s="179">
        <v>700000</v>
      </c>
      <c r="J63" s="401">
        <v>367000</v>
      </c>
      <c r="K63" s="163">
        <f t="shared" si="2"/>
        <v>333000</v>
      </c>
      <c r="L63" s="420"/>
      <c r="M63" s="420"/>
      <c r="N63" s="402"/>
      <c r="O63" s="403">
        <v>105000</v>
      </c>
      <c r="P63" s="179"/>
      <c r="Q63" s="398"/>
      <c r="R63" s="404"/>
      <c r="S63" s="119"/>
      <c r="T63" s="119"/>
    </row>
    <row r="64" spans="1:20" s="6" customFormat="1" ht="12.75" customHeight="1">
      <c r="A64" s="406">
        <v>55</v>
      </c>
      <c r="B64" s="126" t="s">
        <v>212</v>
      </c>
      <c r="C64" s="127" t="s">
        <v>200</v>
      </c>
      <c r="D64" s="491" t="s">
        <v>201</v>
      </c>
      <c r="E64" s="491" t="s">
        <v>202</v>
      </c>
      <c r="F64" s="126" t="s">
        <v>136</v>
      </c>
      <c r="G64" s="137">
        <v>2.46</v>
      </c>
      <c r="H64" s="654">
        <v>27</v>
      </c>
      <c r="I64" s="128">
        <v>400000</v>
      </c>
      <c r="J64" s="129">
        <v>131000</v>
      </c>
      <c r="K64" s="67">
        <f t="shared" si="2"/>
        <v>269000</v>
      </c>
      <c r="L64" s="417"/>
      <c r="M64" s="417"/>
      <c r="N64" s="186"/>
      <c r="O64" s="187"/>
      <c r="P64" s="128"/>
      <c r="Q64" s="126"/>
      <c r="R64" s="147"/>
      <c r="S64" s="119"/>
      <c r="T64" s="119"/>
    </row>
    <row r="65" spans="1:20" s="6" customFormat="1" ht="12.75" customHeight="1">
      <c r="A65" s="406">
        <v>56</v>
      </c>
      <c r="B65" s="151" t="s">
        <v>1587</v>
      </c>
      <c r="C65" s="152" t="s">
        <v>196</v>
      </c>
      <c r="D65" s="153" t="s">
        <v>197</v>
      </c>
      <c r="E65" s="153" t="s">
        <v>60</v>
      </c>
      <c r="F65" s="151" t="s">
        <v>136</v>
      </c>
      <c r="G65" s="154">
        <v>3.55</v>
      </c>
      <c r="H65" s="656"/>
      <c r="I65" s="155">
        <v>300000</v>
      </c>
      <c r="J65" s="156">
        <v>17000</v>
      </c>
      <c r="K65" s="90">
        <f t="shared" si="2"/>
        <v>283000</v>
      </c>
      <c r="L65" s="422"/>
      <c r="M65" s="422"/>
      <c r="N65" s="174"/>
      <c r="O65" s="180">
        <v>17000</v>
      </c>
      <c r="P65" s="155"/>
      <c r="Q65" s="151"/>
      <c r="R65" s="157"/>
      <c r="S65" s="119"/>
      <c r="T65" s="119"/>
    </row>
    <row r="66" spans="1:20" s="6" customFormat="1" ht="12.75" customHeight="1">
      <c r="A66" s="406">
        <v>57</v>
      </c>
      <c r="B66" s="126" t="s">
        <v>1472</v>
      </c>
      <c r="C66" s="127" t="s">
        <v>1473</v>
      </c>
      <c r="D66" s="491" t="s">
        <v>1474</v>
      </c>
      <c r="E66" s="491" t="s">
        <v>1476</v>
      </c>
      <c r="F66" s="126" t="s">
        <v>133</v>
      </c>
      <c r="G66" s="137">
        <v>2.46</v>
      </c>
      <c r="H66" s="655"/>
      <c r="I66" s="128">
        <v>1000</v>
      </c>
      <c r="J66" s="129">
        <v>1000</v>
      </c>
      <c r="K66" s="67">
        <f t="shared" si="2"/>
        <v>0</v>
      </c>
      <c r="L66" s="417"/>
      <c r="M66" s="417"/>
      <c r="N66" s="186"/>
      <c r="O66" s="187">
        <v>1000</v>
      </c>
      <c r="P66" s="128"/>
      <c r="Q66" s="126"/>
      <c r="R66" s="147"/>
      <c r="S66" s="119"/>
      <c r="T66" s="119"/>
    </row>
    <row r="67" spans="1:20" s="6" customFormat="1" ht="12.75" customHeight="1">
      <c r="A67" s="406">
        <v>58</v>
      </c>
      <c r="B67" s="151" t="s">
        <v>1480</v>
      </c>
      <c r="C67" s="152" t="s">
        <v>176</v>
      </c>
      <c r="D67" s="151" t="s">
        <v>148</v>
      </c>
      <c r="E67" s="151" t="s">
        <v>194</v>
      </c>
      <c r="F67" s="151" t="s">
        <v>136</v>
      </c>
      <c r="G67" s="154">
        <v>2.46</v>
      </c>
      <c r="H67" s="444" t="s">
        <v>1463</v>
      </c>
      <c r="I67" s="155">
        <v>1000000</v>
      </c>
      <c r="J67" s="156">
        <v>680900</v>
      </c>
      <c r="K67" s="90">
        <f t="shared" si="2"/>
        <v>319100</v>
      </c>
      <c r="L67" s="417"/>
      <c r="M67" s="417"/>
      <c r="N67" s="174"/>
      <c r="O67" s="180">
        <f>49200+112800</f>
        <v>162000</v>
      </c>
      <c r="P67" s="155"/>
      <c r="Q67" s="151"/>
      <c r="R67" s="157"/>
      <c r="S67" s="119"/>
      <c r="T67" s="119"/>
    </row>
    <row r="68" spans="1:20" s="6" customFormat="1" ht="12.75" customHeight="1">
      <c r="A68" s="406">
        <v>59</v>
      </c>
      <c r="B68" s="151" t="s">
        <v>1406</v>
      </c>
      <c r="C68" s="152" t="s">
        <v>35</v>
      </c>
      <c r="D68" s="151" t="s">
        <v>47</v>
      </c>
      <c r="E68" s="151" t="s">
        <v>61</v>
      </c>
      <c r="F68" s="151" t="s">
        <v>136</v>
      </c>
      <c r="G68" s="154">
        <v>2.46</v>
      </c>
      <c r="H68" s="444">
        <v>52</v>
      </c>
      <c r="I68" s="155">
        <v>1200000</v>
      </c>
      <c r="J68" s="156">
        <v>857600</v>
      </c>
      <c r="K68" s="90">
        <f t="shared" si="2"/>
        <v>342400</v>
      </c>
      <c r="L68" s="417"/>
      <c r="M68" s="417"/>
      <c r="N68" s="174"/>
      <c r="O68" s="180">
        <v>76900</v>
      </c>
      <c r="P68" s="155"/>
      <c r="Q68" s="151"/>
      <c r="R68" s="157"/>
      <c r="S68" s="119"/>
      <c r="T68" s="119"/>
    </row>
    <row r="69" spans="1:20" s="6" customFormat="1" ht="12.75" customHeight="1">
      <c r="A69" s="406">
        <v>60</v>
      </c>
      <c r="B69" s="126" t="s">
        <v>1445</v>
      </c>
      <c r="C69" s="127" t="s">
        <v>591</v>
      </c>
      <c r="D69" s="126" t="s">
        <v>334</v>
      </c>
      <c r="E69" s="126" t="s">
        <v>194</v>
      </c>
      <c r="F69" s="126" t="s">
        <v>136</v>
      </c>
      <c r="G69" s="137">
        <v>2.6</v>
      </c>
      <c r="H69" s="442"/>
      <c r="I69" s="128">
        <v>100000</v>
      </c>
      <c r="J69" s="129">
        <v>85000</v>
      </c>
      <c r="K69" s="67">
        <f t="shared" si="2"/>
        <v>15000</v>
      </c>
      <c r="L69" s="417"/>
      <c r="M69" s="417"/>
      <c r="N69" s="186"/>
      <c r="O69" s="187"/>
      <c r="P69" s="128"/>
      <c r="Q69" s="126"/>
      <c r="R69" s="147"/>
      <c r="S69" s="119"/>
      <c r="T69" s="119"/>
    </row>
    <row r="70" spans="1:20" s="6" customFormat="1" ht="12.75" customHeight="1">
      <c r="A70" s="406">
        <v>61</v>
      </c>
      <c r="B70" s="126" t="s">
        <v>1461</v>
      </c>
      <c r="C70" s="127" t="s">
        <v>231</v>
      </c>
      <c r="D70" s="126" t="s">
        <v>204</v>
      </c>
      <c r="E70" s="126" t="s">
        <v>183</v>
      </c>
      <c r="F70" s="126" t="s">
        <v>136</v>
      </c>
      <c r="G70" s="137">
        <v>2.46</v>
      </c>
      <c r="H70" s="662">
        <v>53</v>
      </c>
      <c r="I70" s="46">
        <v>700000</v>
      </c>
      <c r="J70" s="46">
        <v>714900</v>
      </c>
      <c r="K70" s="110">
        <f t="shared" si="2"/>
        <v>-14900</v>
      </c>
      <c r="L70" s="417"/>
      <c r="M70" s="417"/>
      <c r="N70" s="186"/>
      <c r="O70" s="493">
        <v>123000</v>
      </c>
      <c r="P70" s="50"/>
      <c r="Q70" s="44"/>
      <c r="R70" s="145"/>
      <c r="S70" s="119"/>
      <c r="T70" s="119"/>
    </row>
    <row r="71" spans="1:20" s="6" customFormat="1" ht="12.75" customHeight="1">
      <c r="A71" s="406">
        <v>62</v>
      </c>
      <c r="B71" s="151" t="s">
        <v>1596</v>
      </c>
      <c r="C71" s="152" t="s">
        <v>231</v>
      </c>
      <c r="D71" s="151" t="s">
        <v>204</v>
      </c>
      <c r="E71" s="151" t="s">
        <v>183</v>
      </c>
      <c r="F71" s="151" t="s">
        <v>136</v>
      </c>
      <c r="G71" s="154">
        <v>2.46</v>
      </c>
      <c r="H71" s="663"/>
      <c r="I71" s="90">
        <v>300000</v>
      </c>
      <c r="J71" s="90"/>
      <c r="K71" s="43">
        <f t="shared" si="2"/>
        <v>300000</v>
      </c>
      <c r="L71" s="417"/>
      <c r="M71" s="417"/>
      <c r="N71" s="174"/>
      <c r="O71" s="180"/>
      <c r="P71" s="149" t="s">
        <v>1591</v>
      </c>
      <c r="Q71" s="136"/>
      <c r="R71" s="492"/>
      <c r="S71" s="119"/>
      <c r="T71" s="119"/>
    </row>
    <row r="72" spans="1:20" s="6" customFormat="1" ht="12.75" customHeight="1" thickBot="1">
      <c r="A72" s="406">
        <v>63</v>
      </c>
      <c r="B72" s="166" t="s">
        <v>1468</v>
      </c>
      <c r="C72" s="167" t="s">
        <v>208</v>
      </c>
      <c r="D72" s="166" t="s">
        <v>209</v>
      </c>
      <c r="E72" s="166" t="s">
        <v>194</v>
      </c>
      <c r="F72" s="166" t="s">
        <v>136</v>
      </c>
      <c r="G72" s="168">
        <v>2.46</v>
      </c>
      <c r="H72" s="444" t="s">
        <v>1462</v>
      </c>
      <c r="I72" s="59">
        <v>2500000</v>
      </c>
      <c r="J72" s="59">
        <v>1137300</v>
      </c>
      <c r="K72" s="43">
        <f t="shared" si="2"/>
        <v>1362700</v>
      </c>
      <c r="L72" s="417"/>
      <c r="M72" s="417"/>
      <c r="N72" s="174"/>
      <c r="O72" s="180">
        <f>124500+113900</f>
        <v>238400</v>
      </c>
      <c r="P72" s="63"/>
      <c r="Q72" s="449"/>
      <c r="R72" s="450"/>
      <c r="S72" s="119"/>
      <c r="T72" s="119"/>
    </row>
    <row r="73" spans="1:20" s="6" customFormat="1" ht="12.75" customHeight="1" thickBot="1">
      <c r="A73" s="657" t="s">
        <v>251</v>
      </c>
      <c r="B73" s="658"/>
      <c r="C73" s="658"/>
      <c r="D73" s="658"/>
      <c r="E73" s="658"/>
      <c r="F73" s="658"/>
      <c r="G73" s="658"/>
      <c r="H73" s="659"/>
      <c r="I73" s="182"/>
      <c r="J73" s="184"/>
      <c r="K73" s="183"/>
      <c r="L73" s="183"/>
      <c r="M73" s="183"/>
      <c r="N73" s="183"/>
      <c r="O73" s="188">
        <f>SUM(O10:O72)</f>
        <v>2677300</v>
      </c>
      <c r="P73" s="181"/>
      <c r="Q73" s="184"/>
      <c r="R73" s="185"/>
    </row>
    <row r="74" spans="1:20" s="6" customFormat="1" ht="18.75">
      <c r="A74" s="15"/>
      <c r="B74" s="15"/>
      <c r="C74" s="15"/>
      <c r="D74" s="15"/>
      <c r="E74" s="15"/>
      <c r="F74" s="15"/>
      <c r="G74" s="15"/>
      <c r="H74" s="15"/>
      <c r="I74" s="16"/>
      <c r="J74" s="16"/>
      <c r="K74" s="16"/>
      <c r="L74" s="16"/>
      <c r="M74" s="16"/>
      <c r="N74" s="16"/>
      <c r="O74" s="16"/>
      <c r="P74" s="16"/>
    </row>
    <row r="75" spans="1:20" s="6" customFormat="1" ht="18.75">
      <c r="A75" s="15"/>
      <c r="B75" s="15"/>
      <c r="C75" s="15"/>
      <c r="D75" s="15"/>
      <c r="E75" s="15"/>
      <c r="F75" s="15"/>
      <c r="G75" s="15"/>
      <c r="H75" s="15"/>
      <c r="I75" s="16"/>
      <c r="J75" s="16"/>
      <c r="K75" s="16"/>
      <c r="L75" s="16"/>
      <c r="M75" s="16"/>
      <c r="N75" s="16"/>
      <c r="O75" s="16"/>
      <c r="P75" s="16"/>
    </row>
    <row r="76" spans="1:20" s="6" customFormat="1" ht="18.75">
      <c r="A76" s="15"/>
      <c r="B76" s="15"/>
      <c r="C76" s="15"/>
      <c r="D76" s="15"/>
      <c r="E76" s="15"/>
      <c r="F76" s="15"/>
      <c r="G76" s="15"/>
      <c r="H76" s="15"/>
      <c r="I76" s="16"/>
      <c r="J76" s="16"/>
      <c r="K76" s="16"/>
      <c r="L76" s="16"/>
      <c r="M76" s="16"/>
      <c r="N76" s="16"/>
      <c r="O76" s="16"/>
      <c r="P76" s="16"/>
    </row>
    <row r="77" spans="1:20" s="6" customFormat="1" ht="18.75">
      <c r="A77" s="15"/>
      <c r="B77" s="15"/>
      <c r="C77" s="15"/>
      <c r="D77" s="15"/>
      <c r="E77" s="15"/>
      <c r="F77" s="15"/>
      <c r="G77" s="15"/>
      <c r="H77" s="15"/>
      <c r="I77" s="16"/>
      <c r="J77" s="16"/>
      <c r="K77" s="16"/>
      <c r="L77" s="16"/>
      <c r="M77" s="16"/>
      <c r="N77" s="16"/>
      <c r="O77" s="16"/>
      <c r="P77" s="16"/>
    </row>
    <row r="78" spans="1:20" s="6" customFormat="1" ht="18.75">
      <c r="A78" s="15"/>
      <c r="B78" s="15"/>
      <c r="C78" s="15"/>
      <c r="D78" s="15"/>
      <c r="E78" s="15"/>
      <c r="F78" s="15"/>
      <c r="G78" s="15"/>
      <c r="H78" s="15"/>
      <c r="I78" s="16"/>
      <c r="J78" s="16"/>
      <c r="K78" s="16"/>
      <c r="L78" s="16"/>
      <c r="M78" s="16"/>
      <c r="N78" s="16"/>
      <c r="O78" s="16"/>
      <c r="P78" s="16"/>
    </row>
    <row r="79" spans="1:20" s="6" customFormat="1" ht="18.75">
      <c r="A79" s="15"/>
      <c r="B79" s="15"/>
      <c r="C79" s="15"/>
      <c r="D79" s="15"/>
      <c r="E79" s="15"/>
      <c r="F79" s="15"/>
      <c r="G79" s="15"/>
      <c r="H79" s="15"/>
      <c r="I79" s="16"/>
      <c r="J79" s="16"/>
      <c r="K79" s="16"/>
      <c r="L79" s="16"/>
      <c r="M79" s="16"/>
      <c r="N79" s="16"/>
      <c r="O79" s="16"/>
      <c r="P79" s="16"/>
    </row>
    <row r="80" spans="1:20" s="6" customFormat="1" ht="18.75">
      <c r="A80" s="15"/>
      <c r="B80" s="15"/>
      <c r="C80" s="15"/>
      <c r="D80" s="15"/>
      <c r="E80" s="15"/>
      <c r="F80" s="15"/>
      <c r="G80" s="15"/>
      <c r="H80" s="15"/>
      <c r="I80" s="16"/>
      <c r="J80" s="16"/>
      <c r="K80" s="16"/>
      <c r="L80" s="16"/>
      <c r="M80" s="16"/>
      <c r="N80" s="16"/>
      <c r="O80" s="16"/>
      <c r="P80" s="16"/>
    </row>
    <row r="81" spans="1:16" s="6" customFormat="1" ht="18.75">
      <c r="A81" s="15"/>
      <c r="B81" s="15"/>
      <c r="C81" s="15"/>
      <c r="D81" s="15"/>
      <c r="E81" s="15"/>
      <c r="F81" s="15"/>
      <c r="G81" s="15"/>
      <c r="H81" s="15"/>
      <c r="I81" s="16"/>
      <c r="J81" s="16"/>
      <c r="K81" s="16"/>
      <c r="L81" s="16"/>
      <c r="M81" s="16"/>
      <c r="N81" s="16"/>
      <c r="O81" s="16"/>
      <c r="P81" s="16"/>
    </row>
    <row r="82" spans="1:16" s="6" customFormat="1" ht="18.75">
      <c r="A82" s="15"/>
      <c r="B82" s="15"/>
      <c r="C82" s="15"/>
      <c r="D82" s="15"/>
      <c r="E82" s="15"/>
      <c r="F82" s="15"/>
      <c r="G82" s="15"/>
      <c r="H82" s="15"/>
      <c r="I82" s="16"/>
      <c r="J82" s="16"/>
      <c r="K82" s="16"/>
      <c r="L82" s="16"/>
      <c r="M82" s="16"/>
      <c r="N82" s="16"/>
      <c r="O82" s="16"/>
      <c r="P82" s="16"/>
    </row>
    <row r="83" spans="1:16" s="6" customFormat="1" ht="18.75">
      <c r="A83" s="15"/>
      <c r="B83" s="15"/>
      <c r="C83" s="15"/>
      <c r="D83" s="15"/>
      <c r="E83" s="15"/>
      <c r="F83" s="15"/>
      <c r="G83" s="15"/>
      <c r="H83" s="15"/>
      <c r="I83" s="16"/>
      <c r="J83" s="16"/>
      <c r="K83" s="16"/>
      <c r="L83" s="16"/>
      <c r="M83" s="16"/>
      <c r="N83" s="16"/>
      <c r="O83" s="16"/>
      <c r="P83" s="16"/>
    </row>
    <row r="84" spans="1:16" s="6" customFormat="1" ht="18.75">
      <c r="A84" s="15"/>
      <c r="B84" s="15"/>
      <c r="C84" s="15"/>
      <c r="D84" s="15"/>
      <c r="E84" s="15"/>
      <c r="F84" s="15"/>
      <c r="G84" s="15"/>
      <c r="H84" s="15"/>
      <c r="I84" s="16"/>
      <c r="J84" s="16"/>
      <c r="K84" s="16"/>
      <c r="L84" s="16"/>
      <c r="M84" s="16"/>
      <c r="N84" s="16"/>
      <c r="O84" s="16"/>
      <c r="P84" s="16"/>
    </row>
    <row r="85" spans="1:16" s="6" customFormat="1" ht="18.75">
      <c r="A85" s="15"/>
      <c r="B85" s="15"/>
      <c r="C85" s="15"/>
      <c r="D85" s="15"/>
      <c r="E85" s="15"/>
      <c r="F85" s="15"/>
      <c r="G85" s="15"/>
      <c r="H85" s="15"/>
      <c r="I85" s="16"/>
      <c r="J85" s="16"/>
      <c r="K85" s="16"/>
      <c r="L85" s="16"/>
      <c r="M85" s="16"/>
      <c r="N85" s="16"/>
      <c r="O85" s="16"/>
      <c r="P85" s="16"/>
    </row>
    <row r="86" spans="1:16" s="6" customFormat="1" ht="18.7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s="6" customFormat="1" ht="18.7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s="6" customFormat="1" ht="18.7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s="6" customFormat="1" ht="18.7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s="6" customFormat="1" ht="18.7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s="6" customFormat="1" ht="18.7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s="6" customFormat="1" ht="18.7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1:16" s="6" customFormat="1" ht="18.7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s="6" customFormat="1" ht="18.7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s="6" customFormat="1" ht="18.7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s="6" customFormat="1" ht="18.7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</sheetData>
  <mergeCells count="43">
    <mergeCell ref="J8:J9"/>
    <mergeCell ref="H25:H27"/>
    <mergeCell ref="H18:H20"/>
    <mergeCell ref="H12:H15"/>
    <mergeCell ref="H10:H11"/>
    <mergeCell ref="H21:H23"/>
    <mergeCell ref="H8:H9"/>
    <mergeCell ref="H16:H17"/>
    <mergeCell ref="Q2:Q3"/>
    <mergeCell ref="R2:R3"/>
    <mergeCell ref="Q8:Q9"/>
    <mergeCell ref="R8:R9"/>
    <mergeCell ref="P2:P3"/>
    <mergeCell ref="A73:H73"/>
    <mergeCell ref="H40:H41"/>
    <mergeCell ref="H52:H53"/>
    <mergeCell ref="H64:H66"/>
    <mergeCell ref="H70:H71"/>
    <mergeCell ref="H56:H58"/>
    <mergeCell ref="H59:H60"/>
    <mergeCell ref="H37:H39"/>
    <mergeCell ref="H47:H48"/>
    <mergeCell ref="H30:H32"/>
    <mergeCell ref="H34:H35"/>
    <mergeCell ref="H49:H51"/>
    <mergeCell ref="H43:H44"/>
    <mergeCell ref="H45:H46"/>
    <mergeCell ref="A3:B3"/>
    <mergeCell ref="A5:B7"/>
    <mergeCell ref="C5:P7"/>
    <mergeCell ref="A8:A9"/>
    <mergeCell ref="B8:B9"/>
    <mergeCell ref="C8:C9"/>
    <mergeCell ref="D8:D9"/>
    <mergeCell ref="E8:E9"/>
    <mergeCell ref="O8:O9"/>
    <mergeCell ref="P8:P9"/>
    <mergeCell ref="G8:G9"/>
    <mergeCell ref="F8:F9"/>
    <mergeCell ref="L8:M8"/>
    <mergeCell ref="K8:K9"/>
    <mergeCell ref="N8:N9"/>
    <mergeCell ref="I8:I9"/>
  </mergeCells>
  <phoneticPr fontId="74" type="noConversion"/>
  <conditionalFormatting sqref="K10:O72">
    <cfRule type="cellIs" dxfId="27" priority="1" operator="lessThan">
      <formula>0</formula>
    </cfRule>
  </conditionalFormatting>
  <printOptions horizontalCentered="1"/>
  <pageMargins left="0" right="0" top="0" bottom="0" header="0" footer="0"/>
  <pageSetup paperSize="9" scale="57" orientation="landscape" r:id="rId1"/>
  <headerFooter>
    <oddFooter>&amp;LQ401-2&amp;CHANSUNGBOLT VINA&amp;RA4 (210 x 297mm)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5">
    <pageSetUpPr fitToPage="1"/>
  </sheetPr>
  <dimension ref="A1:N61"/>
  <sheetViews>
    <sheetView view="pageBreakPreview" zoomScale="60" zoomScaleNormal="85" workbookViewId="0">
      <selection activeCell="C23" sqref="C23:E2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3.425781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3.42578125" style="190" customWidth="1"/>
    <col min="16" max="16" width="15.42578125" style="190" customWidth="1"/>
    <col min="17" max="43" width="3.42578125" style="190" customWidth="1"/>
    <col min="44" max="16384" width="9.140625" style="190"/>
  </cols>
  <sheetData>
    <row r="1" spans="1:14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4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4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4" ht="20.25" customHeight="1">
      <c r="A4" s="698" t="s">
        <v>1634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4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4" s="191" customFormat="1" ht="29.25" customHeight="1">
      <c r="A6" s="683"/>
      <c r="B6" s="683"/>
      <c r="C6" s="683"/>
      <c r="D6" s="683"/>
      <c r="E6" s="211" t="s">
        <v>1672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4" s="191" customFormat="1" ht="33" customHeight="1">
      <c r="A7" s="199">
        <v>1</v>
      </c>
      <c r="B7" s="200" t="s">
        <v>23</v>
      </c>
      <c r="C7" s="200" t="s">
        <v>36</v>
      </c>
      <c r="D7" s="200" t="s">
        <v>1392</v>
      </c>
      <c r="E7" s="201">
        <v>179200</v>
      </c>
      <c r="F7" s="213" t="s">
        <v>1408</v>
      </c>
      <c r="G7" s="201">
        <f>47*60*8</f>
        <v>22560</v>
      </c>
      <c r="H7" s="201"/>
      <c r="I7" s="393" t="s">
        <v>1328</v>
      </c>
      <c r="J7" s="703"/>
      <c r="K7" s="704"/>
      <c r="L7" s="705"/>
      <c r="M7" s="192"/>
      <c r="N7" s="192"/>
    </row>
    <row r="8" spans="1:14" s="191" customFormat="1" ht="33" customHeight="1">
      <c r="A8" s="199">
        <v>3</v>
      </c>
      <c r="B8" s="200" t="s">
        <v>151</v>
      </c>
      <c r="C8" s="200" t="s">
        <v>152</v>
      </c>
      <c r="D8" s="200" t="s">
        <v>210</v>
      </c>
      <c r="E8" s="201">
        <v>366600</v>
      </c>
      <c r="F8" s="213" t="s">
        <v>1658</v>
      </c>
      <c r="G8" s="201">
        <f>44*60*10</f>
        <v>26400</v>
      </c>
      <c r="H8" s="201">
        <v>13000</v>
      </c>
      <c r="I8" s="393" t="s">
        <v>1330</v>
      </c>
      <c r="J8" s="706"/>
      <c r="K8" s="704"/>
      <c r="L8" s="705"/>
      <c r="M8" s="192"/>
      <c r="N8" s="192"/>
    </row>
    <row r="9" spans="1:14" s="191" customFormat="1" ht="33" customHeight="1">
      <c r="A9" s="199">
        <v>4</v>
      </c>
      <c r="B9" s="200" t="s">
        <v>143</v>
      </c>
      <c r="C9" s="200" t="s">
        <v>38</v>
      </c>
      <c r="D9" s="200" t="s">
        <v>50</v>
      </c>
      <c r="E9" s="201">
        <v>1192300</v>
      </c>
      <c r="F9" s="213" t="s">
        <v>1408</v>
      </c>
      <c r="G9" s="201">
        <f>55*60*8</f>
        <v>26400</v>
      </c>
      <c r="H9" s="201">
        <v>26500</v>
      </c>
      <c r="I9" s="393" t="s">
        <v>1330</v>
      </c>
      <c r="J9" s="703"/>
      <c r="K9" s="704"/>
      <c r="L9" s="705"/>
      <c r="M9" s="192"/>
      <c r="N9" s="192"/>
    </row>
    <row r="10" spans="1:14" s="195" customFormat="1" ht="33" customHeight="1">
      <c r="A10" s="199">
        <v>5</v>
      </c>
      <c r="B10" s="203" t="s">
        <v>206</v>
      </c>
      <c r="C10" s="204" t="s">
        <v>36</v>
      </c>
      <c r="D10" s="203" t="s">
        <v>1459</v>
      </c>
      <c r="E10" s="201">
        <v>744600</v>
      </c>
      <c r="F10" s="213" t="s">
        <v>1408</v>
      </c>
      <c r="G10" s="494">
        <f>65*60*8</f>
        <v>31200</v>
      </c>
      <c r="H10" s="495">
        <v>35300</v>
      </c>
      <c r="I10" s="496" t="s">
        <v>1334</v>
      </c>
      <c r="J10" s="707"/>
      <c r="K10" s="708"/>
      <c r="L10" s="709"/>
      <c r="M10" s="194"/>
      <c r="N10" s="192"/>
    </row>
    <row r="11" spans="1:14" s="195" customFormat="1" ht="33" customHeight="1">
      <c r="A11" s="199" t="s">
        <v>66</v>
      </c>
      <c r="B11" s="200" t="s">
        <v>171</v>
      </c>
      <c r="C11" s="200" t="s">
        <v>172</v>
      </c>
      <c r="D11" s="200" t="s">
        <v>177</v>
      </c>
      <c r="E11" s="201">
        <v>761000</v>
      </c>
      <c r="F11" s="213" t="s">
        <v>1658</v>
      </c>
      <c r="G11" s="201">
        <f>45*60*10</f>
        <v>27000</v>
      </c>
      <c r="H11" s="201">
        <v>16000</v>
      </c>
      <c r="I11" s="393" t="s">
        <v>1331</v>
      </c>
      <c r="J11" s="703"/>
      <c r="K11" s="704"/>
      <c r="L11" s="705"/>
      <c r="M11" s="194"/>
      <c r="N11" s="192"/>
    </row>
    <row r="12" spans="1:14" s="195" customFormat="1" ht="33" customHeight="1">
      <c r="A12" s="199">
        <v>7</v>
      </c>
      <c r="B12" s="200" t="s">
        <v>27</v>
      </c>
      <c r="C12" s="200" t="s">
        <v>40</v>
      </c>
      <c r="D12" s="200" t="s">
        <v>52</v>
      </c>
      <c r="E12" s="201">
        <v>2644800</v>
      </c>
      <c r="F12" s="213" t="s">
        <v>1658</v>
      </c>
      <c r="G12" s="201">
        <f>42*60*10</f>
        <v>25200</v>
      </c>
      <c r="H12" s="201">
        <v>15000</v>
      </c>
      <c r="I12" s="393" t="s">
        <v>1331</v>
      </c>
      <c r="J12" s="706"/>
      <c r="K12" s="704"/>
      <c r="L12" s="705"/>
      <c r="M12" s="194"/>
      <c r="N12" s="192"/>
    </row>
    <row r="13" spans="1:14" s="195" customFormat="1" ht="33" customHeight="1">
      <c r="A13" s="199">
        <v>8</v>
      </c>
      <c r="B13" s="200" t="s">
        <v>968</v>
      </c>
      <c r="C13" s="200" t="s">
        <v>152</v>
      </c>
      <c r="D13" s="200" t="s">
        <v>1299</v>
      </c>
      <c r="E13" s="201">
        <v>59200</v>
      </c>
      <c r="F13" s="213" t="s">
        <v>1408</v>
      </c>
      <c r="G13" s="201">
        <f>138*60*8</f>
        <v>66240</v>
      </c>
      <c r="H13" s="201">
        <v>17000</v>
      </c>
      <c r="I13" s="393" t="s">
        <v>1489</v>
      </c>
      <c r="J13" s="706"/>
      <c r="K13" s="704"/>
      <c r="L13" s="705"/>
      <c r="M13" s="194"/>
      <c r="N13" s="192"/>
    </row>
    <row r="14" spans="1:14" s="195" customFormat="1" ht="33" customHeight="1">
      <c r="A14" s="202">
        <v>8</v>
      </c>
      <c r="B14" s="203" t="s">
        <v>143</v>
      </c>
      <c r="C14" s="204" t="s">
        <v>38</v>
      </c>
      <c r="D14" s="203" t="s">
        <v>50</v>
      </c>
      <c r="E14" s="201">
        <v>1192300</v>
      </c>
      <c r="F14" s="214" t="s">
        <v>1408</v>
      </c>
      <c r="G14" s="201">
        <f>138*60*8</f>
        <v>66240</v>
      </c>
      <c r="H14" s="201"/>
      <c r="I14" s="393" t="s">
        <v>1489</v>
      </c>
      <c r="J14" s="703"/>
      <c r="K14" s="704"/>
      <c r="L14" s="705"/>
      <c r="M14" s="194"/>
      <c r="N14" s="192"/>
    </row>
    <row r="15" spans="1:14" s="195" customFormat="1" ht="33" customHeight="1">
      <c r="A15" s="202" t="s">
        <v>1481</v>
      </c>
      <c r="B15" s="203" t="s">
        <v>27</v>
      </c>
      <c r="C15" s="204" t="s">
        <v>40</v>
      </c>
      <c r="D15" s="203" t="s">
        <v>52</v>
      </c>
      <c r="E15" s="201">
        <v>2644800</v>
      </c>
      <c r="F15" s="214"/>
      <c r="G15" s="201"/>
      <c r="H15" s="201"/>
      <c r="I15" s="393" t="s">
        <v>1489</v>
      </c>
      <c r="J15" s="703"/>
      <c r="K15" s="710"/>
      <c r="L15" s="711"/>
      <c r="M15" s="194"/>
      <c r="N15" s="192"/>
    </row>
    <row r="16" spans="1:14" s="191" customFormat="1" ht="33" customHeight="1">
      <c r="A16" s="202" t="s">
        <v>1668</v>
      </c>
      <c r="B16" s="203" t="s">
        <v>28</v>
      </c>
      <c r="C16" s="204" t="s">
        <v>41</v>
      </c>
      <c r="D16" s="203" t="s">
        <v>53</v>
      </c>
      <c r="E16" s="201">
        <v>1327400</v>
      </c>
      <c r="F16" s="214" t="s">
        <v>1408</v>
      </c>
      <c r="G16" s="201">
        <f>50*60*8</f>
        <v>24000</v>
      </c>
      <c r="H16" s="201">
        <v>20000</v>
      </c>
      <c r="I16" s="393" t="s">
        <v>1336</v>
      </c>
      <c r="J16" s="703"/>
      <c r="K16" s="704"/>
      <c r="L16" s="705"/>
      <c r="M16" s="192"/>
      <c r="N16" s="192"/>
    </row>
    <row r="17" spans="1:14" s="191" customFormat="1" ht="33" customHeight="1">
      <c r="A17" s="202">
        <v>11</v>
      </c>
      <c r="B17" s="203" t="s">
        <v>234</v>
      </c>
      <c r="C17" s="204" t="s">
        <v>235</v>
      </c>
      <c r="D17" s="203" t="s">
        <v>236</v>
      </c>
      <c r="E17" s="201">
        <v>180000</v>
      </c>
      <c r="F17" s="214" t="s">
        <v>1408</v>
      </c>
      <c r="G17" s="201">
        <f>52*60*8</f>
        <v>24960</v>
      </c>
      <c r="H17" s="201">
        <v>7500</v>
      </c>
      <c r="I17" s="393" t="s">
        <v>1336</v>
      </c>
      <c r="J17" s="703"/>
      <c r="K17" s="710"/>
      <c r="L17" s="711"/>
      <c r="M17" s="192"/>
      <c r="N17" s="192"/>
    </row>
    <row r="18" spans="1:14" s="191" customFormat="1" ht="33" customHeight="1">
      <c r="A18" s="205">
        <v>12</v>
      </c>
      <c r="B18" s="204" t="s">
        <v>29</v>
      </c>
      <c r="C18" s="204" t="s">
        <v>42</v>
      </c>
      <c r="D18" s="204" t="s">
        <v>54</v>
      </c>
      <c r="E18" s="201">
        <v>232800</v>
      </c>
      <c r="F18" s="214" t="s">
        <v>1408</v>
      </c>
      <c r="G18" s="203">
        <f>52*60*8</f>
        <v>24960</v>
      </c>
      <c r="H18" s="201">
        <v>1800</v>
      </c>
      <c r="I18" s="393" t="s">
        <v>1338</v>
      </c>
      <c r="J18" s="703"/>
      <c r="K18" s="704"/>
      <c r="L18" s="705"/>
      <c r="M18" s="196"/>
      <c r="N18" s="192"/>
    </row>
    <row r="19" spans="1:14" s="191" customFormat="1" ht="33" customHeight="1">
      <c r="A19" s="205">
        <v>13</v>
      </c>
      <c r="B19" s="204" t="s">
        <v>759</v>
      </c>
      <c r="C19" s="204" t="s">
        <v>45</v>
      </c>
      <c r="D19" s="204" t="s">
        <v>54</v>
      </c>
      <c r="E19" s="201">
        <v>242000</v>
      </c>
      <c r="F19" s="214" t="s">
        <v>1408</v>
      </c>
      <c r="G19" s="203">
        <f>95*60*8</f>
        <v>45600</v>
      </c>
      <c r="H19" s="201">
        <v>27000</v>
      </c>
      <c r="I19" s="393" t="s">
        <v>1338</v>
      </c>
      <c r="J19" s="700"/>
      <c r="K19" s="701"/>
      <c r="L19" s="702"/>
      <c r="M19" s="196"/>
      <c r="N19" s="192"/>
    </row>
    <row r="20" spans="1:14" s="191" customFormat="1" ht="33" customHeight="1">
      <c r="A20" s="205">
        <v>14</v>
      </c>
      <c r="B20" s="204" t="s">
        <v>1450</v>
      </c>
      <c r="C20" s="204" t="s">
        <v>732</v>
      </c>
      <c r="D20" s="204" t="s">
        <v>1451</v>
      </c>
      <c r="E20" s="201">
        <v>280200</v>
      </c>
      <c r="F20" s="214" t="s">
        <v>1408</v>
      </c>
      <c r="G20" s="203">
        <f>55*60*8</f>
        <v>26400</v>
      </c>
      <c r="H20" s="201">
        <v>30000</v>
      </c>
      <c r="I20" s="393" t="s">
        <v>1338</v>
      </c>
      <c r="J20" s="703"/>
      <c r="K20" s="704"/>
      <c r="L20" s="705"/>
      <c r="M20" s="196"/>
      <c r="N20" s="192"/>
    </row>
    <row r="21" spans="1:14" s="191" customFormat="1" ht="33" customHeight="1">
      <c r="A21" s="205">
        <v>14</v>
      </c>
      <c r="B21" s="204" t="s">
        <v>1450</v>
      </c>
      <c r="C21" s="204" t="s">
        <v>732</v>
      </c>
      <c r="D21" s="204" t="s">
        <v>1451</v>
      </c>
      <c r="E21" s="201">
        <v>280200</v>
      </c>
      <c r="F21" s="214" t="s">
        <v>1408</v>
      </c>
      <c r="G21" s="203">
        <f>84*60*8</f>
        <v>40320</v>
      </c>
      <c r="H21" s="201"/>
      <c r="I21" s="393" t="s">
        <v>1338</v>
      </c>
      <c r="J21" s="703"/>
      <c r="K21" s="704"/>
      <c r="L21" s="705"/>
      <c r="M21" s="196"/>
      <c r="N21" s="192"/>
    </row>
    <row r="22" spans="1:14" s="191" customFormat="1" ht="33" customHeight="1">
      <c r="A22" s="205">
        <v>16</v>
      </c>
      <c r="B22" s="204" t="s">
        <v>85</v>
      </c>
      <c r="C22" s="204" t="s">
        <v>41</v>
      </c>
      <c r="D22" s="204" t="s">
        <v>86</v>
      </c>
      <c r="E22" s="201">
        <v>600000</v>
      </c>
      <c r="F22" s="214" t="s">
        <v>1408</v>
      </c>
      <c r="G22" s="203">
        <f>100*60*8</f>
        <v>48000</v>
      </c>
      <c r="H22" s="201">
        <v>13500</v>
      </c>
      <c r="I22" s="393" t="s">
        <v>1335</v>
      </c>
      <c r="J22" s="703"/>
      <c r="K22" s="704"/>
      <c r="L22" s="705"/>
      <c r="M22" s="196"/>
      <c r="N22" s="192"/>
    </row>
    <row r="23" spans="1:14" s="191" customFormat="1" ht="33" customHeight="1">
      <c r="A23" s="205">
        <v>18</v>
      </c>
      <c r="B23" s="204" t="s">
        <v>335</v>
      </c>
      <c r="C23" s="204" t="s">
        <v>324</v>
      </c>
      <c r="D23" s="204" t="s">
        <v>61</v>
      </c>
      <c r="E23" s="201">
        <v>142500</v>
      </c>
      <c r="F23" s="214" t="s">
        <v>1409</v>
      </c>
      <c r="G23" s="203">
        <f>110*60*10.5</f>
        <v>69300</v>
      </c>
      <c r="H23" s="201">
        <v>17700</v>
      </c>
      <c r="I23" s="393" t="s">
        <v>1335</v>
      </c>
      <c r="J23" s="703"/>
      <c r="K23" s="704"/>
      <c r="L23" s="705"/>
      <c r="M23" s="196"/>
      <c r="N23" s="192"/>
    </row>
    <row r="24" spans="1:14" s="191" customFormat="1" ht="33" customHeight="1">
      <c r="A24" s="206">
        <v>18</v>
      </c>
      <c r="B24" s="204" t="s">
        <v>342</v>
      </c>
      <c r="C24" s="204" t="s">
        <v>324</v>
      </c>
      <c r="D24" s="204" t="s">
        <v>183</v>
      </c>
      <c r="E24" s="201">
        <v>200000</v>
      </c>
      <c r="F24" s="214" t="s">
        <v>1409</v>
      </c>
      <c r="G24" s="203">
        <f>110*60*10.5</f>
        <v>69300</v>
      </c>
      <c r="H24" s="201">
        <v>32900</v>
      </c>
      <c r="I24" s="393" t="s">
        <v>1335</v>
      </c>
      <c r="J24" s="703"/>
      <c r="K24" s="704"/>
      <c r="L24" s="705"/>
      <c r="M24" s="196"/>
      <c r="N24" s="192"/>
    </row>
    <row r="25" spans="1:14" s="191" customFormat="1" ht="33" customHeight="1">
      <c r="A25" s="205">
        <v>25</v>
      </c>
      <c r="B25" s="204" t="s">
        <v>125</v>
      </c>
      <c r="C25" s="204" t="s">
        <v>980</v>
      </c>
      <c r="D25" s="204" t="s">
        <v>57</v>
      </c>
      <c r="E25" s="201">
        <v>130000</v>
      </c>
      <c r="F25" s="214" t="s">
        <v>1409</v>
      </c>
      <c r="G25" s="203">
        <f>96*60*10.5</f>
        <v>60480</v>
      </c>
      <c r="H25" s="201">
        <v>39800</v>
      </c>
      <c r="I25" s="393" t="s">
        <v>1329</v>
      </c>
      <c r="J25" s="703"/>
      <c r="K25" s="704"/>
      <c r="L25" s="705"/>
      <c r="M25" s="196"/>
      <c r="N25" s="192"/>
    </row>
    <row r="26" spans="1:14" s="191" customFormat="1" ht="33" customHeight="1">
      <c r="A26" s="206">
        <v>25</v>
      </c>
      <c r="B26" s="204" t="s">
        <v>975</v>
      </c>
      <c r="C26" s="204" t="s">
        <v>977</v>
      </c>
      <c r="D26" s="204" t="s">
        <v>57</v>
      </c>
      <c r="E26" s="201">
        <v>300000</v>
      </c>
      <c r="F26" s="214" t="s">
        <v>1526</v>
      </c>
      <c r="G26" s="203">
        <f t="shared" ref="G26:G31" si="0">180*60*12</f>
        <v>129600</v>
      </c>
      <c r="H26" s="201">
        <v>16500</v>
      </c>
      <c r="I26" s="393" t="s">
        <v>1329</v>
      </c>
      <c r="J26" s="706"/>
      <c r="K26" s="704"/>
      <c r="L26" s="705"/>
      <c r="M26" s="196"/>
      <c r="N26" s="192"/>
    </row>
    <row r="27" spans="1:14" s="191" customFormat="1" ht="33" customHeight="1">
      <c r="A27" s="206">
        <v>26</v>
      </c>
      <c r="B27" s="204" t="s">
        <v>71</v>
      </c>
      <c r="C27" s="204" t="s">
        <v>72</v>
      </c>
      <c r="D27" s="204" t="s">
        <v>56</v>
      </c>
      <c r="E27" s="201">
        <v>99000</v>
      </c>
      <c r="F27" s="214" t="s">
        <v>1526</v>
      </c>
      <c r="G27" s="203">
        <f t="shared" si="0"/>
        <v>129600</v>
      </c>
      <c r="H27" s="201">
        <v>97000</v>
      </c>
      <c r="I27" s="393" t="s">
        <v>1329</v>
      </c>
      <c r="J27" s="703"/>
      <c r="K27" s="704"/>
      <c r="L27" s="705"/>
      <c r="M27" s="196"/>
      <c r="N27" s="192"/>
    </row>
    <row r="28" spans="1:14" s="191" customFormat="1" ht="33" customHeight="1">
      <c r="A28" s="206">
        <v>26</v>
      </c>
      <c r="B28" s="204" t="s">
        <v>906</v>
      </c>
      <c r="C28" s="204" t="s">
        <v>629</v>
      </c>
      <c r="D28" s="204" t="s">
        <v>59</v>
      </c>
      <c r="E28" s="201">
        <v>200000</v>
      </c>
      <c r="F28" s="214" t="s">
        <v>1526</v>
      </c>
      <c r="G28" s="203">
        <f t="shared" si="0"/>
        <v>129600</v>
      </c>
      <c r="H28" s="201">
        <v>86000</v>
      </c>
      <c r="I28" s="393" t="s">
        <v>1329</v>
      </c>
      <c r="J28" s="703"/>
      <c r="K28" s="704"/>
      <c r="L28" s="705"/>
      <c r="M28" s="196"/>
      <c r="N28" s="192"/>
    </row>
    <row r="29" spans="1:14" s="191" customFormat="1" ht="33" customHeight="1">
      <c r="A29" s="206">
        <v>31</v>
      </c>
      <c r="B29" s="204" t="s">
        <v>404</v>
      </c>
      <c r="C29" s="204" t="s">
        <v>324</v>
      </c>
      <c r="D29" s="204" t="s">
        <v>673</v>
      </c>
      <c r="E29" s="201">
        <v>158000</v>
      </c>
      <c r="F29" s="459" t="s">
        <v>1526</v>
      </c>
      <c r="G29" s="460">
        <f t="shared" si="0"/>
        <v>129600</v>
      </c>
      <c r="H29" s="461">
        <f>85000</f>
        <v>85000</v>
      </c>
      <c r="I29" s="462" t="s">
        <v>1336</v>
      </c>
      <c r="J29" s="712"/>
      <c r="K29" s="701"/>
      <c r="L29" s="702"/>
      <c r="M29" s="196"/>
      <c r="N29" s="192"/>
    </row>
    <row r="30" spans="1:14" s="191" customFormat="1" ht="33" customHeight="1">
      <c r="A30" s="206">
        <v>31</v>
      </c>
      <c r="B30" s="204" t="s">
        <v>1669</v>
      </c>
      <c r="C30" s="204" t="s">
        <v>113</v>
      </c>
      <c r="D30" s="204" t="s">
        <v>673</v>
      </c>
      <c r="E30" s="201">
        <v>100000</v>
      </c>
      <c r="F30" s="459" t="s">
        <v>1526</v>
      </c>
      <c r="G30" s="460">
        <f t="shared" si="0"/>
        <v>129600</v>
      </c>
      <c r="H30" s="461">
        <f>88000+95000+70200</f>
        <v>253200</v>
      </c>
      <c r="I30" s="462" t="s">
        <v>1491</v>
      </c>
      <c r="J30" s="712"/>
      <c r="K30" s="701"/>
      <c r="L30" s="702"/>
      <c r="M30" s="196"/>
      <c r="N30" s="192"/>
    </row>
    <row r="31" spans="1:14" s="191" customFormat="1" ht="33" customHeight="1">
      <c r="A31" s="206">
        <v>22</v>
      </c>
      <c r="B31" s="204" t="s">
        <v>892</v>
      </c>
      <c r="C31" s="204" t="s">
        <v>629</v>
      </c>
      <c r="D31" s="204" t="s">
        <v>59</v>
      </c>
      <c r="E31" s="201">
        <v>80000</v>
      </c>
      <c r="F31" s="459" t="s">
        <v>1526</v>
      </c>
      <c r="G31" s="460">
        <f t="shared" si="0"/>
        <v>129600</v>
      </c>
      <c r="H31" s="461">
        <f>94000+96000</f>
        <v>190000</v>
      </c>
      <c r="I31" s="462" t="s">
        <v>1337</v>
      </c>
      <c r="J31" s="700"/>
      <c r="K31" s="701"/>
      <c r="L31" s="702"/>
      <c r="M31" s="196"/>
      <c r="N31" s="192"/>
    </row>
    <row r="32" spans="1:14" s="191" customFormat="1" ht="33" customHeight="1">
      <c r="A32" s="206">
        <v>27</v>
      </c>
      <c r="B32" s="204" t="s">
        <v>1667</v>
      </c>
      <c r="C32" s="204" t="s">
        <v>204</v>
      </c>
      <c r="D32" s="204" t="s">
        <v>59</v>
      </c>
      <c r="E32" s="201">
        <v>50000</v>
      </c>
      <c r="F32" s="459" t="s">
        <v>1569</v>
      </c>
      <c r="G32" s="460">
        <f>180*60*11</f>
        <v>118800</v>
      </c>
      <c r="H32" s="461"/>
      <c r="I32" s="462" t="s">
        <v>1491</v>
      </c>
      <c r="J32" s="712"/>
      <c r="K32" s="701"/>
      <c r="L32" s="702"/>
      <c r="M32" s="196"/>
      <c r="N32" s="192"/>
    </row>
    <row r="33" spans="1:14" s="191" customFormat="1" ht="33" customHeight="1">
      <c r="A33" s="205">
        <v>30</v>
      </c>
      <c r="B33" s="204" t="s">
        <v>1394</v>
      </c>
      <c r="C33" s="204" t="s">
        <v>1395</v>
      </c>
      <c r="D33" s="204" t="s">
        <v>1396</v>
      </c>
      <c r="E33" s="201">
        <v>352800</v>
      </c>
      <c r="F33" s="214" t="s">
        <v>1569</v>
      </c>
      <c r="G33" s="203">
        <f>180*60*11</f>
        <v>118800</v>
      </c>
      <c r="H33" s="201">
        <v>94000</v>
      </c>
      <c r="I33" s="393" t="s">
        <v>1491</v>
      </c>
      <c r="J33" s="706"/>
      <c r="K33" s="704"/>
      <c r="L33" s="705"/>
      <c r="M33" s="196"/>
      <c r="N33" s="192"/>
    </row>
    <row r="34" spans="1:14" s="191" customFormat="1" ht="33" customHeight="1">
      <c r="A34" s="206">
        <v>51</v>
      </c>
      <c r="B34" s="204" t="s">
        <v>208</v>
      </c>
      <c r="C34" s="204" t="s">
        <v>209</v>
      </c>
      <c r="D34" s="204" t="s">
        <v>194</v>
      </c>
      <c r="E34" s="201">
        <v>3251300</v>
      </c>
      <c r="F34" s="214" t="s">
        <v>1569</v>
      </c>
      <c r="G34" s="203">
        <f>180*60*11</f>
        <v>118800</v>
      </c>
      <c r="H34" s="201">
        <v>21000</v>
      </c>
      <c r="I34" s="393" t="s">
        <v>1673</v>
      </c>
      <c r="J34" s="706"/>
      <c r="K34" s="704"/>
      <c r="L34" s="705"/>
      <c r="M34" s="196"/>
      <c r="N34" s="192"/>
    </row>
    <row r="35" spans="1:14" s="191" customFormat="1" ht="33" customHeight="1">
      <c r="A35" s="206">
        <v>54</v>
      </c>
      <c r="B35" s="204" t="s">
        <v>176</v>
      </c>
      <c r="C35" s="204" t="s">
        <v>148</v>
      </c>
      <c r="D35" s="204" t="s">
        <v>194</v>
      </c>
      <c r="E35" s="201">
        <v>2386000</v>
      </c>
      <c r="F35" s="214" t="s">
        <v>1569</v>
      </c>
      <c r="G35" s="203">
        <f>180*60*11</f>
        <v>118800</v>
      </c>
      <c r="H35" s="201">
        <v>20500</v>
      </c>
      <c r="I35" s="393" t="s">
        <v>1673</v>
      </c>
      <c r="J35" s="706"/>
      <c r="K35" s="704"/>
      <c r="L35" s="705"/>
      <c r="M35" s="196"/>
      <c r="N35" s="192"/>
    </row>
    <row r="36" spans="1:14" s="191" customFormat="1" ht="33" customHeight="1">
      <c r="A36" s="624" t="s">
        <v>1670</v>
      </c>
      <c r="B36" s="625"/>
      <c r="C36" s="625"/>
      <c r="D36" s="625"/>
      <c r="E36" s="713"/>
      <c r="F36" s="214"/>
      <c r="G36" s="203"/>
      <c r="H36" s="201"/>
      <c r="I36" s="393"/>
      <c r="J36" s="706"/>
      <c r="K36" s="704"/>
      <c r="L36" s="705"/>
      <c r="M36" s="196"/>
      <c r="N36" s="192"/>
    </row>
    <row r="37" spans="1:14" s="191" customFormat="1" ht="33" customHeight="1">
      <c r="A37" s="624" t="s">
        <v>1671</v>
      </c>
      <c r="B37" s="625"/>
      <c r="C37" s="625"/>
      <c r="D37" s="625"/>
      <c r="E37" s="713"/>
      <c r="F37" s="214"/>
      <c r="G37" s="203"/>
      <c r="H37" s="201"/>
      <c r="I37" s="393"/>
      <c r="J37" s="703"/>
      <c r="K37" s="704"/>
      <c r="L37" s="705"/>
      <c r="M37" s="196"/>
      <c r="N37" s="192"/>
    </row>
    <row r="38" spans="1:14" s="191" customFormat="1" ht="33" customHeight="1">
      <c r="A38" s="206" t="s">
        <v>1660</v>
      </c>
      <c r="B38" s="210"/>
      <c r="C38" s="210"/>
      <c r="D38" s="210"/>
      <c r="E38" s="210"/>
      <c r="F38" s="210"/>
      <c r="G38" s="210">
        <f>180*60*12</f>
        <v>129600</v>
      </c>
      <c r="H38" s="207">
        <f>SUM(H7:H37)</f>
        <v>1176200</v>
      </c>
      <c r="I38" s="394"/>
      <c r="J38" s="706"/>
      <c r="K38" s="704"/>
      <c r="L38" s="705"/>
      <c r="M38" s="196"/>
      <c r="N38" s="192"/>
    </row>
    <row r="39" spans="1:14" s="191" customFormat="1" ht="15.75" customHeight="1">
      <c r="A39" s="197"/>
      <c r="B39" s="197"/>
      <c r="C39" s="197"/>
      <c r="D39" s="197"/>
      <c r="E39" s="198"/>
      <c r="F39" s="198"/>
      <c r="G39" s="198"/>
      <c r="H39" s="198"/>
      <c r="I39" s="198"/>
      <c r="J39" s="198"/>
      <c r="K39" s="198"/>
    </row>
    <row r="40" spans="1:14" s="191" customFormat="1" ht="15.75" customHeight="1">
      <c r="A40" s="197"/>
      <c r="B40" s="197"/>
      <c r="C40" s="197"/>
      <c r="D40" s="197"/>
      <c r="E40" s="198"/>
      <c r="F40" s="198"/>
      <c r="G40" s="198"/>
      <c r="H40" s="198"/>
      <c r="I40" s="198"/>
      <c r="J40" s="198"/>
      <c r="K40" s="198"/>
    </row>
    <row r="41" spans="1:14" s="191" customFormat="1" ht="15.75" customHeight="1">
      <c r="A41" s="197"/>
      <c r="B41" s="197"/>
      <c r="C41" s="197"/>
      <c r="D41" s="197"/>
      <c r="E41" s="198"/>
      <c r="F41" s="198"/>
      <c r="G41" s="198"/>
      <c r="H41" s="198"/>
      <c r="I41" s="198"/>
      <c r="J41" s="198"/>
      <c r="K41" s="198"/>
    </row>
    <row r="42" spans="1:14" s="191" customFormat="1" ht="15.75" customHeight="1">
      <c r="A42" s="197"/>
      <c r="B42" s="197"/>
      <c r="C42" s="197"/>
      <c r="D42" s="197"/>
      <c r="E42" s="198"/>
      <c r="F42" s="198"/>
      <c r="G42" s="198"/>
      <c r="H42" s="198"/>
      <c r="I42" s="198"/>
      <c r="J42" s="198"/>
      <c r="K42" s="198"/>
    </row>
    <row r="43" spans="1:14" s="191" customFormat="1" ht="15.75" customHeight="1">
      <c r="A43" s="197"/>
      <c r="B43" s="197"/>
      <c r="C43" s="197"/>
      <c r="D43" s="197"/>
      <c r="E43" s="198"/>
      <c r="F43" s="198"/>
      <c r="G43" s="198"/>
      <c r="H43" s="198"/>
      <c r="I43" s="198"/>
      <c r="J43" s="198"/>
      <c r="K43" s="198"/>
    </row>
    <row r="44" spans="1:14" s="191" customFormat="1" ht="15.75" customHeight="1">
      <c r="A44" s="197"/>
      <c r="B44" s="197"/>
      <c r="C44" s="197"/>
      <c r="D44" s="197"/>
      <c r="E44" s="198"/>
      <c r="F44" s="198"/>
      <c r="G44" s="198"/>
      <c r="H44" s="198"/>
      <c r="I44" s="198"/>
      <c r="J44" s="198"/>
      <c r="K44" s="198"/>
    </row>
    <row r="45" spans="1:14" s="191" customFormat="1" ht="15.75" customHeight="1">
      <c r="A45" s="197"/>
      <c r="B45" s="197"/>
      <c r="C45" s="197"/>
      <c r="D45" s="197"/>
      <c r="E45" s="198"/>
      <c r="F45" s="198"/>
      <c r="G45" s="198"/>
      <c r="H45" s="198"/>
      <c r="I45" s="198"/>
      <c r="J45" s="198"/>
      <c r="K45" s="198"/>
    </row>
    <row r="46" spans="1:14" s="191" customFormat="1" ht="15.75">
      <c r="A46" s="197"/>
      <c r="B46" s="197"/>
      <c r="C46" s="197"/>
      <c r="D46" s="197"/>
      <c r="E46" s="198"/>
      <c r="F46" s="198"/>
      <c r="G46" s="198"/>
      <c r="H46" s="198"/>
      <c r="I46" s="198"/>
      <c r="J46" s="198"/>
      <c r="K46" s="198"/>
    </row>
    <row r="47" spans="1:14" s="191" customFormat="1" ht="15.75">
      <c r="A47" s="197"/>
      <c r="B47" s="197"/>
      <c r="C47" s="197"/>
      <c r="D47" s="197"/>
      <c r="E47" s="198"/>
      <c r="F47" s="198"/>
      <c r="G47" s="198"/>
      <c r="H47" s="198"/>
      <c r="I47" s="198"/>
      <c r="J47" s="198"/>
      <c r="K47" s="198"/>
    </row>
    <row r="48" spans="1:14" s="191" customFormat="1" ht="15.75">
      <c r="A48" s="197"/>
      <c r="B48" s="197"/>
      <c r="C48" s="197"/>
      <c r="D48" s="197"/>
      <c r="E48" s="198"/>
      <c r="F48" s="198"/>
      <c r="G48" s="198"/>
      <c r="H48" s="198"/>
      <c r="I48" s="198"/>
      <c r="J48" s="198"/>
      <c r="K48" s="198"/>
    </row>
    <row r="49" spans="1:11" s="191" customFormat="1" ht="15.75">
      <c r="A49" s="197"/>
      <c r="B49" s="197"/>
      <c r="C49" s="197"/>
      <c r="D49" s="197"/>
      <c r="E49" s="198"/>
      <c r="F49" s="198"/>
      <c r="G49" s="198"/>
      <c r="H49" s="198"/>
      <c r="I49" s="198"/>
      <c r="J49" s="198"/>
      <c r="K49" s="198"/>
    </row>
    <row r="50" spans="1:11" s="191" customFormat="1" ht="15.75">
      <c r="A50" s="197"/>
      <c r="B50" s="197"/>
      <c r="C50" s="197"/>
      <c r="D50" s="197"/>
      <c r="E50" s="198"/>
      <c r="F50" s="198"/>
      <c r="G50" s="198"/>
      <c r="H50" s="198"/>
      <c r="I50" s="198"/>
      <c r="J50" s="198"/>
      <c r="K50" s="198"/>
    </row>
    <row r="51" spans="1:11" s="191" customFormat="1" ht="15.75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</row>
    <row r="52" spans="1:11" s="191" customFormat="1" ht="15.75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</row>
    <row r="53" spans="1:11" s="191" customFormat="1" ht="15.75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</row>
    <row r="54" spans="1:11" s="191" customFormat="1" ht="15.75">
      <c r="A54" s="197"/>
      <c r="B54" s="197"/>
      <c r="C54" s="197"/>
      <c r="D54" s="197"/>
      <c r="E54" s="197"/>
      <c r="F54" s="197"/>
      <c r="G54" s="197"/>
      <c r="H54" s="197"/>
      <c r="I54" s="197"/>
      <c r="J54" s="197"/>
      <c r="K54" s="197"/>
    </row>
    <row r="55" spans="1:11" s="191" customFormat="1" ht="15.75">
      <c r="A55" s="197"/>
      <c r="B55" s="197"/>
      <c r="C55" s="197"/>
      <c r="D55" s="197"/>
      <c r="E55" s="197"/>
      <c r="F55" s="197"/>
      <c r="G55" s="197"/>
      <c r="H55" s="197"/>
      <c r="I55" s="197"/>
      <c r="J55" s="197"/>
      <c r="K55" s="197"/>
    </row>
    <row r="56" spans="1:11" s="191" customFormat="1" ht="15.75">
      <c r="A56" s="197"/>
      <c r="B56" s="197"/>
      <c r="C56" s="197"/>
      <c r="D56" s="197"/>
      <c r="E56" s="197"/>
      <c r="F56" s="197"/>
      <c r="G56" s="197"/>
      <c r="H56" s="197"/>
      <c r="I56" s="197"/>
      <c r="J56" s="197"/>
      <c r="K56" s="197"/>
    </row>
    <row r="57" spans="1:11" s="191" customFormat="1" ht="15.75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</row>
    <row r="58" spans="1:11" s="191" customFormat="1" ht="15.75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</row>
    <row r="59" spans="1:11" s="191" customFormat="1" ht="15.75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</row>
    <row r="60" spans="1:11" s="191" customFormat="1" ht="15.75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</row>
    <row r="61" spans="1:11" s="191" customFormat="1" ht="15.75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</row>
  </sheetData>
  <mergeCells count="44">
    <mergeCell ref="J38:L38"/>
    <mergeCell ref="A36:E36"/>
    <mergeCell ref="A37:E37"/>
    <mergeCell ref="J32:L32"/>
    <mergeCell ref="J33:L33"/>
    <mergeCell ref="J34:L34"/>
    <mergeCell ref="J35:L35"/>
    <mergeCell ref="J36:L36"/>
    <mergeCell ref="J37:L37"/>
    <mergeCell ref="J31:L31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30:L30"/>
    <mergeCell ref="J19:L19"/>
    <mergeCell ref="J7:L7"/>
    <mergeCell ref="J8:L8"/>
    <mergeCell ref="J9:L9"/>
    <mergeCell ref="J10:L10"/>
    <mergeCell ref="J11:L11"/>
    <mergeCell ref="J12:L12"/>
    <mergeCell ref="J13:L13"/>
    <mergeCell ref="J14:L14"/>
    <mergeCell ref="J16:L16"/>
    <mergeCell ref="J17:L17"/>
    <mergeCell ref="J18:L18"/>
    <mergeCell ref="J15:L15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</mergeCells>
  <phoneticPr fontId="74" type="noConversion"/>
  <conditionalFormatting sqref="H7:I37">
    <cfRule type="cellIs" dxfId="26" priority="1" operator="lessThan">
      <formula>0</formula>
    </cfRule>
  </conditionalFormatting>
  <printOptions horizontalCentered="1"/>
  <pageMargins left="0" right="0" top="0" bottom="0" header="0" footer="0"/>
  <pageSetup paperSize="9" scale="52" fitToHeight="0" orientation="portrait" r:id="rId1"/>
  <headerFooter>
    <oddFooter>&amp;LQ401-2&amp;CHANSUNGBOLT VINA&amp;RA4 (210 x 297mm)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6">
    <pageSetUpPr fitToPage="1"/>
  </sheetPr>
  <dimension ref="A1:N72"/>
  <sheetViews>
    <sheetView view="pageBreakPreview" zoomScale="60" zoomScaleNormal="85" workbookViewId="0">
      <selection activeCell="C23" sqref="C23:E2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3.425781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3.42578125" style="190" customWidth="1"/>
    <col min="16" max="16" width="15.42578125" style="190" customWidth="1"/>
    <col min="17" max="43" width="3.42578125" style="190" customWidth="1"/>
    <col min="44" max="16384" width="9.140625" style="190"/>
  </cols>
  <sheetData>
    <row r="1" spans="1:14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4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4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4" ht="20.25" customHeight="1">
      <c r="A4" s="698" t="s">
        <v>1634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4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4" s="191" customFormat="1" ht="29.25" customHeight="1">
      <c r="A6" s="683"/>
      <c r="B6" s="683"/>
      <c r="C6" s="683"/>
      <c r="D6" s="683"/>
      <c r="E6" s="211" t="s">
        <v>1553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4" s="191" customFormat="1" ht="33" customHeight="1">
      <c r="A7" s="199">
        <v>1</v>
      </c>
      <c r="B7" s="200" t="s">
        <v>24</v>
      </c>
      <c r="C7" s="200" t="s">
        <v>37</v>
      </c>
      <c r="D7" s="200" t="s">
        <v>49</v>
      </c>
      <c r="E7" s="201">
        <v>9700</v>
      </c>
      <c r="F7" s="213" t="s">
        <v>1408</v>
      </c>
      <c r="G7" s="201">
        <f>47*60*8</f>
        <v>22560</v>
      </c>
      <c r="H7" s="201"/>
      <c r="I7" s="393" t="s">
        <v>1328</v>
      </c>
      <c r="J7" s="703" t="s">
        <v>1657</v>
      </c>
      <c r="K7" s="704"/>
      <c r="L7" s="705"/>
      <c r="M7" s="192"/>
      <c r="N7" s="192"/>
    </row>
    <row r="8" spans="1:14" s="191" customFormat="1" ht="33" customHeight="1">
      <c r="A8" s="199">
        <v>2</v>
      </c>
      <c r="B8" s="200" t="s">
        <v>496</v>
      </c>
      <c r="C8" s="200" t="s">
        <v>498</v>
      </c>
      <c r="D8" s="200" t="s">
        <v>499</v>
      </c>
      <c r="E8" s="201">
        <v>25000</v>
      </c>
      <c r="F8" s="213" t="s">
        <v>1658</v>
      </c>
      <c r="G8" s="201">
        <f>44*60*10</f>
        <v>26400</v>
      </c>
      <c r="H8" s="201">
        <v>13000</v>
      </c>
      <c r="I8" s="393" t="s">
        <v>1334</v>
      </c>
      <c r="J8" s="706" t="s">
        <v>1659</v>
      </c>
      <c r="K8" s="704"/>
      <c r="L8" s="705"/>
      <c r="M8" s="192"/>
      <c r="N8" s="192"/>
    </row>
    <row r="9" spans="1:14" s="191" customFormat="1" ht="33" customHeight="1">
      <c r="A9" s="199">
        <v>3</v>
      </c>
      <c r="B9" s="200" t="s">
        <v>151</v>
      </c>
      <c r="C9" s="200" t="s">
        <v>152</v>
      </c>
      <c r="D9" s="200" t="s">
        <v>210</v>
      </c>
      <c r="E9" s="201">
        <v>13400</v>
      </c>
      <c r="F9" s="213" t="s">
        <v>1408</v>
      </c>
      <c r="G9" s="201">
        <f>55*60*8</f>
        <v>26400</v>
      </c>
      <c r="H9" s="201">
        <v>26500</v>
      </c>
      <c r="I9" s="393" t="s">
        <v>1330</v>
      </c>
      <c r="J9" s="703" t="s">
        <v>1556</v>
      </c>
      <c r="K9" s="704"/>
      <c r="L9" s="705"/>
      <c r="M9" s="192"/>
      <c r="N9" s="192"/>
    </row>
    <row r="10" spans="1:14" s="195" customFormat="1" ht="33" customHeight="1">
      <c r="A10" s="199">
        <v>4</v>
      </c>
      <c r="B10" s="203" t="s">
        <v>90</v>
      </c>
      <c r="C10" s="204" t="s">
        <v>91</v>
      </c>
      <c r="D10" s="203" t="s">
        <v>205</v>
      </c>
      <c r="E10" s="203">
        <v>45600</v>
      </c>
      <c r="F10" s="213" t="s">
        <v>1408</v>
      </c>
      <c r="G10" s="494">
        <f>65*60*8</f>
        <v>31200</v>
      </c>
      <c r="H10" s="495">
        <v>35300</v>
      </c>
      <c r="I10" s="496" t="s">
        <v>1330</v>
      </c>
      <c r="J10" s="707" t="s">
        <v>1521</v>
      </c>
      <c r="K10" s="708"/>
      <c r="L10" s="709"/>
      <c r="M10" s="194"/>
      <c r="N10" s="192"/>
    </row>
    <row r="11" spans="1:14" s="195" customFormat="1" ht="33" customHeight="1">
      <c r="A11" s="199">
        <v>5</v>
      </c>
      <c r="B11" s="200" t="s">
        <v>206</v>
      </c>
      <c r="C11" s="200" t="s">
        <v>36</v>
      </c>
      <c r="D11" s="200" t="s">
        <v>1459</v>
      </c>
      <c r="E11" s="201">
        <v>25000</v>
      </c>
      <c r="F11" s="213" t="s">
        <v>1658</v>
      </c>
      <c r="G11" s="201">
        <f>45*60*10</f>
        <v>27000</v>
      </c>
      <c r="H11" s="201">
        <v>16000</v>
      </c>
      <c r="I11" s="393" t="s">
        <v>1334</v>
      </c>
      <c r="J11" s="703" t="s">
        <v>1661</v>
      </c>
      <c r="K11" s="704"/>
      <c r="L11" s="705"/>
      <c r="M11" s="194"/>
      <c r="N11" s="192"/>
    </row>
    <row r="12" spans="1:14" s="195" customFormat="1" ht="33" customHeight="1">
      <c r="A12" s="199">
        <v>6</v>
      </c>
      <c r="B12" s="200" t="s">
        <v>139</v>
      </c>
      <c r="C12" s="200" t="s">
        <v>140</v>
      </c>
      <c r="D12" s="200" t="s">
        <v>1583</v>
      </c>
      <c r="E12" s="201">
        <v>27000</v>
      </c>
      <c r="F12" s="213">
        <v>10</v>
      </c>
      <c r="G12" s="201">
        <f>42*60*10</f>
        <v>25200</v>
      </c>
      <c r="H12" s="201">
        <v>15000</v>
      </c>
      <c r="I12" s="393" t="s">
        <v>1334</v>
      </c>
      <c r="J12" s="706" t="s">
        <v>1605</v>
      </c>
      <c r="K12" s="704"/>
      <c r="L12" s="705"/>
      <c r="M12" s="194"/>
      <c r="N12" s="192"/>
    </row>
    <row r="13" spans="1:14" s="195" customFormat="1" ht="33" customHeight="1">
      <c r="A13" s="199" t="s">
        <v>1597</v>
      </c>
      <c r="B13" s="200" t="s">
        <v>171</v>
      </c>
      <c r="C13" s="200" t="s">
        <v>172</v>
      </c>
      <c r="D13" s="200" t="s">
        <v>177</v>
      </c>
      <c r="E13" s="201">
        <v>63000</v>
      </c>
      <c r="F13" s="213" t="s">
        <v>1408</v>
      </c>
      <c r="G13" s="201">
        <f>138*60*8</f>
        <v>66240</v>
      </c>
      <c r="H13" s="201">
        <v>17000</v>
      </c>
      <c r="I13" s="393" t="s">
        <v>1331</v>
      </c>
      <c r="J13" s="706" t="s">
        <v>1662</v>
      </c>
      <c r="K13" s="704"/>
      <c r="L13" s="705"/>
      <c r="M13" s="194"/>
      <c r="N13" s="192"/>
    </row>
    <row r="14" spans="1:14" s="195" customFormat="1" ht="33" customHeight="1">
      <c r="A14" s="202" t="s">
        <v>66</v>
      </c>
      <c r="B14" s="203" t="s">
        <v>74</v>
      </c>
      <c r="C14" s="204" t="s">
        <v>75</v>
      </c>
      <c r="D14" s="203" t="s">
        <v>177</v>
      </c>
      <c r="E14" s="203"/>
      <c r="F14" s="214" t="s">
        <v>1408</v>
      </c>
      <c r="G14" s="201">
        <f>138*60*8</f>
        <v>66240</v>
      </c>
      <c r="H14" s="201"/>
      <c r="I14" s="393" t="s">
        <v>1331</v>
      </c>
      <c r="J14" s="703" t="s">
        <v>1663</v>
      </c>
      <c r="K14" s="704"/>
      <c r="L14" s="705"/>
      <c r="M14" s="194"/>
      <c r="N14" s="192"/>
    </row>
    <row r="15" spans="1:14" s="191" customFormat="1" ht="33" customHeight="1">
      <c r="A15" s="202" t="s">
        <v>218</v>
      </c>
      <c r="B15" s="203" t="s">
        <v>27</v>
      </c>
      <c r="C15" s="204" t="s">
        <v>40</v>
      </c>
      <c r="D15" s="203" t="s">
        <v>52</v>
      </c>
      <c r="E15" s="203">
        <f>75000+40000</f>
        <v>115000</v>
      </c>
      <c r="F15" s="214" t="s">
        <v>1408</v>
      </c>
      <c r="G15" s="201">
        <f>50*60*8</f>
        <v>24000</v>
      </c>
      <c r="H15" s="201">
        <v>20000</v>
      </c>
      <c r="I15" s="393" t="s">
        <v>1331</v>
      </c>
      <c r="J15" s="703" t="s">
        <v>1608</v>
      </c>
      <c r="K15" s="704"/>
      <c r="L15" s="705"/>
      <c r="M15" s="192"/>
      <c r="N15" s="192"/>
    </row>
    <row r="16" spans="1:14" s="191" customFormat="1" ht="33" customHeight="1">
      <c r="A16" s="202">
        <v>8</v>
      </c>
      <c r="B16" s="203" t="s">
        <v>26</v>
      </c>
      <c r="C16" s="204" t="s">
        <v>39</v>
      </c>
      <c r="D16" s="203" t="s">
        <v>51</v>
      </c>
      <c r="E16" s="203">
        <v>32000</v>
      </c>
      <c r="F16" s="214" t="s">
        <v>1408</v>
      </c>
      <c r="G16" s="201">
        <f>52*60*8</f>
        <v>24960</v>
      </c>
      <c r="H16" s="201">
        <v>7500</v>
      </c>
      <c r="I16" s="393" t="s">
        <v>1489</v>
      </c>
      <c r="J16" s="703" t="s">
        <v>1664</v>
      </c>
      <c r="K16" s="710"/>
      <c r="L16" s="711"/>
      <c r="M16" s="192"/>
      <c r="N16" s="192"/>
    </row>
    <row r="17" spans="1:14" s="191" customFormat="1" ht="33" customHeight="1">
      <c r="A17" s="205">
        <v>8</v>
      </c>
      <c r="B17" s="204" t="s">
        <v>1401</v>
      </c>
      <c r="C17" s="204" t="s">
        <v>828</v>
      </c>
      <c r="D17" s="204" t="s">
        <v>1402</v>
      </c>
      <c r="E17" s="203">
        <v>15000</v>
      </c>
      <c r="F17" s="214" t="s">
        <v>1408</v>
      </c>
      <c r="G17" s="203">
        <f>52*60*8</f>
        <v>24960</v>
      </c>
      <c r="H17" s="201">
        <v>1800</v>
      </c>
      <c r="I17" s="393" t="s">
        <v>1489</v>
      </c>
      <c r="J17" s="703" t="s">
        <v>1665</v>
      </c>
      <c r="K17" s="704"/>
      <c r="L17" s="705"/>
      <c r="M17" s="196"/>
      <c r="N17" s="192"/>
    </row>
    <row r="18" spans="1:14" s="191" customFormat="1" ht="33" customHeight="1">
      <c r="A18" s="205" t="s">
        <v>1481</v>
      </c>
      <c r="B18" s="204" t="s">
        <v>198</v>
      </c>
      <c r="C18" s="204" t="s">
        <v>199</v>
      </c>
      <c r="D18" s="204" t="s">
        <v>54</v>
      </c>
      <c r="E18" s="203">
        <v>33700</v>
      </c>
      <c r="F18" s="214" t="s">
        <v>1408</v>
      </c>
      <c r="G18" s="203">
        <f>95*60*8</f>
        <v>45600</v>
      </c>
      <c r="H18" s="201">
        <v>27000</v>
      </c>
      <c r="I18" s="393" t="s">
        <v>1491</v>
      </c>
      <c r="J18" s="700" t="s">
        <v>1666</v>
      </c>
      <c r="K18" s="701"/>
      <c r="L18" s="702"/>
      <c r="M18" s="196"/>
      <c r="N18" s="192"/>
    </row>
    <row r="19" spans="1:14" s="191" customFormat="1" ht="33" customHeight="1">
      <c r="A19" s="205">
        <v>9</v>
      </c>
      <c r="B19" s="204" t="s">
        <v>30</v>
      </c>
      <c r="C19" s="204" t="s">
        <v>43</v>
      </c>
      <c r="D19" s="204" t="s">
        <v>55</v>
      </c>
      <c r="E19" s="203">
        <v>34000</v>
      </c>
      <c r="F19" s="214" t="s">
        <v>1408</v>
      </c>
      <c r="G19" s="203">
        <f>55*60*8</f>
        <v>26400</v>
      </c>
      <c r="H19" s="201">
        <v>30000</v>
      </c>
      <c r="I19" s="393" t="s">
        <v>1491</v>
      </c>
      <c r="J19" s="703" t="s">
        <v>1607</v>
      </c>
      <c r="K19" s="704"/>
      <c r="L19" s="705"/>
      <c r="M19" s="196"/>
      <c r="N19" s="192"/>
    </row>
    <row r="20" spans="1:14" s="191" customFormat="1" ht="33" customHeight="1">
      <c r="A20" s="205">
        <v>10</v>
      </c>
      <c r="B20" s="204" t="s">
        <v>926</v>
      </c>
      <c r="C20" s="204" t="s">
        <v>927</v>
      </c>
      <c r="D20" s="204" t="s">
        <v>928</v>
      </c>
      <c r="E20" s="203">
        <v>48500</v>
      </c>
      <c r="F20" s="214" t="s">
        <v>1408</v>
      </c>
      <c r="G20" s="203">
        <f>84*60*8</f>
        <v>40320</v>
      </c>
      <c r="H20" s="201"/>
      <c r="I20" s="393" t="s">
        <v>1491</v>
      </c>
      <c r="J20" s="703" t="s">
        <v>1608</v>
      </c>
      <c r="K20" s="704"/>
      <c r="L20" s="705"/>
      <c r="M20" s="196"/>
      <c r="N20" s="192"/>
    </row>
    <row r="21" spans="1:14" s="191" customFormat="1" ht="33" customHeight="1">
      <c r="A21" s="205">
        <v>11</v>
      </c>
      <c r="B21" s="204" t="s">
        <v>29</v>
      </c>
      <c r="C21" s="204" t="s">
        <v>42</v>
      </c>
      <c r="D21" s="204" t="s">
        <v>54</v>
      </c>
      <c r="E21" s="203">
        <v>59000</v>
      </c>
      <c r="F21" s="214" t="s">
        <v>1408</v>
      </c>
      <c r="G21" s="203">
        <f>100*60*8</f>
        <v>48000</v>
      </c>
      <c r="H21" s="201">
        <v>13500</v>
      </c>
      <c r="I21" s="393" t="s">
        <v>1329</v>
      </c>
      <c r="J21" s="703" t="s">
        <v>1609</v>
      </c>
      <c r="K21" s="704"/>
      <c r="L21" s="705"/>
      <c r="M21" s="196"/>
      <c r="N21" s="192"/>
    </row>
    <row r="22" spans="1:14" s="191" customFormat="1" ht="33" customHeight="1">
      <c r="A22" s="205">
        <v>12</v>
      </c>
      <c r="B22" s="204" t="s">
        <v>991</v>
      </c>
      <c r="C22" s="204" t="s">
        <v>41</v>
      </c>
      <c r="D22" s="204" t="s">
        <v>54</v>
      </c>
      <c r="E22" s="203">
        <v>30600</v>
      </c>
      <c r="F22" s="214" t="s">
        <v>1409</v>
      </c>
      <c r="G22" s="203">
        <f>110*60*10.5</f>
        <v>69300</v>
      </c>
      <c r="H22" s="201">
        <v>17700</v>
      </c>
      <c r="I22" s="393" t="s">
        <v>1329</v>
      </c>
      <c r="J22" s="703" t="s">
        <v>1610</v>
      </c>
      <c r="K22" s="704"/>
      <c r="L22" s="705"/>
      <c r="M22" s="196"/>
      <c r="N22" s="192"/>
    </row>
    <row r="23" spans="1:14" s="191" customFormat="1" ht="33" customHeight="1">
      <c r="A23" s="206">
        <v>13</v>
      </c>
      <c r="B23" s="204" t="s">
        <v>164</v>
      </c>
      <c r="C23" s="204" t="s">
        <v>165</v>
      </c>
      <c r="D23" s="204" t="s">
        <v>56</v>
      </c>
      <c r="E23" s="203">
        <v>130000</v>
      </c>
      <c r="F23" s="214" t="s">
        <v>1409</v>
      </c>
      <c r="G23" s="203">
        <f>110*60*10.5</f>
        <v>69300</v>
      </c>
      <c r="H23" s="201">
        <v>32900</v>
      </c>
      <c r="I23" s="393" t="s">
        <v>1329</v>
      </c>
      <c r="J23" s="703" t="s">
        <v>1611</v>
      </c>
      <c r="K23" s="704"/>
      <c r="L23" s="705"/>
      <c r="M23" s="196"/>
      <c r="N23" s="192"/>
    </row>
    <row r="24" spans="1:14" s="191" customFormat="1" ht="33" customHeight="1">
      <c r="A24" s="205">
        <v>14</v>
      </c>
      <c r="B24" s="204" t="s">
        <v>162</v>
      </c>
      <c r="C24" s="204" t="s">
        <v>163</v>
      </c>
      <c r="D24" s="204" t="s">
        <v>56</v>
      </c>
      <c r="E24" s="203">
        <f>130000+116500</f>
        <v>246500</v>
      </c>
      <c r="F24" s="214" t="s">
        <v>1409</v>
      </c>
      <c r="G24" s="203">
        <f>96*60*10.5</f>
        <v>60480</v>
      </c>
      <c r="H24" s="201">
        <v>39800</v>
      </c>
      <c r="I24" s="393" t="s">
        <v>1335</v>
      </c>
      <c r="J24" s="703" t="s">
        <v>1612</v>
      </c>
      <c r="K24" s="704"/>
      <c r="L24" s="705"/>
      <c r="M24" s="196"/>
      <c r="N24" s="192"/>
    </row>
    <row r="25" spans="1:14" s="191" customFormat="1" ht="33" customHeight="1">
      <c r="A25" s="206">
        <v>15</v>
      </c>
      <c r="B25" s="204" t="s">
        <v>203</v>
      </c>
      <c r="C25" s="204" t="s">
        <v>204</v>
      </c>
      <c r="D25" s="204" t="s">
        <v>57</v>
      </c>
      <c r="E25" s="203">
        <f>80000+82000+58800</f>
        <v>220800</v>
      </c>
      <c r="F25" s="214" t="s">
        <v>1526</v>
      </c>
      <c r="G25" s="203">
        <f t="shared" ref="G25:G30" si="0">180*60*12</f>
        <v>129600</v>
      </c>
      <c r="H25" s="201">
        <v>16500</v>
      </c>
      <c r="I25" s="393" t="s">
        <v>1335</v>
      </c>
      <c r="J25" s="706" t="s">
        <v>1613</v>
      </c>
      <c r="K25" s="704"/>
      <c r="L25" s="705"/>
      <c r="M25" s="196"/>
      <c r="N25" s="192"/>
    </row>
    <row r="26" spans="1:14" s="191" customFormat="1" ht="33" customHeight="1">
      <c r="A26" s="206">
        <v>16</v>
      </c>
      <c r="B26" s="204" t="s">
        <v>203</v>
      </c>
      <c r="C26" s="204" t="s">
        <v>204</v>
      </c>
      <c r="D26" s="204" t="s">
        <v>57</v>
      </c>
      <c r="E26" s="203">
        <f>38000+45000</f>
        <v>83000</v>
      </c>
      <c r="F26" s="214" t="s">
        <v>1526</v>
      </c>
      <c r="G26" s="203">
        <f t="shared" si="0"/>
        <v>129600</v>
      </c>
      <c r="H26" s="201">
        <v>97000</v>
      </c>
      <c r="I26" s="393" t="s">
        <v>1335</v>
      </c>
      <c r="J26" s="703" t="s">
        <v>1614</v>
      </c>
      <c r="K26" s="704"/>
      <c r="L26" s="705"/>
      <c r="M26" s="196"/>
      <c r="N26" s="192"/>
    </row>
    <row r="27" spans="1:14" s="191" customFormat="1" ht="33" customHeight="1">
      <c r="A27" s="206">
        <v>17</v>
      </c>
      <c r="B27" s="204" t="s">
        <v>128</v>
      </c>
      <c r="C27" s="204" t="s">
        <v>129</v>
      </c>
      <c r="D27" s="204" t="s">
        <v>59</v>
      </c>
      <c r="E27" s="203">
        <v>10000</v>
      </c>
      <c r="F27" s="214" t="s">
        <v>1526</v>
      </c>
      <c r="G27" s="203">
        <f t="shared" si="0"/>
        <v>129600</v>
      </c>
      <c r="H27" s="201">
        <v>86000</v>
      </c>
      <c r="I27" s="393" t="s">
        <v>1335</v>
      </c>
      <c r="J27" s="703" t="s">
        <v>1615</v>
      </c>
      <c r="K27" s="704"/>
      <c r="L27" s="705"/>
      <c r="M27" s="196"/>
      <c r="N27" s="192"/>
    </row>
    <row r="28" spans="1:14" s="191" customFormat="1" ht="33" customHeight="1">
      <c r="A28" s="206">
        <v>18</v>
      </c>
      <c r="B28" s="204" t="s">
        <v>128</v>
      </c>
      <c r="C28" s="204" t="s">
        <v>129</v>
      </c>
      <c r="D28" s="204" t="s">
        <v>59</v>
      </c>
      <c r="E28" s="203">
        <f>123000+49000</f>
        <v>172000</v>
      </c>
      <c r="F28" s="459" t="s">
        <v>1526</v>
      </c>
      <c r="G28" s="460">
        <f t="shared" si="0"/>
        <v>129600</v>
      </c>
      <c r="H28" s="461">
        <f>85000</f>
        <v>85000</v>
      </c>
      <c r="I28" s="462" t="s">
        <v>1336</v>
      </c>
      <c r="J28" s="712" t="s">
        <v>1614</v>
      </c>
      <c r="K28" s="701"/>
      <c r="L28" s="702"/>
      <c r="M28" s="196"/>
      <c r="N28" s="192"/>
    </row>
    <row r="29" spans="1:14" s="191" customFormat="1" ht="33" customHeight="1">
      <c r="A29" s="206">
        <v>19</v>
      </c>
      <c r="B29" s="204" t="s">
        <v>80</v>
      </c>
      <c r="C29" s="204" t="s">
        <v>81</v>
      </c>
      <c r="D29" s="204" t="s">
        <v>60</v>
      </c>
      <c r="E29" s="203">
        <v>103500</v>
      </c>
      <c r="F29" s="459" t="s">
        <v>1526</v>
      </c>
      <c r="G29" s="460">
        <f t="shared" si="0"/>
        <v>129600</v>
      </c>
      <c r="H29" s="461">
        <f>88000+95000+70200</f>
        <v>253200</v>
      </c>
      <c r="I29" s="462" t="s">
        <v>1336</v>
      </c>
      <c r="J29" s="712" t="s">
        <v>1521</v>
      </c>
      <c r="K29" s="701"/>
      <c r="L29" s="702"/>
      <c r="M29" s="196"/>
      <c r="N29" s="192"/>
    </row>
    <row r="30" spans="1:14" s="191" customFormat="1" ht="33" customHeight="1">
      <c r="A30" s="206">
        <v>19</v>
      </c>
      <c r="B30" s="204" t="s">
        <v>33</v>
      </c>
      <c r="C30" s="204" t="s">
        <v>45</v>
      </c>
      <c r="D30" s="204" t="s">
        <v>58</v>
      </c>
      <c r="E30" s="203">
        <v>109400</v>
      </c>
      <c r="F30" s="459" t="s">
        <v>1526</v>
      </c>
      <c r="G30" s="460">
        <f t="shared" si="0"/>
        <v>129600</v>
      </c>
      <c r="H30" s="461">
        <f>94000+96000</f>
        <v>190000</v>
      </c>
      <c r="I30" s="462" t="s">
        <v>1336</v>
      </c>
      <c r="J30" s="700" t="s">
        <v>1614</v>
      </c>
      <c r="K30" s="701"/>
      <c r="L30" s="702"/>
      <c r="M30" s="196"/>
      <c r="N30" s="192"/>
    </row>
    <row r="31" spans="1:14" s="191" customFormat="1" ht="33" customHeight="1">
      <c r="A31" s="206">
        <v>20</v>
      </c>
      <c r="B31" s="204" t="s">
        <v>149</v>
      </c>
      <c r="C31" s="204" t="s">
        <v>150</v>
      </c>
      <c r="D31" s="204" t="s">
        <v>56</v>
      </c>
      <c r="E31" s="203">
        <f>48400+112000</f>
        <v>160400</v>
      </c>
      <c r="F31" s="459" t="s">
        <v>1569</v>
      </c>
      <c r="G31" s="460">
        <f>180*60*11</f>
        <v>118800</v>
      </c>
      <c r="H31" s="461"/>
      <c r="I31" s="462" t="s">
        <v>1336</v>
      </c>
      <c r="J31" s="712" t="s">
        <v>1616</v>
      </c>
      <c r="K31" s="701"/>
      <c r="L31" s="702"/>
      <c r="M31" s="196"/>
      <c r="N31" s="192"/>
    </row>
    <row r="32" spans="1:14" s="191" customFormat="1" ht="33" customHeight="1">
      <c r="A32" s="205">
        <v>21</v>
      </c>
      <c r="B32" s="204" t="s">
        <v>637</v>
      </c>
      <c r="C32" s="204" t="s">
        <v>81</v>
      </c>
      <c r="D32" s="204" t="s">
        <v>56</v>
      </c>
      <c r="E32" s="203">
        <f>93500</f>
        <v>93500</v>
      </c>
      <c r="F32" s="214" t="s">
        <v>1569</v>
      </c>
      <c r="G32" s="203">
        <f>180*60*11</f>
        <v>118800</v>
      </c>
      <c r="H32" s="201">
        <v>94000</v>
      </c>
      <c r="I32" s="393" t="s">
        <v>1336</v>
      </c>
      <c r="J32" s="706" t="s">
        <v>1617</v>
      </c>
      <c r="K32" s="704"/>
      <c r="L32" s="705"/>
      <c r="M32" s="196"/>
      <c r="N32" s="192"/>
    </row>
    <row r="33" spans="1:14" s="191" customFormat="1" ht="33" customHeight="1">
      <c r="A33" s="206">
        <v>22</v>
      </c>
      <c r="B33" s="204" t="s">
        <v>208</v>
      </c>
      <c r="C33" s="204" t="s">
        <v>209</v>
      </c>
      <c r="D33" s="204" t="s">
        <v>194</v>
      </c>
      <c r="E33" s="203">
        <f>126000+109000</f>
        <v>235000</v>
      </c>
      <c r="F33" s="214" t="s">
        <v>1569</v>
      </c>
      <c r="G33" s="203">
        <f>180*60*11</f>
        <v>118800</v>
      </c>
      <c r="H33" s="201">
        <v>21000</v>
      </c>
      <c r="I33" s="393" t="s">
        <v>1336</v>
      </c>
      <c r="J33" s="706" t="s">
        <v>1572</v>
      </c>
      <c r="K33" s="704"/>
      <c r="L33" s="705"/>
      <c r="M33" s="196"/>
      <c r="N33" s="192"/>
    </row>
    <row r="34" spans="1:14" s="191" customFormat="1" ht="33" customHeight="1">
      <c r="A34" s="206">
        <v>22</v>
      </c>
      <c r="B34" s="204" t="s">
        <v>176</v>
      </c>
      <c r="C34" s="204" t="s">
        <v>148</v>
      </c>
      <c r="D34" s="204" t="s">
        <v>194</v>
      </c>
      <c r="E34" s="203">
        <v>40000</v>
      </c>
      <c r="F34" s="214" t="s">
        <v>1569</v>
      </c>
      <c r="G34" s="203">
        <f>180*60*11</f>
        <v>118800</v>
      </c>
      <c r="H34" s="201">
        <v>20500</v>
      </c>
      <c r="I34" s="393" t="s">
        <v>1337</v>
      </c>
      <c r="J34" s="706" t="s">
        <v>1618</v>
      </c>
      <c r="K34" s="704"/>
      <c r="L34" s="705"/>
      <c r="M34" s="196"/>
      <c r="N34" s="192"/>
    </row>
    <row r="35" spans="1:14" s="191" customFormat="1" ht="33" customHeight="1">
      <c r="A35" s="206">
        <v>23</v>
      </c>
      <c r="B35" s="204" t="s">
        <v>176</v>
      </c>
      <c r="C35" s="204" t="s">
        <v>148</v>
      </c>
      <c r="D35" s="204" t="s">
        <v>194</v>
      </c>
      <c r="E35" s="203">
        <f>67000+114000</f>
        <v>181000</v>
      </c>
      <c r="F35" s="214" t="s">
        <v>1569</v>
      </c>
      <c r="G35" s="203">
        <f>180*60*11</f>
        <v>118800</v>
      </c>
      <c r="H35" s="201">
        <v>20000</v>
      </c>
      <c r="I35" s="393" t="s">
        <v>1337</v>
      </c>
      <c r="J35" s="706" t="s">
        <v>1572</v>
      </c>
      <c r="K35" s="704"/>
      <c r="L35" s="705"/>
      <c r="M35" s="196"/>
      <c r="N35" s="192"/>
    </row>
    <row r="36" spans="1:14" s="191" customFormat="1" ht="33" customHeight="1">
      <c r="A36" s="206">
        <v>24</v>
      </c>
      <c r="B36" s="204" t="s">
        <v>35</v>
      </c>
      <c r="C36" s="204" t="s">
        <v>47</v>
      </c>
      <c r="D36" s="204" t="s">
        <v>61</v>
      </c>
      <c r="E36" s="203">
        <v>29000</v>
      </c>
      <c r="F36" s="214" t="s">
        <v>1526</v>
      </c>
      <c r="G36" s="203">
        <f>180*60*12</f>
        <v>129600</v>
      </c>
      <c r="H36" s="201">
        <v>91000</v>
      </c>
      <c r="I36" s="393" t="s">
        <v>1337</v>
      </c>
      <c r="J36" s="703" t="s">
        <v>1619</v>
      </c>
      <c r="K36" s="704"/>
      <c r="L36" s="705"/>
      <c r="M36" s="196"/>
      <c r="N36" s="192"/>
    </row>
    <row r="37" spans="1:14" s="191" customFormat="1" ht="33" customHeight="1">
      <c r="A37" s="206">
        <v>25</v>
      </c>
      <c r="B37" s="204" t="s">
        <v>231</v>
      </c>
      <c r="C37" s="204" t="s">
        <v>204</v>
      </c>
      <c r="D37" s="204" t="s">
        <v>183</v>
      </c>
      <c r="E37" s="203">
        <v>109000</v>
      </c>
      <c r="F37" s="214" t="s">
        <v>1569</v>
      </c>
      <c r="G37" s="203">
        <f>180*60*11</f>
        <v>118800</v>
      </c>
      <c r="H37" s="201">
        <v>83200</v>
      </c>
      <c r="I37" s="393" t="s">
        <v>1337</v>
      </c>
      <c r="J37" s="703" t="s">
        <v>1620</v>
      </c>
      <c r="K37" s="704"/>
      <c r="L37" s="705"/>
      <c r="M37" s="196"/>
      <c r="N37" s="192"/>
    </row>
    <row r="38" spans="1:14" s="191" customFormat="1" ht="33" customHeight="1">
      <c r="A38" s="205">
        <v>26</v>
      </c>
      <c r="B38" s="204"/>
      <c r="C38" s="204"/>
      <c r="D38" s="204"/>
      <c r="E38" s="203"/>
      <c r="F38" s="214" t="s">
        <v>1526</v>
      </c>
      <c r="G38" s="203">
        <f>180*60*12</f>
        <v>129600</v>
      </c>
      <c r="H38" s="201">
        <f>37900+42000</f>
        <v>79900</v>
      </c>
      <c r="I38" s="393" t="s">
        <v>1337</v>
      </c>
      <c r="J38" s="703" t="s">
        <v>1621</v>
      </c>
      <c r="K38" s="704"/>
      <c r="L38" s="705"/>
      <c r="M38" s="196"/>
      <c r="N38" s="192"/>
    </row>
    <row r="39" spans="1:14" s="191" customFormat="1" ht="33" customHeight="1">
      <c r="A39" s="205">
        <v>27</v>
      </c>
      <c r="B39" s="204"/>
      <c r="C39" s="204"/>
      <c r="D39" s="204"/>
      <c r="E39" s="203"/>
      <c r="F39" s="214" t="s">
        <v>1408</v>
      </c>
      <c r="G39" s="203">
        <f>180*60*8</f>
        <v>86400</v>
      </c>
      <c r="H39" s="201">
        <f>90000+44000</f>
        <v>134000</v>
      </c>
      <c r="I39" s="393" t="s">
        <v>1495</v>
      </c>
      <c r="J39" s="703" t="s">
        <v>1622</v>
      </c>
      <c r="K39" s="704"/>
      <c r="L39" s="705"/>
      <c r="M39" s="196"/>
      <c r="N39" s="192"/>
    </row>
    <row r="40" spans="1:14" s="191" customFormat="1" ht="33" customHeight="1">
      <c r="A40" s="206">
        <v>28</v>
      </c>
      <c r="B40" s="204"/>
      <c r="C40" s="204"/>
      <c r="D40" s="204"/>
      <c r="E40" s="203"/>
      <c r="F40" s="214" t="s">
        <v>1526</v>
      </c>
      <c r="G40" s="203">
        <f t="shared" ref="G40:G49" si="1">180*60*12</f>
        <v>129600</v>
      </c>
      <c r="H40" s="201">
        <v>43000</v>
      </c>
      <c r="I40" s="393" t="s">
        <v>1495</v>
      </c>
      <c r="J40" s="703" t="s">
        <v>1623</v>
      </c>
      <c r="K40" s="704"/>
      <c r="L40" s="705"/>
      <c r="M40" s="196"/>
      <c r="N40" s="192"/>
    </row>
    <row r="41" spans="1:14" s="191" customFormat="1" ht="33" customHeight="1">
      <c r="A41" s="206">
        <v>29</v>
      </c>
      <c r="B41" s="204"/>
      <c r="C41" s="204"/>
      <c r="D41" s="204"/>
      <c r="E41" s="203"/>
      <c r="F41" s="214" t="s">
        <v>1526</v>
      </c>
      <c r="G41" s="203">
        <f t="shared" si="1"/>
        <v>129600</v>
      </c>
      <c r="H41" s="201">
        <v>43000</v>
      </c>
      <c r="I41" s="393" t="s">
        <v>1495</v>
      </c>
      <c r="J41" s="706" t="s">
        <v>1624</v>
      </c>
      <c r="K41" s="704"/>
      <c r="L41" s="705"/>
      <c r="M41" s="196"/>
      <c r="N41" s="192"/>
    </row>
    <row r="42" spans="1:14" s="191" customFormat="1" ht="33" customHeight="1">
      <c r="A42" s="206">
        <v>30</v>
      </c>
      <c r="B42" s="204"/>
      <c r="C42" s="204"/>
      <c r="D42" s="204"/>
      <c r="E42" s="203"/>
      <c r="F42" s="214" t="s">
        <v>1569</v>
      </c>
      <c r="G42" s="203">
        <f>180*60*11</f>
        <v>118800</v>
      </c>
      <c r="H42" s="201"/>
      <c r="I42" s="393" t="s">
        <v>1495</v>
      </c>
      <c r="J42" s="703" t="s">
        <v>1625</v>
      </c>
      <c r="K42" s="704"/>
      <c r="L42" s="705"/>
      <c r="M42" s="196"/>
      <c r="N42" s="192"/>
    </row>
    <row r="43" spans="1:14" s="191" customFormat="1" ht="33" customHeight="1">
      <c r="A43" s="205">
        <v>31</v>
      </c>
      <c r="B43" s="204"/>
      <c r="C43" s="204"/>
      <c r="D43" s="204"/>
      <c r="E43" s="203"/>
      <c r="F43" s="214" t="s">
        <v>1526</v>
      </c>
      <c r="G43" s="203">
        <f t="shared" si="1"/>
        <v>129600</v>
      </c>
      <c r="H43" s="201"/>
      <c r="I43" s="393" t="s">
        <v>1363</v>
      </c>
      <c r="J43" s="703" t="s">
        <v>1626</v>
      </c>
      <c r="K43" s="704"/>
      <c r="L43" s="705"/>
      <c r="M43" s="196"/>
      <c r="N43" s="192"/>
    </row>
    <row r="44" spans="1:14" s="191" customFormat="1" ht="33" customHeight="1">
      <c r="A44" s="205">
        <v>50</v>
      </c>
      <c r="B44" s="204"/>
      <c r="C44" s="204"/>
      <c r="D44" s="204"/>
      <c r="E44" s="203"/>
      <c r="F44" s="214" t="s">
        <v>1526</v>
      </c>
      <c r="G44" s="203">
        <f t="shared" si="1"/>
        <v>129600</v>
      </c>
      <c r="H44" s="201"/>
      <c r="I44" s="393" t="s">
        <v>1363</v>
      </c>
      <c r="J44" s="703" t="s">
        <v>1627</v>
      </c>
      <c r="K44" s="704"/>
      <c r="L44" s="705"/>
      <c r="M44" s="196"/>
      <c r="N44" s="192"/>
    </row>
    <row r="45" spans="1:14" s="191" customFormat="1" ht="33" customHeight="1">
      <c r="A45" s="205">
        <v>51</v>
      </c>
      <c r="B45" s="204"/>
      <c r="C45" s="204"/>
      <c r="D45" s="204"/>
      <c r="E45" s="203"/>
      <c r="F45" s="214" t="s">
        <v>1526</v>
      </c>
      <c r="G45" s="203">
        <f t="shared" si="1"/>
        <v>129600</v>
      </c>
      <c r="H45" s="201"/>
      <c r="I45" s="393" t="s">
        <v>1363</v>
      </c>
      <c r="J45" s="706" t="s">
        <v>1628</v>
      </c>
      <c r="K45" s="704"/>
      <c r="L45" s="705"/>
      <c r="M45" s="196"/>
      <c r="N45" s="192"/>
    </row>
    <row r="46" spans="1:14" s="191" customFormat="1" ht="33" customHeight="1">
      <c r="A46" s="205">
        <v>52</v>
      </c>
      <c r="B46" s="204"/>
      <c r="C46" s="204"/>
      <c r="D46" s="204"/>
      <c r="E46" s="203"/>
      <c r="F46" s="214" t="s">
        <v>1526</v>
      </c>
      <c r="G46" s="203">
        <f t="shared" si="1"/>
        <v>129600</v>
      </c>
      <c r="H46" s="201"/>
      <c r="I46" s="393" t="s">
        <v>1363</v>
      </c>
      <c r="J46" s="706" t="s">
        <v>1629</v>
      </c>
      <c r="K46" s="704"/>
      <c r="L46" s="705"/>
      <c r="M46" s="196"/>
      <c r="N46" s="192"/>
    </row>
    <row r="47" spans="1:14" s="191" customFormat="1" ht="33" customHeight="1">
      <c r="A47" s="205">
        <v>53</v>
      </c>
      <c r="B47" s="204"/>
      <c r="C47" s="204"/>
      <c r="D47" s="204"/>
      <c r="E47" s="203"/>
      <c r="F47" s="214" t="s">
        <v>1526</v>
      </c>
      <c r="G47" s="203">
        <f t="shared" si="1"/>
        <v>129600</v>
      </c>
      <c r="H47" s="201"/>
      <c r="I47" s="393" t="s">
        <v>1363</v>
      </c>
      <c r="J47" s="706" t="s">
        <v>1630</v>
      </c>
      <c r="K47" s="704"/>
      <c r="L47" s="705"/>
      <c r="M47" s="196"/>
      <c r="N47" s="192"/>
    </row>
    <row r="48" spans="1:14" s="191" customFormat="1" ht="33" customHeight="1">
      <c r="A48" s="205">
        <v>54</v>
      </c>
      <c r="B48" s="204"/>
      <c r="C48" s="204"/>
      <c r="D48" s="204"/>
      <c r="E48" s="203"/>
      <c r="F48" s="214" t="s">
        <v>1526</v>
      </c>
      <c r="G48" s="203">
        <f t="shared" si="1"/>
        <v>129600</v>
      </c>
      <c r="H48" s="201"/>
      <c r="I48" s="393" t="s">
        <v>1363</v>
      </c>
      <c r="J48" s="706" t="s">
        <v>1631</v>
      </c>
      <c r="K48" s="704"/>
      <c r="L48" s="705"/>
      <c r="M48" s="196"/>
      <c r="N48" s="192"/>
    </row>
    <row r="49" spans="1:14" s="191" customFormat="1" ht="33" customHeight="1">
      <c r="A49" s="206" t="s">
        <v>1660</v>
      </c>
      <c r="B49" s="210"/>
      <c r="C49" s="210"/>
      <c r="D49" s="210"/>
      <c r="E49" s="210"/>
      <c r="F49" s="210"/>
      <c r="G49" s="210">
        <f t="shared" si="1"/>
        <v>129600</v>
      </c>
      <c r="H49" s="207">
        <f>SUM(H7:H48)</f>
        <v>1670300</v>
      </c>
      <c r="I49" s="394"/>
      <c r="J49" s="706"/>
      <c r="K49" s="704"/>
      <c r="L49" s="705"/>
      <c r="M49" s="196"/>
      <c r="N49" s="192"/>
    </row>
    <row r="50" spans="1:14" s="191" customFormat="1" ht="15.75" customHeight="1">
      <c r="A50" s="197"/>
      <c r="B50" s="197"/>
      <c r="C50" s="197"/>
      <c r="D50" s="197"/>
      <c r="E50" s="198"/>
      <c r="F50" s="198"/>
      <c r="G50" s="198"/>
      <c r="H50" s="198"/>
      <c r="I50" s="198"/>
      <c r="J50" s="198"/>
      <c r="K50" s="198"/>
    </row>
    <row r="51" spans="1:14" s="191" customFormat="1" ht="15.75" customHeight="1">
      <c r="A51" s="197"/>
      <c r="B51" s="197"/>
      <c r="C51" s="197"/>
      <c r="D51" s="197"/>
      <c r="E51" s="198"/>
      <c r="F51" s="198"/>
      <c r="G51" s="198"/>
      <c r="H51" s="198"/>
      <c r="I51" s="198"/>
      <c r="J51" s="198"/>
      <c r="K51" s="198"/>
    </row>
    <row r="52" spans="1:14" s="191" customFormat="1" ht="15.75" customHeight="1">
      <c r="A52" s="197"/>
      <c r="B52" s="197"/>
      <c r="C52" s="197"/>
      <c r="D52" s="197"/>
      <c r="E52" s="198"/>
      <c r="F52" s="198"/>
      <c r="G52" s="198"/>
      <c r="H52" s="198"/>
      <c r="I52" s="198"/>
      <c r="J52" s="198"/>
      <c r="K52" s="198"/>
    </row>
    <row r="53" spans="1:14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</row>
    <row r="54" spans="1:14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</row>
    <row r="55" spans="1:14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</row>
    <row r="56" spans="1:14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</row>
    <row r="57" spans="1:14" s="191" customFormat="1" ht="15.75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</row>
    <row r="58" spans="1:14" s="191" customFormat="1" ht="15.75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</row>
    <row r="59" spans="1:14" s="191" customFormat="1" ht="15.75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</row>
    <row r="60" spans="1:14" s="191" customFormat="1" ht="15.75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</row>
    <row r="61" spans="1:14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</row>
    <row r="62" spans="1:14" s="191" customFormat="1" ht="15.75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</row>
    <row r="63" spans="1:14" s="191" customFormat="1" ht="15.75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</row>
    <row r="64" spans="1:14" s="191" customFormat="1" ht="15.75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</row>
    <row r="65" spans="1:11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</row>
    <row r="66" spans="1:11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1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1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1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1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1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1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</sheetData>
  <mergeCells count="53">
    <mergeCell ref="A5:A6"/>
    <mergeCell ref="B5:B6"/>
    <mergeCell ref="C5:C6"/>
    <mergeCell ref="D5:D6"/>
    <mergeCell ref="J5:L6"/>
    <mergeCell ref="A1:I3"/>
    <mergeCell ref="J2:J3"/>
    <mergeCell ref="K2:K3"/>
    <mergeCell ref="L2:L3"/>
    <mergeCell ref="A4:B4"/>
    <mergeCell ref="J18:L18"/>
    <mergeCell ref="J7:L7"/>
    <mergeCell ref="J8:L8"/>
    <mergeCell ref="J9:L9"/>
    <mergeCell ref="J10:L10"/>
    <mergeCell ref="J11:L11"/>
    <mergeCell ref="J12:L12"/>
    <mergeCell ref="J13:L13"/>
    <mergeCell ref="J14:L14"/>
    <mergeCell ref="J15:L15"/>
    <mergeCell ref="J16:L16"/>
    <mergeCell ref="J17:L17"/>
    <mergeCell ref="J30:L30"/>
    <mergeCell ref="J19:L19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42:L42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41:L41"/>
    <mergeCell ref="J49:L49"/>
    <mergeCell ref="J43:L43"/>
    <mergeCell ref="J44:L44"/>
    <mergeCell ref="J45:L45"/>
    <mergeCell ref="J46:L46"/>
    <mergeCell ref="J47:L47"/>
    <mergeCell ref="J48:L48"/>
  </mergeCells>
  <phoneticPr fontId="74" type="noConversion"/>
  <conditionalFormatting sqref="H7:I48">
    <cfRule type="cellIs" dxfId="25" priority="1" operator="lessThan">
      <formula>0</formula>
    </cfRule>
  </conditionalFormatting>
  <printOptions horizontalCentered="1"/>
  <pageMargins left="0" right="0" top="0" bottom="0" header="0" footer="0"/>
  <pageSetup paperSize="9" scale="52" fitToHeight="0" orientation="portrait" r:id="rId1"/>
  <headerFooter>
    <oddFooter>&amp;LQ401-2&amp;CHANSUNGBOLT VINA&amp;RA4 (210 x 297mm)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7">
    <pageSetUpPr fitToPage="1"/>
  </sheetPr>
  <dimension ref="A1:N72"/>
  <sheetViews>
    <sheetView view="pageBreakPreview" topLeftCell="A2" zoomScale="60" zoomScaleNormal="85" workbookViewId="0">
      <selection activeCell="C23" sqref="C23:E2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3.425781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3.42578125" style="190" customWidth="1"/>
    <col min="16" max="16" width="15.42578125" style="190" customWidth="1"/>
    <col min="17" max="43" width="3.42578125" style="190" customWidth="1"/>
    <col min="44" max="16384" width="9.140625" style="190"/>
  </cols>
  <sheetData>
    <row r="1" spans="1:14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4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4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4" ht="20.25" customHeight="1">
      <c r="A4" s="698" t="s">
        <v>1634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4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4" s="191" customFormat="1" ht="29.25" customHeight="1">
      <c r="A6" s="683"/>
      <c r="B6" s="683"/>
      <c r="C6" s="683"/>
      <c r="D6" s="683"/>
      <c r="E6" s="211" t="s">
        <v>1553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4" s="191" customFormat="1" ht="33" customHeight="1">
      <c r="A7" s="199">
        <v>1</v>
      </c>
      <c r="B7" s="200" t="s">
        <v>24</v>
      </c>
      <c r="C7" s="200" t="s">
        <v>37</v>
      </c>
      <c r="D7" s="200" t="s">
        <v>49</v>
      </c>
      <c r="E7" s="201"/>
      <c r="F7" s="213" t="s">
        <v>1408</v>
      </c>
      <c r="G7" s="201">
        <f>47*60*8</f>
        <v>22560</v>
      </c>
      <c r="H7" s="201"/>
      <c r="I7" s="393" t="s">
        <v>1328</v>
      </c>
      <c r="J7" s="703" t="s">
        <v>1657</v>
      </c>
      <c r="K7" s="704"/>
      <c r="L7" s="705"/>
      <c r="M7" s="192"/>
      <c r="N7" s="192"/>
    </row>
    <row r="8" spans="1:14" s="191" customFormat="1" ht="33" customHeight="1">
      <c r="A8" s="199">
        <v>2</v>
      </c>
      <c r="B8" s="200" t="s">
        <v>496</v>
      </c>
      <c r="C8" s="200" t="s">
        <v>498</v>
      </c>
      <c r="D8" s="200" t="s">
        <v>499</v>
      </c>
      <c r="E8" s="201">
        <v>13000</v>
      </c>
      <c r="F8" s="213" t="s">
        <v>1658</v>
      </c>
      <c r="G8" s="201">
        <f>44*60*10</f>
        <v>26400</v>
      </c>
      <c r="H8" s="201">
        <v>13000</v>
      </c>
      <c r="I8" s="393" t="s">
        <v>1334</v>
      </c>
      <c r="J8" s="706" t="s">
        <v>1659</v>
      </c>
      <c r="K8" s="704"/>
      <c r="L8" s="705"/>
      <c r="M8" s="192"/>
      <c r="N8" s="192"/>
    </row>
    <row r="9" spans="1:14" s="191" customFormat="1" ht="33" customHeight="1">
      <c r="A9" s="199">
        <v>3</v>
      </c>
      <c r="B9" s="200" t="s">
        <v>151</v>
      </c>
      <c r="C9" s="200" t="s">
        <v>152</v>
      </c>
      <c r="D9" s="200" t="s">
        <v>210</v>
      </c>
      <c r="E9" s="201">
        <v>26500</v>
      </c>
      <c r="F9" s="213" t="s">
        <v>1408</v>
      </c>
      <c r="G9" s="201">
        <f>55*60*8</f>
        <v>26400</v>
      </c>
      <c r="H9" s="201">
        <v>26500</v>
      </c>
      <c r="I9" s="393" t="s">
        <v>1330</v>
      </c>
      <c r="J9" s="703" t="s">
        <v>1556</v>
      </c>
      <c r="K9" s="704"/>
      <c r="L9" s="705"/>
      <c r="M9" s="192"/>
      <c r="N9" s="192"/>
    </row>
    <row r="10" spans="1:14" s="195" customFormat="1" ht="33" customHeight="1">
      <c r="A10" s="199">
        <v>4</v>
      </c>
      <c r="B10" s="203" t="s">
        <v>90</v>
      </c>
      <c r="C10" s="204" t="s">
        <v>91</v>
      </c>
      <c r="D10" s="203" t="s">
        <v>205</v>
      </c>
      <c r="E10" s="203">
        <v>35300</v>
      </c>
      <c r="F10" s="213" t="s">
        <v>1408</v>
      </c>
      <c r="G10" s="494">
        <f>65*60*8</f>
        <v>31200</v>
      </c>
      <c r="H10" s="495">
        <v>35300</v>
      </c>
      <c r="I10" s="496" t="s">
        <v>1330</v>
      </c>
      <c r="J10" s="707" t="s">
        <v>1521</v>
      </c>
      <c r="K10" s="708"/>
      <c r="L10" s="709"/>
      <c r="M10" s="194"/>
      <c r="N10" s="192"/>
    </row>
    <row r="11" spans="1:14" s="195" customFormat="1" ht="33" customHeight="1">
      <c r="A11" s="199">
        <v>5</v>
      </c>
      <c r="B11" s="200" t="s">
        <v>206</v>
      </c>
      <c r="C11" s="200" t="s">
        <v>36</v>
      </c>
      <c r="D11" s="200" t="s">
        <v>1459</v>
      </c>
      <c r="E11" s="201">
        <v>16000</v>
      </c>
      <c r="F11" s="213" t="s">
        <v>1658</v>
      </c>
      <c r="G11" s="201">
        <f>45*60*10</f>
        <v>27000</v>
      </c>
      <c r="H11" s="201">
        <v>16000</v>
      </c>
      <c r="I11" s="393" t="s">
        <v>1334</v>
      </c>
      <c r="J11" s="703" t="s">
        <v>1661</v>
      </c>
      <c r="K11" s="704"/>
      <c r="L11" s="705"/>
      <c r="M11" s="194"/>
      <c r="N11" s="192"/>
    </row>
    <row r="12" spans="1:14" s="195" customFormat="1" ht="33" customHeight="1">
      <c r="A12" s="199">
        <v>6</v>
      </c>
      <c r="B12" s="200" t="s">
        <v>139</v>
      </c>
      <c r="C12" s="200" t="s">
        <v>140</v>
      </c>
      <c r="D12" s="200" t="s">
        <v>1583</v>
      </c>
      <c r="E12" s="201">
        <v>15000</v>
      </c>
      <c r="F12" s="213">
        <v>10</v>
      </c>
      <c r="G12" s="201">
        <f>42*60*10</f>
        <v>25200</v>
      </c>
      <c r="H12" s="201">
        <v>15000</v>
      </c>
      <c r="I12" s="393" t="s">
        <v>1334</v>
      </c>
      <c r="J12" s="706" t="s">
        <v>1605</v>
      </c>
      <c r="K12" s="704"/>
      <c r="L12" s="705"/>
      <c r="M12" s="194"/>
      <c r="N12" s="192"/>
    </row>
    <row r="13" spans="1:14" s="195" customFormat="1" ht="33" customHeight="1">
      <c r="A13" s="199" t="s">
        <v>1597</v>
      </c>
      <c r="B13" s="200" t="s">
        <v>27</v>
      </c>
      <c r="C13" s="200" t="s">
        <v>40</v>
      </c>
      <c r="D13" s="200" t="s">
        <v>52</v>
      </c>
      <c r="E13" s="201">
        <v>17000</v>
      </c>
      <c r="F13" s="213" t="s">
        <v>1408</v>
      </c>
      <c r="G13" s="201">
        <f>138*60*8</f>
        <v>66240</v>
      </c>
      <c r="H13" s="201">
        <v>17000</v>
      </c>
      <c r="I13" s="393" t="s">
        <v>1331</v>
      </c>
      <c r="J13" s="706" t="s">
        <v>1662</v>
      </c>
      <c r="K13" s="704"/>
      <c r="L13" s="705"/>
      <c r="M13" s="194"/>
      <c r="N13" s="192"/>
    </row>
    <row r="14" spans="1:14" s="195" customFormat="1" ht="33" customHeight="1">
      <c r="A14" s="202" t="s">
        <v>66</v>
      </c>
      <c r="B14" s="203" t="s">
        <v>171</v>
      </c>
      <c r="C14" s="204" t="s">
        <v>172</v>
      </c>
      <c r="D14" s="203" t="s">
        <v>177</v>
      </c>
      <c r="E14" s="203">
        <v>20000</v>
      </c>
      <c r="F14" s="214" t="s">
        <v>1408</v>
      </c>
      <c r="G14" s="201">
        <f>138*60*8</f>
        <v>66240</v>
      </c>
      <c r="H14" s="201"/>
      <c r="I14" s="393" t="s">
        <v>1331</v>
      </c>
      <c r="J14" s="703" t="s">
        <v>1663</v>
      </c>
      <c r="K14" s="704"/>
      <c r="L14" s="705"/>
      <c r="M14" s="194"/>
      <c r="N14" s="192"/>
    </row>
    <row r="15" spans="1:14" s="191" customFormat="1" ht="33" customHeight="1">
      <c r="A15" s="202" t="s">
        <v>218</v>
      </c>
      <c r="B15" s="203" t="s">
        <v>26</v>
      </c>
      <c r="C15" s="204" t="s">
        <v>39</v>
      </c>
      <c r="D15" s="203" t="s">
        <v>51</v>
      </c>
      <c r="E15" s="203">
        <v>20000</v>
      </c>
      <c r="F15" s="214" t="s">
        <v>1408</v>
      </c>
      <c r="G15" s="201">
        <f>50*60*8</f>
        <v>24000</v>
      </c>
      <c r="H15" s="201">
        <v>20000</v>
      </c>
      <c r="I15" s="393" t="s">
        <v>1331</v>
      </c>
      <c r="J15" s="703" t="s">
        <v>1608</v>
      </c>
      <c r="K15" s="704"/>
      <c r="L15" s="705"/>
      <c r="M15" s="192"/>
      <c r="N15" s="192"/>
    </row>
    <row r="16" spans="1:14" s="191" customFormat="1" ht="33" customHeight="1">
      <c r="A16" s="202">
        <v>8</v>
      </c>
      <c r="B16" s="203" t="s">
        <v>968</v>
      </c>
      <c r="C16" s="204" t="s">
        <v>152</v>
      </c>
      <c r="D16" s="203" t="s">
        <v>1299</v>
      </c>
      <c r="E16" s="203">
        <v>7500</v>
      </c>
      <c r="F16" s="214" t="s">
        <v>1408</v>
      </c>
      <c r="G16" s="201">
        <f>52*60*8</f>
        <v>24960</v>
      </c>
      <c r="H16" s="201">
        <v>7500</v>
      </c>
      <c r="I16" s="393" t="s">
        <v>1489</v>
      </c>
      <c r="J16" s="703" t="s">
        <v>1664</v>
      </c>
      <c r="K16" s="710"/>
      <c r="L16" s="711"/>
      <c r="M16" s="192"/>
      <c r="N16" s="192"/>
    </row>
    <row r="17" spans="1:14" s="191" customFormat="1" ht="33" customHeight="1">
      <c r="A17" s="205">
        <v>8</v>
      </c>
      <c r="B17" s="204" t="s">
        <v>968</v>
      </c>
      <c r="C17" s="204" t="s">
        <v>152</v>
      </c>
      <c r="D17" s="204" t="s">
        <v>1299</v>
      </c>
      <c r="E17" s="203">
        <v>1800</v>
      </c>
      <c r="F17" s="214" t="s">
        <v>1408</v>
      </c>
      <c r="G17" s="203">
        <f>52*60*8</f>
        <v>24960</v>
      </c>
      <c r="H17" s="201">
        <v>1800</v>
      </c>
      <c r="I17" s="393" t="s">
        <v>1489</v>
      </c>
      <c r="J17" s="703" t="s">
        <v>1665</v>
      </c>
      <c r="K17" s="704"/>
      <c r="L17" s="705"/>
      <c r="M17" s="196"/>
      <c r="N17" s="192"/>
    </row>
    <row r="18" spans="1:14" s="191" customFormat="1" ht="33" customHeight="1">
      <c r="A18" s="205" t="s">
        <v>1481</v>
      </c>
      <c r="B18" s="204" t="s">
        <v>27</v>
      </c>
      <c r="C18" s="204" t="s">
        <v>40</v>
      </c>
      <c r="D18" s="204" t="s">
        <v>52</v>
      </c>
      <c r="E18" s="203">
        <v>27000</v>
      </c>
      <c r="F18" s="214" t="s">
        <v>1408</v>
      </c>
      <c r="G18" s="203">
        <f>95*60*8</f>
        <v>45600</v>
      </c>
      <c r="H18" s="201">
        <v>27000</v>
      </c>
      <c r="I18" s="393" t="s">
        <v>1491</v>
      </c>
      <c r="J18" s="700" t="s">
        <v>1666</v>
      </c>
      <c r="K18" s="701"/>
      <c r="L18" s="702"/>
      <c r="M18" s="196"/>
      <c r="N18" s="192"/>
    </row>
    <row r="19" spans="1:14" s="191" customFormat="1" ht="33" customHeight="1">
      <c r="A19" s="205">
        <v>9</v>
      </c>
      <c r="B19" s="204" t="s">
        <v>28</v>
      </c>
      <c r="C19" s="204" t="s">
        <v>41</v>
      </c>
      <c r="D19" s="204" t="s">
        <v>53</v>
      </c>
      <c r="E19" s="203"/>
      <c r="F19" s="214" t="s">
        <v>1408</v>
      </c>
      <c r="G19" s="203">
        <f>55*60*8</f>
        <v>26400</v>
      </c>
      <c r="H19" s="201">
        <v>30000</v>
      </c>
      <c r="I19" s="393" t="s">
        <v>1491</v>
      </c>
      <c r="J19" s="703" t="s">
        <v>1607</v>
      </c>
      <c r="K19" s="704"/>
      <c r="L19" s="705"/>
      <c r="M19" s="196"/>
      <c r="N19" s="192"/>
    </row>
    <row r="20" spans="1:14" s="191" customFormat="1" ht="33" customHeight="1">
      <c r="A20" s="205">
        <v>10</v>
      </c>
      <c r="B20" s="204" t="s">
        <v>28</v>
      </c>
      <c r="C20" s="204" t="s">
        <v>41</v>
      </c>
      <c r="D20" s="204" t="s">
        <v>53</v>
      </c>
      <c r="E20" s="203"/>
      <c r="F20" s="214" t="s">
        <v>1408</v>
      </c>
      <c r="G20" s="203">
        <f>84*60*8</f>
        <v>40320</v>
      </c>
      <c r="H20" s="201"/>
      <c r="I20" s="393" t="s">
        <v>1491</v>
      </c>
      <c r="J20" s="703" t="s">
        <v>1608</v>
      </c>
      <c r="K20" s="704"/>
      <c r="L20" s="705"/>
      <c r="M20" s="196"/>
      <c r="N20" s="192"/>
    </row>
    <row r="21" spans="1:14" s="191" customFormat="1" ht="33" customHeight="1">
      <c r="A21" s="205">
        <v>11</v>
      </c>
      <c r="B21" s="204" t="s">
        <v>198</v>
      </c>
      <c r="C21" s="204" t="s">
        <v>199</v>
      </c>
      <c r="D21" s="204" t="s">
        <v>54</v>
      </c>
      <c r="E21" s="203">
        <v>13500</v>
      </c>
      <c r="F21" s="214" t="s">
        <v>1408</v>
      </c>
      <c r="G21" s="203">
        <f>100*60*8</f>
        <v>48000</v>
      </c>
      <c r="H21" s="201">
        <v>13500</v>
      </c>
      <c r="I21" s="393" t="s">
        <v>1329</v>
      </c>
      <c r="J21" s="703" t="s">
        <v>1609</v>
      </c>
      <c r="K21" s="704"/>
      <c r="L21" s="705"/>
      <c r="M21" s="196"/>
      <c r="N21" s="192"/>
    </row>
    <row r="22" spans="1:14" s="191" customFormat="1" ht="33" customHeight="1">
      <c r="A22" s="205">
        <v>12</v>
      </c>
      <c r="B22" s="204" t="s">
        <v>30</v>
      </c>
      <c r="C22" s="204" t="s">
        <v>43</v>
      </c>
      <c r="D22" s="204" t="s">
        <v>55</v>
      </c>
      <c r="E22" s="203">
        <v>17700</v>
      </c>
      <c r="F22" s="214" t="s">
        <v>1409</v>
      </c>
      <c r="G22" s="203">
        <f>110*60*10.5</f>
        <v>69300</v>
      </c>
      <c r="H22" s="201">
        <v>17700</v>
      </c>
      <c r="I22" s="393" t="s">
        <v>1329</v>
      </c>
      <c r="J22" s="703" t="s">
        <v>1610</v>
      </c>
      <c r="K22" s="704"/>
      <c r="L22" s="705"/>
      <c r="M22" s="196"/>
      <c r="N22" s="192"/>
    </row>
    <row r="23" spans="1:14" s="191" customFormat="1" ht="33" customHeight="1">
      <c r="A23" s="206">
        <v>13</v>
      </c>
      <c r="B23" s="204" t="s">
        <v>926</v>
      </c>
      <c r="C23" s="204" t="s">
        <v>927</v>
      </c>
      <c r="D23" s="204" t="s">
        <v>928</v>
      </c>
      <c r="E23" s="203">
        <v>32900</v>
      </c>
      <c r="F23" s="214" t="s">
        <v>1409</v>
      </c>
      <c r="G23" s="203">
        <f>110*60*10.5</f>
        <v>69300</v>
      </c>
      <c r="H23" s="201">
        <v>32900</v>
      </c>
      <c r="I23" s="393" t="s">
        <v>1329</v>
      </c>
      <c r="J23" s="703" t="s">
        <v>1611</v>
      </c>
      <c r="K23" s="704"/>
      <c r="L23" s="705"/>
      <c r="M23" s="196"/>
      <c r="N23" s="192"/>
    </row>
    <row r="24" spans="1:14" s="191" customFormat="1" ht="33" customHeight="1">
      <c r="A24" s="205">
        <v>14</v>
      </c>
      <c r="B24" s="204" t="s">
        <v>29</v>
      </c>
      <c r="C24" s="204" t="s">
        <v>42</v>
      </c>
      <c r="D24" s="204" t="s">
        <v>54</v>
      </c>
      <c r="E24" s="203">
        <v>39800</v>
      </c>
      <c r="F24" s="214" t="s">
        <v>1409</v>
      </c>
      <c r="G24" s="203">
        <f>96*60*10.5</f>
        <v>60480</v>
      </c>
      <c r="H24" s="201">
        <v>39800</v>
      </c>
      <c r="I24" s="393" t="s">
        <v>1335</v>
      </c>
      <c r="J24" s="703" t="s">
        <v>1612</v>
      </c>
      <c r="K24" s="704"/>
      <c r="L24" s="705"/>
      <c r="M24" s="196"/>
      <c r="N24" s="192"/>
    </row>
    <row r="25" spans="1:14" s="191" customFormat="1" ht="33" customHeight="1">
      <c r="A25" s="206">
        <v>15</v>
      </c>
      <c r="B25" s="204" t="s">
        <v>991</v>
      </c>
      <c r="C25" s="204" t="s">
        <v>41</v>
      </c>
      <c r="D25" s="204" t="s">
        <v>54</v>
      </c>
      <c r="E25" s="203">
        <v>16500</v>
      </c>
      <c r="F25" s="214" t="s">
        <v>1526</v>
      </c>
      <c r="G25" s="203">
        <f t="shared" ref="G25:G30" si="0">180*60*12</f>
        <v>129600</v>
      </c>
      <c r="H25" s="201">
        <v>16500</v>
      </c>
      <c r="I25" s="393" t="s">
        <v>1335</v>
      </c>
      <c r="J25" s="706" t="s">
        <v>1613</v>
      </c>
      <c r="K25" s="704"/>
      <c r="L25" s="705"/>
      <c r="M25" s="196"/>
      <c r="N25" s="192"/>
    </row>
    <row r="26" spans="1:14" s="191" customFormat="1" ht="33" customHeight="1">
      <c r="A26" s="206">
        <v>16</v>
      </c>
      <c r="B26" s="204" t="s">
        <v>164</v>
      </c>
      <c r="C26" s="204" t="s">
        <v>165</v>
      </c>
      <c r="D26" s="204" t="s">
        <v>56</v>
      </c>
      <c r="E26" s="203">
        <v>97000</v>
      </c>
      <c r="F26" s="214" t="s">
        <v>1526</v>
      </c>
      <c r="G26" s="203">
        <f t="shared" si="0"/>
        <v>129600</v>
      </c>
      <c r="H26" s="201">
        <v>97000</v>
      </c>
      <c r="I26" s="393" t="s">
        <v>1335</v>
      </c>
      <c r="J26" s="703" t="s">
        <v>1614</v>
      </c>
      <c r="K26" s="704"/>
      <c r="L26" s="705"/>
      <c r="M26" s="196"/>
      <c r="N26" s="192"/>
    </row>
    <row r="27" spans="1:14" s="191" customFormat="1" ht="33" customHeight="1">
      <c r="A27" s="206">
        <v>17</v>
      </c>
      <c r="B27" s="204" t="s">
        <v>162</v>
      </c>
      <c r="C27" s="204" t="s">
        <v>163</v>
      </c>
      <c r="D27" s="204" t="s">
        <v>56</v>
      </c>
      <c r="E27" s="203">
        <v>86000</v>
      </c>
      <c r="F27" s="214" t="s">
        <v>1526</v>
      </c>
      <c r="G27" s="203">
        <f t="shared" si="0"/>
        <v>129600</v>
      </c>
      <c r="H27" s="201">
        <v>86000</v>
      </c>
      <c r="I27" s="393" t="s">
        <v>1335</v>
      </c>
      <c r="J27" s="703" t="s">
        <v>1615</v>
      </c>
      <c r="K27" s="704"/>
      <c r="L27" s="705"/>
      <c r="M27" s="196"/>
      <c r="N27" s="192"/>
    </row>
    <row r="28" spans="1:14" s="191" customFormat="1" ht="33" customHeight="1">
      <c r="A28" s="206">
        <v>18</v>
      </c>
      <c r="B28" s="204" t="s">
        <v>162</v>
      </c>
      <c r="C28" s="204" t="s">
        <v>163</v>
      </c>
      <c r="D28" s="204" t="s">
        <v>56</v>
      </c>
      <c r="E28" s="203">
        <f>85000</f>
        <v>85000</v>
      </c>
      <c r="F28" s="459" t="s">
        <v>1526</v>
      </c>
      <c r="G28" s="460">
        <f t="shared" si="0"/>
        <v>129600</v>
      </c>
      <c r="H28" s="461">
        <f>85000</f>
        <v>85000</v>
      </c>
      <c r="I28" s="462" t="s">
        <v>1336</v>
      </c>
      <c r="J28" s="712" t="s">
        <v>1614</v>
      </c>
      <c r="K28" s="701"/>
      <c r="L28" s="702"/>
      <c r="M28" s="196"/>
      <c r="N28" s="192"/>
    </row>
    <row r="29" spans="1:14" s="191" customFormat="1" ht="33" customHeight="1">
      <c r="A29" s="206">
        <v>19</v>
      </c>
      <c r="B29" s="204" t="s">
        <v>203</v>
      </c>
      <c r="C29" s="204" t="s">
        <v>204</v>
      </c>
      <c r="D29" s="204" t="s">
        <v>57</v>
      </c>
      <c r="E29" s="203">
        <f>88000+95000+70200</f>
        <v>253200</v>
      </c>
      <c r="F29" s="459" t="s">
        <v>1526</v>
      </c>
      <c r="G29" s="460">
        <f t="shared" si="0"/>
        <v>129600</v>
      </c>
      <c r="H29" s="461">
        <f>88000+95000+70200</f>
        <v>253200</v>
      </c>
      <c r="I29" s="462" t="s">
        <v>1336</v>
      </c>
      <c r="J29" s="712" t="s">
        <v>1521</v>
      </c>
      <c r="K29" s="701"/>
      <c r="L29" s="702"/>
      <c r="M29" s="196"/>
      <c r="N29" s="192"/>
    </row>
    <row r="30" spans="1:14" s="191" customFormat="1" ht="33" customHeight="1">
      <c r="A30" s="206">
        <v>19</v>
      </c>
      <c r="B30" s="204" t="s">
        <v>128</v>
      </c>
      <c r="C30" s="204" t="s">
        <v>129</v>
      </c>
      <c r="D30" s="204" t="s">
        <v>59</v>
      </c>
      <c r="E30" s="203">
        <f>94000+96000</f>
        <v>190000</v>
      </c>
      <c r="F30" s="459" t="s">
        <v>1526</v>
      </c>
      <c r="G30" s="460">
        <f t="shared" si="0"/>
        <v>129600</v>
      </c>
      <c r="H30" s="461">
        <f>94000+96000</f>
        <v>190000</v>
      </c>
      <c r="I30" s="462" t="s">
        <v>1336</v>
      </c>
      <c r="J30" s="700" t="s">
        <v>1614</v>
      </c>
      <c r="K30" s="701"/>
      <c r="L30" s="702"/>
      <c r="M30" s="196"/>
      <c r="N30" s="192"/>
    </row>
    <row r="31" spans="1:14" s="191" customFormat="1" ht="33" customHeight="1">
      <c r="A31" s="206">
        <v>20</v>
      </c>
      <c r="B31" s="204" t="s">
        <v>76</v>
      </c>
      <c r="C31" s="204" t="s">
        <v>692</v>
      </c>
      <c r="D31" s="204" t="s">
        <v>56</v>
      </c>
      <c r="E31" s="203"/>
      <c r="F31" s="459" t="s">
        <v>1569</v>
      </c>
      <c r="G31" s="460">
        <f>180*60*11</f>
        <v>118800</v>
      </c>
      <c r="H31" s="461"/>
      <c r="I31" s="462" t="s">
        <v>1336</v>
      </c>
      <c r="J31" s="712" t="s">
        <v>1616</v>
      </c>
      <c r="K31" s="701"/>
      <c r="L31" s="702"/>
      <c r="M31" s="196"/>
      <c r="N31" s="192"/>
    </row>
    <row r="32" spans="1:14" s="191" customFormat="1" ht="33" customHeight="1">
      <c r="A32" s="205">
        <v>21</v>
      </c>
      <c r="B32" s="204" t="s">
        <v>80</v>
      </c>
      <c r="C32" s="204" t="s">
        <v>81</v>
      </c>
      <c r="D32" s="204" t="s">
        <v>60</v>
      </c>
      <c r="E32" s="203">
        <v>94000</v>
      </c>
      <c r="F32" s="214" t="s">
        <v>1569</v>
      </c>
      <c r="G32" s="203">
        <f>180*60*11</f>
        <v>118800</v>
      </c>
      <c r="H32" s="201">
        <v>94000</v>
      </c>
      <c r="I32" s="393" t="s">
        <v>1336</v>
      </c>
      <c r="J32" s="706" t="s">
        <v>1617</v>
      </c>
      <c r="K32" s="704"/>
      <c r="L32" s="705"/>
      <c r="M32" s="196"/>
      <c r="N32" s="192"/>
    </row>
    <row r="33" spans="1:14" s="191" customFormat="1" ht="33" customHeight="1">
      <c r="A33" s="206">
        <v>22</v>
      </c>
      <c r="B33" s="204" t="s">
        <v>33</v>
      </c>
      <c r="C33" s="204" t="s">
        <v>45</v>
      </c>
      <c r="D33" s="204" t="s">
        <v>58</v>
      </c>
      <c r="E33" s="203">
        <v>21000</v>
      </c>
      <c r="F33" s="214" t="s">
        <v>1569</v>
      </c>
      <c r="G33" s="203">
        <f>180*60*11</f>
        <v>118800</v>
      </c>
      <c r="H33" s="201">
        <v>21000</v>
      </c>
      <c r="I33" s="393" t="s">
        <v>1336</v>
      </c>
      <c r="J33" s="706" t="s">
        <v>1572</v>
      </c>
      <c r="K33" s="704"/>
      <c r="L33" s="705"/>
      <c r="M33" s="196"/>
      <c r="N33" s="192"/>
    </row>
    <row r="34" spans="1:14" s="191" customFormat="1" ht="33" customHeight="1">
      <c r="A34" s="206">
        <v>22</v>
      </c>
      <c r="B34" s="204" t="s">
        <v>149</v>
      </c>
      <c r="C34" s="204" t="s">
        <v>150</v>
      </c>
      <c r="D34" s="204" t="s">
        <v>56</v>
      </c>
      <c r="E34" s="203">
        <v>20500</v>
      </c>
      <c r="F34" s="214" t="s">
        <v>1569</v>
      </c>
      <c r="G34" s="203">
        <f>180*60*11</f>
        <v>118800</v>
      </c>
      <c r="H34" s="201">
        <v>20500</v>
      </c>
      <c r="I34" s="393" t="s">
        <v>1337</v>
      </c>
      <c r="J34" s="706" t="s">
        <v>1618</v>
      </c>
      <c r="K34" s="704"/>
      <c r="L34" s="705"/>
      <c r="M34" s="196"/>
      <c r="N34" s="192"/>
    </row>
    <row r="35" spans="1:14" s="191" customFormat="1" ht="33" customHeight="1">
      <c r="A35" s="206">
        <v>23</v>
      </c>
      <c r="B35" s="204" t="s">
        <v>909</v>
      </c>
      <c r="C35" s="204" t="s">
        <v>1550</v>
      </c>
      <c r="D35" s="204" t="s">
        <v>56</v>
      </c>
      <c r="E35" s="203">
        <v>20000</v>
      </c>
      <c r="F35" s="214" t="s">
        <v>1569</v>
      </c>
      <c r="G35" s="203">
        <f>180*60*11</f>
        <v>118800</v>
      </c>
      <c r="H35" s="201">
        <v>20000</v>
      </c>
      <c r="I35" s="393" t="s">
        <v>1337</v>
      </c>
      <c r="J35" s="706" t="s">
        <v>1572</v>
      </c>
      <c r="K35" s="704"/>
      <c r="L35" s="705"/>
      <c r="M35" s="196"/>
      <c r="N35" s="192"/>
    </row>
    <row r="36" spans="1:14" s="191" customFormat="1" ht="33" customHeight="1">
      <c r="A36" s="206">
        <v>24</v>
      </c>
      <c r="B36" s="204" t="s">
        <v>196</v>
      </c>
      <c r="C36" s="204" t="s">
        <v>197</v>
      </c>
      <c r="D36" s="204" t="s">
        <v>60</v>
      </c>
      <c r="E36" s="203">
        <v>91000</v>
      </c>
      <c r="F36" s="214" t="s">
        <v>1526</v>
      </c>
      <c r="G36" s="203">
        <f>180*60*12</f>
        <v>129600</v>
      </c>
      <c r="H36" s="201">
        <v>91000</v>
      </c>
      <c r="I36" s="393" t="s">
        <v>1337</v>
      </c>
      <c r="J36" s="703" t="s">
        <v>1619</v>
      </c>
      <c r="K36" s="704"/>
      <c r="L36" s="705"/>
      <c r="M36" s="196"/>
      <c r="N36" s="192"/>
    </row>
    <row r="37" spans="1:14" s="191" customFormat="1" ht="33" customHeight="1">
      <c r="A37" s="206">
        <v>25</v>
      </c>
      <c r="B37" s="204" t="s">
        <v>637</v>
      </c>
      <c r="C37" s="204" t="s">
        <v>81</v>
      </c>
      <c r="D37" s="204" t="s">
        <v>56</v>
      </c>
      <c r="E37" s="203">
        <v>83200</v>
      </c>
      <c r="F37" s="214" t="s">
        <v>1569</v>
      </c>
      <c r="G37" s="203">
        <f>180*60*11</f>
        <v>118800</v>
      </c>
      <c r="H37" s="201">
        <v>83200</v>
      </c>
      <c r="I37" s="393" t="s">
        <v>1337</v>
      </c>
      <c r="J37" s="703" t="s">
        <v>1620</v>
      </c>
      <c r="K37" s="704"/>
      <c r="L37" s="705"/>
      <c r="M37" s="196"/>
      <c r="N37" s="192"/>
    </row>
    <row r="38" spans="1:14" s="191" customFormat="1" ht="33" customHeight="1">
      <c r="A38" s="205">
        <v>26</v>
      </c>
      <c r="B38" s="204" t="s">
        <v>208</v>
      </c>
      <c r="C38" s="204" t="s">
        <v>209</v>
      </c>
      <c r="D38" s="204" t="s">
        <v>194</v>
      </c>
      <c r="E38" s="203">
        <f>37900+42000</f>
        <v>79900</v>
      </c>
      <c r="F38" s="214" t="s">
        <v>1526</v>
      </c>
      <c r="G38" s="203">
        <f>180*60*12</f>
        <v>129600</v>
      </c>
      <c r="H38" s="201">
        <f>37900+42000</f>
        <v>79900</v>
      </c>
      <c r="I38" s="393" t="s">
        <v>1337</v>
      </c>
      <c r="J38" s="703" t="s">
        <v>1621</v>
      </c>
      <c r="K38" s="704"/>
      <c r="L38" s="705"/>
      <c r="M38" s="196"/>
      <c r="N38" s="192"/>
    </row>
    <row r="39" spans="1:14" s="191" customFormat="1" ht="33" customHeight="1">
      <c r="A39" s="205">
        <v>27</v>
      </c>
      <c r="B39" s="204" t="s">
        <v>176</v>
      </c>
      <c r="C39" s="204" t="s">
        <v>148</v>
      </c>
      <c r="D39" s="204" t="s">
        <v>194</v>
      </c>
      <c r="E39" s="203">
        <f>90000+44000</f>
        <v>134000</v>
      </c>
      <c r="F39" s="214" t="s">
        <v>1408</v>
      </c>
      <c r="G39" s="203">
        <f>180*60*8</f>
        <v>86400</v>
      </c>
      <c r="H39" s="201">
        <f>90000+44000</f>
        <v>134000</v>
      </c>
      <c r="I39" s="393" t="s">
        <v>1495</v>
      </c>
      <c r="J39" s="703" t="s">
        <v>1622</v>
      </c>
      <c r="K39" s="704"/>
      <c r="L39" s="705"/>
      <c r="M39" s="196"/>
      <c r="N39" s="192"/>
    </row>
    <row r="40" spans="1:14" s="191" customFormat="1" ht="33" customHeight="1">
      <c r="A40" s="206">
        <v>28</v>
      </c>
      <c r="B40" s="204" t="s">
        <v>35</v>
      </c>
      <c r="C40" s="204" t="s">
        <v>47</v>
      </c>
      <c r="D40" s="204" t="s">
        <v>61</v>
      </c>
      <c r="E40" s="203">
        <v>43000</v>
      </c>
      <c r="F40" s="214" t="s">
        <v>1526</v>
      </c>
      <c r="G40" s="203">
        <f t="shared" ref="G40:G49" si="1">180*60*12</f>
        <v>129600</v>
      </c>
      <c r="H40" s="201">
        <v>43000</v>
      </c>
      <c r="I40" s="393" t="s">
        <v>1495</v>
      </c>
      <c r="J40" s="703" t="s">
        <v>1623</v>
      </c>
      <c r="K40" s="704"/>
      <c r="L40" s="705"/>
      <c r="M40" s="196"/>
      <c r="N40" s="192"/>
    </row>
    <row r="41" spans="1:14" s="191" customFormat="1" ht="33" customHeight="1">
      <c r="A41" s="206">
        <v>29</v>
      </c>
      <c r="B41" s="204" t="s">
        <v>231</v>
      </c>
      <c r="C41" s="204" t="s">
        <v>204</v>
      </c>
      <c r="D41" s="204" t="s">
        <v>183</v>
      </c>
      <c r="E41" s="203">
        <v>43000</v>
      </c>
      <c r="F41" s="214" t="s">
        <v>1526</v>
      </c>
      <c r="G41" s="203">
        <f t="shared" si="1"/>
        <v>129600</v>
      </c>
      <c r="H41" s="201">
        <v>43000</v>
      </c>
      <c r="I41" s="393" t="s">
        <v>1495</v>
      </c>
      <c r="J41" s="706" t="s">
        <v>1624</v>
      </c>
      <c r="K41" s="704"/>
      <c r="L41" s="705"/>
      <c r="M41" s="196"/>
      <c r="N41" s="192"/>
    </row>
    <row r="42" spans="1:14" s="191" customFormat="1" ht="33" customHeight="1">
      <c r="A42" s="206">
        <v>30</v>
      </c>
      <c r="B42" s="204"/>
      <c r="C42" s="204"/>
      <c r="D42" s="204"/>
      <c r="E42" s="203"/>
      <c r="F42" s="214" t="s">
        <v>1569</v>
      </c>
      <c r="G42" s="203">
        <f>180*60*11</f>
        <v>118800</v>
      </c>
      <c r="H42" s="201"/>
      <c r="I42" s="393" t="s">
        <v>1495</v>
      </c>
      <c r="J42" s="703" t="s">
        <v>1625</v>
      </c>
      <c r="K42" s="704"/>
      <c r="L42" s="705"/>
      <c r="M42" s="196"/>
      <c r="N42" s="192"/>
    </row>
    <row r="43" spans="1:14" s="191" customFormat="1" ht="33" customHeight="1">
      <c r="A43" s="205">
        <v>31</v>
      </c>
      <c r="B43" s="204"/>
      <c r="C43" s="204"/>
      <c r="D43" s="204"/>
      <c r="E43" s="203"/>
      <c r="F43" s="214" t="s">
        <v>1526</v>
      </c>
      <c r="G43" s="203">
        <f t="shared" si="1"/>
        <v>129600</v>
      </c>
      <c r="H43" s="201"/>
      <c r="I43" s="393" t="s">
        <v>1363</v>
      </c>
      <c r="J43" s="703" t="s">
        <v>1626</v>
      </c>
      <c r="K43" s="704"/>
      <c r="L43" s="705"/>
      <c r="M43" s="196"/>
      <c r="N43" s="192"/>
    </row>
    <row r="44" spans="1:14" s="191" customFormat="1" ht="33" customHeight="1">
      <c r="A44" s="205">
        <v>50</v>
      </c>
      <c r="B44" s="204"/>
      <c r="C44" s="204"/>
      <c r="D44" s="204"/>
      <c r="E44" s="203"/>
      <c r="F44" s="214" t="s">
        <v>1526</v>
      </c>
      <c r="G44" s="203">
        <f t="shared" si="1"/>
        <v>129600</v>
      </c>
      <c r="H44" s="201"/>
      <c r="I44" s="393" t="s">
        <v>1363</v>
      </c>
      <c r="J44" s="703" t="s">
        <v>1627</v>
      </c>
      <c r="K44" s="704"/>
      <c r="L44" s="705"/>
      <c r="M44" s="196"/>
      <c r="N44" s="192"/>
    </row>
    <row r="45" spans="1:14" s="191" customFormat="1" ht="33" customHeight="1">
      <c r="A45" s="205">
        <v>51</v>
      </c>
      <c r="B45" s="204"/>
      <c r="C45" s="204"/>
      <c r="D45" s="204"/>
      <c r="E45" s="203"/>
      <c r="F45" s="214" t="s">
        <v>1526</v>
      </c>
      <c r="G45" s="203">
        <f t="shared" si="1"/>
        <v>129600</v>
      </c>
      <c r="H45" s="201"/>
      <c r="I45" s="393" t="s">
        <v>1363</v>
      </c>
      <c r="J45" s="706" t="s">
        <v>1628</v>
      </c>
      <c r="K45" s="704"/>
      <c r="L45" s="705"/>
      <c r="M45" s="196"/>
      <c r="N45" s="192"/>
    </row>
    <row r="46" spans="1:14" s="191" customFormat="1" ht="33" customHeight="1">
      <c r="A46" s="205">
        <v>52</v>
      </c>
      <c r="B46" s="204"/>
      <c r="C46" s="204"/>
      <c r="D46" s="204"/>
      <c r="E46" s="203"/>
      <c r="F46" s="214" t="s">
        <v>1526</v>
      </c>
      <c r="G46" s="203">
        <f t="shared" si="1"/>
        <v>129600</v>
      </c>
      <c r="H46" s="201"/>
      <c r="I46" s="393" t="s">
        <v>1363</v>
      </c>
      <c r="J46" s="706" t="s">
        <v>1629</v>
      </c>
      <c r="K46" s="704"/>
      <c r="L46" s="705"/>
      <c r="M46" s="196"/>
      <c r="N46" s="192"/>
    </row>
    <row r="47" spans="1:14" s="191" customFormat="1" ht="33" customHeight="1">
      <c r="A47" s="205">
        <v>53</v>
      </c>
      <c r="B47" s="204"/>
      <c r="C47" s="204"/>
      <c r="D47" s="204"/>
      <c r="E47" s="203"/>
      <c r="F47" s="214" t="s">
        <v>1526</v>
      </c>
      <c r="G47" s="203">
        <f t="shared" si="1"/>
        <v>129600</v>
      </c>
      <c r="H47" s="201"/>
      <c r="I47" s="393" t="s">
        <v>1363</v>
      </c>
      <c r="J47" s="706" t="s">
        <v>1630</v>
      </c>
      <c r="K47" s="704"/>
      <c r="L47" s="705"/>
      <c r="M47" s="196"/>
      <c r="N47" s="192"/>
    </row>
    <row r="48" spans="1:14" s="191" customFormat="1" ht="33" customHeight="1">
      <c r="A48" s="205">
        <v>54</v>
      </c>
      <c r="B48" s="204"/>
      <c r="C48" s="204"/>
      <c r="D48" s="204"/>
      <c r="E48" s="203"/>
      <c r="F48" s="214" t="s">
        <v>1526</v>
      </c>
      <c r="G48" s="203">
        <f t="shared" si="1"/>
        <v>129600</v>
      </c>
      <c r="H48" s="201"/>
      <c r="I48" s="393" t="s">
        <v>1363</v>
      </c>
      <c r="J48" s="706" t="s">
        <v>1631</v>
      </c>
      <c r="K48" s="704"/>
      <c r="L48" s="705"/>
      <c r="M48" s="196"/>
      <c r="N48" s="192"/>
    </row>
    <row r="49" spans="1:14" s="191" customFormat="1" ht="33" customHeight="1">
      <c r="A49" s="206" t="s">
        <v>1660</v>
      </c>
      <c r="B49" s="210"/>
      <c r="C49" s="210"/>
      <c r="D49" s="210"/>
      <c r="E49" s="210"/>
      <c r="F49" s="210"/>
      <c r="G49" s="210">
        <f t="shared" si="1"/>
        <v>129600</v>
      </c>
      <c r="H49" s="207">
        <f>SUM(H7:H48)</f>
        <v>1670300</v>
      </c>
      <c r="I49" s="394"/>
      <c r="J49" s="706"/>
      <c r="K49" s="704"/>
      <c r="L49" s="705"/>
      <c r="M49" s="196"/>
      <c r="N49" s="192"/>
    </row>
    <row r="50" spans="1:14" s="191" customFormat="1" ht="15.75" customHeight="1">
      <c r="A50" s="197"/>
      <c r="B50" s="197"/>
      <c r="C50" s="197"/>
      <c r="D50" s="197"/>
      <c r="E50" s="198"/>
      <c r="F50" s="198"/>
      <c r="G50" s="198"/>
      <c r="H50" s="198"/>
      <c r="I50" s="198"/>
      <c r="J50" s="198"/>
      <c r="K50" s="198"/>
    </row>
    <row r="51" spans="1:14" s="191" customFormat="1" ht="15.75" customHeight="1">
      <c r="A51" s="197"/>
      <c r="B51" s="197"/>
      <c r="C51" s="197"/>
      <c r="D51" s="197"/>
      <c r="E51" s="198"/>
      <c r="F51" s="198"/>
      <c r="G51" s="198"/>
      <c r="H51" s="198"/>
      <c r="I51" s="198"/>
      <c r="J51" s="198"/>
      <c r="K51" s="198"/>
    </row>
    <row r="52" spans="1:14" s="191" customFormat="1" ht="15.75" customHeight="1">
      <c r="A52" s="197"/>
      <c r="B52" s="197"/>
      <c r="C52" s="197"/>
      <c r="D52" s="197"/>
      <c r="E52" s="198"/>
      <c r="F52" s="198"/>
      <c r="G52" s="198"/>
      <c r="H52" s="198"/>
      <c r="I52" s="198"/>
      <c r="J52" s="198"/>
      <c r="K52" s="198"/>
    </row>
    <row r="53" spans="1:14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</row>
    <row r="54" spans="1:14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</row>
    <row r="55" spans="1:14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</row>
    <row r="56" spans="1:14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</row>
    <row r="57" spans="1:14" s="191" customFormat="1" ht="15.75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</row>
    <row r="58" spans="1:14" s="191" customFormat="1" ht="15.75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</row>
    <row r="59" spans="1:14" s="191" customFormat="1" ht="15.75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</row>
    <row r="60" spans="1:14" s="191" customFormat="1" ht="15.75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</row>
    <row r="61" spans="1:14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</row>
    <row r="62" spans="1:14" s="191" customFormat="1" ht="15.75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</row>
    <row r="63" spans="1:14" s="191" customFormat="1" ht="15.75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</row>
    <row r="64" spans="1:14" s="191" customFormat="1" ht="15.75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</row>
    <row r="65" spans="1:11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</row>
    <row r="66" spans="1:11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1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1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1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1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1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1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</sheetData>
  <mergeCells count="53">
    <mergeCell ref="J48:L48"/>
    <mergeCell ref="J49:L49"/>
    <mergeCell ref="J42:L42"/>
    <mergeCell ref="J43:L43"/>
    <mergeCell ref="J44:L44"/>
    <mergeCell ref="J45:L45"/>
    <mergeCell ref="J46:L46"/>
    <mergeCell ref="J47:L47"/>
    <mergeCell ref="J41:L41"/>
    <mergeCell ref="J30:L30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29:L29"/>
    <mergeCell ref="J18:L18"/>
    <mergeCell ref="J19:L19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17:L17"/>
    <mergeCell ref="J7:L7"/>
    <mergeCell ref="J8:L8"/>
    <mergeCell ref="J9:L9"/>
    <mergeCell ref="J10:L10"/>
    <mergeCell ref="J11:L11"/>
    <mergeCell ref="J12:L12"/>
    <mergeCell ref="J13:L13"/>
    <mergeCell ref="J14:L14"/>
    <mergeCell ref="J15:L15"/>
    <mergeCell ref="J16:L16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</mergeCells>
  <phoneticPr fontId="74" type="noConversion"/>
  <conditionalFormatting sqref="H7:I48">
    <cfRule type="cellIs" dxfId="24" priority="1" operator="lessThan">
      <formula>0</formula>
    </cfRule>
  </conditionalFormatting>
  <printOptions horizontalCentered="1"/>
  <pageMargins left="0" right="0" top="0" bottom="0" header="0" footer="0"/>
  <pageSetup paperSize="9" scale="52" fitToHeight="0" orientation="portrait" r:id="rId1"/>
  <headerFooter>
    <oddFooter>&amp;LQ401-2&amp;CHANSUNGBOLT VINA&amp;RA4 (210 x 297mm)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8">
    <pageSetUpPr fitToPage="1"/>
  </sheetPr>
  <dimension ref="A1:N71"/>
  <sheetViews>
    <sheetView view="pageBreakPreview" topLeftCell="A19" zoomScale="60" zoomScaleNormal="85" workbookViewId="0">
      <selection activeCell="C23" sqref="C23:E2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3.425781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3.42578125" style="190" customWidth="1"/>
    <col min="16" max="16" width="15.42578125" style="190" customWidth="1"/>
    <col min="17" max="43" width="3.42578125" style="190" customWidth="1"/>
    <col min="44" max="16384" width="9.140625" style="190"/>
  </cols>
  <sheetData>
    <row r="1" spans="1:14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4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4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4" ht="20.25" customHeight="1">
      <c r="A4" s="698" t="s">
        <v>1633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4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4" s="191" customFormat="1" ht="29.25" customHeight="1">
      <c r="A6" s="683"/>
      <c r="B6" s="683"/>
      <c r="C6" s="683"/>
      <c r="D6" s="683"/>
      <c r="E6" s="211" t="s">
        <v>1553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4" s="191" customFormat="1" ht="33" customHeight="1">
      <c r="A7" s="199">
        <v>1</v>
      </c>
      <c r="B7" s="200" t="s">
        <v>24</v>
      </c>
      <c r="C7" s="200" t="s">
        <v>37</v>
      </c>
      <c r="D7" s="200" t="s">
        <v>49</v>
      </c>
      <c r="E7" s="201">
        <v>8000</v>
      </c>
      <c r="F7" s="213" t="s">
        <v>1408</v>
      </c>
      <c r="G7" s="201">
        <f>47*60*8</f>
        <v>22560</v>
      </c>
      <c r="H7" s="201">
        <v>8000</v>
      </c>
      <c r="I7" s="393" t="s">
        <v>1328</v>
      </c>
      <c r="J7" s="703" t="s">
        <v>1635</v>
      </c>
      <c r="K7" s="704"/>
      <c r="L7" s="705"/>
      <c r="M7" s="192"/>
      <c r="N7" s="192"/>
    </row>
    <row r="8" spans="1:14" s="191" customFormat="1" ht="33" customHeight="1">
      <c r="A8" s="199">
        <v>2</v>
      </c>
      <c r="B8" s="200" t="s">
        <v>496</v>
      </c>
      <c r="C8" s="200" t="s">
        <v>498</v>
      </c>
      <c r="D8" s="200" t="s">
        <v>499</v>
      </c>
      <c r="E8" s="201">
        <v>27000</v>
      </c>
      <c r="F8" s="213" t="s">
        <v>1409</v>
      </c>
      <c r="G8" s="201">
        <f>44*60*10.5</f>
        <v>27720</v>
      </c>
      <c r="H8" s="201">
        <v>27000</v>
      </c>
      <c r="I8" s="393" t="s">
        <v>1334</v>
      </c>
      <c r="J8" s="706"/>
      <c r="K8" s="704"/>
      <c r="L8" s="705"/>
      <c r="M8" s="192"/>
      <c r="N8" s="192"/>
    </row>
    <row r="9" spans="1:14" s="191" customFormat="1" ht="33" customHeight="1">
      <c r="A9" s="199">
        <v>3</v>
      </c>
      <c r="B9" s="200" t="s">
        <v>151</v>
      </c>
      <c r="C9" s="200" t="s">
        <v>152</v>
      </c>
      <c r="D9" s="200" t="s">
        <v>210</v>
      </c>
      <c r="E9" s="201">
        <v>25500</v>
      </c>
      <c r="F9" s="213" t="s">
        <v>1408</v>
      </c>
      <c r="G9" s="201">
        <f>55*60*8</f>
        <v>26400</v>
      </c>
      <c r="H9" s="201">
        <v>25500</v>
      </c>
      <c r="I9" s="393" t="s">
        <v>1330</v>
      </c>
      <c r="J9" s="703" t="s">
        <v>1556</v>
      </c>
      <c r="K9" s="704"/>
      <c r="L9" s="705"/>
      <c r="M9" s="192"/>
      <c r="N9" s="192"/>
    </row>
    <row r="10" spans="1:14" s="195" customFormat="1" ht="33" customHeight="1">
      <c r="A10" s="199">
        <v>4</v>
      </c>
      <c r="B10" s="203" t="s">
        <v>90</v>
      </c>
      <c r="C10" s="203" t="s">
        <v>91</v>
      </c>
      <c r="D10" s="203" t="s">
        <v>205</v>
      </c>
      <c r="E10" s="203">
        <v>33000</v>
      </c>
      <c r="F10" s="213" t="s">
        <v>1408</v>
      </c>
      <c r="G10" s="201">
        <f>70*60*8</f>
        <v>33600</v>
      </c>
      <c r="H10" s="201">
        <v>33000</v>
      </c>
      <c r="I10" s="393" t="s">
        <v>1330</v>
      </c>
      <c r="J10" s="703"/>
      <c r="K10" s="704"/>
      <c r="L10" s="705"/>
      <c r="M10" s="194"/>
      <c r="N10" s="192"/>
    </row>
    <row r="11" spans="1:14" s="195" customFormat="1" ht="33" customHeight="1">
      <c r="A11" s="199">
        <v>5</v>
      </c>
      <c r="B11" s="203" t="s">
        <v>206</v>
      </c>
      <c r="C11" s="204" t="s">
        <v>36</v>
      </c>
      <c r="D11" s="203" t="s">
        <v>1459</v>
      </c>
      <c r="E11" s="203">
        <v>27000</v>
      </c>
      <c r="F11" s="213" t="s">
        <v>1409</v>
      </c>
      <c r="G11" s="203">
        <f>45*60*10.5</f>
        <v>28350</v>
      </c>
      <c r="H11" s="201">
        <v>0</v>
      </c>
      <c r="I11" s="393" t="s">
        <v>1334</v>
      </c>
      <c r="J11" s="706" t="s">
        <v>1636</v>
      </c>
      <c r="K11" s="704"/>
      <c r="L11" s="705"/>
      <c r="M11" s="194"/>
      <c r="N11" s="192"/>
    </row>
    <row r="12" spans="1:14" s="195" customFormat="1" ht="33" customHeight="1">
      <c r="A12" s="199">
        <v>6</v>
      </c>
      <c r="B12" s="200" t="s">
        <v>139</v>
      </c>
      <c r="C12" s="200" t="s">
        <v>140</v>
      </c>
      <c r="D12" s="200" t="s">
        <v>1583</v>
      </c>
      <c r="E12" s="201">
        <v>27000</v>
      </c>
      <c r="F12" s="213" t="s">
        <v>1409</v>
      </c>
      <c r="G12" s="201">
        <f>45*60*10.5</f>
        <v>28350</v>
      </c>
      <c r="H12" s="201">
        <v>27000</v>
      </c>
      <c r="I12" s="393" t="s">
        <v>1334</v>
      </c>
      <c r="J12" s="706" t="s">
        <v>1521</v>
      </c>
      <c r="K12" s="704"/>
      <c r="L12" s="705"/>
      <c r="M12" s="194"/>
      <c r="N12" s="192"/>
    </row>
    <row r="13" spans="1:14" s="195" customFormat="1" ht="33" customHeight="1">
      <c r="A13" s="199" t="s">
        <v>66</v>
      </c>
      <c r="B13" s="200" t="s">
        <v>171</v>
      </c>
      <c r="C13" s="200" t="s">
        <v>172</v>
      </c>
      <c r="D13" s="200" t="s">
        <v>177</v>
      </c>
      <c r="E13" s="201">
        <v>35000</v>
      </c>
      <c r="F13" s="213" t="s">
        <v>1409</v>
      </c>
      <c r="G13" s="201">
        <f>138*60*10.5</f>
        <v>86940</v>
      </c>
      <c r="H13" s="201">
        <v>35000</v>
      </c>
      <c r="I13" s="393" t="s">
        <v>1331</v>
      </c>
      <c r="J13" s="706" t="s">
        <v>1616</v>
      </c>
      <c r="K13" s="704"/>
      <c r="L13" s="705"/>
      <c r="M13" s="194"/>
      <c r="N13" s="192"/>
    </row>
    <row r="14" spans="1:14" s="195" customFormat="1" ht="33" customHeight="1">
      <c r="A14" s="199" t="s">
        <v>66</v>
      </c>
      <c r="B14" s="200" t="s">
        <v>171</v>
      </c>
      <c r="C14" s="200" t="s">
        <v>172</v>
      </c>
      <c r="D14" s="200" t="s">
        <v>177</v>
      </c>
      <c r="E14" s="201">
        <v>45000</v>
      </c>
      <c r="F14" s="213" t="s">
        <v>1409</v>
      </c>
      <c r="G14" s="201">
        <f>138*60*10.5</f>
        <v>86940</v>
      </c>
      <c r="H14" s="201">
        <v>45000</v>
      </c>
      <c r="I14" s="393" t="s">
        <v>1331</v>
      </c>
      <c r="J14" s="706" t="s">
        <v>1637</v>
      </c>
      <c r="K14" s="704"/>
      <c r="L14" s="705"/>
      <c r="M14" s="194"/>
      <c r="N14" s="192"/>
    </row>
    <row r="15" spans="1:14" s="195" customFormat="1" ht="33" customHeight="1">
      <c r="A15" s="202">
        <v>7</v>
      </c>
      <c r="B15" s="203" t="s">
        <v>27</v>
      </c>
      <c r="C15" s="204" t="s">
        <v>40</v>
      </c>
      <c r="D15" s="203" t="s">
        <v>52</v>
      </c>
      <c r="E15" s="203">
        <f>84000+59500</f>
        <v>143500</v>
      </c>
      <c r="F15" s="214" t="s">
        <v>1409</v>
      </c>
      <c r="G15" s="201">
        <f>138*60*10.5</f>
        <v>86940</v>
      </c>
      <c r="H15" s="201">
        <f>84000</f>
        <v>84000</v>
      </c>
      <c r="I15" s="393" t="s">
        <v>1331</v>
      </c>
      <c r="J15" s="703" t="s">
        <v>1638</v>
      </c>
      <c r="K15" s="704"/>
      <c r="L15" s="705"/>
      <c r="M15" s="194"/>
      <c r="N15" s="192"/>
    </row>
    <row r="16" spans="1:14" s="191" customFormat="1" ht="33" customHeight="1">
      <c r="A16" s="202" t="s">
        <v>218</v>
      </c>
      <c r="B16" s="203" t="s">
        <v>26</v>
      </c>
      <c r="C16" s="204" t="s">
        <v>39</v>
      </c>
      <c r="D16" s="203" t="s">
        <v>51</v>
      </c>
      <c r="E16" s="203">
        <v>33000</v>
      </c>
      <c r="F16" s="214" t="s">
        <v>1409</v>
      </c>
      <c r="G16" s="201">
        <f>52*60*10.5</f>
        <v>32760</v>
      </c>
      <c r="H16" s="201">
        <v>33000</v>
      </c>
      <c r="I16" s="393" t="s">
        <v>1331</v>
      </c>
      <c r="J16" s="703" t="s">
        <v>1521</v>
      </c>
      <c r="K16" s="704"/>
      <c r="L16" s="705"/>
      <c r="M16" s="192"/>
      <c r="N16" s="192"/>
    </row>
    <row r="17" spans="1:14" s="191" customFormat="1" ht="33" customHeight="1">
      <c r="A17" s="202">
        <v>8</v>
      </c>
      <c r="B17" s="203" t="s">
        <v>968</v>
      </c>
      <c r="C17" s="204" t="s">
        <v>152</v>
      </c>
      <c r="D17" s="203" t="s">
        <v>1299</v>
      </c>
      <c r="E17" s="203">
        <v>33000</v>
      </c>
      <c r="F17" s="214" t="s">
        <v>1409</v>
      </c>
      <c r="G17" s="201">
        <f>52*60*10.5</f>
        <v>32760</v>
      </c>
      <c r="H17" s="201">
        <v>33000</v>
      </c>
      <c r="I17" s="393" t="s">
        <v>1489</v>
      </c>
      <c r="J17" s="703" t="s">
        <v>1521</v>
      </c>
      <c r="K17" s="710"/>
      <c r="L17" s="711"/>
      <c r="M17" s="192"/>
      <c r="N17" s="192"/>
    </row>
    <row r="18" spans="1:14" s="191" customFormat="1" ht="33" customHeight="1">
      <c r="A18" s="202" t="s">
        <v>1481</v>
      </c>
      <c r="B18" s="203" t="s">
        <v>27</v>
      </c>
      <c r="C18" s="204" t="s">
        <v>40</v>
      </c>
      <c r="D18" s="203" t="s">
        <v>52</v>
      </c>
      <c r="E18" s="203"/>
      <c r="F18" s="214" t="s">
        <v>1409</v>
      </c>
      <c r="G18" s="201">
        <f>95*60*10.5</f>
        <v>59850</v>
      </c>
      <c r="H18" s="201">
        <v>59500</v>
      </c>
      <c r="I18" s="393" t="s">
        <v>1489</v>
      </c>
      <c r="J18" s="703" t="s">
        <v>1570</v>
      </c>
      <c r="K18" s="704"/>
      <c r="L18" s="705"/>
      <c r="M18" s="192"/>
      <c r="N18" s="192"/>
    </row>
    <row r="19" spans="1:14" s="191" customFormat="1" ht="33" customHeight="1">
      <c r="A19" s="205">
        <v>9</v>
      </c>
      <c r="B19" s="204" t="s">
        <v>780</v>
      </c>
      <c r="C19" s="204" t="s">
        <v>783</v>
      </c>
      <c r="D19" s="204" t="s">
        <v>56</v>
      </c>
      <c r="E19" s="203">
        <v>27000</v>
      </c>
      <c r="F19" s="214" t="s">
        <v>1408</v>
      </c>
      <c r="G19" s="203">
        <f>55*60*8</f>
        <v>26400</v>
      </c>
      <c r="H19" s="201">
        <v>27000</v>
      </c>
      <c r="I19" s="393" t="s">
        <v>1336</v>
      </c>
      <c r="J19" s="703" t="s">
        <v>1521</v>
      </c>
      <c r="K19" s="704"/>
      <c r="L19" s="705"/>
      <c r="M19" s="196"/>
      <c r="N19" s="192"/>
    </row>
    <row r="20" spans="1:14" s="191" customFormat="1" ht="33" customHeight="1">
      <c r="A20" s="205">
        <v>10</v>
      </c>
      <c r="B20" s="204" t="s">
        <v>198</v>
      </c>
      <c r="C20" s="204" t="s">
        <v>199</v>
      </c>
      <c r="D20" s="204" t="s">
        <v>54</v>
      </c>
      <c r="E20" s="203">
        <v>34800</v>
      </c>
      <c r="F20" s="214" t="s">
        <v>1408</v>
      </c>
      <c r="G20" s="203">
        <f>80*60*8</f>
        <v>38400</v>
      </c>
      <c r="H20" s="201">
        <v>34800</v>
      </c>
      <c r="I20" s="393" t="s">
        <v>1336</v>
      </c>
      <c r="J20" s="712" t="s">
        <v>1639</v>
      </c>
      <c r="K20" s="701"/>
      <c r="L20" s="702"/>
      <c r="M20" s="196"/>
      <c r="N20" s="192"/>
    </row>
    <row r="21" spans="1:14" s="191" customFormat="1" ht="33" customHeight="1">
      <c r="A21" s="205">
        <v>11</v>
      </c>
      <c r="B21" s="204" t="s">
        <v>30</v>
      </c>
      <c r="C21" s="204" t="s">
        <v>43</v>
      </c>
      <c r="D21" s="204" t="s">
        <v>55</v>
      </c>
      <c r="E21" s="203">
        <v>48000</v>
      </c>
      <c r="F21" s="214" t="s">
        <v>1408</v>
      </c>
      <c r="G21" s="203">
        <f>100*60*8</f>
        <v>48000</v>
      </c>
      <c r="H21" s="201">
        <v>48000</v>
      </c>
      <c r="I21" s="393" t="s">
        <v>1336</v>
      </c>
      <c r="J21" s="703" t="s">
        <v>1521</v>
      </c>
      <c r="K21" s="704"/>
      <c r="L21" s="705"/>
      <c r="M21" s="196"/>
      <c r="N21" s="192"/>
    </row>
    <row r="22" spans="1:14" s="191" customFormat="1" ht="33" customHeight="1">
      <c r="A22" s="205">
        <v>12</v>
      </c>
      <c r="B22" s="204" t="s">
        <v>926</v>
      </c>
      <c r="C22" s="204" t="s">
        <v>927</v>
      </c>
      <c r="D22" s="204" t="s">
        <v>928</v>
      </c>
      <c r="E22" s="203">
        <v>45100</v>
      </c>
      <c r="F22" s="214" t="s">
        <v>1409</v>
      </c>
      <c r="G22" s="203">
        <f>98*60*10.5</f>
        <v>61740</v>
      </c>
      <c r="H22" s="201">
        <v>45100</v>
      </c>
      <c r="I22" s="393" t="s">
        <v>1363</v>
      </c>
      <c r="J22" s="703" t="s">
        <v>1640</v>
      </c>
      <c r="K22" s="704"/>
      <c r="L22" s="705"/>
      <c r="M22" s="196"/>
      <c r="N22" s="192"/>
    </row>
    <row r="23" spans="1:14" s="191" customFormat="1" ht="33" customHeight="1">
      <c r="A23" s="205">
        <v>13</v>
      </c>
      <c r="B23" s="204" t="s">
        <v>29</v>
      </c>
      <c r="C23" s="204" t="s">
        <v>42</v>
      </c>
      <c r="D23" s="204" t="s">
        <v>54</v>
      </c>
      <c r="E23" s="203">
        <v>62200</v>
      </c>
      <c r="F23" s="214" t="s">
        <v>1409</v>
      </c>
      <c r="G23" s="203">
        <f>110*60*10.5</f>
        <v>69300</v>
      </c>
      <c r="H23" s="201">
        <v>62200</v>
      </c>
      <c r="I23" s="393" t="s">
        <v>1363</v>
      </c>
      <c r="J23" s="703" t="s">
        <v>1641</v>
      </c>
      <c r="K23" s="704"/>
      <c r="L23" s="705"/>
      <c r="M23" s="196"/>
      <c r="N23" s="192"/>
    </row>
    <row r="24" spans="1:14" s="191" customFormat="1" ht="33" customHeight="1">
      <c r="A24" s="205">
        <v>14</v>
      </c>
      <c r="B24" s="204" t="s">
        <v>226</v>
      </c>
      <c r="C24" s="204" t="s">
        <v>227</v>
      </c>
      <c r="D24" s="204" t="s">
        <v>54</v>
      </c>
      <c r="E24" s="203">
        <v>54200</v>
      </c>
      <c r="F24" s="214" t="s">
        <v>1409</v>
      </c>
      <c r="G24" s="203">
        <f>95*60*10.5</f>
        <v>59850</v>
      </c>
      <c r="H24" s="201">
        <v>54200</v>
      </c>
      <c r="I24" s="393" t="s">
        <v>1363</v>
      </c>
      <c r="J24" s="703" t="s">
        <v>1642</v>
      </c>
      <c r="K24" s="704"/>
      <c r="L24" s="705"/>
      <c r="M24" s="196"/>
      <c r="N24" s="192"/>
    </row>
    <row r="25" spans="1:14" s="191" customFormat="1" ht="33" customHeight="1">
      <c r="A25" s="206">
        <v>15</v>
      </c>
      <c r="B25" s="204" t="s">
        <v>164</v>
      </c>
      <c r="C25" s="204" t="s">
        <v>165</v>
      </c>
      <c r="D25" s="204" t="s">
        <v>56</v>
      </c>
      <c r="E25" s="203">
        <v>114000</v>
      </c>
      <c r="F25" s="214" t="s">
        <v>1569</v>
      </c>
      <c r="G25" s="203">
        <f>180*60*11</f>
        <v>118800</v>
      </c>
      <c r="H25" s="201">
        <v>114000</v>
      </c>
      <c r="I25" s="393" t="s">
        <v>1335</v>
      </c>
      <c r="J25" s="703" t="s">
        <v>1643</v>
      </c>
      <c r="K25" s="704"/>
      <c r="L25" s="705"/>
      <c r="M25" s="196"/>
      <c r="N25" s="192"/>
    </row>
    <row r="26" spans="1:14" s="191" customFormat="1" ht="33" customHeight="1">
      <c r="A26" s="205">
        <v>16</v>
      </c>
      <c r="B26" s="204" t="s">
        <v>162</v>
      </c>
      <c r="C26" s="204" t="s">
        <v>163</v>
      </c>
      <c r="D26" s="204" t="s">
        <v>56</v>
      </c>
      <c r="E26" s="203">
        <f>110000+110000</f>
        <v>220000</v>
      </c>
      <c r="F26" s="214" t="s">
        <v>1526</v>
      </c>
      <c r="G26" s="203">
        <f>180*60*12</f>
        <v>129600</v>
      </c>
      <c r="H26" s="201">
        <v>127500</v>
      </c>
      <c r="I26" s="393" t="s">
        <v>1335</v>
      </c>
      <c r="J26" s="703" t="s">
        <v>1614</v>
      </c>
      <c r="K26" s="704"/>
      <c r="L26" s="705"/>
      <c r="M26" s="196"/>
      <c r="N26" s="192"/>
    </row>
    <row r="27" spans="1:14" s="191" customFormat="1" ht="33" customHeight="1">
      <c r="A27" s="206">
        <v>17</v>
      </c>
      <c r="B27" s="204" t="s">
        <v>162</v>
      </c>
      <c r="C27" s="204" t="s">
        <v>163</v>
      </c>
      <c r="D27" s="204" t="s">
        <v>56</v>
      </c>
      <c r="E27" s="203">
        <f>17500+18000</f>
        <v>35500</v>
      </c>
      <c r="F27" s="214" t="s">
        <v>1526</v>
      </c>
      <c r="G27" s="203">
        <f>180*60*12</f>
        <v>129600</v>
      </c>
      <c r="H27" s="201">
        <v>128000</v>
      </c>
      <c r="I27" s="393" t="s">
        <v>1335</v>
      </c>
      <c r="J27" s="706" t="s">
        <v>1614</v>
      </c>
      <c r="K27" s="704"/>
      <c r="L27" s="705"/>
      <c r="M27" s="196"/>
      <c r="N27" s="192"/>
    </row>
    <row r="28" spans="1:14" s="191" customFormat="1" ht="33" customHeight="1">
      <c r="A28" s="206">
        <v>18</v>
      </c>
      <c r="B28" s="204" t="s">
        <v>203</v>
      </c>
      <c r="C28" s="204" t="s">
        <v>204</v>
      </c>
      <c r="D28" s="204" t="s">
        <v>57</v>
      </c>
      <c r="E28" s="203">
        <f>97000+84000+84900</f>
        <v>265900</v>
      </c>
      <c r="F28" s="214" t="s">
        <v>1569</v>
      </c>
      <c r="G28" s="203">
        <f>180*60*12</f>
        <v>129600</v>
      </c>
      <c r="H28" s="201">
        <f>97000</f>
        <v>97000</v>
      </c>
      <c r="I28" s="393" t="s">
        <v>1335</v>
      </c>
      <c r="J28" s="703" t="s">
        <v>1644</v>
      </c>
      <c r="K28" s="704"/>
      <c r="L28" s="705"/>
      <c r="M28" s="196"/>
      <c r="N28" s="192"/>
    </row>
    <row r="29" spans="1:14" s="191" customFormat="1" ht="33" customHeight="1">
      <c r="A29" s="206">
        <v>20</v>
      </c>
      <c r="B29" s="204" t="s">
        <v>203</v>
      </c>
      <c r="C29" s="204" t="s">
        <v>204</v>
      </c>
      <c r="D29" s="204" t="s">
        <v>57</v>
      </c>
      <c r="E29" s="203"/>
      <c r="F29" s="214" t="s">
        <v>1408</v>
      </c>
      <c r="G29" s="203">
        <f>180*60*8</f>
        <v>86400</v>
      </c>
      <c r="H29" s="201">
        <v>84000</v>
      </c>
      <c r="I29" s="393" t="s">
        <v>1337</v>
      </c>
      <c r="J29" s="714" t="s">
        <v>1494</v>
      </c>
      <c r="K29" s="715"/>
      <c r="L29" s="716"/>
      <c r="M29" s="196"/>
      <c r="N29" s="192"/>
    </row>
    <row r="30" spans="1:14" s="191" customFormat="1" ht="33" customHeight="1">
      <c r="A30" s="206">
        <v>28</v>
      </c>
      <c r="B30" s="204" t="s">
        <v>203</v>
      </c>
      <c r="C30" s="204" t="s">
        <v>204</v>
      </c>
      <c r="D30" s="204" t="s">
        <v>57</v>
      </c>
      <c r="E30" s="203"/>
      <c r="F30" s="214" t="s">
        <v>1649</v>
      </c>
      <c r="G30" s="203">
        <f>180*60*8.5</f>
        <v>91800</v>
      </c>
      <c r="H30" s="201">
        <v>84900</v>
      </c>
      <c r="I30" s="393" t="s">
        <v>1329</v>
      </c>
      <c r="J30" s="703" t="s">
        <v>1650</v>
      </c>
      <c r="K30" s="704"/>
      <c r="L30" s="705"/>
      <c r="M30" s="196"/>
      <c r="N30" s="192"/>
    </row>
    <row r="31" spans="1:14" s="191" customFormat="1" ht="33" customHeight="1">
      <c r="A31" s="206">
        <v>19</v>
      </c>
      <c r="B31" s="204" t="s">
        <v>128</v>
      </c>
      <c r="C31" s="204" t="s">
        <v>129</v>
      </c>
      <c r="D31" s="204" t="s">
        <v>59</v>
      </c>
      <c r="E31" s="203">
        <f>90000+94000</f>
        <v>184000</v>
      </c>
      <c r="F31" s="214" t="s">
        <v>1493</v>
      </c>
      <c r="G31" s="203">
        <f>180*60*9</f>
        <v>97200</v>
      </c>
      <c r="H31" s="201">
        <f>90000</f>
        <v>90000</v>
      </c>
      <c r="I31" s="393" t="s">
        <v>1337</v>
      </c>
      <c r="J31" s="703" t="s">
        <v>1645</v>
      </c>
      <c r="K31" s="704"/>
      <c r="L31" s="705"/>
      <c r="M31" s="196"/>
      <c r="N31" s="192"/>
    </row>
    <row r="32" spans="1:14" s="191" customFormat="1" ht="33" customHeight="1">
      <c r="A32" s="206">
        <v>26</v>
      </c>
      <c r="B32" s="204" t="s">
        <v>128</v>
      </c>
      <c r="C32" s="204" t="s">
        <v>129</v>
      </c>
      <c r="D32" s="204" t="s">
        <v>59</v>
      </c>
      <c r="E32" s="203"/>
      <c r="F32" s="214" t="s">
        <v>1493</v>
      </c>
      <c r="G32" s="203">
        <f>180*60*9</f>
        <v>97200</v>
      </c>
      <c r="H32" s="201">
        <v>94000</v>
      </c>
      <c r="I32" s="393" t="s">
        <v>1491</v>
      </c>
      <c r="J32" s="703" t="s">
        <v>1570</v>
      </c>
      <c r="K32" s="710"/>
      <c r="L32" s="711"/>
      <c r="M32" s="196"/>
      <c r="N32" s="192"/>
    </row>
    <row r="33" spans="1:14" s="191" customFormat="1" ht="33" customHeight="1">
      <c r="A33" s="206">
        <v>21</v>
      </c>
      <c r="B33" s="204" t="s">
        <v>125</v>
      </c>
      <c r="C33" s="204" t="s">
        <v>980</v>
      </c>
      <c r="D33" s="204" t="s">
        <v>57</v>
      </c>
      <c r="E33" s="203">
        <v>70000</v>
      </c>
      <c r="F33" s="459" t="s">
        <v>1493</v>
      </c>
      <c r="G33" s="460">
        <f>155*60*9</f>
        <v>83700</v>
      </c>
      <c r="H33" s="461">
        <v>70000</v>
      </c>
      <c r="I33" s="462" t="s">
        <v>1337</v>
      </c>
      <c r="J33" s="700" t="s">
        <v>1646</v>
      </c>
      <c r="K33" s="701"/>
      <c r="L33" s="702"/>
      <c r="M33" s="196"/>
      <c r="N33" s="192"/>
    </row>
    <row r="34" spans="1:14" s="191" customFormat="1" ht="33" customHeight="1">
      <c r="A34" s="206">
        <v>22</v>
      </c>
      <c r="B34" s="204" t="s">
        <v>80</v>
      </c>
      <c r="C34" s="204" t="s">
        <v>81</v>
      </c>
      <c r="D34" s="204" t="s">
        <v>60</v>
      </c>
      <c r="E34" s="203">
        <v>88500</v>
      </c>
      <c r="F34" s="459" t="s">
        <v>1493</v>
      </c>
      <c r="G34" s="460">
        <f>180*60*9</f>
        <v>97200</v>
      </c>
      <c r="H34" s="461">
        <v>88500</v>
      </c>
      <c r="I34" s="462" t="s">
        <v>1337</v>
      </c>
      <c r="J34" s="700" t="s">
        <v>1647</v>
      </c>
      <c r="K34" s="701"/>
      <c r="L34" s="702"/>
      <c r="M34" s="196"/>
      <c r="N34" s="192"/>
    </row>
    <row r="35" spans="1:14" s="191" customFormat="1" ht="33" customHeight="1">
      <c r="A35" s="206">
        <v>23</v>
      </c>
      <c r="B35" s="204" t="s">
        <v>33</v>
      </c>
      <c r="C35" s="204" t="s">
        <v>45</v>
      </c>
      <c r="D35" s="204" t="s">
        <v>58</v>
      </c>
      <c r="E35" s="203">
        <v>96000</v>
      </c>
      <c r="F35" s="459" t="s">
        <v>1493</v>
      </c>
      <c r="G35" s="460">
        <f>180*60*9</f>
        <v>97200</v>
      </c>
      <c r="H35" s="461">
        <v>96000</v>
      </c>
      <c r="I35" s="462" t="s">
        <v>1491</v>
      </c>
      <c r="J35" s="700" t="s">
        <v>1614</v>
      </c>
      <c r="K35" s="701"/>
      <c r="L35" s="702"/>
      <c r="M35" s="196"/>
      <c r="N35" s="192"/>
    </row>
    <row r="36" spans="1:14" s="191" customFormat="1" ht="33" customHeight="1">
      <c r="A36" s="206">
        <v>24</v>
      </c>
      <c r="B36" s="204" t="s">
        <v>149</v>
      </c>
      <c r="C36" s="204" t="s">
        <v>150</v>
      </c>
      <c r="D36" s="204" t="s">
        <v>56</v>
      </c>
      <c r="E36" s="203">
        <f>90000+88300</f>
        <v>178300</v>
      </c>
      <c r="F36" s="459" t="s">
        <v>1408</v>
      </c>
      <c r="G36" s="460">
        <f>180*60*8</f>
        <v>86400</v>
      </c>
      <c r="H36" s="461">
        <f>90000</f>
        <v>90000</v>
      </c>
      <c r="I36" s="462" t="s">
        <v>1491</v>
      </c>
      <c r="J36" s="717" t="s">
        <v>1614</v>
      </c>
      <c r="K36" s="715"/>
      <c r="L36" s="716"/>
      <c r="M36" s="196"/>
      <c r="N36" s="192"/>
    </row>
    <row r="37" spans="1:14" s="191" customFormat="1" ht="33" customHeight="1">
      <c r="A37" s="206">
        <v>31</v>
      </c>
      <c r="B37" s="204" t="s">
        <v>149</v>
      </c>
      <c r="C37" s="204" t="s">
        <v>150</v>
      </c>
      <c r="D37" s="204" t="s">
        <v>56</v>
      </c>
      <c r="E37" s="203"/>
      <c r="F37" s="459" t="s">
        <v>1493</v>
      </c>
      <c r="G37" s="460">
        <f>180*60*9</f>
        <v>97200</v>
      </c>
      <c r="H37" s="461">
        <v>88300</v>
      </c>
      <c r="I37" s="462" t="s">
        <v>1329</v>
      </c>
      <c r="J37" s="712" t="s">
        <v>1652</v>
      </c>
      <c r="K37" s="701"/>
      <c r="L37" s="702"/>
      <c r="M37" s="196"/>
      <c r="N37" s="192"/>
    </row>
    <row r="38" spans="1:14" s="191" customFormat="1" ht="33" customHeight="1">
      <c r="A38" s="205">
        <v>25</v>
      </c>
      <c r="B38" s="204" t="s">
        <v>909</v>
      </c>
      <c r="C38" s="204" t="s">
        <v>1550</v>
      </c>
      <c r="D38" s="204" t="s">
        <v>56</v>
      </c>
      <c r="E38" s="203">
        <v>25000</v>
      </c>
      <c r="F38" s="459" t="s">
        <v>1408</v>
      </c>
      <c r="G38" s="203">
        <f>150*60*8</f>
        <v>72000</v>
      </c>
      <c r="H38" s="201">
        <v>25000</v>
      </c>
      <c r="I38" s="393" t="s">
        <v>1491</v>
      </c>
      <c r="J38" s="706" t="s">
        <v>1648</v>
      </c>
      <c r="K38" s="704"/>
      <c r="L38" s="705"/>
      <c r="M38" s="196"/>
      <c r="N38" s="192"/>
    </row>
    <row r="39" spans="1:14" s="191" customFormat="1" ht="33" customHeight="1">
      <c r="A39" s="206">
        <v>27</v>
      </c>
      <c r="B39" s="204" t="s">
        <v>196</v>
      </c>
      <c r="C39" s="204" t="s">
        <v>197</v>
      </c>
      <c r="D39" s="204" t="s">
        <v>60</v>
      </c>
      <c r="E39" s="203">
        <v>86000</v>
      </c>
      <c r="F39" s="214" t="s">
        <v>1408</v>
      </c>
      <c r="G39" s="203">
        <f>180*60*8</f>
        <v>86400</v>
      </c>
      <c r="H39" s="201">
        <v>86000</v>
      </c>
      <c r="I39" s="393" t="s">
        <v>1491</v>
      </c>
      <c r="J39" s="706" t="s">
        <v>1614</v>
      </c>
      <c r="K39" s="704"/>
      <c r="L39" s="705"/>
      <c r="M39" s="196"/>
      <c r="N39" s="192"/>
    </row>
    <row r="40" spans="1:14" s="191" customFormat="1" ht="33" customHeight="1">
      <c r="A40" s="206">
        <v>29</v>
      </c>
      <c r="B40" s="204" t="s">
        <v>637</v>
      </c>
      <c r="C40" s="204" t="s">
        <v>81</v>
      </c>
      <c r="D40" s="204" t="s">
        <v>56</v>
      </c>
      <c r="E40" s="203">
        <v>45900</v>
      </c>
      <c r="F40" s="214" t="s">
        <v>1649</v>
      </c>
      <c r="G40" s="203">
        <f>180*60*8.5</f>
        <v>91800</v>
      </c>
      <c r="H40" s="201">
        <v>45900</v>
      </c>
      <c r="I40" s="393" t="s">
        <v>1329</v>
      </c>
      <c r="J40" s="714" t="s">
        <v>1651</v>
      </c>
      <c r="K40" s="715"/>
      <c r="L40" s="716"/>
      <c r="M40" s="196"/>
      <c r="N40" s="192"/>
    </row>
    <row r="41" spans="1:14" s="191" customFormat="1" ht="33" customHeight="1">
      <c r="A41" s="206">
        <v>30</v>
      </c>
      <c r="B41" s="204" t="s">
        <v>1399</v>
      </c>
      <c r="C41" s="204" t="s">
        <v>1400</v>
      </c>
      <c r="D41" s="204" t="s">
        <v>253</v>
      </c>
      <c r="E41" s="203"/>
      <c r="F41" s="214" t="s">
        <v>1408</v>
      </c>
      <c r="G41" s="203">
        <f>180*60*8</f>
        <v>86400</v>
      </c>
      <c r="H41" s="201"/>
      <c r="I41" s="393" t="s">
        <v>1329</v>
      </c>
      <c r="J41" s="703" t="s">
        <v>1624</v>
      </c>
      <c r="K41" s="710"/>
      <c r="L41" s="711"/>
      <c r="M41" s="196"/>
      <c r="N41" s="192"/>
    </row>
    <row r="42" spans="1:14" s="191" customFormat="1" ht="33" customHeight="1">
      <c r="A42" s="206">
        <v>50</v>
      </c>
      <c r="B42" s="204" t="s">
        <v>208</v>
      </c>
      <c r="C42" s="204" t="s">
        <v>209</v>
      </c>
      <c r="D42" s="204" t="s">
        <v>194</v>
      </c>
      <c r="E42" s="203">
        <f>83500+95000</f>
        <v>178500</v>
      </c>
      <c r="F42" s="214" t="s">
        <v>1493</v>
      </c>
      <c r="G42" s="203">
        <f>178*60*9</f>
        <v>96120</v>
      </c>
      <c r="H42" s="201">
        <f>83500</f>
        <v>83500</v>
      </c>
      <c r="I42" s="393" t="s">
        <v>1495</v>
      </c>
      <c r="J42" s="706" t="s">
        <v>1653</v>
      </c>
      <c r="K42" s="704"/>
      <c r="L42" s="705"/>
      <c r="M42" s="196"/>
      <c r="N42" s="192"/>
    </row>
    <row r="43" spans="1:14" s="191" customFormat="1" ht="33" customHeight="1">
      <c r="A43" s="206">
        <v>55</v>
      </c>
      <c r="B43" s="204" t="s">
        <v>208</v>
      </c>
      <c r="C43" s="204" t="s">
        <v>209</v>
      </c>
      <c r="D43" s="204" t="s">
        <v>194</v>
      </c>
      <c r="E43" s="203"/>
      <c r="F43" s="214" t="s">
        <v>1493</v>
      </c>
      <c r="G43" s="203">
        <f>180*60*9</f>
        <v>97200</v>
      </c>
      <c r="H43" s="201">
        <v>95000</v>
      </c>
      <c r="I43" s="393" t="s">
        <v>1495</v>
      </c>
      <c r="J43" s="706" t="s">
        <v>1494</v>
      </c>
      <c r="K43" s="704"/>
      <c r="L43" s="705"/>
      <c r="M43" s="196"/>
      <c r="N43" s="192"/>
    </row>
    <row r="44" spans="1:14" s="191" customFormat="1" ht="33" customHeight="1">
      <c r="A44" s="206">
        <v>51</v>
      </c>
      <c r="B44" s="204" t="s">
        <v>176</v>
      </c>
      <c r="C44" s="204" t="s">
        <v>148</v>
      </c>
      <c r="D44" s="204" t="s">
        <v>194</v>
      </c>
      <c r="E44" s="203">
        <f>58000+93000</f>
        <v>151000</v>
      </c>
      <c r="F44" s="214" t="s">
        <v>1493</v>
      </c>
      <c r="G44" s="203">
        <f>180*60*9</f>
        <v>97200</v>
      </c>
      <c r="H44" s="201">
        <f>58000</f>
        <v>58000</v>
      </c>
      <c r="I44" s="393" t="s">
        <v>1495</v>
      </c>
      <c r="J44" s="714" t="s">
        <v>1619</v>
      </c>
      <c r="K44" s="715"/>
      <c r="L44" s="716"/>
      <c r="M44" s="196"/>
      <c r="N44" s="192"/>
    </row>
    <row r="45" spans="1:14" s="191" customFormat="1" ht="33" customHeight="1">
      <c r="A45" s="206">
        <v>54</v>
      </c>
      <c r="B45" s="204" t="s">
        <v>176</v>
      </c>
      <c r="C45" s="204" t="s">
        <v>148</v>
      </c>
      <c r="D45" s="204" t="s">
        <v>194</v>
      </c>
      <c r="E45" s="203"/>
      <c r="F45" s="214" t="s">
        <v>1493</v>
      </c>
      <c r="G45" s="203">
        <f>180*60*9</f>
        <v>97200</v>
      </c>
      <c r="H45" s="201">
        <v>93000</v>
      </c>
      <c r="I45" s="393" t="s">
        <v>1495</v>
      </c>
      <c r="J45" s="703" t="s">
        <v>1656</v>
      </c>
      <c r="K45" s="710"/>
      <c r="L45" s="711"/>
      <c r="M45" s="196"/>
      <c r="N45" s="192"/>
    </row>
    <row r="46" spans="1:14" s="191" customFormat="1" ht="33" customHeight="1">
      <c r="A46" s="206">
        <v>52</v>
      </c>
      <c r="B46" s="204" t="s">
        <v>35</v>
      </c>
      <c r="C46" s="204" t="s">
        <v>47</v>
      </c>
      <c r="D46" s="204" t="s">
        <v>61</v>
      </c>
      <c r="E46" s="203">
        <v>88000</v>
      </c>
      <c r="F46" s="214" t="s">
        <v>1493</v>
      </c>
      <c r="G46" s="203">
        <f>180*60*9</f>
        <v>97200</v>
      </c>
      <c r="H46" s="201">
        <v>88000</v>
      </c>
      <c r="I46" s="393" t="s">
        <v>1495</v>
      </c>
      <c r="J46" s="703" t="s">
        <v>1654</v>
      </c>
      <c r="K46" s="704"/>
      <c r="L46" s="705"/>
      <c r="M46" s="196"/>
      <c r="N46" s="192"/>
    </row>
    <row r="47" spans="1:14" s="191" customFormat="1" ht="33" customHeight="1">
      <c r="A47" s="205">
        <v>53</v>
      </c>
      <c r="B47" s="204" t="s">
        <v>231</v>
      </c>
      <c r="C47" s="204" t="s">
        <v>204</v>
      </c>
      <c r="D47" s="204" t="s">
        <v>183</v>
      </c>
      <c r="E47" s="203">
        <v>78000</v>
      </c>
      <c r="F47" s="214" t="s">
        <v>1493</v>
      </c>
      <c r="G47" s="203">
        <f>180*60*9</f>
        <v>97200</v>
      </c>
      <c r="H47" s="201">
        <v>78000</v>
      </c>
      <c r="I47" s="393" t="s">
        <v>1495</v>
      </c>
      <c r="J47" s="703" t="s">
        <v>1655</v>
      </c>
      <c r="K47" s="704"/>
      <c r="L47" s="705"/>
      <c r="M47" s="196"/>
      <c r="N47" s="192"/>
    </row>
    <row r="48" spans="1:14" s="191" customFormat="1" ht="33" customHeight="1">
      <c r="A48" s="206" t="s">
        <v>251</v>
      </c>
      <c r="B48" s="210"/>
      <c r="C48" s="210"/>
      <c r="D48" s="210"/>
      <c r="E48" s="210"/>
      <c r="F48" s="210"/>
      <c r="G48" s="210"/>
      <c r="H48" s="207">
        <f>SUM(H7:H47)</f>
        <v>2585900</v>
      </c>
      <c r="I48" s="394"/>
      <c r="J48" s="706"/>
      <c r="K48" s="704"/>
      <c r="L48" s="705"/>
      <c r="M48" s="196"/>
      <c r="N48" s="192"/>
    </row>
    <row r="49" spans="1:11" s="191" customFormat="1" ht="15.75" customHeight="1">
      <c r="A49" s="197"/>
      <c r="B49" s="197"/>
      <c r="C49" s="197"/>
      <c r="D49" s="197"/>
      <c r="E49" s="198"/>
      <c r="F49" s="198"/>
      <c r="G49" s="198"/>
      <c r="H49" s="198"/>
      <c r="I49" s="198"/>
      <c r="J49" s="198"/>
      <c r="K49" s="198"/>
    </row>
    <row r="50" spans="1:11" s="191" customFormat="1" ht="15.75" customHeight="1">
      <c r="A50" s="197"/>
      <c r="B50" s="197"/>
      <c r="C50" s="197"/>
      <c r="D50" s="197"/>
      <c r="E50" s="198"/>
      <c r="F50" s="198"/>
      <c r="G50" s="198"/>
      <c r="H50" s="198"/>
      <c r="I50" s="198"/>
      <c r="J50" s="198"/>
      <c r="K50" s="198"/>
    </row>
    <row r="51" spans="1:11" s="191" customFormat="1" ht="15.75" customHeight="1">
      <c r="A51" s="197"/>
      <c r="B51" s="197"/>
      <c r="C51" s="197"/>
      <c r="D51" s="197"/>
      <c r="E51" s="198"/>
      <c r="F51" s="198"/>
      <c r="G51" s="198"/>
      <c r="H51" s="198"/>
      <c r="I51" s="198"/>
      <c r="J51" s="198"/>
      <c r="K51" s="198"/>
    </row>
    <row r="52" spans="1:11" s="191" customFormat="1" ht="15.75" customHeight="1">
      <c r="A52" s="197"/>
      <c r="B52" s="197"/>
      <c r="C52" s="197"/>
      <c r="D52" s="197"/>
      <c r="E52" s="198"/>
      <c r="F52" s="198"/>
      <c r="G52" s="198"/>
      <c r="H52" s="198"/>
      <c r="I52" s="198"/>
      <c r="J52" s="198"/>
      <c r="K52" s="198"/>
    </row>
    <row r="53" spans="1:11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</row>
    <row r="54" spans="1:11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</row>
    <row r="55" spans="1:11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</row>
    <row r="56" spans="1:11" s="191" customFormat="1" ht="15.75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</row>
    <row r="57" spans="1:11" s="191" customFormat="1" ht="15.75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</row>
    <row r="58" spans="1:11" s="191" customFormat="1" ht="15.75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</row>
    <row r="59" spans="1:11" s="191" customFormat="1" ht="15.75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</row>
    <row r="60" spans="1:11" s="191" customFormat="1" ht="15.75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</row>
    <row r="61" spans="1:11" s="191" customFormat="1" ht="15.75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</row>
    <row r="62" spans="1:11" s="191" customFormat="1" ht="15.75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</row>
    <row r="63" spans="1:11" s="191" customFormat="1" ht="15.75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</row>
    <row r="64" spans="1:11" s="191" customFormat="1" ht="15.75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</row>
    <row r="65" spans="1:11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</row>
    <row r="66" spans="1:11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1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1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1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1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1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</sheetData>
  <mergeCells count="52">
    <mergeCell ref="A5:A6"/>
    <mergeCell ref="B5:B6"/>
    <mergeCell ref="C5:C6"/>
    <mergeCell ref="D5:D6"/>
    <mergeCell ref="J5:L6"/>
    <mergeCell ref="A1:I3"/>
    <mergeCell ref="J2:J3"/>
    <mergeCell ref="K2:K3"/>
    <mergeCell ref="L2:L3"/>
    <mergeCell ref="A4:B4"/>
    <mergeCell ref="J19:L19"/>
    <mergeCell ref="J7:L7"/>
    <mergeCell ref="J8:L8"/>
    <mergeCell ref="J9:L9"/>
    <mergeCell ref="J10:L10"/>
    <mergeCell ref="J11:L11"/>
    <mergeCell ref="J12:L12"/>
    <mergeCell ref="J18:L18"/>
    <mergeCell ref="J13:L13"/>
    <mergeCell ref="J14:L14"/>
    <mergeCell ref="J15:L15"/>
    <mergeCell ref="J16:L16"/>
    <mergeCell ref="J17:L17"/>
    <mergeCell ref="J34:L34"/>
    <mergeCell ref="J20:L20"/>
    <mergeCell ref="J21:L21"/>
    <mergeCell ref="J22:L22"/>
    <mergeCell ref="J23:L23"/>
    <mergeCell ref="J24:L24"/>
    <mergeCell ref="J25:L25"/>
    <mergeCell ref="J29:L29"/>
    <mergeCell ref="J30:L30"/>
    <mergeCell ref="J32:L32"/>
    <mergeCell ref="J26:L26"/>
    <mergeCell ref="J27:L27"/>
    <mergeCell ref="J28:L28"/>
    <mergeCell ref="J31:L31"/>
    <mergeCell ref="J33:L33"/>
    <mergeCell ref="J37:L37"/>
    <mergeCell ref="J43:L43"/>
    <mergeCell ref="J45:L45"/>
    <mergeCell ref="J44:L44"/>
    <mergeCell ref="J35:L35"/>
    <mergeCell ref="J36:L36"/>
    <mergeCell ref="J38:L38"/>
    <mergeCell ref="J39:L39"/>
    <mergeCell ref="J40:L40"/>
    <mergeCell ref="J46:L46"/>
    <mergeCell ref="J47:L47"/>
    <mergeCell ref="J48:L48"/>
    <mergeCell ref="J42:L42"/>
    <mergeCell ref="J41:L41"/>
  </mergeCells>
  <phoneticPr fontId="74" type="noConversion"/>
  <conditionalFormatting sqref="H7:I47">
    <cfRule type="cellIs" dxfId="23" priority="1" operator="lessThan">
      <formula>0</formula>
    </cfRule>
  </conditionalFormatting>
  <printOptions horizontalCentered="1"/>
  <pageMargins left="0" right="0" top="0" bottom="0" header="0" footer="0"/>
  <pageSetup paperSize="9" scale="52" fitToHeight="0" orientation="portrait" r:id="rId1"/>
  <headerFooter>
    <oddFooter>&amp;LQ401-2&amp;CHANSUNGBOLT VINA&amp;RA4 (210 x 297mm)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9">
    <pageSetUpPr fitToPage="1"/>
  </sheetPr>
  <dimension ref="A1:N73"/>
  <sheetViews>
    <sheetView view="pageBreakPreview" zoomScale="60" zoomScaleNormal="85" workbookViewId="0">
      <selection activeCell="C23" sqref="C23:E2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3.425781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3.42578125" style="190" customWidth="1"/>
    <col min="16" max="16" width="15.42578125" style="190" customWidth="1"/>
    <col min="17" max="43" width="3.42578125" style="190" customWidth="1"/>
    <col min="44" max="16384" width="9.140625" style="190"/>
  </cols>
  <sheetData>
    <row r="1" spans="1:14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4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4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4" ht="20.25" customHeight="1">
      <c r="A4" s="698" t="s">
        <v>1632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4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4" s="191" customFormat="1" ht="29.25" customHeight="1">
      <c r="A6" s="683"/>
      <c r="B6" s="683"/>
      <c r="C6" s="683"/>
      <c r="D6" s="683"/>
      <c r="E6" s="211" t="s">
        <v>1553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4" s="191" customFormat="1" ht="33" customHeight="1">
      <c r="A7" s="199">
        <v>1</v>
      </c>
      <c r="B7" s="200" t="s">
        <v>24</v>
      </c>
      <c r="C7" s="200" t="s">
        <v>37</v>
      </c>
      <c r="D7" s="200" t="s">
        <v>49</v>
      </c>
      <c r="E7" s="201">
        <v>200000</v>
      </c>
      <c r="F7" s="213" t="s">
        <v>1409</v>
      </c>
      <c r="G7" s="201">
        <f>47*60*10.5</f>
        <v>29610</v>
      </c>
      <c r="H7" s="201">
        <v>23000</v>
      </c>
      <c r="I7" s="393" t="s">
        <v>1328</v>
      </c>
      <c r="J7" s="703" t="s">
        <v>1598</v>
      </c>
      <c r="K7" s="704"/>
      <c r="L7" s="705"/>
      <c r="M7" s="192"/>
      <c r="N7" s="192"/>
    </row>
    <row r="8" spans="1:14" s="191" customFormat="1" ht="33" customHeight="1">
      <c r="A8" s="199">
        <v>2</v>
      </c>
      <c r="B8" s="200" t="s">
        <v>496</v>
      </c>
      <c r="C8" s="200" t="s">
        <v>498</v>
      </c>
      <c r="D8" s="200" t="s">
        <v>499</v>
      </c>
      <c r="E8" s="201">
        <v>249500</v>
      </c>
      <c r="F8" s="213" t="s">
        <v>1409</v>
      </c>
      <c r="G8" s="201">
        <f>44*60*10.5</f>
        <v>27720</v>
      </c>
      <c r="H8" s="201">
        <v>25000</v>
      </c>
      <c r="I8" s="393" t="s">
        <v>1334</v>
      </c>
      <c r="J8" s="706" t="s">
        <v>1599</v>
      </c>
      <c r="K8" s="704"/>
      <c r="L8" s="705"/>
      <c r="M8" s="192"/>
      <c r="N8" s="192"/>
    </row>
    <row r="9" spans="1:14" s="191" customFormat="1" ht="33" customHeight="1">
      <c r="A9" s="199">
        <v>3</v>
      </c>
      <c r="B9" s="200" t="s">
        <v>151</v>
      </c>
      <c r="C9" s="200" t="s">
        <v>152</v>
      </c>
      <c r="D9" s="200" t="s">
        <v>210</v>
      </c>
      <c r="E9" s="201">
        <v>314900</v>
      </c>
      <c r="F9" s="213" t="s">
        <v>1409</v>
      </c>
      <c r="G9" s="201">
        <f>55*60*10.5</f>
        <v>34650</v>
      </c>
      <c r="H9" s="201">
        <v>28000</v>
      </c>
      <c r="I9" s="393" t="s">
        <v>1330</v>
      </c>
      <c r="J9" s="703" t="s">
        <v>1600</v>
      </c>
      <c r="K9" s="704"/>
      <c r="L9" s="705"/>
      <c r="M9" s="192"/>
      <c r="N9" s="192"/>
    </row>
    <row r="10" spans="1:14" s="195" customFormat="1" ht="33" customHeight="1">
      <c r="A10" s="199">
        <v>4</v>
      </c>
      <c r="B10" s="203" t="s">
        <v>90</v>
      </c>
      <c r="C10" s="203" t="s">
        <v>91</v>
      </c>
      <c r="D10" s="203" t="s">
        <v>205</v>
      </c>
      <c r="E10" s="203">
        <v>438600</v>
      </c>
      <c r="F10" s="213" t="s">
        <v>1409</v>
      </c>
      <c r="G10" s="201">
        <f>65*60*10.5</f>
        <v>40950</v>
      </c>
      <c r="H10" s="201">
        <v>31000</v>
      </c>
      <c r="I10" s="393" t="s">
        <v>1330</v>
      </c>
      <c r="J10" s="703" t="s">
        <v>1601</v>
      </c>
      <c r="K10" s="704"/>
      <c r="L10" s="705"/>
      <c r="M10" s="194"/>
      <c r="N10" s="192"/>
    </row>
    <row r="11" spans="1:14" s="195" customFormat="1" ht="33" customHeight="1">
      <c r="A11" s="199">
        <v>5</v>
      </c>
      <c r="B11" s="203" t="s">
        <v>206</v>
      </c>
      <c r="C11" s="204" t="s">
        <v>36</v>
      </c>
      <c r="D11" s="203" t="s">
        <v>1459</v>
      </c>
      <c r="E11" s="203">
        <v>729999</v>
      </c>
      <c r="F11" s="213" t="s">
        <v>1409</v>
      </c>
      <c r="G11" s="203">
        <f>50*60*10.5</f>
        <v>31500</v>
      </c>
      <c r="H11" s="201"/>
      <c r="I11" s="393" t="s">
        <v>1334</v>
      </c>
      <c r="J11" s="706" t="s">
        <v>1602</v>
      </c>
      <c r="K11" s="704"/>
      <c r="L11" s="705"/>
      <c r="M11" s="194"/>
      <c r="N11" s="192"/>
    </row>
    <row r="12" spans="1:14" s="195" customFormat="1" ht="33" customHeight="1">
      <c r="A12" s="199">
        <v>6</v>
      </c>
      <c r="B12" s="200" t="s">
        <v>26</v>
      </c>
      <c r="C12" s="200" t="s">
        <v>39</v>
      </c>
      <c r="D12" s="200" t="s">
        <v>51</v>
      </c>
      <c r="E12" s="201">
        <v>339500</v>
      </c>
      <c r="F12" s="213" t="s">
        <v>1409</v>
      </c>
      <c r="G12" s="201">
        <f>42*60*10.5</f>
        <v>26460</v>
      </c>
      <c r="H12" s="201">
        <v>6000</v>
      </c>
      <c r="I12" s="393" t="s">
        <v>1334</v>
      </c>
      <c r="J12" s="706" t="s">
        <v>1603</v>
      </c>
      <c r="K12" s="704"/>
      <c r="L12" s="705"/>
      <c r="M12" s="194"/>
      <c r="N12" s="192"/>
    </row>
    <row r="13" spans="1:14" s="195" customFormat="1" ht="33" customHeight="1">
      <c r="A13" s="199">
        <v>6</v>
      </c>
      <c r="B13" s="200" t="s">
        <v>139</v>
      </c>
      <c r="C13" s="200" t="s">
        <v>140</v>
      </c>
      <c r="D13" s="200" t="s">
        <v>1583</v>
      </c>
      <c r="E13" s="201">
        <v>200000</v>
      </c>
      <c r="F13" s="213" t="s">
        <v>1409</v>
      </c>
      <c r="G13" s="201">
        <f>42*60*10.5</f>
        <v>26460</v>
      </c>
      <c r="H13" s="201">
        <v>6000</v>
      </c>
      <c r="I13" s="393" t="s">
        <v>1331</v>
      </c>
      <c r="J13" s="706" t="s">
        <v>1604</v>
      </c>
      <c r="K13" s="704"/>
      <c r="L13" s="705"/>
      <c r="M13" s="194"/>
      <c r="N13" s="192"/>
    </row>
    <row r="14" spans="1:14" s="195" customFormat="1" ht="33" customHeight="1">
      <c r="A14" s="199" t="s">
        <v>66</v>
      </c>
      <c r="B14" s="200" t="s">
        <v>171</v>
      </c>
      <c r="C14" s="200" t="s">
        <v>172</v>
      </c>
      <c r="D14" s="200" t="s">
        <v>177</v>
      </c>
      <c r="E14" s="201">
        <v>974000</v>
      </c>
      <c r="F14" s="213" t="s">
        <v>1561</v>
      </c>
      <c r="G14" s="201">
        <f>138*60*9.5</f>
        <v>78660</v>
      </c>
      <c r="H14" s="201">
        <v>45000</v>
      </c>
      <c r="I14" s="393" t="s">
        <v>1331</v>
      </c>
      <c r="J14" s="706" t="s">
        <v>1605</v>
      </c>
      <c r="K14" s="704"/>
      <c r="L14" s="705"/>
      <c r="M14" s="194"/>
      <c r="N14" s="192"/>
    </row>
    <row r="15" spans="1:14" s="195" customFormat="1" ht="33" customHeight="1">
      <c r="A15" s="202">
        <v>7</v>
      </c>
      <c r="B15" s="203" t="s">
        <v>27</v>
      </c>
      <c r="C15" s="204" t="s">
        <v>40</v>
      </c>
      <c r="D15" s="203" t="s">
        <v>52</v>
      </c>
      <c r="E15" s="203">
        <v>2402100</v>
      </c>
      <c r="F15" s="214" t="s">
        <v>1561</v>
      </c>
      <c r="G15" s="201">
        <f>138*60*9.5</f>
        <v>78660</v>
      </c>
      <c r="H15" s="201">
        <f>78000</f>
        <v>78000</v>
      </c>
      <c r="I15" s="393" t="s">
        <v>1331</v>
      </c>
      <c r="J15" s="703" t="s">
        <v>1570</v>
      </c>
      <c r="K15" s="704"/>
      <c r="L15" s="705"/>
      <c r="M15" s="194"/>
      <c r="N15" s="192"/>
    </row>
    <row r="16" spans="1:14" s="191" customFormat="1" ht="33" customHeight="1">
      <c r="A16" s="202" t="s">
        <v>218</v>
      </c>
      <c r="B16" s="203" t="s">
        <v>26</v>
      </c>
      <c r="C16" s="204" t="s">
        <v>39</v>
      </c>
      <c r="D16" s="203" t="s">
        <v>51</v>
      </c>
      <c r="E16" s="203">
        <v>339500</v>
      </c>
      <c r="F16" s="214" t="s">
        <v>1408</v>
      </c>
      <c r="G16" s="201">
        <f>52*60*8</f>
        <v>24960</v>
      </c>
      <c r="H16" s="201">
        <f>15000</f>
        <v>15000</v>
      </c>
      <c r="I16" s="393" t="s">
        <v>1331</v>
      </c>
      <c r="J16" s="703" t="s">
        <v>1606</v>
      </c>
      <c r="K16" s="704"/>
      <c r="L16" s="705"/>
      <c r="M16" s="192"/>
      <c r="N16" s="192"/>
    </row>
    <row r="17" spans="1:14" s="191" customFormat="1" ht="33" customHeight="1">
      <c r="A17" s="202">
        <v>8</v>
      </c>
      <c r="B17" s="203" t="s">
        <v>968</v>
      </c>
      <c r="C17" s="204" t="s">
        <v>152</v>
      </c>
      <c r="D17" s="203" t="s">
        <v>1299</v>
      </c>
      <c r="E17" s="203">
        <v>213000</v>
      </c>
      <c r="F17" s="214" t="s">
        <v>1408</v>
      </c>
      <c r="G17" s="201">
        <f>52*60*8</f>
        <v>24960</v>
      </c>
      <c r="H17" s="201">
        <v>25500</v>
      </c>
      <c r="I17" s="393" t="s">
        <v>1489</v>
      </c>
      <c r="J17" s="703" t="s">
        <v>1521</v>
      </c>
      <c r="K17" s="710"/>
      <c r="L17" s="711"/>
      <c r="M17" s="192"/>
      <c r="N17" s="192"/>
    </row>
    <row r="18" spans="1:14" s="191" customFormat="1" ht="33" customHeight="1">
      <c r="A18" s="205" t="s">
        <v>1481</v>
      </c>
      <c r="B18" s="204" t="s">
        <v>27</v>
      </c>
      <c r="C18" s="204" t="s">
        <v>40</v>
      </c>
      <c r="D18" s="204" t="s">
        <v>52</v>
      </c>
      <c r="E18" s="203">
        <v>2402100</v>
      </c>
      <c r="F18" s="214" t="s">
        <v>1408</v>
      </c>
      <c r="G18" s="203">
        <f>95*60*8</f>
        <v>45600</v>
      </c>
      <c r="H18" s="201">
        <v>45000</v>
      </c>
      <c r="I18" s="393" t="s">
        <v>1489</v>
      </c>
      <c r="J18" s="703" t="s">
        <v>1570</v>
      </c>
      <c r="K18" s="704"/>
      <c r="L18" s="705"/>
      <c r="M18" s="196"/>
      <c r="N18" s="192"/>
    </row>
    <row r="19" spans="1:14" s="191" customFormat="1" ht="33" customHeight="1">
      <c r="A19" s="205">
        <v>9</v>
      </c>
      <c r="B19" s="204" t="s">
        <v>780</v>
      </c>
      <c r="C19" s="204" t="s">
        <v>783</v>
      </c>
      <c r="D19" s="204" t="s">
        <v>56</v>
      </c>
      <c r="E19" s="203">
        <v>49000</v>
      </c>
      <c r="F19" s="214" t="s">
        <v>1408</v>
      </c>
      <c r="G19" s="203">
        <f>55*60*8</f>
        <v>26400</v>
      </c>
      <c r="H19" s="201">
        <v>26000</v>
      </c>
      <c r="I19" s="393" t="s">
        <v>1491</v>
      </c>
      <c r="J19" s="712" t="s">
        <v>1521</v>
      </c>
      <c r="K19" s="701"/>
      <c r="L19" s="702"/>
      <c r="M19" s="196"/>
      <c r="N19" s="192"/>
    </row>
    <row r="20" spans="1:14" s="191" customFormat="1" ht="33" customHeight="1">
      <c r="A20" s="205">
        <v>10</v>
      </c>
      <c r="B20" s="204" t="s">
        <v>198</v>
      </c>
      <c r="C20" s="204" t="s">
        <v>199</v>
      </c>
      <c r="D20" s="204" t="s">
        <v>54</v>
      </c>
      <c r="E20" s="203">
        <v>233900</v>
      </c>
      <c r="F20" s="214" t="s">
        <v>1408</v>
      </c>
      <c r="G20" s="203">
        <f>84*60*8</f>
        <v>40320</v>
      </c>
      <c r="H20" s="201">
        <v>23000</v>
      </c>
      <c r="I20" s="393" t="s">
        <v>1491</v>
      </c>
      <c r="J20" s="703" t="s">
        <v>1607</v>
      </c>
      <c r="K20" s="704"/>
      <c r="L20" s="705"/>
      <c r="M20" s="196"/>
      <c r="N20" s="192"/>
    </row>
    <row r="21" spans="1:14" s="191" customFormat="1" ht="33" customHeight="1">
      <c r="A21" s="205">
        <v>11</v>
      </c>
      <c r="B21" s="204" t="s">
        <v>30</v>
      </c>
      <c r="C21" s="204" t="s">
        <v>43</v>
      </c>
      <c r="D21" s="204" t="s">
        <v>55</v>
      </c>
      <c r="E21" s="203">
        <v>996599</v>
      </c>
      <c r="F21" s="214" t="s">
        <v>1408</v>
      </c>
      <c r="G21" s="203">
        <f>100*60*8</f>
        <v>48000</v>
      </c>
      <c r="H21" s="201">
        <v>40000</v>
      </c>
      <c r="I21" s="393" t="s">
        <v>1491</v>
      </c>
      <c r="J21" s="703" t="s">
        <v>1608</v>
      </c>
      <c r="K21" s="704"/>
      <c r="L21" s="705"/>
      <c r="M21" s="196"/>
      <c r="N21" s="192"/>
    </row>
    <row r="22" spans="1:14" s="191" customFormat="1" ht="33" customHeight="1">
      <c r="A22" s="205">
        <v>12</v>
      </c>
      <c r="B22" s="204" t="s">
        <v>926</v>
      </c>
      <c r="C22" s="204" t="s">
        <v>927</v>
      </c>
      <c r="D22" s="204" t="s">
        <v>928</v>
      </c>
      <c r="E22" s="203">
        <v>185500</v>
      </c>
      <c r="F22" s="214" t="s">
        <v>1409</v>
      </c>
      <c r="G22" s="203">
        <f>110*60*10.5</f>
        <v>69300</v>
      </c>
      <c r="H22" s="201">
        <v>43100</v>
      </c>
      <c r="I22" s="393" t="s">
        <v>1329</v>
      </c>
      <c r="J22" s="703" t="s">
        <v>1609</v>
      </c>
      <c r="K22" s="704"/>
      <c r="L22" s="705"/>
      <c r="M22" s="196"/>
      <c r="N22" s="192"/>
    </row>
    <row r="23" spans="1:14" s="191" customFormat="1" ht="33" customHeight="1">
      <c r="A23" s="205">
        <v>13</v>
      </c>
      <c r="B23" s="204" t="s">
        <v>29</v>
      </c>
      <c r="C23" s="204" t="s">
        <v>42</v>
      </c>
      <c r="D23" s="204" t="s">
        <v>54</v>
      </c>
      <c r="E23" s="203">
        <v>364800</v>
      </c>
      <c r="F23" s="214" t="s">
        <v>1409</v>
      </c>
      <c r="G23" s="203">
        <f>110*60*10.5</f>
        <v>69300</v>
      </c>
      <c r="H23" s="201">
        <v>57800</v>
      </c>
      <c r="I23" s="393" t="s">
        <v>1329</v>
      </c>
      <c r="J23" s="703" t="s">
        <v>1610</v>
      </c>
      <c r="K23" s="704"/>
      <c r="L23" s="705"/>
      <c r="M23" s="196"/>
      <c r="N23" s="192"/>
    </row>
    <row r="24" spans="1:14" s="191" customFormat="1" ht="33" customHeight="1">
      <c r="A24" s="206">
        <v>14</v>
      </c>
      <c r="B24" s="204" t="s">
        <v>226</v>
      </c>
      <c r="C24" s="204" t="s">
        <v>227</v>
      </c>
      <c r="D24" s="204" t="s">
        <v>54</v>
      </c>
      <c r="E24" s="203">
        <v>96500</v>
      </c>
      <c r="F24" s="214" t="s">
        <v>1409</v>
      </c>
      <c r="G24" s="203">
        <f>96*60*10.5</f>
        <v>60480</v>
      </c>
      <c r="H24" s="201">
        <v>46900</v>
      </c>
      <c r="I24" s="393" t="s">
        <v>1329</v>
      </c>
      <c r="J24" s="703" t="s">
        <v>1611</v>
      </c>
      <c r="K24" s="704"/>
      <c r="L24" s="705"/>
      <c r="M24" s="196"/>
      <c r="N24" s="192"/>
    </row>
    <row r="25" spans="1:14" s="191" customFormat="1" ht="33" customHeight="1">
      <c r="A25" s="205">
        <v>15</v>
      </c>
      <c r="B25" s="204" t="s">
        <v>164</v>
      </c>
      <c r="C25" s="204" t="s">
        <v>165</v>
      </c>
      <c r="D25" s="204" t="s">
        <v>56</v>
      </c>
      <c r="E25" s="203">
        <v>1752300</v>
      </c>
      <c r="F25" s="214" t="s">
        <v>1526</v>
      </c>
      <c r="G25" s="203">
        <f t="shared" ref="G25:G30" si="0">180*60*12</f>
        <v>129600</v>
      </c>
      <c r="H25" s="201">
        <v>115800</v>
      </c>
      <c r="I25" s="393" t="s">
        <v>1335</v>
      </c>
      <c r="J25" s="703" t="s">
        <v>1612</v>
      </c>
      <c r="K25" s="704"/>
      <c r="L25" s="705"/>
      <c r="M25" s="196"/>
      <c r="N25" s="192"/>
    </row>
    <row r="26" spans="1:14" s="191" customFormat="1" ht="33" customHeight="1">
      <c r="A26" s="206">
        <v>16</v>
      </c>
      <c r="B26" s="204" t="s">
        <v>162</v>
      </c>
      <c r="C26" s="204" t="s">
        <v>163</v>
      </c>
      <c r="D26" s="204" t="s">
        <v>56</v>
      </c>
      <c r="E26" s="203">
        <v>1693000</v>
      </c>
      <c r="F26" s="214" t="s">
        <v>1526</v>
      </c>
      <c r="G26" s="203">
        <f t="shared" si="0"/>
        <v>129600</v>
      </c>
      <c r="H26" s="201">
        <f>109000</f>
        <v>109000</v>
      </c>
      <c r="I26" s="393" t="s">
        <v>1335</v>
      </c>
      <c r="J26" s="706" t="s">
        <v>1613</v>
      </c>
      <c r="K26" s="704"/>
      <c r="L26" s="705"/>
      <c r="M26" s="196"/>
      <c r="N26" s="192"/>
    </row>
    <row r="27" spans="1:14" s="191" customFormat="1" ht="33" customHeight="1">
      <c r="A27" s="206">
        <v>17</v>
      </c>
      <c r="B27" s="204" t="s">
        <v>162</v>
      </c>
      <c r="C27" s="204" t="s">
        <v>163</v>
      </c>
      <c r="D27" s="204" t="s">
        <v>56</v>
      </c>
      <c r="E27" s="203">
        <v>1693000</v>
      </c>
      <c r="F27" s="214" t="s">
        <v>1526</v>
      </c>
      <c r="G27" s="203">
        <f t="shared" si="0"/>
        <v>129600</v>
      </c>
      <c r="H27" s="201">
        <v>130000</v>
      </c>
      <c r="I27" s="393" t="s">
        <v>1335</v>
      </c>
      <c r="J27" s="703" t="s">
        <v>1614</v>
      </c>
      <c r="K27" s="704"/>
      <c r="L27" s="705"/>
      <c r="M27" s="196"/>
      <c r="N27" s="192"/>
    </row>
    <row r="28" spans="1:14" s="191" customFormat="1" ht="33" customHeight="1">
      <c r="A28" s="206">
        <v>18</v>
      </c>
      <c r="B28" s="204" t="s">
        <v>203</v>
      </c>
      <c r="C28" s="204" t="s">
        <v>204</v>
      </c>
      <c r="D28" s="204" t="s">
        <v>57</v>
      </c>
      <c r="E28" s="203">
        <v>2091600</v>
      </c>
      <c r="F28" s="214" t="s">
        <v>1526</v>
      </c>
      <c r="G28" s="203">
        <f t="shared" si="0"/>
        <v>129600</v>
      </c>
      <c r="H28" s="201">
        <f>113000</f>
        <v>113000</v>
      </c>
      <c r="I28" s="393" t="s">
        <v>1335</v>
      </c>
      <c r="J28" s="703" t="s">
        <v>1615</v>
      </c>
      <c r="K28" s="704"/>
      <c r="L28" s="705"/>
      <c r="M28" s="196"/>
      <c r="N28" s="192"/>
    </row>
    <row r="29" spans="1:14" s="191" customFormat="1" ht="33" customHeight="1">
      <c r="A29" s="206">
        <v>19</v>
      </c>
      <c r="B29" s="204" t="s">
        <v>128</v>
      </c>
      <c r="C29" s="204" t="s">
        <v>129</v>
      </c>
      <c r="D29" s="204" t="s">
        <v>59</v>
      </c>
      <c r="E29" s="203">
        <v>2405000</v>
      </c>
      <c r="F29" s="459" t="s">
        <v>1526</v>
      </c>
      <c r="G29" s="460">
        <f t="shared" si="0"/>
        <v>129600</v>
      </c>
      <c r="H29" s="461">
        <v>12000</v>
      </c>
      <c r="I29" s="462" t="s">
        <v>1336</v>
      </c>
      <c r="J29" s="712" t="s">
        <v>1614</v>
      </c>
      <c r="K29" s="701"/>
      <c r="L29" s="702"/>
      <c r="M29" s="196"/>
      <c r="N29" s="192"/>
    </row>
    <row r="30" spans="1:14" s="191" customFormat="1" ht="33" customHeight="1">
      <c r="A30" s="206">
        <v>19</v>
      </c>
      <c r="B30" s="204" t="s">
        <v>128</v>
      </c>
      <c r="C30" s="204" t="s">
        <v>129</v>
      </c>
      <c r="D30" s="204" t="s">
        <v>59</v>
      </c>
      <c r="E30" s="203">
        <v>2405000</v>
      </c>
      <c r="F30" s="459" t="s">
        <v>1526</v>
      </c>
      <c r="G30" s="460">
        <f t="shared" si="0"/>
        <v>129600</v>
      </c>
      <c r="H30" s="461">
        <f>111000</f>
        <v>111000</v>
      </c>
      <c r="I30" s="462" t="s">
        <v>1336</v>
      </c>
      <c r="J30" s="712" t="s">
        <v>1521</v>
      </c>
      <c r="K30" s="701"/>
      <c r="L30" s="702"/>
      <c r="M30" s="196"/>
      <c r="N30" s="192"/>
    </row>
    <row r="31" spans="1:14" s="191" customFormat="1" ht="33" customHeight="1">
      <c r="A31" s="206">
        <v>20</v>
      </c>
      <c r="B31" s="204" t="s">
        <v>203</v>
      </c>
      <c r="C31" s="204" t="s">
        <v>204</v>
      </c>
      <c r="D31" s="204" t="s">
        <v>57</v>
      </c>
      <c r="E31" s="203">
        <v>2091600</v>
      </c>
      <c r="F31" s="459" t="s">
        <v>1569</v>
      </c>
      <c r="G31" s="460">
        <f>180*60*11</f>
        <v>118800</v>
      </c>
      <c r="H31" s="461">
        <v>116000</v>
      </c>
      <c r="I31" s="462" t="s">
        <v>1336</v>
      </c>
      <c r="J31" s="700" t="s">
        <v>1614</v>
      </c>
      <c r="K31" s="701"/>
      <c r="L31" s="702"/>
      <c r="M31" s="196"/>
      <c r="N31" s="192"/>
    </row>
    <row r="32" spans="1:14" s="191" customFormat="1" ht="33" customHeight="1">
      <c r="A32" s="206">
        <v>21</v>
      </c>
      <c r="B32" s="204" t="s">
        <v>125</v>
      </c>
      <c r="C32" s="204" t="s">
        <v>980</v>
      </c>
      <c r="D32" s="204" t="s">
        <v>57</v>
      </c>
      <c r="E32" s="203">
        <v>142500</v>
      </c>
      <c r="F32" s="459" t="s">
        <v>1569</v>
      </c>
      <c r="G32" s="460">
        <f>180*60*11</f>
        <v>118800</v>
      </c>
      <c r="H32" s="461">
        <v>93400</v>
      </c>
      <c r="I32" s="462" t="s">
        <v>1336</v>
      </c>
      <c r="J32" s="712" t="s">
        <v>1616</v>
      </c>
      <c r="K32" s="701"/>
      <c r="L32" s="702"/>
      <c r="M32" s="196"/>
      <c r="N32" s="192"/>
    </row>
    <row r="33" spans="1:14" s="191" customFormat="1" ht="33" customHeight="1">
      <c r="A33" s="205">
        <v>22</v>
      </c>
      <c r="B33" s="204" t="s">
        <v>237</v>
      </c>
      <c r="C33" s="204" t="s">
        <v>238</v>
      </c>
      <c r="D33" s="204" t="s">
        <v>1432</v>
      </c>
      <c r="E33" s="203">
        <v>11200</v>
      </c>
      <c r="F33" s="214" t="s">
        <v>1569</v>
      </c>
      <c r="G33" s="203">
        <f>180*60*11</f>
        <v>118800</v>
      </c>
      <c r="H33" s="201">
        <v>15000</v>
      </c>
      <c r="I33" s="393" t="s">
        <v>1336</v>
      </c>
      <c r="J33" s="706" t="s">
        <v>1617</v>
      </c>
      <c r="K33" s="704"/>
      <c r="L33" s="705"/>
      <c r="M33" s="196"/>
      <c r="N33" s="192"/>
    </row>
    <row r="34" spans="1:14" s="191" customFormat="1" ht="33" customHeight="1">
      <c r="A34" s="206">
        <v>22</v>
      </c>
      <c r="B34" s="204" t="s">
        <v>80</v>
      </c>
      <c r="C34" s="204" t="s">
        <v>81</v>
      </c>
      <c r="D34" s="204" t="s">
        <v>60</v>
      </c>
      <c r="E34" s="203">
        <v>2800000</v>
      </c>
      <c r="F34" s="214" t="s">
        <v>1569</v>
      </c>
      <c r="G34" s="203">
        <f>180*60*11</f>
        <v>118800</v>
      </c>
      <c r="H34" s="201">
        <v>47500</v>
      </c>
      <c r="I34" s="393" t="s">
        <v>1336</v>
      </c>
      <c r="J34" s="706" t="s">
        <v>1572</v>
      </c>
      <c r="K34" s="704"/>
      <c r="L34" s="705"/>
      <c r="M34" s="196"/>
      <c r="N34" s="192"/>
    </row>
    <row r="35" spans="1:14" s="191" customFormat="1" ht="33" customHeight="1">
      <c r="A35" s="206">
        <v>23</v>
      </c>
      <c r="B35" s="204" t="s">
        <v>33</v>
      </c>
      <c r="C35" s="204" t="s">
        <v>45</v>
      </c>
      <c r="D35" s="204" t="s">
        <v>58</v>
      </c>
      <c r="E35" s="203">
        <v>438000</v>
      </c>
      <c r="F35" s="214" t="s">
        <v>1569</v>
      </c>
      <c r="G35" s="203">
        <f>180*60*11</f>
        <v>118800</v>
      </c>
      <c r="H35" s="201">
        <v>105000</v>
      </c>
      <c r="I35" s="393" t="s">
        <v>1337</v>
      </c>
      <c r="J35" s="706" t="s">
        <v>1618</v>
      </c>
      <c r="K35" s="704"/>
      <c r="L35" s="705"/>
      <c r="M35" s="196"/>
      <c r="N35" s="192"/>
    </row>
    <row r="36" spans="1:14" s="191" customFormat="1" ht="33" customHeight="1">
      <c r="A36" s="206">
        <v>24</v>
      </c>
      <c r="B36" s="204" t="s">
        <v>149</v>
      </c>
      <c r="C36" s="204" t="s">
        <v>150</v>
      </c>
      <c r="D36" s="204" t="s">
        <v>56</v>
      </c>
      <c r="E36" s="203">
        <v>6031000</v>
      </c>
      <c r="F36" s="214" t="s">
        <v>1526</v>
      </c>
      <c r="G36" s="203">
        <f>180*60*12</f>
        <v>129600</v>
      </c>
      <c r="H36" s="201">
        <f>124000</f>
        <v>124000</v>
      </c>
      <c r="I36" s="393" t="s">
        <v>1337</v>
      </c>
      <c r="J36" s="706" t="s">
        <v>1572</v>
      </c>
      <c r="K36" s="704"/>
      <c r="L36" s="705"/>
      <c r="M36" s="196"/>
      <c r="N36" s="192"/>
    </row>
    <row r="37" spans="1:14" s="191" customFormat="1" ht="33" customHeight="1">
      <c r="A37" s="206">
        <v>25</v>
      </c>
      <c r="B37" s="204" t="s">
        <v>909</v>
      </c>
      <c r="C37" s="204" t="s">
        <v>1550</v>
      </c>
      <c r="D37" s="204" t="s">
        <v>56</v>
      </c>
      <c r="E37" s="203">
        <v>50000</v>
      </c>
      <c r="F37" s="214" t="s">
        <v>1569</v>
      </c>
      <c r="G37" s="203">
        <f>180*60*11</f>
        <v>118800</v>
      </c>
      <c r="H37" s="201">
        <v>8500</v>
      </c>
      <c r="I37" s="393" t="s">
        <v>1337</v>
      </c>
      <c r="J37" s="703" t="s">
        <v>1619</v>
      </c>
      <c r="K37" s="704"/>
      <c r="L37" s="705"/>
      <c r="M37" s="196"/>
      <c r="N37" s="192"/>
    </row>
    <row r="38" spans="1:14" s="191" customFormat="1" ht="33" customHeight="1">
      <c r="A38" s="206">
        <v>26</v>
      </c>
      <c r="B38" s="204" t="s">
        <v>128</v>
      </c>
      <c r="C38" s="204" t="s">
        <v>129</v>
      </c>
      <c r="D38" s="204" t="s">
        <v>59</v>
      </c>
      <c r="E38" s="203">
        <v>2405000</v>
      </c>
      <c r="F38" s="214" t="s">
        <v>1526</v>
      </c>
      <c r="G38" s="203">
        <f>180*60*12</f>
        <v>129600</v>
      </c>
      <c r="H38" s="201">
        <v>119000</v>
      </c>
      <c r="I38" s="393" t="s">
        <v>1337</v>
      </c>
      <c r="J38" s="703" t="s">
        <v>1620</v>
      </c>
      <c r="K38" s="704"/>
      <c r="L38" s="705"/>
      <c r="M38" s="196"/>
      <c r="N38" s="192"/>
    </row>
    <row r="39" spans="1:14" s="191" customFormat="1" ht="33" customHeight="1">
      <c r="A39" s="205">
        <v>27</v>
      </c>
      <c r="B39" s="204" t="s">
        <v>196</v>
      </c>
      <c r="C39" s="204" t="s">
        <v>197</v>
      </c>
      <c r="D39" s="204" t="s">
        <v>60</v>
      </c>
      <c r="E39" s="203">
        <v>300000</v>
      </c>
      <c r="F39" s="214" t="s">
        <v>1408</v>
      </c>
      <c r="G39" s="203">
        <f>180*60*8</f>
        <v>86400</v>
      </c>
      <c r="H39" s="201">
        <v>17000</v>
      </c>
      <c r="I39" s="393" t="s">
        <v>1337</v>
      </c>
      <c r="J39" s="703" t="s">
        <v>1621</v>
      </c>
      <c r="K39" s="704"/>
      <c r="L39" s="705"/>
      <c r="M39" s="196"/>
      <c r="N39" s="192"/>
    </row>
    <row r="40" spans="1:14" s="191" customFormat="1" ht="33" customHeight="1">
      <c r="A40" s="205">
        <v>28</v>
      </c>
      <c r="B40" s="204" t="s">
        <v>203</v>
      </c>
      <c r="C40" s="204" t="s">
        <v>204</v>
      </c>
      <c r="D40" s="204" t="s">
        <v>57</v>
      </c>
      <c r="E40" s="203">
        <v>2091600</v>
      </c>
      <c r="F40" s="214" t="s">
        <v>1526</v>
      </c>
      <c r="G40" s="203">
        <f t="shared" ref="G40:G49" si="1">180*60*12</f>
        <v>129600</v>
      </c>
      <c r="H40" s="201">
        <v>109000</v>
      </c>
      <c r="I40" s="393" t="s">
        <v>1495</v>
      </c>
      <c r="J40" s="703" t="s">
        <v>1622</v>
      </c>
      <c r="K40" s="704"/>
      <c r="L40" s="705"/>
      <c r="M40" s="196"/>
      <c r="N40" s="192"/>
    </row>
    <row r="41" spans="1:14" s="191" customFormat="1" ht="33" customHeight="1">
      <c r="A41" s="206">
        <v>29</v>
      </c>
      <c r="B41" s="204" t="s">
        <v>637</v>
      </c>
      <c r="C41" s="204" t="s">
        <v>81</v>
      </c>
      <c r="D41" s="204" t="s">
        <v>56</v>
      </c>
      <c r="E41" s="203">
        <v>2400000</v>
      </c>
      <c r="F41" s="214" t="s">
        <v>1526</v>
      </c>
      <c r="G41" s="203">
        <f t="shared" si="1"/>
        <v>129600</v>
      </c>
      <c r="H41" s="201">
        <v>116000</v>
      </c>
      <c r="I41" s="393" t="s">
        <v>1495</v>
      </c>
      <c r="J41" s="703" t="s">
        <v>1623</v>
      </c>
      <c r="K41" s="704"/>
      <c r="L41" s="705"/>
      <c r="M41" s="196"/>
      <c r="N41" s="192"/>
    </row>
    <row r="42" spans="1:14" s="191" customFormat="1" ht="33" customHeight="1">
      <c r="A42" s="206">
        <v>30</v>
      </c>
      <c r="B42" s="204" t="s">
        <v>1399</v>
      </c>
      <c r="C42" s="204" t="s">
        <v>1400</v>
      </c>
      <c r="D42" s="204" t="s">
        <v>253</v>
      </c>
      <c r="E42" s="203">
        <v>67200</v>
      </c>
      <c r="F42" s="214" t="s">
        <v>1526</v>
      </c>
      <c r="G42" s="203">
        <f t="shared" si="1"/>
        <v>129600</v>
      </c>
      <c r="H42" s="201"/>
      <c r="I42" s="393" t="s">
        <v>1495</v>
      </c>
      <c r="J42" s="706" t="s">
        <v>1624</v>
      </c>
      <c r="K42" s="704"/>
      <c r="L42" s="705"/>
      <c r="M42" s="196"/>
      <c r="N42" s="192"/>
    </row>
    <row r="43" spans="1:14" s="191" customFormat="1" ht="33" customHeight="1">
      <c r="A43" s="206">
        <v>31</v>
      </c>
      <c r="B43" s="204" t="s">
        <v>149</v>
      </c>
      <c r="C43" s="204" t="s">
        <v>150</v>
      </c>
      <c r="D43" s="204" t="s">
        <v>56</v>
      </c>
      <c r="E43" s="203">
        <v>6031000</v>
      </c>
      <c r="F43" s="214" t="s">
        <v>1569</v>
      </c>
      <c r="G43" s="203">
        <f>180*60*11</f>
        <v>118800</v>
      </c>
      <c r="H43" s="201">
        <v>51000</v>
      </c>
      <c r="I43" s="393" t="s">
        <v>1495</v>
      </c>
      <c r="J43" s="703" t="s">
        <v>1625</v>
      </c>
      <c r="K43" s="704"/>
      <c r="L43" s="705"/>
      <c r="M43" s="196"/>
      <c r="N43" s="192"/>
    </row>
    <row r="44" spans="1:14" s="191" customFormat="1" ht="33" customHeight="1">
      <c r="A44" s="205">
        <v>50</v>
      </c>
      <c r="B44" s="204" t="s">
        <v>208</v>
      </c>
      <c r="C44" s="204" t="s">
        <v>209</v>
      </c>
      <c r="D44" s="204" t="s">
        <v>194</v>
      </c>
      <c r="E44" s="203">
        <v>2319100</v>
      </c>
      <c r="F44" s="214" t="s">
        <v>1526</v>
      </c>
      <c r="G44" s="203">
        <f t="shared" si="1"/>
        <v>129600</v>
      </c>
      <c r="H44" s="201">
        <f>124500</f>
        <v>124500</v>
      </c>
      <c r="I44" s="393" t="s">
        <v>1363</v>
      </c>
      <c r="J44" s="703" t="s">
        <v>1626</v>
      </c>
      <c r="K44" s="704"/>
      <c r="L44" s="705"/>
      <c r="M44" s="196"/>
      <c r="N44" s="192"/>
    </row>
    <row r="45" spans="1:14" s="191" customFormat="1" ht="33" customHeight="1">
      <c r="A45" s="205">
        <v>51</v>
      </c>
      <c r="B45" s="204" t="s">
        <v>176</v>
      </c>
      <c r="C45" s="204" t="s">
        <v>148</v>
      </c>
      <c r="D45" s="204" t="s">
        <v>194</v>
      </c>
      <c r="E45" s="203">
        <v>2381100</v>
      </c>
      <c r="F45" s="214" t="s">
        <v>1526</v>
      </c>
      <c r="G45" s="203">
        <f t="shared" si="1"/>
        <v>129600</v>
      </c>
      <c r="H45" s="201">
        <f>49200</f>
        <v>49200</v>
      </c>
      <c r="I45" s="393" t="s">
        <v>1363</v>
      </c>
      <c r="J45" s="703" t="s">
        <v>1627</v>
      </c>
      <c r="K45" s="704"/>
      <c r="L45" s="705"/>
      <c r="M45" s="196"/>
      <c r="N45" s="192"/>
    </row>
    <row r="46" spans="1:14" s="191" customFormat="1" ht="33" customHeight="1">
      <c r="A46" s="205">
        <v>52</v>
      </c>
      <c r="B46" s="204" t="s">
        <v>35</v>
      </c>
      <c r="C46" s="204" t="s">
        <v>47</v>
      </c>
      <c r="D46" s="204" t="s">
        <v>61</v>
      </c>
      <c r="E46" s="203">
        <v>418800</v>
      </c>
      <c r="F46" s="214" t="s">
        <v>1526</v>
      </c>
      <c r="G46" s="203">
        <f t="shared" si="1"/>
        <v>129600</v>
      </c>
      <c r="H46" s="201">
        <v>76900</v>
      </c>
      <c r="I46" s="393" t="s">
        <v>1363</v>
      </c>
      <c r="J46" s="706" t="s">
        <v>1628</v>
      </c>
      <c r="K46" s="704"/>
      <c r="L46" s="705"/>
      <c r="M46" s="196"/>
      <c r="N46" s="192"/>
    </row>
    <row r="47" spans="1:14" s="191" customFormat="1" ht="33" customHeight="1">
      <c r="A47" s="205">
        <v>53</v>
      </c>
      <c r="B47" s="204" t="s">
        <v>231</v>
      </c>
      <c r="C47" s="204" t="s">
        <v>204</v>
      </c>
      <c r="D47" s="204" t="s">
        <v>183</v>
      </c>
      <c r="E47" s="203">
        <v>408000</v>
      </c>
      <c r="F47" s="214" t="s">
        <v>1526</v>
      </c>
      <c r="G47" s="203">
        <f t="shared" si="1"/>
        <v>129600</v>
      </c>
      <c r="H47" s="201">
        <v>123000</v>
      </c>
      <c r="I47" s="393" t="s">
        <v>1363</v>
      </c>
      <c r="J47" s="706" t="s">
        <v>1629</v>
      </c>
      <c r="K47" s="704"/>
      <c r="L47" s="705"/>
      <c r="M47" s="196"/>
      <c r="N47" s="192"/>
    </row>
    <row r="48" spans="1:14" s="191" customFormat="1" ht="33" customHeight="1">
      <c r="A48" s="205">
        <v>54</v>
      </c>
      <c r="B48" s="204" t="s">
        <v>176</v>
      </c>
      <c r="C48" s="204" t="s">
        <v>148</v>
      </c>
      <c r="D48" s="204" t="s">
        <v>194</v>
      </c>
      <c r="E48" s="203">
        <v>2381100</v>
      </c>
      <c r="F48" s="214" t="s">
        <v>1526</v>
      </c>
      <c r="G48" s="203">
        <f t="shared" si="1"/>
        <v>129600</v>
      </c>
      <c r="H48" s="201">
        <f>112800</f>
        <v>112800</v>
      </c>
      <c r="I48" s="393" t="s">
        <v>1363</v>
      </c>
      <c r="J48" s="706" t="s">
        <v>1630</v>
      </c>
      <c r="K48" s="704"/>
      <c r="L48" s="705"/>
      <c r="M48" s="196"/>
      <c r="N48" s="192"/>
    </row>
    <row r="49" spans="1:14" s="191" customFormat="1" ht="33" customHeight="1">
      <c r="A49" s="205">
        <v>55</v>
      </c>
      <c r="B49" s="204" t="s">
        <v>208</v>
      </c>
      <c r="C49" s="204" t="s">
        <v>209</v>
      </c>
      <c r="D49" s="204" t="s">
        <v>194</v>
      </c>
      <c r="E49" s="203">
        <v>2319100</v>
      </c>
      <c r="F49" s="214" t="s">
        <v>1526</v>
      </c>
      <c r="G49" s="203">
        <f t="shared" si="1"/>
        <v>129600</v>
      </c>
      <c r="H49" s="201">
        <v>113900</v>
      </c>
      <c r="I49" s="393" t="s">
        <v>1363</v>
      </c>
      <c r="J49" s="706" t="s">
        <v>1631</v>
      </c>
      <c r="K49" s="704"/>
      <c r="L49" s="705"/>
      <c r="M49" s="196"/>
      <c r="N49" s="192"/>
    </row>
    <row r="50" spans="1:14" s="191" customFormat="1" ht="33" customHeight="1">
      <c r="A50" s="206" t="s">
        <v>251</v>
      </c>
      <c r="B50" s="210"/>
      <c r="C50" s="210"/>
      <c r="D50" s="210"/>
      <c r="E50" s="210"/>
      <c r="F50" s="210"/>
      <c r="G50" s="210"/>
      <c r="H50" s="207">
        <f>SUM(H7:H49)</f>
        <v>2676800</v>
      </c>
      <c r="I50" s="394"/>
      <c r="J50" s="706"/>
      <c r="K50" s="704"/>
      <c r="L50" s="705"/>
      <c r="M50" s="196"/>
      <c r="N50" s="192"/>
    </row>
    <row r="51" spans="1:14" s="191" customFormat="1" ht="15.75" customHeight="1">
      <c r="A51" s="197"/>
      <c r="B51" s="197"/>
      <c r="C51" s="197"/>
      <c r="D51" s="197"/>
      <c r="E51" s="198"/>
      <c r="F51" s="198"/>
      <c r="G51" s="198"/>
      <c r="H51" s="198"/>
      <c r="I51" s="198"/>
      <c r="J51" s="198"/>
      <c r="K51" s="198"/>
    </row>
    <row r="52" spans="1:14" s="191" customFormat="1" ht="15.75" customHeight="1">
      <c r="A52" s="197"/>
      <c r="B52" s="197"/>
      <c r="C52" s="197"/>
      <c r="D52" s="197"/>
      <c r="E52" s="198"/>
      <c r="F52" s="198"/>
      <c r="G52" s="198"/>
      <c r="H52" s="198"/>
      <c r="I52" s="198"/>
      <c r="J52" s="198"/>
      <c r="K52" s="198"/>
    </row>
    <row r="53" spans="1:14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</row>
    <row r="54" spans="1:14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</row>
    <row r="55" spans="1:14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</row>
    <row r="56" spans="1:14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</row>
    <row r="57" spans="1:14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</row>
    <row r="58" spans="1:14" s="191" customFormat="1" ht="15.75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</row>
    <row r="59" spans="1:14" s="191" customFormat="1" ht="15.75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</row>
    <row r="60" spans="1:14" s="191" customFormat="1" ht="15.75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</row>
    <row r="61" spans="1:14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</row>
    <row r="62" spans="1:14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</row>
    <row r="63" spans="1:14" s="191" customFormat="1" ht="15.75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</row>
    <row r="64" spans="1:14" s="191" customFormat="1" ht="15.75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</row>
    <row r="65" spans="1:11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</row>
    <row r="66" spans="1:11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1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1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1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1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1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1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1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</sheetData>
  <mergeCells count="54">
    <mergeCell ref="J12:L12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  <mergeCell ref="J7:L7"/>
    <mergeCell ref="J8:L8"/>
    <mergeCell ref="J9:L9"/>
    <mergeCell ref="J10:L10"/>
    <mergeCell ref="J11:L11"/>
    <mergeCell ref="J24:L24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36:L36"/>
    <mergeCell ref="J25:L25"/>
    <mergeCell ref="J26:L26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49:L49"/>
    <mergeCell ref="J50:L50"/>
    <mergeCell ref="J48:L48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47:L47"/>
  </mergeCells>
  <phoneticPr fontId="74" type="noConversion"/>
  <conditionalFormatting sqref="H7:I49">
    <cfRule type="cellIs" dxfId="22" priority="1" operator="lessThan">
      <formula>0</formula>
    </cfRule>
  </conditionalFormatting>
  <printOptions horizontalCentered="1"/>
  <pageMargins left="0" right="0" top="0" bottom="0" header="0" footer="0"/>
  <pageSetup paperSize="9" scale="52" fitToHeight="0" orientation="portrait" r:id="rId1"/>
  <headerFooter>
    <oddFooter>&amp;LQ401-2&amp;CHANSUNGBOLT VINA&amp;RA4 (210 x 297mm)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0">
    <pageSetUpPr fitToPage="1"/>
  </sheetPr>
  <dimension ref="A1:N76"/>
  <sheetViews>
    <sheetView view="pageBreakPreview" topLeftCell="A28" zoomScale="60" zoomScaleNormal="85" workbookViewId="0">
      <selection activeCell="C23" sqref="C23:E2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3.425781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3.42578125" style="190" customWidth="1"/>
    <col min="16" max="16" width="15.42578125" style="190" customWidth="1"/>
    <col min="17" max="43" width="3.42578125" style="190" customWidth="1"/>
    <col min="44" max="16384" width="9.140625" style="190"/>
  </cols>
  <sheetData>
    <row r="1" spans="1:14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4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4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4" ht="20.25" customHeight="1">
      <c r="A4" s="698" t="s">
        <v>1580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4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4" s="191" customFormat="1" ht="29.25" customHeight="1">
      <c r="A6" s="683"/>
      <c r="B6" s="683"/>
      <c r="C6" s="683"/>
      <c r="D6" s="683"/>
      <c r="E6" s="211" t="s">
        <v>1553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4" s="191" customFormat="1" ht="33" customHeight="1">
      <c r="A7" s="199">
        <v>1</v>
      </c>
      <c r="B7" s="200" t="s">
        <v>24</v>
      </c>
      <c r="C7" s="200" t="s">
        <v>37</v>
      </c>
      <c r="D7" s="200" t="s">
        <v>49</v>
      </c>
      <c r="E7" s="201">
        <v>21000</v>
      </c>
      <c r="F7" s="213" t="s">
        <v>1409</v>
      </c>
      <c r="G7" s="201">
        <f>47*60*10.5</f>
        <v>29610</v>
      </c>
      <c r="H7" s="201">
        <v>22000</v>
      </c>
      <c r="I7" s="393" t="s">
        <v>1328</v>
      </c>
      <c r="J7" s="703" t="s">
        <v>1554</v>
      </c>
      <c r="K7" s="704"/>
      <c r="L7" s="705"/>
      <c r="M7" s="192"/>
      <c r="N7" s="192"/>
    </row>
    <row r="8" spans="1:14" s="191" customFormat="1" ht="33" customHeight="1">
      <c r="A8" s="199">
        <v>2</v>
      </c>
      <c r="B8" s="200" t="s">
        <v>496</v>
      </c>
      <c r="C8" s="200" t="s">
        <v>498</v>
      </c>
      <c r="D8" s="200" t="s">
        <v>499</v>
      </c>
      <c r="E8" s="201">
        <v>24500</v>
      </c>
      <c r="F8" s="213" t="s">
        <v>1409</v>
      </c>
      <c r="G8" s="201">
        <f>44*60*10.5</f>
        <v>27720</v>
      </c>
      <c r="H8" s="201">
        <v>20000</v>
      </c>
      <c r="I8" s="393" t="s">
        <v>1334</v>
      </c>
      <c r="J8" s="706" t="s">
        <v>1555</v>
      </c>
      <c r="K8" s="704"/>
      <c r="L8" s="705"/>
      <c r="M8" s="192"/>
      <c r="N8" s="192"/>
    </row>
    <row r="9" spans="1:14" s="191" customFormat="1" ht="33" customHeight="1">
      <c r="A9" s="199">
        <v>3</v>
      </c>
      <c r="B9" s="200" t="s">
        <v>151</v>
      </c>
      <c r="C9" s="200" t="s">
        <v>152</v>
      </c>
      <c r="D9" s="200" t="s">
        <v>210</v>
      </c>
      <c r="E9" s="201">
        <v>34400</v>
      </c>
      <c r="F9" s="213" t="s">
        <v>1409</v>
      </c>
      <c r="G9" s="201">
        <f>55*60*10.5</f>
        <v>34650</v>
      </c>
      <c r="H9" s="201">
        <v>33000</v>
      </c>
      <c r="I9" s="393" t="s">
        <v>1330</v>
      </c>
      <c r="J9" s="703" t="s">
        <v>1556</v>
      </c>
      <c r="K9" s="704"/>
      <c r="L9" s="705"/>
      <c r="M9" s="192"/>
      <c r="N9" s="192"/>
    </row>
    <row r="10" spans="1:14" s="195" customFormat="1" ht="33" customHeight="1">
      <c r="A10" s="199">
        <v>4</v>
      </c>
      <c r="B10" s="203" t="s">
        <v>151</v>
      </c>
      <c r="C10" s="203" t="s">
        <v>152</v>
      </c>
      <c r="D10" s="203" t="s">
        <v>210</v>
      </c>
      <c r="E10" s="203"/>
      <c r="F10" s="213" t="s">
        <v>1409</v>
      </c>
      <c r="G10" s="201">
        <f>65*60*10.5</f>
        <v>40950</v>
      </c>
      <c r="H10" s="201">
        <v>34000</v>
      </c>
      <c r="I10" s="393" t="s">
        <v>1330</v>
      </c>
      <c r="J10" s="706" t="s">
        <v>1557</v>
      </c>
      <c r="K10" s="704"/>
      <c r="L10" s="705"/>
      <c r="M10" s="194"/>
      <c r="N10" s="192"/>
    </row>
    <row r="11" spans="1:14" s="195" customFormat="1" ht="33" customHeight="1">
      <c r="A11" s="199">
        <v>5</v>
      </c>
      <c r="B11" s="203" t="s">
        <v>90</v>
      </c>
      <c r="C11" s="204" t="s">
        <v>91</v>
      </c>
      <c r="D11" s="203" t="s">
        <v>205</v>
      </c>
      <c r="E11" s="203">
        <v>29000</v>
      </c>
      <c r="F11" s="213" t="s">
        <v>1409</v>
      </c>
      <c r="G11" s="203">
        <f>50*60*10.5</f>
        <v>31500</v>
      </c>
      <c r="H11" s="201">
        <v>31000</v>
      </c>
      <c r="I11" s="393" t="s">
        <v>1334</v>
      </c>
      <c r="J11" s="706"/>
      <c r="K11" s="704"/>
      <c r="L11" s="705"/>
      <c r="M11" s="194"/>
      <c r="N11" s="192"/>
    </row>
    <row r="12" spans="1:14" s="195" customFormat="1" ht="33" customHeight="1">
      <c r="A12" s="199">
        <v>6</v>
      </c>
      <c r="B12" s="200" t="s">
        <v>173</v>
      </c>
      <c r="C12" s="200" t="s">
        <v>174</v>
      </c>
      <c r="D12" s="200" t="s">
        <v>175</v>
      </c>
      <c r="E12" s="201">
        <v>14000</v>
      </c>
      <c r="F12" s="213" t="s">
        <v>1409</v>
      </c>
      <c r="G12" s="201">
        <f>42*60*10.5</f>
        <v>26460</v>
      </c>
      <c r="H12" s="201">
        <v>27000</v>
      </c>
      <c r="I12" s="393" t="s">
        <v>1334</v>
      </c>
      <c r="J12" s="706" t="s">
        <v>1521</v>
      </c>
      <c r="K12" s="704"/>
      <c r="L12" s="705"/>
      <c r="M12" s="194"/>
      <c r="N12" s="192"/>
    </row>
    <row r="13" spans="1:14" s="195" customFormat="1" ht="33" customHeight="1">
      <c r="A13" s="199" t="s">
        <v>66</v>
      </c>
      <c r="B13" s="200" t="s">
        <v>206</v>
      </c>
      <c r="C13" s="200" t="s">
        <v>36</v>
      </c>
      <c r="D13" s="200" t="s">
        <v>1459</v>
      </c>
      <c r="E13" s="201"/>
      <c r="F13" s="213" t="s">
        <v>1409</v>
      </c>
      <c r="G13" s="201">
        <f>139*60*10.5</f>
        <v>87570</v>
      </c>
      <c r="H13" s="201">
        <v>75000</v>
      </c>
      <c r="I13" s="393" t="s">
        <v>1331</v>
      </c>
      <c r="J13" s="706" t="s">
        <v>1558</v>
      </c>
      <c r="K13" s="704"/>
      <c r="L13" s="705"/>
      <c r="M13" s="194"/>
      <c r="N13" s="192"/>
    </row>
    <row r="14" spans="1:14" s="195" customFormat="1" ht="33" customHeight="1">
      <c r="A14" s="199">
        <v>7</v>
      </c>
      <c r="B14" s="200" t="s">
        <v>139</v>
      </c>
      <c r="C14" s="200" t="s">
        <v>140</v>
      </c>
      <c r="D14" s="200" t="s">
        <v>1583</v>
      </c>
      <c r="E14" s="201"/>
      <c r="F14" s="213" t="s">
        <v>1409</v>
      </c>
      <c r="G14" s="201">
        <f>138*60*10.5</f>
        <v>86940</v>
      </c>
      <c r="H14" s="201">
        <v>53000</v>
      </c>
      <c r="I14" s="393" t="s">
        <v>1331</v>
      </c>
      <c r="J14" s="706" t="s">
        <v>1559</v>
      </c>
      <c r="K14" s="704"/>
      <c r="L14" s="705"/>
      <c r="M14" s="194"/>
      <c r="N14" s="192"/>
    </row>
    <row r="15" spans="1:14" s="195" customFormat="1" ht="33" customHeight="1">
      <c r="A15" s="202" t="s">
        <v>218</v>
      </c>
      <c r="B15" s="203" t="s">
        <v>171</v>
      </c>
      <c r="C15" s="204" t="s">
        <v>172</v>
      </c>
      <c r="D15" s="203" t="s">
        <v>177</v>
      </c>
      <c r="E15" s="203">
        <v>73000</v>
      </c>
      <c r="F15" s="214" t="s">
        <v>1408</v>
      </c>
      <c r="G15" s="201">
        <f>50*60*8</f>
        <v>24000</v>
      </c>
      <c r="H15" s="201">
        <f>12000</f>
        <v>12000</v>
      </c>
      <c r="I15" s="393" t="s">
        <v>1331</v>
      </c>
      <c r="J15" s="706" t="s">
        <v>1560</v>
      </c>
      <c r="K15" s="704"/>
      <c r="L15" s="705"/>
      <c r="M15" s="194"/>
      <c r="N15" s="192"/>
    </row>
    <row r="16" spans="1:14" s="191" customFormat="1" ht="33" customHeight="1">
      <c r="A16" s="202">
        <v>8</v>
      </c>
      <c r="B16" s="203" t="s">
        <v>171</v>
      </c>
      <c r="C16" s="204" t="s">
        <v>172</v>
      </c>
      <c r="D16" s="203" t="s">
        <v>1586</v>
      </c>
      <c r="E16" s="203"/>
      <c r="F16" s="214" t="s">
        <v>1561</v>
      </c>
      <c r="G16" s="201">
        <f>52*60*9.5</f>
        <v>29640</v>
      </c>
      <c r="H16" s="201">
        <v>18500</v>
      </c>
      <c r="I16" s="393" t="s">
        <v>1489</v>
      </c>
      <c r="J16" s="703" t="s">
        <v>1562</v>
      </c>
      <c r="K16" s="704"/>
      <c r="L16" s="705"/>
      <c r="M16" s="192"/>
      <c r="N16" s="192"/>
    </row>
    <row r="17" spans="1:14" s="191" customFormat="1" ht="33" customHeight="1">
      <c r="A17" s="202" t="s">
        <v>1481</v>
      </c>
      <c r="B17" s="203" t="s">
        <v>27</v>
      </c>
      <c r="C17" s="204" t="s">
        <v>40</v>
      </c>
      <c r="D17" s="203" t="s">
        <v>52</v>
      </c>
      <c r="E17" s="203">
        <f>83000+24000</f>
        <v>107000</v>
      </c>
      <c r="F17" s="214" t="s">
        <v>1408</v>
      </c>
      <c r="G17" s="201">
        <f>100*60*8</f>
        <v>48000</v>
      </c>
      <c r="H17" s="201"/>
      <c r="I17" s="393" t="s">
        <v>1489</v>
      </c>
      <c r="J17" s="703" t="s">
        <v>1563</v>
      </c>
      <c r="K17" s="710"/>
      <c r="L17" s="711"/>
      <c r="M17" s="192"/>
      <c r="N17" s="192"/>
    </row>
    <row r="18" spans="1:14" s="191" customFormat="1" ht="33" customHeight="1">
      <c r="A18" s="205">
        <v>9</v>
      </c>
      <c r="B18" s="204" t="s">
        <v>26</v>
      </c>
      <c r="C18" s="204" t="s">
        <v>39</v>
      </c>
      <c r="D18" s="204" t="s">
        <v>51</v>
      </c>
      <c r="E18" s="203">
        <f>25000+31000</f>
        <v>56000</v>
      </c>
      <c r="F18" s="214" t="s">
        <v>1561</v>
      </c>
      <c r="G18" s="203">
        <f>55*60*9.5</f>
        <v>31350</v>
      </c>
      <c r="H18" s="201">
        <v>32000</v>
      </c>
      <c r="I18" s="393" t="s">
        <v>1491</v>
      </c>
      <c r="J18" s="706"/>
      <c r="K18" s="704"/>
      <c r="L18" s="705"/>
      <c r="M18" s="196"/>
      <c r="N18" s="192"/>
    </row>
    <row r="19" spans="1:14" s="191" customFormat="1" ht="33" customHeight="1">
      <c r="A19" s="205">
        <v>10</v>
      </c>
      <c r="B19" s="204" t="s">
        <v>1401</v>
      </c>
      <c r="C19" s="204" t="s">
        <v>828</v>
      </c>
      <c r="D19" s="204" t="s">
        <v>1402</v>
      </c>
      <c r="E19" s="203"/>
      <c r="F19" s="214" t="s">
        <v>1561</v>
      </c>
      <c r="G19" s="203">
        <f>84*60*9.5</f>
        <v>47880</v>
      </c>
      <c r="H19" s="201">
        <v>31100</v>
      </c>
      <c r="I19" s="393" t="s">
        <v>1491</v>
      </c>
      <c r="J19" s="712" t="s">
        <v>1581</v>
      </c>
      <c r="K19" s="701"/>
      <c r="L19" s="702"/>
      <c r="M19" s="196"/>
      <c r="N19" s="192"/>
    </row>
    <row r="20" spans="1:14" s="191" customFormat="1" ht="33" customHeight="1">
      <c r="A20" s="205">
        <v>11</v>
      </c>
      <c r="B20" s="204" t="s">
        <v>968</v>
      </c>
      <c r="C20" s="204" t="s">
        <v>152</v>
      </c>
      <c r="D20" s="204" t="s">
        <v>1299</v>
      </c>
      <c r="E20" s="203">
        <v>33000</v>
      </c>
      <c r="F20" s="214" t="s">
        <v>1408</v>
      </c>
      <c r="G20" s="203">
        <f>100*60*8</f>
        <v>48000</v>
      </c>
      <c r="H20" s="201">
        <v>47400</v>
      </c>
      <c r="I20" s="393" t="s">
        <v>1491</v>
      </c>
      <c r="J20" s="706" t="s">
        <v>1521</v>
      </c>
      <c r="K20" s="704"/>
      <c r="L20" s="705"/>
      <c r="M20" s="196"/>
      <c r="N20" s="192"/>
    </row>
    <row r="21" spans="1:14" s="191" customFormat="1" ht="33" customHeight="1">
      <c r="A21" s="205">
        <v>12</v>
      </c>
      <c r="B21" s="204" t="s">
        <v>780</v>
      </c>
      <c r="C21" s="204" t="s">
        <v>783</v>
      </c>
      <c r="D21" s="204" t="s">
        <v>56</v>
      </c>
      <c r="E21" s="203">
        <v>26000</v>
      </c>
      <c r="F21" s="214" t="s">
        <v>1408</v>
      </c>
      <c r="G21" s="203">
        <f>89*60*8</f>
        <v>42720</v>
      </c>
      <c r="H21" s="201"/>
      <c r="I21" s="393" t="s">
        <v>1329</v>
      </c>
      <c r="J21" s="706" t="s">
        <v>1564</v>
      </c>
      <c r="K21" s="704"/>
      <c r="L21" s="705"/>
      <c r="M21" s="196"/>
      <c r="N21" s="192"/>
    </row>
    <row r="22" spans="1:14" s="191" customFormat="1" ht="33" customHeight="1">
      <c r="A22" s="205">
        <v>13</v>
      </c>
      <c r="B22" s="204" t="s">
        <v>198</v>
      </c>
      <c r="C22" s="204" t="s">
        <v>199</v>
      </c>
      <c r="D22" s="204" t="s">
        <v>54</v>
      </c>
      <c r="E22" s="203">
        <v>35000</v>
      </c>
      <c r="F22" s="214" t="s">
        <v>1408</v>
      </c>
      <c r="G22" s="203">
        <f>110*60*8</f>
        <v>52800</v>
      </c>
      <c r="H22" s="201">
        <v>52600</v>
      </c>
      <c r="I22" s="393" t="s">
        <v>1329</v>
      </c>
      <c r="J22" s="706"/>
      <c r="K22" s="704"/>
      <c r="L22" s="705"/>
      <c r="M22" s="196"/>
      <c r="N22" s="192"/>
    </row>
    <row r="23" spans="1:14" s="191" customFormat="1" ht="33" customHeight="1">
      <c r="A23" s="205">
        <v>14</v>
      </c>
      <c r="B23" s="204" t="s">
        <v>30</v>
      </c>
      <c r="C23" s="204" t="s">
        <v>43</v>
      </c>
      <c r="D23" s="204" t="s">
        <v>55</v>
      </c>
      <c r="E23" s="203">
        <v>48000</v>
      </c>
      <c r="F23" s="214" t="s">
        <v>1408</v>
      </c>
      <c r="G23" s="203">
        <f>96*60*8</f>
        <v>46080</v>
      </c>
      <c r="H23" s="201">
        <v>40800</v>
      </c>
      <c r="I23" s="393" t="s">
        <v>1329</v>
      </c>
      <c r="J23" s="703" t="s">
        <v>1565</v>
      </c>
      <c r="K23" s="704"/>
      <c r="L23" s="705"/>
      <c r="M23" s="196"/>
      <c r="N23" s="192"/>
    </row>
    <row r="24" spans="1:14" s="191" customFormat="1" ht="33" customHeight="1">
      <c r="A24" s="206">
        <v>24</v>
      </c>
      <c r="B24" s="204" t="s">
        <v>926</v>
      </c>
      <c r="C24" s="204" t="s">
        <v>927</v>
      </c>
      <c r="D24" s="204" t="s">
        <v>928</v>
      </c>
      <c r="E24" s="203">
        <v>14500</v>
      </c>
      <c r="F24" s="214" t="s">
        <v>1525</v>
      </c>
      <c r="G24" s="203">
        <f>180*60*11.5</f>
        <v>124200</v>
      </c>
      <c r="H24" s="201">
        <v>118000</v>
      </c>
      <c r="I24" s="393" t="s">
        <v>1337</v>
      </c>
      <c r="J24" s="706" t="s">
        <v>1533</v>
      </c>
      <c r="K24" s="704"/>
      <c r="L24" s="705"/>
      <c r="M24" s="196"/>
      <c r="N24" s="192"/>
    </row>
    <row r="25" spans="1:14" s="191" customFormat="1" ht="33" customHeight="1">
      <c r="A25" s="205">
        <v>21</v>
      </c>
      <c r="B25" s="204" t="s">
        <v>29</v>
      </c>
      <c r="C25" s="204" t="s">
        <v>42</v>
      </c>
      <c r="D25" s="204" t="s">
        <v>54</v>
      </c>
      <c r="E25" s="203">
        <v>50700</v>
      </c>
      <c r="F25" s="214" t="s">
        <v>1409</v>
      </c>
      <c r="G25" s="203">
        <f>160*60*10.5</f>
        <v>100800</v>
      </c>
      <c r="H25" s="201">
        <v>86500</v>
      </c>
      <c r="I25" s="393" t="s">
        <v>1336</v>
      </c>
      <c r="J25" s="706" t="s">
        <v>1566</v>
      </c>
      <c r="K25" s="704"/>
      <c r="L25" s="705"/>
      <c r="M25" s="196"/>
      <c r="N25" s="192"/>
    </row>
    <row r="26" spans="1:14" s="191" customFormat="1" ht="33" customHeight="1">
      <c r="A26" s="206">
        <v>22</v>
      </c>
      <c r="B26" s="204" t="s">
        <v>226</v>
      </c>
      <c r="C26" s="204" t="s">
        <v>227</v>
      </c>
      <c r="D26" s="204" t="s">
        <v>54</v>
      </c>
      <c r="E26" s="203">
        <v>54400</v>
      </c>
      <c r="F26" s="214" t="s">
        <v>1408</v>
      </c>
      <c r="G26" s="203">
        <f>180*60*8</f>
        <v>86400</v>
      </c>
      <c r="H26" s="201"/>
      <c r="I26" s="393" t="s">
        <v>1336</v>
      </c>
      <c r="J26" s="706" t="s">
        <v>1567</v>
      </c>
      <c r="K26" s="704"/>
      <c r="L26" s="705"/>
      <c r="M26" s="196"/>
      <c r="N26" s="192"/>
    </row>
    <row r="27" spans="1:14" s="191" customFormat="1" ht="33" customHeight="1">
      <c r="A27" s="206">
        <v>30</v>
      </c>
      <c r="B27" s="204" t="s">
        <v>149</v>
      </c>
      <c r="C27" s="204" t="s">
        <v>150</v>
      </c>
      <c r="D27" s="204" t="s">
        <v>56</v>
      </c>
      <c r="E27" s="203">
        <v>93000</v>
      </c>
      <c r="F27" s="214" t="s">
        <v>1409</v>
      </c>
      <c r="G27" s="203">
        <f>130*60*10.5</f>
        <v>81900</v>
      </c>
      <c r="H27" s="201">
        <v>76000</v>
      </c>
      <c r="I27" s="393" t="s">
        <v>1495</v>
      </c>
      <c r="J27" s="703" t="s">
        <v>1568</v>
      </c>
      <c r="K27" s="704"/>
      <c r="L27" s="705"/>
      <c r="M27" s="196"/>
      <c r="N27" s="192"/>
    </row>
    <row r="28" spans="1:14" s="191" customFormat="1" ht="33" customHeight="1">
      <c r="A28" s="206">
        <v>25</v>
      </c>
      <c r="B28" s="204" t="s">
        <v>125</v>
      </c>
      <c r="C28" s="204" t="s">
        <v>980</v>
      </c>
      <c r="D28" s="204" t="s">
        <v>57</v>
      </c>
      <c r="E28" s="203">
        <v>64000</v>
      </c>
      <c r="F28" s="214" t="s">
        <v>1569</v>
      </c>
      <c r="G28" s="203">
        <f>180*60*11</f>
        <v>118800</v>
      </c>
      <c r="H28" s="201">
        <v>118000</v>
      </c>
      <c r="I28" s="393" t="s">
        <v>1337</v>
      </c>
      <c r="J28" s="706" t="s">
        <v>1494</v>
      </c>
      <c r="K28" s="704"/>
      <c r="L28" s="705"/>
      <c r="M28" s="196"/>
      <c r="N28" s="192"/>
    </row>
    <row r="29" spans="1:14" s="191" customFormat="1" ht="33" customHeight="1">
      <c r="A29" s="206">
        <v>18</v>
      </c>
      <c r="B29" s="204" t="s">
        <v>237</v>
      </c>
      <c r="C29" s="204" t="s">
        <v>238</v>
      </c>
      <c r="D29" s="204" t="s">
        <v>1432</v>
      </c>
      <c r="E29" s="203">
        <v>65800</v>
      </c>
      <c r="F29" s="459" t="s">
        <v>1526</v>
      </c>
      <c r="G29" s="460">
        <f>180*60*12</f>
        <v>129600</v>
      </c>
      <c r="H29" s="461">
        <f>130000</f>
        <v>130000</v>
      </c>
      <c r="I29" s="462" t="s">
        <v>1335</v>
      </c>
      <c r="J29" s="712"/>
      <c r="K29" s="701"/>
      <c r="L29" s="702"/>
      <c r="M29" s="196"/>
      <c r="N29" s="192"/>
    </row>
    <row r="30" spans="1:14" s="191" customFormat="1" ht="33" customHeight="1">
      <c r="A30" s="206">
        <v>20</v>
      </c>
      <c r="B30" s="204" t="s">
        <v>80</v>
      </c>
      <c r="C30" s="204" t="s">
        <v>81</v>
      </c>
      <c r="D30" s="204" t="s">
        <v>60</v>
      </c>
      <c r="E30" s="203"/>
      <c r="F30" s="459" t="s">
        <v>1526</v>
      </c>
      <c r="G30" s="460">
        <f>180*60*12</f>
        <v>129600</v>
      </c>
      <c r="H30" s="461">
        <v>127500</v>
      </c>
      <c r="I30" s="462" t="s">
        <v>1495</v>
      </c>
      <c r="J30" s="712" t="s">
        <v>1521</v>
      </c>
      <c r="K30" s="701"/>
      <c r="L30" s="702"/>
      <c r="M30" s="196"/>
      <c r="N30" s="192"/>
    </row>
    <row r="31" spans="1:14" s="191" customFormat="1" ht="33" customHeight="1">
      <c r="A31" s="206">
        <v>28</v>
      </c>
      <c r="B31" s="204" t="s">
        <v>1399</v>
      </c>
      <c r="C31" s="204" t="s">
        <v>1400</v>
      </c>
      <c r="D31" s="204" t="s">
        <v>253</v>
      </c>
      <c r="E31" s="203"/>
      <c r="F31" s="459" t="s">
        <v>1569</v>
      </c>
      <c r="G31" s="460">
        <f>180*60*11</f>
        <v>118800</v>
      </c>
      <c r="H31" s="461">
        <v>116000</v>
      </c>
      <c r="I31" s="462" t="s">
        <v>1336</v>
      </c>
      <c r="J31" s="700" t="s">
        <v>1570</v>
      </c>
      <c r="K31" s="701"/>
      <c r="L31" s="702"/>
      <c r="M31" s="196"/>
      <c r="N31" s="192"/>
    </row>
    <row r="32" spans="1:14" s="191" customFormat="1" ht="33" customHeight="1">
      <c r="A32" s="206">
        <v>31</v>
      </c>
      <c r="B32" s="204" t="s">
        <v>682</v>
      </c>
      <c r="C32" s="204" t="s">
        <v>684</v>
      </c>
      <c r="D32" s="204" t="s">
        <v>57</v>
      </c>
      <c r="E32" s="203"/>
      <c r="F32" s="459" t="s">
        <v>1408</v>
      </c>
      <c r="G32" s="460">
        <f>150*60*8</f>
        <v>72000</v>
      </c>
      <c r="H32" s="461"/>
      <c r="I32" s="462" t="s">
        <v>1495</v>
      </c>
      <c r="J32" s="712" t="s">
        <v>1571</v>
      </c>
      <c r="K32" s="701"/>
      <c r="L32" s="702"/>
      <c r="M32" s="196"/>
      <c r="N32" s="192"/>
    </row>
    <row r="33" spans="1:14" s="191" customFormat="1" ht="33" customHeight="1">
      <c r="A33" s="205">
        <v>19</v>
      </c>
      <c r="B33" s="204" t="s">
        <v>909</v>
      </c>
      <c r="C33" s="204" t="s">
        <v>1550</v>
      </c>
      <c r="D33" s="204" t="s">
        <v>56</v>
      </c>
      <c r="E33" s="203"/>
      <c r="F33" s="214" t="s">
        <v>1526</v>
      </c>
      <c r="G33" s="203">
        <f>180*60*12</f>
        <v>129600</v>
      </c>
      <c r="H33" s="201">
        <f>132300</f>
        <v>132300</v>
      </c>
      <c r="I33" s="393" t="s">
        <v>1336</v>
      </c>
      <c r="J33" s="706"/>
      <c r="K33" s="704"/>
      <c r="L33" s="705"/>
      <c r="M33" s="196"/>
      <c r="N33" s="192"/>
    </row>
    <row r="34" spans="1:14" s="191" customFormat="1" ht="33" customHeight="1">
      <c r="A34" s="206">
        <v>26</v>
      </c>
      <c r="B34" s="204" t="s">
        <v>906</v>
      </c>
      <c r="C34" s="204" t="s">
        <v>629</v>
      </c>
      <c r="D34" s="204" t="s">
        <v>59</v>
      </c>
      <c r="E34" s="203"/>
      <c r="F34" s="214" t="s">
        <v>1569</v>
      </c>
      <c r="G34" s="203">
        <f>180*60*11</f>
        <v>118800</v>
      </c>
      <c r="H34" s="201">
        <v>118000</v>
      </c>
      <c r="I34" s="393" t="s">
        <v>1337</v>
      </c>
      <c r="J34" s="706" t="s">
        <v>1572</v>
      </c>
      <c r="K34" s="704"/>
      <c r="L34" s="705"/>
      <c r="M34" s="196"/>
      <c r="N34" s="192"/>
    </row>
    <row r="35" spans="1:14" s="191" customFormat="1" ht="33" customHeight="1">
      <c r="A35" s="206">
        <v>17</v>
      </c>
      <c r="B35" s="204" t="s">
        <v>203</v>
      </c>
      <c r="C35" s="204" t="s">
        <v>204</v>
      </c>
      <c r="D35" s="204" t="s">
        <v>57</v>
      </c>
      <c r="E35" s="203">
        <f>130000+96500+100000</f>
        <v>326500</v>
      </c>
      <c r="F35" s="214" t="s">
        <v>1526</v>
      </c>
      <c r="G35" s="203">
        <f>180*60*12</f>
        <v>129600</v>
      </c>
      <c r="H35" s="201">
        <v>128000</v>
      </c>
      <c r="I35" s="393" t="s">
        <v>1335</v>
      </c>
      <c r="J35" s="706" t="s">
        <v>1521</v>
      </c>
      <c r="K35" s="704"/>
      <c r="L35" s="705"/>
      <c r="M35" s="196"/>
      <c r="N35" s="192"/>
    </row>
    <row r="36" spans="1:14" s="191" customFormat="1" ht="33" customHeight="1">
      <c r="A36" s="206">
        <v>16</v>
      </c>
      <c r="B36" s="204" t="s">
        <v>128</v>
      </c>
      <c r="C36" s="204" t="s">
        <v>129</v>
      </c>
      <c r="D36" s="204" t="s">
        <v>59</v>
      </c>
      <c r="E36" s="203">
        <v>99600</v>
      </c>
      <c r="F36" s="214" t="s">
        <v>1525</v>
      </c>
      <c r="G36" s="203">
        <f>180*60*11.5</f>
        <v>124200</v>
      </c>
      <c r="H36" s="201"/>
      <c r="I36" s="393" t="s">
        <v>1335</v>
      </c>
      <c r="J36" s="706" t="s">
        <v>1573</v>
      </c>
      <c r="K36" s="704"/>
      <c r="L36" s="705"/>
      <c r="M36" s="196"/>
      <c r="N36" s="192"/>
    </row>
    <row r="37" spans="1:14" s="191" customFormat="1" ht="33" customHeight="1">
      <c r="A37" s="206">
        <v>15</v>
      </c>
      <c r="B37" s="204" t="s">
        <v>128</v>
      </c>
      <c r="C37" s="204" t="s">
        <v>129</v>
      </c>
      <c r="D37" s="204" t="s">
        <v>59</v>
      </c>
      <c r="E37" s="203">
        <v>85000</v>
      </c>
      <c r="F37" s="214" t="s">
        <v>1526</v>
      </c>
      <c r="G37" s="203">
        <f>180*60*12</f>
        <v>129600</v>
      </c>
      <c r="H37" s="201">
        <f>127000</f>
        <v>127000</v>
      </c>
      <c r="I37" s="393" t="s">
        <v>1335</v>
      </c>
      <c r="J37" s="703" t="s">
        <v>1570</v>
      </c>
      <c r="K37" s="704"/>
      <c r="L37" s="705"/>
      <c r="M37" s="196"/>
      <c r="N37" s="192"/>
    </row>
    <row r="38" spans="1:14" s="191" customFormat="1" ht="33" customHeight="1">
      <c r="A38" s="206">
        <v>29</v>
      </c>
      <c r="B38" s="204" t="s">
        <v>162</v>
      </c>
      <c r="C38" s="204" t="s">
        <v>163</v>
      </c>
      <c r="D38" s="204" t="s">
        <v>56</v>
      </c>
      <c r="E38" s="203">
        <v>75000</v>
      </c>
      <c r="F38" s="214" t="s">
        <v>1526</v>
      </c>
      <c r="G38" s="203">
        <f>180*60*12</f>
        <v>129600</v>
      </c>
      <c r="H38" s="201">
        <v>127000</v>
      </c>
      <c r="I38" s="393" t="s">
        <v>1495</v>
      </c>
      <c r="J38" s="703" t="s">
        <v>1570</v>
      </c>
      <c r="K38" s="704"/>
      <c r="L38" s="705"/>
      <c r="M38" s="196"/>
      <c r="N38" s="192"/>
    </row>
    <row r="39" spans="1:14" s="191" customFormat="1" ht="33" customHeight="1">
      <c r="A39" s="205">
        <v>23</v>
      </c>
      <c r="B39" s="204" t="s">
        <v>162</v>
      </c>
      <c r="C39" s="204" t="s">
        <v>163</v>
      </c>
      <c r="D39" s="204" t="s">
        <v>56</v>
      </c>
      <c r="E39" s="203">
        <f>42000+119000</f>
        <v>161000</v>
      </c>
      <c r="F39" s="214" t="s">
        <v>1569</v>
      </c>
      <c r="G39" s="203">
        <f>170*60*11</f>
        <v>112200</v>
      </c>
      <c r="H39" s="201">
        <v>110000</v>
      </c>
      <c r="I39" s="393" t="s">
        <v>1337</v>
      </c>
      <c r="J39" s="703" t="s">
        <v>1570</v>
      </c>
      <c r="K39" s="704"/>
      <c r="L39" s="705"/>
      <c r="M39" s="196"/>
      <c r="N39" s="192"/>
    </row>
    <row r="40" spans="1:14" s="191" customFormat="1" ht="33" customHeight="1">
      <c r="A40" s="205">
        <v>27</v>
      </c>
      <c r="B40" s="204" t="s">
        <v>164</v>
      </c>
      <c r="C40" s="204" t="s">
        <v>165</v>
      </c>
      <c r="D40" s="204" t="s">
        <v>56</v>
      </c>
      <c r="E40" s="203">
        <v>10000</v>
      </c>
      <c r="F40" s="214" t="s">
        <v>1409</v>
      </c>
      <c r="G40" s="203">
        <f>180*60*10.5</f>
        <v>113400</v>
      </c>
      <c r="H40" s="201">
        <v>60000</v>
      </c>
      <c r="I40" s="393" t="s">
        <v>1495</v>
      </c>
      <c r="J40" s="706" t="s">
        <v>1574</v>
      </c>
      <c r="K40" s="704"/>
      <c r="L40" s="705"/>
      <c r="M40" s="196"/>
      <c r="N40" s="192"/>
    </row>
    <row r="41" spans="1:14" s="191" customFormat="1" ht="33" customHeight="1">
      <c r="A41" s="206">
        <v>51</v>
      </c>
      <c r="B41" s="204" t="s">
        <v>164</v>
      </c>
      <c r="C41" s="204" t="s">
        <v>165</v>
      </c>
      <c r="D41" s="204" t="s">
        <v>56</v>
      </c>
      <c r="E41" s="203">
        <v>129000</v>
      </c>
      <c r="F41" s="214" t="s">
        <v>1526</v>
      </c>
      <c r="G41" s="203">
        <f>180*60*12</f>
        <v>129600</v>
      </c>
      <c r="H41" s="201">
        <f>129300</f>
        <v>129300</v>
      </c>
      <c r="I41" s="393" t="s">
        <v>1363</v>
      </c>
      <c r="J41" s="706" t="s">
        <v>1494</v>
      </c>
      <c r="K41" s="704"/>
      <c r="L41" s="705"/>
      <c r="M41" s="196"/>
      <c r="N41" s="192"/>
    </row>
    <row r="42" spans="1:14" s="191" customFormat="1" ht="33" customHeight="1">
      <c r="A42" s="206">
        <v>54</v>
      </c>
      <c r="B42" s="204" t="s">
        <v>637</v>
      </c>
      <c r="C42" s="204" t="s">
        <v>81</v>
      </c>
      <c r="D42" s="204" t="s">
        <v>56</v>
      </c>
      <c r="E42" s="203"/>
      <c r="F42" s="214" t="s">
        <v>1526</v>
      </c>
      <c r="G42" s="203">
        <f>180*60*12</f>
        <v>129600</v>
      </c>
      <c r="H42" s="201">
        <v>88800</v>
      </c>
      <c r="I42" s="393" t="s">
        <v>1363</v>
      </c>
      <c r="J42" s="706" t="s">
        <v>1575</v>
      </c>
      <c r="K42" s="704"/>
      <c r="L42" s="705"/>
      <c r="M42" s="196"/>
      <c r="N42" s="192"/>
    </row>
    <row r="43" spans="1:14" s="191" customFormat="1" ht="33" customHeight="1">
      <c r="A43" s="206">
        <v>52</v>
      </c>
      <c r="B43" s="204" t="s">
        <v>33</v>
      </c>
      <c r="C43" s="204" t="s">
        <v>45</v>
      </c>
      <c r="D43" s="204" t="s">
        <v>58</v>
      </c>
      <c r="E43" s="203">
        <v>81000</v>
      </c>
      <c r="F43" s="214" t="s">
        <v>1526</v>
      </c>
      <c r="G43" s="203">
        <f>180*60*12</f>
        <v>129600</v>
      </c>
      <c r="H43" s="201">
        <v>106100</v>
      </c>
      <c r="I43" s="393" t="s">
        <v>1363</v>
      </c>
      <c r="J43" s="703" t="s">
        <v>1576</v>
      </c>
      <c r="K43" s="704"/>
      <c r="L43" s="705"/>
      <c r="M43" s="196"/>
      <c r="N43" s="192"/>
    </row>
    <row r="44" spans="1:14" s="191" customFormat="1" ht="33" customHeight="1">
      <c r="A44" s="205">
        <v>53</v>
      </c>
      <c r="B44" s="204" t="s">
        <v>200</v>
      </c>
      <c r="C44" s="204" t="s">
        <v>201</v>
      </c>
      <c r="D44" s="204" t="s">
        <v>202</v>
      </c>
      <c r="E44" s="203">
        <v>52000</v>
      </c>
      <c r="F44" s="214" t="s">
        <v>1525</v>
      </c>
      <c r="G44" s="203">
        <f>180*60*11.5</f>
        <v>124200</v>
      </c>
      <c r="H44" s="201">
        <v>69400</v>
      </c>
      <c r="I44" s="393" t="s">
        <v>1363</v>
      </c>
      <c r="J44" s="703" t="s">
        <v>1577</v>
      </c>
      <c r="K44" s="704"/>
      <c r="L44" s="705"/>
      <c r="M44" s="196"/>
      <c r="N44" s="192"/>
    </row>
    <row r="45" spans="1:14" s="191" customFormat="1" ht="33" customHeight="1">
      <c r="A45" s="205">
        <v>50</v>
      </c>
      <c r="B45" s="204" t="s">
        <v>196</v>
      </c>
      <c r="C45" s="204" t="s">
        <v>197</v>
      </c>
      <c r="D45" s="204" t="s">
        <v>60</v>
      </c>
      <c r="E45" s="203"/>
      <c r="F45" s="214" t="s">
        <v>1526</v>
      </c>
      <c r="G45" s="203">
        <f>180*60*12</f>
        <v>129600</v>
      </c>
      <c r="H45" s="201">
        <f>128200+119800</f>
        <v>248000</v>
      </c>
      <c r="I45" s="393" t="s">
        <v>1363</v>
      </c>
      <c r="J45" s="703" t="s">
        <v>1578</v>
      </c>
      <c r="K45" s="704"/>
      <c r="L45" s="705"/>
      <c r="M45" s="196"/>
      <c r="N45" s="192"/>
    </row>
    <row r="46" spans="1:14" s="191" customFormat="1" ht="33" customHeight="1">
      <c r="A46" s="205"/>
      <c r="B46" s="204" t="s">
        <v>1473</v>
      </c>
      <c r="C46" s="204" t="s">
        <v>1474</v>
      </c>
      <c r="D46" s="204" t="s">
        <v>1476</v>
      </c>
      <c r="E46" s="203"/>
      <c r="F46" s="214"/>
      <c r="G46" s="203"/>
      <c r="H46" s="201"/>
      <c r="I46" s="393"/>
      <c r="J46" s="706"/>
      <c r="K46" s="704"/>
      <c r="L46" s="705"/>
      <c r="M46" s="196"/>
      <c r="N46" s="192"/>
    </row>
    <row r="47" spans="1:14" s="191" customFormat="1" ht="33" customHeight="1">
      <c r="A47" s="205"/>
      <c r="B47" s="204" t="s">
        <v>176</v>
      </c>
      <c r="C47" s="204" t="s">
        <v>148</v>
      </c>
      <c r="D47" s="204" t="s">
        <v>194</v>
      </c>
      <c r="E47" s="203">
        <f>85500+89700</f>
        <v>175200</v>
      </c>
      <c r="F47" s="214"/>
      <c r="G47" s="203"/>
      <c r="H47" s="201"/>
      <c r="I47" s="393"/>
      <c r="J47" s="706"/>
      <c r="K47" s="704"/>
      <c r="L47" s="705"/>
      <c r="M47" s="196"/>
      <c r="N47" s="192"/>
    </row>
    <row r="48" spans="1:14" s="191" customFormat="1" ht="33" customHeight="1">
      <c r="A48" s="205"/>
      <c r="B48" s="204" t="s">
        <v>35</v>
      </c>
      <c r="C48" s="204" t="s">
        <v>47</v>
      </c>
      <c r="D48" s="204" t="s">
        <v>61</v>
      </c>
      <c r="E48" s="203">
        <v>60200</v>
      </c>
      <c r="F48" s="214"/>
      <c r="G48" s="203"/>
      <c r="H48" s="201"/>
      <c r="I48" s="393"/>
      <c r="J48" s="706"/>
      <c r="K48" s="704"/>
      <c r="L48" s="705"/>
      <c r="M48" s="196"/>
      <c r="N48" s="192"/>
    </row>
    <row r="49" spans="1:14" s="191" customFormat="1" ht="33" customHeight="1">
      <c r="A49" s="205"/>
      <c r="B49" s="204" t="s">
        <v>231</v>
      </c>
      <c r="C49" s="204" t="s">
        <v>204</v>
      </c>
      <c r="D49" s="204" t="s">
        <v>183</v>
      </c>
      <c r="E49" s="203">
        <v>93300</v>
      </c>
      <c r="F49" s="214"/>
      <c r="G49" s="203"/>
      <c r="H49" s="201"/>
      <c r="I49" s="393"/>
      <c r="J49" s="706"/>
      <c r="K49" s="704"/>
      <c r="L49" s="705"/>
      <c r="M49" s="196"/>
      <c r="N49" s="192"/>
    </row>
    <row r="50" spans="1:14" s="191" customFormat="1" ht="33" customHeight="1">
      <c r="A50" s="205"/>
      <c r="B50" s="204" t="s">
        <v>208</v>
      </c>
      <c r="C50" s="204" t="s">
        <v>209</v>
      </c>
      <c r="D50" s="204" t="s">
        <v>194</v>
      </c>
      <c r="E50" s="203">
        <f>90100+77100</f>
        <v>167200</v>
      </c>
      <c r="F50" s="214"/>
      <c r="G50" s="203"/>
      <c r="H50" s="201"/>
      <c r="I50" s="393"/>
      <c r="J50" s="706"/>
      <c r="K50" s="704"/>
      <c r="L50" s="705"/>
      <c r="M50" s="196"/>
      <c r="N50" s="192"/>
    </row>
    <row r="51" spans="1:14" s="191" customFormat="1" ht="33" customHeight="1">
      <c r="A51" s="205"/>
      <c r="B51" s="204"/>
      <c r="C51" s="204"/>
      <c r="D51" s="204"/>
      <c r="E51" s="203"/>
      <c r="F51" s="214"/>
      <c r="G51" s="203"/>
      <c r="H51" s="201"/>
      <c r="I51" s="393"/>
      <c r="J51" s="706"/>
      <c r="K51" s="704"/>
      <c r="L51" s="705"/>
      <c r="M51" s="196"/>
      <c r="N51" s="192"/>
    </row>
    <row r="52" spans="1:14" s="191" customFormat="1" ht="33" customHeight="1">
      <c r="A52" s="206">
        <v>55</v>
      </c>
      <c r="B52" s="204"/>
      <c r="C52" s="204"/>
      <c r="D52" s="204"/>
      <c r="E52" s="203"/>
      <c r="F52" s="214" t="s">
        <v>1526</v>
      </c>
      <c r="G52" s="203">
        <f>180*60*12</f>
        <v>129600</v>
      </c>
      <c r="H52" s="201">
        <v>96700</v>
      </c>
      <c r="I52" s="393" t="s">
        <v>1363</v>
      </c>
      <c r="J52" s="703" t="s">
        <v>1579</v>
      </c>
      <c r="K52" s="704"/>
      <c r="L52" s="705"/>
      <c r="M52" s="196"/>
      <c r="N52" s="192"/>
    </row>
    <row r="53" spans="1:14" s="191" customFormat="1" ht="33" customHeight="1">
      <c r="A53" s="206" t="s">
        <v>251</v>
      </c>
      <c r="B53" s="210"/>
      <c r="C53" s="210"/>
      <c r="D53" s="210"/>
      <c r="E53" s="210"/>
      <c r="F53" s="210"/>
      <c r="G53" s="210"/>
      <c r="H53" s="207">
        <f>SUM(H7:H52)</f>
        <v>2842000</v>
      </c>
      <c r="I53" s="394"/>
      <c r="J53" s="706"/>
      <c r="K53" s="704"/>
      <c r="L53" s="705"/>
      <c r="M53" s="196"/>
      <c r="N53" s="192"/>
    </row>
    <row r="54" spans="1:14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</row>
    <row r="55" spans="1:14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</row>
    <row r="56" spans="1:14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</row>
    <row r="57" spans="1:14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</row>
    <row r="58" spans="1:14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</row>
    <row r="59" spans="1:14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</row>
    <row r="60" spans="1:14" s="191" customFormat="1" ht="15.75" customHeight="1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</row>
    <row r="61" spans="1:14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</row>
    <row r="62" spans="1:14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</row>
    <row r="63" spans="1:14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K63" s="198"/>
    </row>
    <row r="64" spans="1:14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K64" s="198"/>
    </row>
    <row r="65" spans="1:11" s="191" customFormat="1" ht="15.75">
      <c r="A65" s="197"/>
      <c r="B65" s="197"/>
      <c r="C65" s="197"/>
      <c r="D65" s="197"/>
      <c r="E65" s="198"/>
      <c r="F65" s="198"/>
      <c r="G65" s="198"/>
      <c r="H65" s="198"/>
      <c r="I65" s="198"/>
      <c r="J65" s="198"/>
      <c r="K65" s="198"/>
    </row>
    <row r="66" spans="1:11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1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1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1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1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1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1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1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  <row r="74" spans="1:11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</row>
    <row r="75" spans="1:11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</row>
    <row r="76" spans="1:11" s="191" customFormat="1" ht="15.75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</row>
  </sheetData>
  <mergeCells count="57">
    <mergeCell ref="A5:A6"/>
    <mergeCell ref="B5:B6"/>
    <mergeCell ref="C5:C6"/>
    <mergeCell ref="D5:D6"/>
    <mergeCell ref="J5:L6"/>
    <mergeCell ref="A1:I3"/>
    <mergeCell ref="J2:J3"/>
    <mergeCell ref="K2:K3"/>
    <mergeCell ref="L2:L3"/>
    <mergeCell ref="A4:B4"/>
    <mergeCell ref="J18:L18"/>
    <mergeCell ref="J7:L7"/>
    <mergeCell ref="J8:L8"/>
    <mergeCell ref="J9:L9"/>
    <mergeCell ref="J10:L10"/>
    <mergeCell ref="J11:L11"/>
    <mergeCell ref="J12:L12"/>
    <mergeCell ref="J13:L13"/>
    <mergeCell ref="J14:L14"/>
    <mergeCell ref="J15:L15"/>
    <mergeCell ref="J16:L16"/>
    <mergeCell ref="J17:L17"/>
    <mergeCell ref="J30:L30"/>
    <mergeCell ref="J19:L19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42:L42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41:L41"/>
    <mergeCell ref="J43:L43"/>
    <mergeCell ref="J44:L44"/>
    <mergeCell ref="J45:L45"/>
    <mergeCell ref="J52:L52"/>
    <mergeCell ref="J53:L53"/>
    <mergeCell ref="J46:L46"/>
    <mergeCell ref="J47:L47"/>
    <mergeCell ref="J48:L48"/>
    <mergeCell ref="J49:L49"/>
    <mergeCell ref="J50:L50"/>
    <mergeCell ref="J51:L51"/>
  </mergeCells>
  <phoneticPr fontId="74" type="noConversion"/>
  <conditionalFormatting sqref="H7:I52">
    <cfRule type="cellIs" dxfId="21" priority="1" operator="lessThan">
      <formula>0</formula>
    </cfRule>
  </conditionalFormatting>
  <printOptions horizontalCentered="1"/>
  <pageMargins left="0" right="0" top="0" bottom="0" header="0" footer="0"/>
  <pageSetup paperSize="9" scale="52" fitToHeight="0" orientation="portrait" r:id="rId1"/>
  <headerFooter>
    <oddFooter>&amp;LQ401-2&amp;CHANSUNGBOLT VINA&amp;RA4 (210 x 297mm)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1">
    <pageSetUpPr fitToPage="1"/>
  </sheetPr>
  <dimension ref="A1:N70"/>
  <sheetViews>
    <sheetView view="pageBreakPreview" topLeftCell="A24" zoomScale="60" zoomScaleNormal="85" workbookViewId="0">
      <selection activeCell="C23" sqref="C23:E2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3.425781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3.42578125" style="190" customWidth="1"/>
    <col min="16" max="16" width="15.42578125" style="190" customWidth="1"/>
    <col min="17" max="43" width="3.42578125" style="190" customWidth="1"/>
    <col min="44" max="16384" width="9.140625" style="190"/>
  </cols>
  <sheetData>
    <row r="1" spans="1:14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4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4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4" ht="20.25" customHeight="1">
      <c r="A4" s="698" t="s">
        <v>1580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4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4" s="191" customFormat="1" ht="29.25" customHeight="1">
      <c r="A6" s="683"/>
      <c r="B6" s="683"/>
      <c r="C6" s="683"/>
      <c r="D6" s="683"/>
      <c r="E6" s="211" t="s">
        <v>1553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4" s="191" customFormat="1" ht="33" customHeight="1">
      <c r="A7" s="199">
        <v>1</v>
      </c>
      <c r="B7" s="200" t="s">
        <v>24</v>
      </c>
      <c r="C7" s="200" t="s">
        <v>37</v>
      </c>
      <c r="D7" s="200" t="s">
        <v>49</v>
      </c>
      <c r="E7" s="201">
        <v>221000</v>
      </c>
      <c r="F7" s="213" t="s">
        <v>1409</v>
      </c>
      <c r="G7" s="201">
        <f>47*60*10.5</f>
        <v>29610</v>
      </c>
      <c r="H7" s="201">
        <v>22000</v>
      </c>
      <c r="I7" s="393" t="s">
        <v>1328</v>
      </c>
      <c r="J7" s="703" t="s">
        <v>1554</v>
      </c>
      <c r="K7" s="704"/>
      <c r="L7" s="705"/>
      <c r="M7" s="192"/>
      <c r="N7" s="192"/>
    </row>
    <row r="8" spans="1:14" s="191" customFormat="1" ht="33" customHeight="1">
      <c r="A8" s="199">
        <v>2</v>
      </c>
      <c r="B8" s="200" t="s">
        <v>496</v>
      </c>
      <c r="C8" s="200" t="s">
        <v>498</v>
      </c>
      <c r="D8" s="200" t="s">
        <v>499</v>
      </c>
      <c r="E8" s="201">
        <v>274000</v>
      </c>
      <c r="F8" s="213" t="s">
        <v>1409</v>
      </c>
      <c r="G8" s="201">
        <f>44*60*10.5</f>
        <v>27720</v>
      </c>
      <c r="H8" s="201">
        <v>20000</v>
      </c>
      <c r="I8" s="393" t="s">
        <v>1334</v>
      </c>
      <c r="J8" s="706" t="s">
        <v>1555</v>
      </c>
      <c r="K8" s="704"/>
      <c r="L8" s="705"/>
      <c r="M8" s="192"/>
      <c r="N8" s="192"/>
    </row>
    <row r="9" spans="1:14" s="191" customFormat="1" ht="33" customHeight="1">
      <c r="A9" s="199">
        <v>3</v>
      </c>
      <c r="B9" s="200" t="s">
        <v>151</v>
      </c>
      <c r="C9" s="200" t="s">
        <v>152</v>
      </c>
      <c r="D9" s="200" t="s">
        <v>210</v>
      </c>
      <c r="E9" s="201">
        <v>349300</v>
      </c>
      <c r="F9" s="213" t="s">
        <v>1409</v>
      </c>
      <c r="G9" s="201">
        <f>55*60*10.5</f>
        <v>34650</v>
      </c>
      <c r="H9" s="201">
        <v>33000</v>
      </c>
      <c r="I9" s="393" t="s">
        <v>1330</v>
      </c>
      <c r="J9" s="703" t="s">
        <v>1556</v>
      </c>
      <c r="K9" s="704"/>
      <c r="L9" s="705"/>
      <c r="M9" s="192"/>
      <c r="N9" s="192"/>
    </row>
    <row r="10" spans="1:14" s="195" customFormat="1" ht="33" customHeight="1">
      <c r="A10" s="199">
        <v>4</v>
      </c>
      <c r="B10" s="203" t="s">
        <v>90</v>
      </c>
      <c r="C10" s="203" t="s">
        <v>91</v>
      </c>
      <c r="D10" s="203" t="s">
        <v>205</v>
      </c>
      <c r="E10" s="203">
        <v>467600</v>
      </c>
      <c r="F10" s="213" t="s">
        <v>1409</v>
      </c>
      <c r="G10" s="201">
        <f>65*60*10.5</f>
        <v>40950</v>
      </c>
      <c r="H10" s="201">
        <v>34000</v>
      </c>
      <c r="I10" s="393" t="s">
        <v>1330</v>
      </c>
      <c r="J10" s="706" t="s">
        <v>1557</v>
      </c>
      <c r="K10" s="704"/>
      <c r="L10" s="705"/>
      <c r="M10" s="194"/>
      <c r="N10" s="192"/>
    </row>
    <row r="11" spans="1:14" s="195" customFormat="1" ht="33" customHeight="1">
      <c r="A11" s="199">
        <v>5</v>
      </c>
      <c r="B11" s="203" t="s">
        <v>173</v>
      </c>
      <c r="C11" s="204" t="s">
        <v>174</v>
      </c>
      <c r="D11" s="203" t="s">
        <v>175</v>
      </c>
      <c r="E11" s="203">
        <v>52000</v>
      </c>
      <c r="F11" s="213" t="s">
        <v>1409</v>
      </c>
      <c r="G11" s="203">
        <f>50*60*10.5</f>
        <v>31500</v>
      </c>
      <c r="H11" s="201">
        <v>31000</v>
      </c>
      <c r="I11" s="393" t="s">
        <v>1334</v>
      </c>
      <c r="J11" s="706"/>
      <c r="K11" s="704"/>
      <c r="L11" s="705"/>
      <c r="M11" s="194"/>
      <c r="N11" s="192"/>
    </row>
    <row r="12" spans="1:14" s="195" customFormat="1" ht="33" customHeight="1">
      <c r="A12" s="199">
        <v>6</v>
      </c>
      <c r="B12" s="200" t="s">
        <v>26</v>
      </c>
      <c r="C12" s="200" t="s">
        <v>39</v>
      </c>
      <c r="D12" s="200" t="s">
        <v>51</v>
      </c>
      <c r="E12" s="201">
        <v>395500</v>
      </c>
      <c r="F12" s="213" t="s">
        <v>1409</v>
      </c>
      <c r="G12" s="201">
        <f>42*60*10.5</f>
        <v>26460</v>
      </c>
      <c r="H12" s="201">
        <v>27000</v>
      </c>
      <c r="I12" s="393" t="s">
        <v>1334</v>
      </c>
      <c r="J12" s="706" t="s">
        <v>1521</v>
      </c>
      <c r="K12" s="704"/>
      <c r="L12" s="705"/>
      <c r="M12" s="194"/>
      <c r="N12" s="192"/>
    </row>
    <row r="13" spans="1:14" s="195" customFormat="1" ht="33" customHeight="1">
      <c r="A13" s="199" t="s">
        <v>66</v>
      </c>
      <c r="B13" s="200" t="s">
        <v>171</v>
      </c>
      <c r="C13" s="200" t="s">
        <v>172</v>
      </c>
      <c r="D13" s="200" t="s">
        <v>177</v>
      </c>
      <c r="E13" s="201">
        <v>1047000</v>
      </c>
      <c r="F13" s="213" t="s">
        <v>1409</v>
      </c>
      <c r="G13" s="201">
        <f>139*60*10.5</f>
        <v>87570</v>
      </c>
      <c r="H13" s="201">
        <v>75000</v>
      </c>
      <c r="I13" s="393" t="s">
        <v>1331</v>
      </c>
      <c r="J13" s="706" t="s">
        <v>1558</v>
      </c>
      <c r="K13" s="704"/>
      <c r="L13" s="705"/>
      <c r="M13" s="194"/>
      <c r="N13" s="192"/>
    </row>
    <row r="14" spans="1:14" s="195" customFormat="1" ht="33" customHeight="1">
      <c r="A14" s="199">
        <v>7</v>
      </c>
      <c r="B14" s="200" t="s">
        <v>27</v>
      </c>
      <c r="C14" s="200" t="s">
        <v>40</v>
      </c>
      <c r="D14" s="200" t="s">
        <v>52</v>
      </c>
      <c r="E14" s="201">
        <v>2509100</v>
      </c>
      <c r="F14" s="213" t="s">
        <v>1409</v>
      </c>
      <c r="G14" s="201">
        <f>138*60*10.5</f>
        <v>86940</v>
      </c>
      <c r="H14" s="201">
        <v>53000</v>
      </c>
      <c r="I14" s="393" t="s">
        <v>1331</v>
      </c>
      <c r="J14" s="706" t="s">
        <v>1559</v>
      </c>
      <c r="K14" s="704"/>
      <c r="L14" s="705"/>
      <c r="M14" s="194"/>
      <c r="N14" s="192"/>
    </row>
    <row r="15" spans="1:14" s="195" customFormat="1" ht="33" customHeight="1">
      <c r="A15" s="202" t="s">
        <v>218</v>
      </c>
      <c r="B15" s="203" t="s">
        <v>26</v>
      </c>
      <c r="C15" s="204" t="s">
        <v>39</v>
      </c>
      <c r="D15" s="203" t="s">
        <v>51</v>
      </c>
      <c r="E15" s="203">
        <v>395500</v>
      </c>
      <c r="F15" s="214" t="s">
        <v>1408</v>
      </c>
      <c r="G15" s="201">
        <f>50*60*8</f>
        <v>24000</v>
      </c>
      <c r="H15" s="201">
        <f>12000</f>
        <v>12000</v>
      </c>
      <c r="I15" s="393" t="s">
        <v>1331</v>
      </c>
      <c r="J15" s="706" t="s">
        <v>1560</v>
      </c>
      <c r="K15" s="704"/>
      <c r="L15" s="705"/>
      <c r="M15" s="194"/>
      <c r="N15" s="192"/>
    </row>
    <row r="16" spans="1:14" s="191" customFormat="1" ht="33" customHeight="1">
      <c r="A16" s="202">
        <v>8</v>
      </c>
      <c r="B16" s="203" t="s">
        <v>968</v>
      </c>
      <c r="C16" s="204" t="s">
        <v>152</v>
      </c>
      <c r="D16" s="203" t="s">
        <v>1299</v>
      </c>
      <c r="E16" s="203">
        <v>246000</v>
      </c>
      <c r="F16" s="214" t="s">
        <v>1561</v>
      </c>
      <c r="G16" s="201">
        <f>52*60*9.5</f>
        <v>29640</v>
      </c>
      <c r="H16" s="201">
        <v>18500</v>
      </c>
      <c r="I16" s="393" t="s">
        <v>1489</v>
      </c>
      <c r="J16" s="703" t="s">
        <v>1562</v>
      </c>
      <c r="K16" s="704"/>
      <c r="L16" s="705"/>
      <c r="M16" s="192"/>
      <c r="N16" s="192"/>
    </row>
    <row r="17" spans="1:14" s="191" customFormat="1" ht="33" customHeight="1">
      <c r="A17" s="202" t="s">
        <v>1481</v>
      </c>
      <c r="B17" s="203" t="s">
        <v>27</v>
      </c>
      <c r="C17" s="204" t="s">
        <v>40</v>
      </c>
      <c r="D17" s="203" t="s">
        <v>52</v>
      </c>
      <c r="E17" s="203">
        <v>2509100</v>
      </c>
      <c r="F17" s="214" t="s">
        <v>1408</v>
      </c>
      <c r="G17" s="201">
        <f>100*60*8</f>
        <v>48000</v>
      </c>
      <c r="H17" s="201"/>
      <c r="I17" s="393" t="s">
        <v>1489</v>
      </c>
      <c r="J17" s="703" t="s">
        <v>1563</v>
      </c>
      <c r="K17" s="710"/>
      <c r="L17" s="711"/>
      <c r="M17" s="192"/>
      <c r="N17" s="192"/>
    </row>
    <row r="18" spans="1:14" s="191" customFormat="1" ht="33" customHeight="1">
      <c r="A18" s="205">
        <v>9</v>
      </c>
      <c r="B18" s="204" t="s">
        <v>780</v>
      </c>
      <c r="C18" s="204" t="s">
        <v>783</v>
      </c>
      <c r="D18" s="204" t="s">
        <v>56</v>
      </c>
      <c r="E18" s="203">
        <v>75000</v>
      </c>
      <c r="F18" s="214" t="s">
        <v>1561</v>
      </c>
      <c r="G18" s="203">
        <f>55*60*9.5</f>
        <v>31350</v>
      </c>
      <c r="H18" s="201">
        <v>32000</v>
      </c>
      <c r="I18" s="393" t="s">
        <v>1491</v>
      </c>
      <c r="J18" s="706"/>
      <c r="K18" s="704"/>
      <c r="L18" s="705"/>
      <c r="M18" s="196"/>
      <c r="N18" s="192"/>
    </row>
    <row r="19" spans="1:14" s="191" customFormat="1" ht="33" customHeight="1">
      <c r="A19" s="205">
        <v>10</v>
      </c>
      <c r="B19" s="204" t="s">
        <v>198</v>
      </c>
      <c r="C19" s="204" t="s">
        <v>199</v>
      </c>
      <c r="D19" s="204" t="s">
        <v>54</v>
      </c>
      <c r="E19" s="203">
        <v>268900</v>
      </c>
      <c r="F19" s="214" t="s">
        <v>1561</v>
      </c>
      <c r="G19" s="203">
        <f>84*60*9.5</f>
        <v>47880</v>
      </c>
      <c r="H19" s="201">
        <v>31100</v>
      </c>
      <c r="I19" s="393" t="s">
        <v>1491</v>
      </c>
      <c r="J19" s="712" t="s">
        <v>1581</v>
      </c>
      <c r="K19" s="701"/>
      <c r="L19" s="702"/>
      <c r="M19" s="196"/>
      <c r="N19" s="192"/>
    </row>
    <row r="20" spans="1:14" s="191" customFormat="1" ht="33" customHeight="1">
      <c r="A20" s="205">
        <v>11</v>
      </c>
      <c r="B20" s="204" t="s">
        <v>30</v>
      </c>
      <c r="C20" s="204" t="s">
        <v>43</v>
      </c>
      <c r="D20" s="204" t="s">
        <v>55</v>
      </c>
      <c r="E20" s="203">
        <v>1044599</v>
      </c>
      <c r="F20" s="214" t="s">
        <v>1408</v>
      </c>
      <c r="G20" s="203">
        <f>100*60*8</f>
        <v>48000</v>
      </c>
      <c r="H20" s="201">
        <v>47400</v>
      </c>
      <c r="I20" s="393" t="s">
        <v>1491</v>
      </c>
      <c r="J20" s="706" t="s">
        <v>1521</v>
      </c>
      <c r="K20" s="704"/>
      <c r="L20" s="705"/>
      <c r="M20" s="196"/>
      <c r="N20" s="192"/>
    </row>
    <row r="21" spans="1:14" s="191" customFormat="1" ht="33" customHeight="1">
      <c r="A21" s="205">
        <v>12</v>
      </c>
      <c r="B21" s="204" t="s">
        <v>1450</v>
      </c>
      <c r="C21" s="204" t="s">
        <v>732</v>
      </c>
      <c r="D21" s="204" t="s">
        <v>1451</v>
      </c>
      <c r="E21" s="203">
        <v>255100</v>
      </c>
      <c r="F21" s="214" t="s">
        <v>1408</v>
      </c>
      <c r="G21" s="203">
        <f>89*60*8</f>
        <v>42720</v>
      </c>
      <c r="H21" s="201"/>
      <c r="I21" s="393" t="s">
        <v>1329</v>
      </c>
      <c r="J21" s="706" t="s">
        <v>1564</v>
      </c>
      <c r="K21" s="704"/>
      <c r="L21" s="705"/>
      <c r="M21" s="196"/>
      <c r="N21" s="192"/>
    </row>
    <row r="22" spans="1:14" s="191" customFormat="1" ht="33" customHeight="1">
      <c r="A22" s="205">
        <v>13</v>
      </c>
      <c r="B22" s="204" t="s">
        <v>29</v>
      </c>
      <c r="C22" s="204" t="s">
        <v>42</v>
      </c>
      <c r="D22" s="204" t="s">
        <v>54</v>
      </c>
      <c r="E22" s="203">
        <v>415500</v>
      </c>
      <c r="F22" s="214" t="s">
        <v>1408</v>
      </c>
      <c r="G22" s="203">
        <f>110*60*8</f>
        <v>52800</v>
      </c>
      <c r="H22" s="201">
        <v>52600</v>
      </c>
      <c r="I22" s="393" t="s">
        <v>1329</v>
      </c>
      <c r="J22" s="706"/>
      <c r="K22" s="704"/>
      <c r="L22" s="705"/>
      <c r="M22" s="196"/>
      <c r="N22" s="192"/>
    </row>
    <row r="23" spans="1:14" s="191" customFormat="1" ht="33" customHeight="1">
      <c r="A23" s="205">
        <v>14</v>
      </c>
      <c r="B23" s="204" t="s">
        <v>226</v>
      </c>
      <c r="C23" s="204" t="s">
        <v>227</v>
      </c>
      <c r="D23" s="204" t="s">
        <v>54</v>
      </c>
      <c r="E23" s="203">
        <v>150900</v>
      </c>
      <c r="F23" s="214" t="s">
        <v>1408</v>
      </c>
      <c r="G23" s="203">
        <f>96*60*8</f>
        <v>46080</v>
      </c>
      <c r="H23" s="201">
        <v>40800</v>
      </c>
      <c r="I23" s="393" t="s">
        <v>1329</v>
      </c>
      <c r="J23" s="703" t="s">
        <v>1565</v>
      </c>
      <c r="K23" s="704"/>
      <c r="L23" s="705"/>
      <c r="M23" s="196"/>
      <c r="N23" s="192"/>
    </row>
    <row r="24" spans="1:14" s="191" customFormat="1" ht="33" customHeight="1">
      <c r="A24" s="206">
        <v>24</v>
      </c>
      <c r="B24" s="204" t="s">
        <v>149</v>
      </c>
      <c r="C24" s="204" t="s">
        <v>150</v>
      </c>
      <c r="D24" s="204" t="s">
        <v>56</v>
      </c>
      <c r="E24" s="203">
        <v>6124000</v>
      </c>
      <c r="F24" s="214" t="s">
        <v>1525</v>
      </c>
      <c r="G24" s="203">
        <f>180*60*11.5</f>
        <v>124200</v>
      </c>
      <c r="H24" s="201">
        <v>118000</v>
      </c>
      <c r="I24" s="393" t="s">
        <v>1337</v>
      </c>
      <c r="J24" s="706" t="s">
        <v>1533</v>
      </c>
      <c r="K24" s="704"/>
      <c r="L24" s="705"/>
      <c r="M24" s="196"/>
      <c r="N24" s="192"/>
    </row>
    <row r="25" spans="1:14" s="191" customFormat="1" ht="33" customHeight="1">
      <c r="A25" s="205">
        <v>21</v>
      </c>
      <c r="B25" s="204" t="s">
        <v>125</v>
      </c>
      <c r="C25" s="204" t="s">
        <v>980</v>
      </c>
      <c r="D25" s="204" t="s">
        <v>57</v>
      </c>
      <c r="E25" s="203">
        <v>206500</v>
      </c>
      <c r="F25" s="214" t="s">
        <v>1409</v>
      </c>
      <c r="G25" s="203">
        <f>160*60*10.5</f>
        <v>100800</v>
      </c>
      <c r="H25" s="201">
        <v>86500</v>
      </c>
      <c r="I25" s="393" t="s">
        <v>1336</v>
      </c>
      <c r="J25" s="706" t="s">
        <v>1566</v>
      </c>
      <c r="K25" s="704"/>
      <c r="L25" s="705"/>
      <c r="M25" s="196"/>
      <c r="N25" s="192"/>
    </row>
    <row r="26" spans="1:14" s="191" customFormat="1" ht="33" customHeight="1">
      <c r="A26" s="206">
        <v>22</v>
      </c>
      <c r="B26" s="204" t="s">
        <v>237</v>
      </c>
      <c r="C26" s="204" t="s">
        <v>238</v>
      </c>
      <c r="D26" s="204" t="s">
        <v>1432</v>
      </c>
      <c r="E26" s="203">
        <v>77000</v>
      </c>
      <c r="F26" s="214" t="s">
        <v>1408</v>
      </c>
      <c r="G26" s="203">
        <f>180*60*8</f>
        <v>86400</v>
      </c>
      <c r="H26" s="201"/>
      <c r="I26" s="393" t="s">
        <v>1336</v>
      </c>
      <c r="J26" s="706" t="s">
        <v>1567</v>
      </c>
      <c r="K26" s="704"/>
      <c r="L26" s="705"/>
      <c r="M26" s="196"/>
      <c r="N26" s="192"/>
    </row>
    <row r="27" spans="1:14" s="191" customFormat="1" ht="33" customHeight="1">
      <c r="A27" s="206">
        <v>30</v>
      </c>
      <c r="B27" s="204" t="s">
        <v>1399</v>
      </c>
      <c r="C27" s="204" t="s">
        <v>1400</v>
      </c>
      <c r="D27" s="204" t="s">
        <v>253</v>
      </c>
      <c r="E27" s="203">
        <v>67200</v>
      </c>
      <c r="F27" s="214" t="s">
        <v>1409</v>
      </c>
      <c r="G27" s="203">
        <f>130*60*10.5</f>
        <v>81900</v>
      </c>
      <c r="H27" s="201">
        <v>76000</v>
      </c>
      <c r="I27" s="393" t="s">
        <v>1495</v>
      </c>
      <c r="J27" s="703" t="s">
        <v>1568</v>
      </c>
      <c r="K27" s="704"/>
      <c r="L27" s="705"/>
      <c r="M27" s="196"/>
      <c r="N27" s="192"/>
    </row>
    <row r="28" spans="1:14" s="191" customFormat="1" ht="33" customHeight="1">
      <c r="A28" s="206">
        <v>25</v>
      </c>
      <c r="B28" s="204" t="s">
        <v>222</v>
      </c>
      <c r="C28" s="204" t="s">
        <v>201</v>
      </c>
      <c r="D28" s="204" t="s">
        <v>59</v>
      </c>
      <c r="E28" s="203" t="s">
        <v>1287</v>
      </c>
      <c r="F28" s="214" t="s">
        <v>1569</v>
      </c>
      <c r="G28" s="203">
        <f>180*60*11</f>
        <v>118800</v>
      </c>
      <c r="H28" s="201">
        <v>118000</v>
      </c>
      <c r="I28" s="393" t="s">
        <v>1337</v>
      </c>
      <c r="J28" s="706" t="s">
        <v>1494</v>
      </c>
      <c r="K28" s="704"/>
      <c r="L28" s="705"/>
      <c r="M28" s="196"/>
      <c r="N28" s="192"/>
    </row>
    <row r="29" spans="1:14" s="191" customFormat="1" ht="33" customHeight="1">
      <c r="A29" s="206">
        <v>18</v>
      </c>
      <c r="B29" s="204" t="s">
        <v>203</v>
      </c>
      <c r="C29" s="204" t="s">
        <v>204</v>
      </c>
      <c r="D29" s="204" t="s">
        <v>57</v>
      </c>
      <c r="E29" s="203">
        <v>2418100</v>
      </c>
      <c r="F29" s="459" t="s">
        <v>1526</v>
      </c>
      <c r="G29" s="460">
        <f>180*60*12</f>
        <v>129600</v>
      </c>
      <c r="H29" s="461">
        <f>130000</f>
        <v>130000</v>
      </c>
      <c r="I29" s="462" t="s">
        <v>1335</v>
      </c>
      <c r="J29" s="712"/>
      <c r="K29" s="701"/>
      <c r="L29" s="702"/>
      <c r="M29" s="196"/>
      <c r="N29" s="192"/>
    </row>
    <row r="30" spans="1:14" s="191" customFormat="1" ht="33" customHeight="1">
      <c r="A30" s="206">
        <v>20</v>
      </c>
      <c r="B30" s="204" t="s">
        <v>203</v>
      </c>
      <c r="C30" s="204" t="s">
        <v>204</v>
      </c>
      <c r="D30" s="204" t="s">
        <v>57</v>
      </c>
      <c r="E30" s="203">
        <v>2418100</v>
      </c>
      <c r="F30" s="459" t="s">
        <v>1526</v>
      </c>
      <c r="G30" s="460">
        <f>180*60*12</f>
        <v>129600</v>
      </c>
      <c r="H30" s="461">
        <v>127500</v>
      </c>
      <c r="I30" s="462" t="s">
        <v>1495</v>
      </c>
      <c r="J30" s="712" t="s">
        <v>1521</v>
      </c>
      <c r="K30" s="701"/>
      <c r="L30" s="702"/>
      <c r="M30" s="196"/>
      <c r="N30" s="192"/>
    </row>
    <row r="31" spans="1:14" s="191" customFormat="1" ht="33" customHeight="1">
      <c r="A31" s="206">
        <v>28</v>
      </c>
      <c r="B31" s="204" t="s">
        <v>203</v>
      </c>
      <c r="C31" s="204" t="s">
        <v>204</v>
      </c>
      <c r="D31" s="204" t="s">
        <v>57</v>
      </c>
      <c r="E31" s="203">
        <v>2418100</v>
      </c>
      <c r="F31" s="459" t="s">
        <v>1569</v>
      </c>
      <c r="G31" s="460">
        <f>180*60*11</f>
        <v>118800</v>
      </c>
      <c r="H31" s="461">
        <v>116000</v>
      </c>
      <c r="I31" s="462" t="s">
        <v>1336</v>
      </c>
      <c r="J31" s="700" t="s">
        <v>1570</v>
      </c>
      <c r="K31" s="701"/>
      <c r="L31" s="702"/>
      <c r="M31" s="196"/>
      <c r="N31" s="192"/>
    </row>
    <row r="32" spans="1:14" s="191" customFormat="1" ht="33" customHeight="1">
      <c r="A32" s="206">
        <v>31</v>
      </c>
      <c r="B32" s="204" t="s">
        <v>1394</v>
      </c>
      <c r="C32" s="204" t="s">
        <v>1395</v>
      </c>
      <c r="D32" s="204" t="s">
        <v>1396</v>
      </c>
      <c r="E32" s="203">
        <v>200000</v>
      </c>
      <c r="F32" s="459" t="s">
        <v>1408</v>
      </c>
      <c r="G32" s="460">
        <f>150*60*8</f>
        <v>72000</v>
      </c>
      <c r="H32" s="461"/>
      <c r="I32" s="462" t="s">
        <v>1495</v>
      </c>
      <c r="J32" s="712" t="s">
        <v>1571</v>
      </c>
      <c r="K32" s="701"/>
      <c r="L32" s="702"/>
      <c r="M32" s="196"/>
      <c r="N32" s="192"/>
    </row>
    <row r="33" spans="1:14" s="191" customFormat="1" ht="33" customHeight="1">
      <c r="A33" s="205">
        <v>19</v>
      </c>
      <c r="B33" s="204" t="s">
        <v>128</v>
      </c>
      <c r="C33" s="204" t="s">
        <v>129</v>
      </c>
      <c r="D33" s="204" t="s">
        <v>59</v>
      </c>
      <c r="E33" s="203">
        <v>2589600</v>
      </c>
      <c r="F33" s="214" t="s">
        <v>1526</v>
      </c>
      <c r="G33" s="203">
        <f>180*60*12</f>
        <v>129600</v>
      </c>
      <c r="H33" s="201">
        <f>132300</f>
        <v>132300</v>
      </c>
      <c r="I33" s="393" t="s">
        <v>1336</v>
      </c>
      <c r="J33" s="706"/>
      <c r="K33" s="704"/>
      <c r="L33" s="705"/>
      <c r="M33" s="196"/>
      <c r="N33" s="192"/>
    </row>
    <row r="34" spans="1:14" s="191" customFormat="1" ht="33" customHeight="1">
      <c r="A34" s="206">
        <v>26</v>
      </c>
      <c r="B34" s="204" t="s">
        <v>128</v>
      </c>
      <c r="C34" s="204" t="s">
        <v>129</v>
      </c>
      <c r="D34" s="204" t="s">
        <v>59</v>
      </c>
      <c r="E34" s="203">
        <v>2589600</v>
      </c>
      <c r="F34" s="214" t="s">
        <v>1569</v>
      </c>
      <c r="G34" s="203">
        <f>180*60*11</f>
        <v>118800</v>
      </c>
      <c r="H34" s="201">
        <v>118000</v>
      </c>
      <c r="I34" s="393" t="s">
        <v>1337</v>
      </c>
      <c r="J34" s="706" t="s">
        <v>1572</v>
      </c>
      <c r="K34" s="704"/>
      <c r="L34" s="705"/>
      <c r="M34" s="196"/>
      <c r="N34" s="192"/>
    </row>
    <row r="35" spans="1:14" s="191" customFormat="1" ht="33" customHeight="1">
      <c r="A35" s="206">
        <v>17</v>
      </c>
      <c r="B35" s="204" t="s">
        <v>162</v>
      </c>
      <c r="C35" s="204" t="s">
        <v>163</v>
      </c>
      <c r="D35" s="204" t="s">
        <v>56</v>
      </c>
      <c r="E35" s="203">
        <v>1929000</v>
      </c>
      <c r="F35" s="214" t="s">
        <v>1526</v>
      </c>
      <c r="G35" s="203">
        <f>180*60*12</f>
        <v>129600</v>
      </c>
      <c r="H35" s="201">
        <v>128000</v>
      </c>
      <c r="I35" s="393" t="s">
        <v>1335</v>
      </c>
      <c r="J35" s="706" t="s">
        <v>1521</v>
      </c>
      <c r="K35" s="704"/>
      <c r="L35" s="705"/>
      <c r="M35" s="196"/>
      <c r="N35" s="192"/>
    </row>
    <row r="36" spans="1:14" s="191" customFormat="1" ht="33" customHeight="1">
      <c r="A36" s="206">
        <v>16</v>
      </c>
      <c r="B36" s="204" t="s">
        <v>162</v>
      </c>
      <c r="C36" s="204" t="s">
        <v>163</v>
      </c>
      <c r="D36" s="204" t="s">
        <v>56</v>
      </c>
      <c r="E36" s="203">
        <v>1929000</v>
      </c>
      <c r="F36" s="214" t="s">
        <v>1525</v>
      </c>
      <c r="G36" s="203">
        <f>180*60*11.5</f>
        <v>124200</v>
      </c>
      <c r="H36" s="201"/>
      <c r="I36" s="393" t="s">
        <v>1335</v>
      </c>
      <c r="J36" s="706" t="s">
        <v>1573</v>
      </c>
      <c r="K36" s="704"/>
      <c r="L36" s="705"/>
      <c r="M36" s="196"/>
      <c r="N36" s="192"/>
    </row>
    <row r="37" spans="1:14" s="191" customFormat="1" ht="33" customHeight="1">
      <c r="A37" s="206">
        <v>15</v>
      </c>
      <c r="B37" s="204" t="s">
        <v>164</v>
      </c>
      <c r="C37" s="204" t="s">
        <v>165</v>
      </c>
      <c r="D37" s="204" t="s">
        <v>56</v>
      </c>
      <c r="E37" s="203">
        <v>1987300</v>
      </c>
      <c r="F37" s="214" t="s">
        <v>1526</v>
      </c>
      <c r="G37" s="203">
        <f>180*60*12</f>
        <v>129600</v>
      </c>
      <c r="H37" s="201">
        <f>127000</f>
        <v>127000</v>
      </c>
      <c r="I37" s="393" t="s">
        <v>1335</v>
      </c>
      <c r="J37" s="703" t="s">
        <v>1570</v>
      </c>
      <c r="K37" s="704"/>
      <c r="L37" s="705"/>
      <c r="M37" s="196"/>
      <c r="N37" s="192"/>
    </row>
    <row r="38" spans="1:14" s="191" customFormat="1" ht="33" customHeight="1">
      <c r="A38" s="206">
        <v>29</v>
      </c>
      <c r="B38" s="204" t="s">
        <v>164</v>
      </c>
      <c r="C38" s="204" t="s">
        <v>165</v>
      </c>
      <c r="D38" s="204" t="s">
        <v>56</v>
      </c>
      <c r="E38" s="203">
        <v>1987300</v>
      </c>
      <c r="F38" s="214" t="s">
        <v>1526</v>
      </c>
      <c r="G38" s="203">
        <f>180*60*12</f>
        <v>129600</v>
      </c>
      <c r="H38" s="201">
        <v>127000</v>
      </c>
      <c r="I38" s="393" t="s">
        <v>1495</v>
      </c>
      <c r="J38" s="703" t="s">
        <v>1570</v>
      </c>
      <c r="K38" s="704"/>
      <c r="L38" s="705"/>
      <c r="M38" s="196"/>
      <c r="N38" s="192"/>
    </row>
    <row r="39" spans="1:14" s="191" customFormat="1" ht="33" customHeight="1">
      <c r="A39" s="205">
        <v>23</v>
      </c>
      <c r="B39" s="204" t="s">
        <v>33</v>
      </c>
      <c r="C39" s="204" t="s">
        <v>45</v>
      </c>
      <c r="D39" s="204" t="s">
        <v>58</v>
      </c>
      <c r="E39" s="203">
        <v>519000</v>
      </c>
      <c r="F39" s="214" t="s">
        <v>1569</v>
      </c>
      <c r="G39" s="203">
        <f>170*60*11</f>
        <v>112200</v>
      </c>
      <c r="H39" s="201">
        <v>110000</v>
      </c>
      <c r="I39" s="393" t="s">
        <v>1337</v>
      </c>
      <c r="J39" s="703" t="s">
        <v>1570</v>
      </c>
      <c r="K39" s="704"/>
      <c r="L39" s="705"/>
      <c r="M39" s="196"/>
      <c r="N39" s="192"/>
    </row>
    <row r="40" spans="1:14" s="191" customFormat="1" ht="33" customHeight="1">
      <c r="A40" s="205">
        <v>27</v>
      </c>
      <c r="B40" s="204" t="s">
        <v>200</v>
      </c>
      <c r="C40" s="204" t="s">
        <v>201</v>
      </c>
      <c r="D40" s="204" t="s">
        <v>202</v>
      </c>
      <c r="E40" s="203">
        <v>1321000</v>
      </c>
      <c r="F40" s="214" t="s">
        <v>1409</v>
      </c>
      <c r="G40" s="203">
        <f>180*60*10.5</f>
        <v>113400</v>
      </c>
      <c r="H40" s="201">
        <v>60000</v>
      </c>
      <c r="I40" s="393" t="s">
        <v>1495</v>
      </c>
      <c r="J40" s="706" t="s">
        <v>1574</v>
      </c>
      <c r="K40" s="704"/>
      <c r="L40" s="705"/>
      <c r="M40" s="196"/>
      <c r="N40" s="192"/>
    </row>
    <row r="41" spans="1:14" s="191" customFormat="1" ht="33" customHeight="1">
      <c r="A41" s="206">
        <v>51</v>
      </c>
      <c r="B41" s="204" t="s">
        <v>176</v>
      </c>
      <c r="C41" s="204" t="s">
        <v>148</v>
      </c>
      <c r="D41" s="204" t="s">
        <v>194</v>
      </c>
      <c r="E41" s="203">
        <v>1456300</v>
      </c>
      <c r="F41" s="214" t="s">
        <v>1526</v>
      </c>
      <c r="G41" s="203">
        <f t="shared" ref="G41:G46" si="0">180*60*12</f>
        <v>129600</v>
      </c>
      <c r="H41" s="201">
        <f>129300</f>
        <v>129300</v>
      </c>
      <c r="I41" s="393" t="s">
        <v>1363</v>
      </c>
      <c r="J41" s="706" t="s">
        <v>1494</v>
      </c>
      <c r="K41" s="704"/>
      <c r="L41" s="705"/>
      <c r="M41" s="196"/>
      <c r="N41" s="192"/>
    </row>
    <row r="42" spans="1:14" s="191" customFormat="1" ht="33" customHeight="1">
      <c r="A42" s="206">
        <v>54</v>
      </c>
      <c r="B42" s="204" t="s">
        <v>176</v>
      </c>
      <c r="C42" s="204" t="s">
        <v>148</v>
      </c>
      <c r="D42" s="204" t="s">
        <v>194</v>
      </c>
      <c r="E42" s="203">
        <v>1456300</v>
      </c>
      <c r="F42" s="214" t="s">
        <v>1526</v>
      </c>
      <c r="G42" s="203">
        <f t="shared" si="0"/>
        <v>129600</v>
      </c>
      <c r="H42" s="201">
        <v>88800</v>
      </c>
      <c r="I42" s="393" t="s">
        <v>1363</v>
      </c>
      <c r="J42" s="706" t="s">
        <v>1575</v>
      </c>
      <c r="K42" s="704"/>
      <c r="L42" s="705"/>
      <c r="M42" s="196"/>
      <c r="N42" s="192"/>
    </row>
    <row r="43" spans="1:14" s="191" customFormat="1" ht="33" customHeight="1">
      <c r="A43" s="206">
        <v>52</v>
      </c>
      <c r="B43" s="204" t="s">
        <v>35</v>
      </c>
      <c r="C43" s="204" t="s">
        <v>47</v>
      </c>
      <c r="D43" s="204" t="s">
        <v>61</v>
      </c>
      <c r="E43" s="203">
        <v>479000</v>
      </c>
      <c r="F43" s="214" t="s">
        <v>1526</v>
      </c>
      <c r="G43" s="203">
        <f t="shared" si="0"/>
        <v>129600</v>
      </c>
      <c r="H43" s="201">
        <v>106100</v>
      </c>
      <c r="I43" s="393" t="s">
        <v>1363</v>
      </c>
      <c r="J43" s="703" t="s">
        <v>1576</v>
      </c>
      <c r="K43" s="704"/>
      <c r="L43" s="705"/>
      <c r="M43" s="196"/>
      <c r="N43" s="192"/>
    </row>
    <row r="44" spans="1:14" s="191" customFormat="1" ht="33" customHeight="1">
      <c r="A44" s="205">
        <v>53</v>
      </c>
      <c r="B44" s="204" t="s">
        <v>231</v>
      </c>
      <c r="C44" s="204" t="s">
        <v>204</v>
      </c>
      <c r="D44" s="204" t="s">
        <v>183</v>
      </c>
      <c r="E44" s="203">
        <v>501300</v>
      </c>
      <c r="F44" s="214" t="s">
        <v>1525</v>
      </c>
      <c r="G44" s="203">
        <f>180*60*11.5</f>
        <v>124200</v>
      </c>
      <c r="H44" s="201">
        <v>69400</v>
      </c>
      <c r="I44" s="393" t="s">
        <v>1363</v>
      </c>
      <c r="J44" s="703" t="s">
        <v>1577</v>
      </c>
      <c r="K44" s="704"/>
      <c r="L44" s="705"/>
      <c r="M44" s="196"/>
      <c r="N44" s="192"/>
    </row>
    <row r="45" spans="1:14" s="191" customFormat="1" ht="33" customHeight="1">
      <c r="A45" s="205">
        <v>50</v>
      </c>
      <c r="B45" s="204" t="s">
        <v>208</v>
      </c>
      <c r="C45" s="204" t="s">
        <v>209</v>
      </c>
      <c r="D45" s="204" t="s">
        <v>194</v>
      </c>
      <c r="E45" s="203">
        <v>2086300</v>
      </c>
      <c r="F45" s="214" t="s">
        <v>1526</v>
      </c>
      <c r="G45" s="203">
        <f t="shared" si="0"/>
        <v>129600</v>
      </c>
      <c r="H45" s="201">
        <f>128200+119800</f>
        <v>248000</v>
      </c>
      <c r="I45" s="393" t="s">
        <v>1363</v>
      </c>
      <c r="J45" s="703" t="s">
        <v>1578</v>
      </c>
      <c r="K45" s="704"/>
      <c r="L45" s="705"/>
      <c r="M45" s="196"/>
      <c r="N45" s="192"/>
    </row>
    <row r="46" spans="1:14" s="191" customFormat="1" ht="33" customHeight="1">
      <c r="A46" s="206">
        <v>55</v>
      </c>
      <c r="B46" s="204" t="s">
        <v>208</v>
      </c>
      <c r="C46" s="204" t="s">
        <v>209</v>
      </c>
      <c r="D46" s="204" t="s">
        <v>194</v>
      </c>
      <c r="E46" s="203">
        <v>2086300</v>
      </c>
      <c r="F46" s="214" t="s">
        <v>1526</v>
      </c>
      <c r="G46" s="203">
        <f t="shared" si="0"/>
        <v>129600</v>
      </c>
      <c r="H46" s="201">
        <v>96700</v>
      </c>
      <c r="I46" s="393" t="s">
        <v>1363</v>
      </c>
      <c r="J46" s="703" t="s">
        <v>1579</v>
      </c>
      <c r="K46" s="704"/>
      <c r="L46" s="705"/>
      <c r="M46" s="196"/>
      <c r="N46" s="192"/>
    </row>
    <row r="47" spans="1:14" s="191" customFormat="1" ht="33" customHeight="1">
      <c r="A47" s="206" t="s">
        <v>251</v>
      </c>
      <c r="B47" s="210"/>
      <c r="C47" s="210"/>
      <c r="D47" s="210"/>
      <c r="E47" s="210"/>
      <c r="F47" s="210"/>
      <c r="G47" s="210"/>
      <c r="H47" s="207">
        <f>SUM(H7:H46)</f>
        <v>2842000</v>
      </c>
      <c r="I47" s="394"/>
      <c r="J47" s="706"/>
      <c r="K47" s="704"/>
      <c r="L47" s="705"/>
      <c r="M47" s="196"/>
      <c r="N47" s="192"/>
    </row>
    <row r="48" spans="1:14" s="191" customFormat="1" ht="15.75" customHeight="1">
      <c r="A48" s="197"/>
      <c r="B48" s="197"/>
      <c r="C48" s="197"/>
      <c r="D48" s="197"/>
      <c r="E48" s="198"/>
      <c r="F48" s="198"/>
      <c r="G48" s="198"/>
      <c r="H48" s="198"/>
      <c r="I48" s="198"/>
      <c r="J48" s="198"/>
      <c r="K48" s="198"/>
    </row>
    <row r="49" spans="1:11" s="191" customFormat="1" ht="15.75" customHeight="1">
      <c r="A49" s="197"/>
      <c r="B49" s="197"/>
      <c r="C49" s="197"/>
      <c r="D49" s="197"/>
      <c r="E49" s="198"/>
      <c r="F49" s="198"/>
      <c r="G49" s="198"/>
      <c r="H49" s="198"/>
      <c r="I49" s="198"/>
      <c r="J49" s="198"/>
      <c r="K49" s="198"/>
    </row>
    <row r="50" spans="1:11" s="191" customFormat="1" ht="15.75" customHeight="1">
      <c r="A50" s="197"/>
      <c r="B50" s="197"/>
      <c r="C50" s="197"/>
      <c r="D50" s="197"/>
      <c r="E50" s="198"/>
      <c r="F50" s="198"/>
      <c r="G50" s="198"/>
      <c r="H50" s="198"/>
      <c r="I50" s="198"/>
      <c r="J50" s="198"/>
      <c r="K50" s="198"/>
    </row>
    <row r="51" spans="1:11" s="191" customFormat="1" ht="15.75" customHeight="1">
      <c r="A51" s="197"/>
      <c r="B51" s="197"/>
      <c r="C51" s="197"/>
      <c r="D51" s="197"/>
      <c r="E51" s="198"/>
      <c r="F51" s="198"/>
      <c r="G51" s="198"/>
      <c r="H51" s="198"/>
      <c r="I51" s="198"/>
      <c r="J51" s="198"/>
      <c r="K51" s="198"/>
    </row>
    <row r="52" spans="1:11" s="191" customFormat="1" ht="15.75" customHeight="1">
      <c r="A52" s="197"/>
      <c r="B52" s="197"/>
      <c r="C52" s="197"/>
      <c r="D52" s="197"/>
      <c r="E52" s="198"/>
      <c r="F52" s="198"/>
      <c r="G52" s="198"/>
      <c r="H52" s="198"/>
      <c r="I52" s="198"/>
      <c r="J52" s="198"/>
      <c r="K52" s="198"/>
    </row>
    <row r="53" spans="1:11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</row>
    <row r="54" spans="1:11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</row>
    <row r="55" spans="1:11" s="191" customFormat="1" ht="15.75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</row>
    <row r="56" spans="1:11" s="191" customFormat="1" ht="15.75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</row>
    <row r="57" spans="1:11" s="191" customFormat="1" ht="15.75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</row>
    <row r="58" spans="1:11" s="191" customFormat="1" ht="15.75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</row>
    <row r="59" spans="1:11" s="191" customFormat="1" ht="15.75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</row>
    <row r="60" spans="1:11" s="191" customFormat="1" ht="15.75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</row>
    <row r="61" spans="1:11" s="191" customFormat="1" ht="15.75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</row>
    <row r="62" spans="1:11" s="191" customFormat="1" ht="15.75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</row>
    <row r="63" spans="1:11" s="191" customFormat="1" ht="15.75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</row>
    <row r="64" spans="1:11" s="191" customFormat="1" ht="15.75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</row>
    <row r="65" spans="1:11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</row>
    <row r="66" spans="1:11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1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1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1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1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</sheetData>
  <mergeCells count="51">
    <mergeCell ref="J46:L46"/>
    <mergeCell ref="J47:L47"/>
    <mergeCell ref="J17:L17"/>
    <mergeCell ref="J31:L31"/>
    <mergeCell ref="J42:L42"/>
    <mergeCell ref="J40:L40"/>
    <mergeCell ref="J41:L41"/>
    <mergeCell ref="J43:L43"/>
    <mergeCell ref="J44:L44"/>
    <mergeCell ref="J45:L45"/>
    <mergeCell ref="J35:L35"/>
    <mergeCell ref="J36:L36"/>
    <mergeCell ref="J37:L37"/>
    <mergeCell ref="J38:L38"/>
    <mergeCell ref="J39:L39"/>
    <mergeCell ref="J28:L28"/>
    <mergeCell ref="J29:L29"/>
    <mergeCell ref="J30:L30"/>
    <mergeCell ref="J32:L32"/>
    <mergeCell ref="J33:L33"/>
    <mergeCell ref="J34:L34"/>
    <mergeCell ref="J24:L24"/>
    <mergeCell ref="J25:L25"/>
    <mergeCell ref="J26:L26"/>
    <mergeCell ref="J27:L27"/>
    <mergeCell ref="J19:L19"/>
    <mergeCell ref="J20:L20"/>
    <mergeCell ref="J21:L21"/>
    <mergeCell ref="J22:L22"/>
    <mergeCell ref="J23:L23"/>
    <mergeCell ref="J18:L18"/>
    <mergeCell ref="J7:L7"/>
    <mergeCell ref="J8:L8"/>
    <mergeCell ref="J9:L9"/>
    <mergeCell ref="J10:L10"/>
    <mergeCell ref="J11:L11"/>
    <mergeCell ref="J12:L12"/>
    <mergeCell ref="J13:L13"/>
    <mergeCell ref="J14:L14"/>
    <mergeCell ref="J15:L15"/>
    <mergeCell ref="J16:L16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</mergeCells>
  <phoneticPr fontId="74" type="noConversion"/>
  <conditionalFormatting sqref="H7:I46">
    <cfRule type="cellIs" dxfId="20" priority="2" operator="lessThan">
      <formula>0</formula>
    </cfRule>
  </conditionalFormatting>
  <printOptions horizontalCentered="1"/>
  <pageMargins left="0" right="0" top="0" bottom="0" header="0" footer="0"/>
  <pageSetup paperSize="9" scale="52" fitToHeight="0" orientation="portrait" r:id="rId1"/>
  <headerFooter>
    <oddFooter>&amp;LQ401-2&amp;CHANSUNGBOLT VINA&amp;RA4 (210 x 297mm)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2">
    <pageSetUpPr fitToPage="1"/>
  </sheetPr>
  <dimension ref="A1:P76"/>
  <sheetViews>
    <sheetView view="pageBreakPreview" zoomScale="60" zoomScaleNormal="85" workbookViewId="0">
      <selection activeCell="C23" sqref="C23:E2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3.425781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1511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1541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29.25" customHeight="1">
      <c r="A7" s="199">
        <v>1</v>
      </c>
      <c r="B7" s="200" t="s">
        <v>24</v>
      </c>
      <c r="C7" s="200" t="s">
        <v>37</v>
      </c>
      <c r="D7" s="200" t="s">
        <v>49</v>
      </c>
      <c r="E7" s="201">
        <v>260500</v>
      </c>
      <c r="F7" s="213" t="s">
        <v>1408</v>
      </c>
      <c r="G7" s="201">
        <f>45*60*8</f>
        <v>21600</v>
      </c>
      <c r="H7" s="201">
        <v>17500</v>
      </c>
      <c r="I7" s="393" t="s">
        <v>1328</v>
      </c>
      <c r="J7" s="703" t="s">
        <v>1512</v>
      </c>
      <c r="K7" s="704"/>
      <c r="L7" s="705"/>
      <c r="M7" s="192"/>
      <c r="N7" s="192"/>
      <c r="O7" s="193"/>
      <c r="P7" s="193"/>
    </row>
    <row r="8" spans="1:16" s="191" customFormat="1" ht="29.25" customHeight="1">
      <c r="A8" s="199">
        <v>2</v>
      </c>
      <c r="B8" s="200" t="s">
        <v>496</v>
      </c>
      <c r="C8" s="200" t="s">
        <v>498</v>
      </c>
      <c r="D8" s="200" t="s">
        <v>499</v>
      </c>
      <c r="E8" s="201">
        <v>300000</v>
      </c>
      <c r="F8" s="213" t="s">
        <v>1408</v>
      </c>
      <c r="G8" s="201">
        <f>42*60*8</f>
        <v>20160</v>
      </c>
      <c r="H8" s="201">
        <v>6000</v>
      </c>
      <c r="I8" s="393" t="s">
        <v>1334</v>
      </c>
      <c r="J8" s="706" t="s">
        <v>1513</v>
      </c>
      <c r="K8" s="704"/>
      <c r="L8" s="705"/>
      <c r="M8" s="192"/>
      <c r="N8" s="192"/>
      <c r="O8" s="193"/>
      <c r="P8" s="193"/>
    </row>
    <row r="9" spans="1:16" s="191" customFormat="1" ht="29.25" customHeight="1">
      <c r="A9" s="199">
        <v>3</v>
      </c>
      <c r="B9" s="200" t="s">
        <v>151</v>
      </c>
      <c r="C9" s="200" t="s">
        <v>152</v>
      </c>
      <c r="D9" s="200" t="s">
        <v>210</v>
      </c>
      <c r="E9" s="201">
        <v>416300</v>
      </c>
      <c r="F9" s="213" t="s">
        <v>1409</v>
      </c>
      <c r="G9" s="201">
        <f>55*60*10.5</f>
        <v>34650</v>
      </c>
      <c r="H9" s="201">
        <v>20000</v>
      </c>
      <c r="I9" s="393" t="s">
        <v>1336</v>
      </c>
      <c r="J9" s="706" t="s">
        <v>1514</v>
      </c>
      <c r="K9" s="704"/>
      <c r="L9" s="705"/>
      <c r="M9" s="192"/>
      <c r="N9" s="192"/>
      <c r="O9" s="193"/>
      <c r="P9" s="193"/>
    </row>
    <row r="10" spans="1:16" s="195" customFormat="1" ht="29.25" customHeight="1">
      <c r="A10" s="199">
        <v>3</v>
      </c>
      <c r="B10" s="203" t="s">
        <v>151</v>
      </c>
      <c r="C10" s="203" t="s">
        <v>152</v>
      </c>
      <c r="D10" s="203" t="s">
        <v>210</v>
      </c>
      <c r="E10" s="203">
        <v>416300</v>
      </c>
      <c r="F10" s="213" t="s">
        <v>1409</v>
      </c>
      <c r="G10" s="201">
        <f>55*60*10.5</f>
        <v>34650</v>
      </c>
      <c r="H10" s="201">
        <v>14000</v>
      </c>
      <c r="I10" s="393" t="s">
        <v>1336</v>
      </c>
      <c r="J10" s="706"/>
      <c r="K10" s="704"/>
      <c r="L10" s="705"/>
      <c r="M10" s="194"/>
      <c r="N10" s="192"/>
      <c r="O10" s="193"/>
      <c r="P10" s="193"/>
    </row>
    <row r="11" spans="1:16" s="195" customFormat="1" ht="29.25" customHeight="1">
      <c r="A11" s="199">
        <v>4</v>
      </c>
      <c r="B11" s="203" t="s">
        <v>143</v>
      </c>
      <c r="C11" s="204" t="s">
        <v>38</v>
      </c>
      <c r="D11" s="203" t="s">
        <v>50</v>
      </c>
      <c r="E11" s="203">
        <v>1166300</v>
      </c>
      <c r="F11" s="213" t="s">
        <v>1409</v>
      </c>
      <c r="G11" s="203">
        <f>70*60*10.5</f>
        <v>44100</v>
      </c>
      <c r="H11" s="201">
        <v>39000</v>
      </c>
      <c r="I11" s="393" t="s">
        <v>1336</v>
      </c>
      <c r="J11" s="706" t="s">
        <v>1515</v>
      </c>
      <c r="K11" s="704"/>
      <c r="L11" s="705"/>
      <c r="M11" s="194"/>
      <c r="N11" s="192"/>
      <c r="O11" s="193"/>
      <c r="P11" s="193"/>
    </row>
    <row r="12" spans="1:16" s="195" customFormat="1" ht="29.25" customHeight="1">
      <c r="A12" s="199">
        <v>4</v>
      </c>
      <c r="B12" s="203" t="s">
        <v>90</v>
      </c>
      <c r="C12" s="204" t="s">
        <v>91</v>
      </c>
      <c r="D12" s="203" t="s">
        <v>205</v>
      </c>
      <c r="E12" s="203">
        <v>501600</v>
      </c>
      <c r="F12" s="213" t="s">
        <v>1409</v>
      </c>
      <c r="G12" s="203">
        <f>55*60*8</f>
        <v>26400</v>
      </c>
      <c r="H12" s="201"/>
      <c r="I12" s="393" t="s">
        <v>1336</v>
      </c>
      <c r="J12" s="706"/>
      <c r="K12" s="704"/>
      <c r="L12" s="705"/>
      <c r="M12" s="194"/>
      <c r="N12" s="192"/>
      <c r="O12" s="193"/>
      <c r="P12" s="193"/>
    </row>
    <row r="13" spans="1:16" s="195" customFormat="1" ht="29.25" customHeight="1">
      <c r="A13" s="199">
        <v>5</v>
      </c>
      <c r="B13" s="200" t="s">
        <v>173</v>
      </c>
      <c r="C13" s="200" t="s">
        <v>174</v>
      </c>
      <c r="D13" s="200" t="s">
        <v>175</v>
      </c>
      <c r="E13" s="201">
        <v>106000</v>
      </c>
      <c r="F13" s="213" t="s">
        <v>1408</v>
      </c>
      <c r="G13" s="201">
        <f>50*60*8</f>
        <v>24000</v>
      </c>
      <c r="H13" s="201">
        <v>23000</v>
      </c>
      <c r="I13" s="393" t="s">
        <v>1334</v>
      </c>
      <c r="J13" s="706" t="s">
        <v>1484</v>
      </c>
      <c r="K13" s="704"/>
      <c r="L13" s="705"/>
      <c r="M13" s="194"/>
      <c r="N13" s="192"/>
      <c r="O13" s="193"/>
      <c r="P13" s="193"/>
    </row>
    <row r="14" spans="1:16" s="195" customFormat="1" ht="29.25" customHeight="1">
      <c r="A14" s="199">
        <v>6</v>
      </c>
      <c r="B14" s="200" t="s">
        <v>26</v>
      </c>
      <c r="C14" s="200" t="s">
        <v>39</v>
      </c>
      <c r="D14" s="200" t="s">
        <v>51</v>
      </c>
      <c r="E14" s="201">
        <v>470000</v>
      </c>
      <c r="F14" s="213" t="s">
        <v>1408</v>
      </c>
      <c r="G14" s="201">
        <f>42*60*8</f>
        <v>20160</v>
      </c>
      <c r="H14" s="201">
        <v>18500</v>
      </c>
      <c r="I14" s="393" t="s">
        <v>1334</v>
      </c>
      <c r="J14" s="706" t="s">
        <v>1516</v>
      </c>
      <c r="K14" s="704"/>
      <c r="L14" s="705"/>
      <c r="M14" s="194"/>
      <c r="N14" s="192"/>
      <c r="O14" s="193"/>
      <c r="P14" s="193"/>
    </row>
    <row r="15" spans="1:16" s="195" customFormat="1" ht="29.25" customHeight="1">
      <c r="A15" s="199">
        <v>7</v>
      </c>
      <c r="B15" s="200" t="s">
        <v>171</v>
      </c>
      <c r="C15" s="200" t="s">
        <v>172</v>
      </c>
      <c r="D15" s="200" t="s">
        <v>177</v>
      </c>
      <c r="E15" s="201">
        <v>1214000</v>
      </c>
      <c r="F15" s="213" t="s">
        <v>1408</v>
      </c>
      <c r="G15" s="201">
        <f>130*60*8</f>
        <v>62400</v>
      </c>
      <c r="H15" s="201">
        <v>15000</v>
      </c>
      <c r="I15" s="393" t="s">
        <v>1331</v>
      </c>
      <c r="J15" s="706"/>
      <c r="K15" s="704"/>
      <c r="L15" s="705"/>
      <c r="M15" s="194"/>
      <c r="N15" s="192"/>
      <c r="O15" s="193"/>
      <c r="P15" s="193"/>
    </row>
    <row r="16" spans="1:16" s="195" customFormat="1" ht="29.25" customHeight="1">
      <c r="A16" s="202">
        <v>7</v>
      </c>
      <c r="B16" s="203" t="s">
        <v>171</v>
      </c>
      <c r="C16" s="204" t="s">
        <v>172</v>
      </c>
      <c r="D16" s="203" t="s">
        <v>177</v>
      </c>
      <c r="E16" s="203">
        <v>1214000</v>
      </c>
      <c r="F16" s="214" t="s">
        <v>1408</v>
      </c>
      <c r="G16" s="201">
        <f>130*60*8</f>
        <v>62400</v>
      </c>
      <c r="H16" s="201">
        <f>47000</f>
        <v>47000</v>
      </c>
      <c r="I16" s="393" t="s">
        <v>1331</v>
      </c>
      <c r="J16" s="706" t="s">
        <v>1517</v>
      </c>
      <c r="K16" s="704"/>
      <c r="L16" s="705"/>
      <c r="M16" s="194"/>
      <c r="N16" s="192"/>
      <c r="O16" s="193"/>
      <c r="P16" s="193"/>
    </row>
    <row r="17" spans="1:16" s="191" customFormat="1" ht="29.25" customHeight="1">
      <c r="A17" s="202" t="s">
        <v>66</v>
      </c>
      <c r="B17" s="203" t="s">
        <v>171</v>
      </c>
      <c r="C17" s="204" t="s">
        <v>172</v>
      </c>
      <c r="D17" s="203" t="s">
        <v>177</v>
      </c>
      <c r="E17" s="203">
        <v>1214000</v>
      </c>
      <c r="F17" s="214" t="s">
        <v>1408</v>
      </c>
      <c r="G17" s="201">
        <f>130*60*8</f>
        <v>62400</v>
      </c>
      <c r="H17" s="201">
        <v>30000</v>
      </c>
      <c r="I17" s="393" t="s">
        <v>1331</v>
      </c>
      <c r="J17" s="706" t="s">
        <v>1518</v>
      </c>
      <c r="K17" s="704"/>
      <c r="L17" s="705"/>
      <c r="M17" s="192"/>
      <c r="N17" s="192"/>
      <c r="O17" s="193"/>
      <c r="P17" s="193"/>
    </row>
    <row r="18" spans="1:16" s="191" customFormat="1" ht="29.25" customHeight="1">
      <c r="A18" s="205" t="s">
        <v>218</v>
      </c>
      <c r="B18" s="204" t="s">
        <v>26</v>
      </c>
      <c r="C18" s="204" t="s">
        <v>39</v>
      </c>
      <c r="D18" s="204" t="s">
        <v>51</v>
      </c>
      <c r="E18" s="203">
        <v>470000</v>
      </c>
      <c r="F18" s="214" t="s">
        <v>1408</v>
      </c>
      <c r="G18" s="203">
        <f>50*60*8</f>
        <v>24000</v>
      </c>
      <c r="H18" s="201">
        <v>17000</v>
      </c>
      <c r="I18" s="393" t="s">
        <v>1331</v>
      </c>
      <c r="J18" s="706" t="s">
        <v>1519</v>
      </c>
      <c r="K18" s="704"/>
      <c r="L18" s="705"/>
      <c r="M18" s="196"/>
      <c r="N18" s="192"/>
      <c r="O18" s="193"/>
      <c r="P18" s="193"/>
    </row>
    <row r="19" spans="1:16" s="191" customFormat="1" ht="29.25" customHeight="1">
      <c r="A19" s="205">
        <v>8</v>
      </c>
      <c r="B19" s="204" t="s">
        <v>968</v>
      </c>
      <c r="C19" s="204" t="s">
        <v>152</v>
      </c>
      <c r="D19" s="204" t="s">
        <v>1299</v>
      </c>
      <c r="E19" s="203">
        <v>264500</v>
      </c>
      <c r="F19" s="214" t="s">
        <v>1408</v>
      </c>
      <c r="G19" s="203">
        <f>45*60*8</f>
        <v>21600</v>
      </c>
      <c r="H19" s="201"/>
      <c r="I19" s="393" t="s">
        <v>1489</v>
      </c>
      <c r="J19" s="706" t="s">
        <v>1520</v>
      </c>
      <c r="K19" s="704"/>
      <c r="L19" s="705"/>
      <c r="M19" s="196"/>
      <c r="N19" s="192"/>
      <c r="O19" s="193"/>
      <c r="P19" s="193"/>
    </row>
    <row r="20" spans="1:16" s="191" customFormat="1" ht="29.25" customHeight="1">
      <c r="A20" s="205" t="s">
        <v>1481</v>
      </c>
      <c r="B20" s="204" t="s">
        <v>27</v>
      </c>
      <c r="C20" s="204" t="s">
        <v>40</v>
      </c>
      <c r="D20" s="204" t="s">
        <v>52</v>
      </c>
      <c r="E20" s="203">
        <v>2562100</v>
      </c>
      <c r="F20" s="214" t="s">
        <v>1408</v>
      </c>
      <c r="G20" s="203">
        <f>100*60*8</f>
        <v>48000</v>
      </c>
      <c r="H20" s="201"/>
      <c r="I20" s="393" t="s">
        <v>1489</v>
      </c>
      <c r="J20" s="706" t="s">
        <v>1486</v>
      </c>
      <c r="K20" s="704"/>
      <c r="L20" s="705"/>
      <c r="M20" s="196"/>
      <c r="N20" s="192"/>
      <c r="O20" s="193"/>
      <c r="P20" s="193"/>
    </row>
    <row r="21" spans="1:16" s="191" customFormat="1" ht="29.25" customHeight="1">
      <c r="A21" s="205">
        <v>9</v>
      </c>
      <c r="B21" s="204" t="s">
        <v>780</v>
      </c>
      <c r="C21" s="204" t="s">
        <v>783</v>
      </c>
      <c r="D21" s="204" t="s">
        <v>56</v>
      </c>
      <c r="E21" s="203">
        <v>135000</v>
      </c>
      <c r="F21" s="214" t="s">
        <v>1409</v>
      </c>
      <c r="G21" s="203">
        <f>45*60*10.5</f>
        <v>28350</v>
      </c>
      <c r="H21" s="201">
        <v>28000</v>
      </c>
      <c r="I21" s="393" t="s">
        <v>1489</v>
      </c>
      <c r="J21" s="706" t="s">
        <v>1521</v>
      </c>
      <c r="K21" s="704"/>
      <c r="L21" s="705"/>
      <c r="M21" s="196"/>
      <c r="N21" s="192"/>
      <c r="O21" s="193"/>
      <c r="P21" s="193"/>
    </row>
    <row r="22" spans="1:16" s="191" customFormat="1" ht="29.25" customHeight="1">
      <c r="A22" s="205">
        <v>10</v>
      </c>
      <c r="B22" s="204" t="s">
        <v>28</v>
      </c>
      <c r="C22" s="204" t="s">
        <v>41</v>
      </c>
      <c r="D22" s="204" t="s">
        <v>53</v>
      </c>
      <c r="E22" s="203">
        <v>250000</v>
      </c>
      <c r="F22" s="214" t="s">
        <v>1408</v>
      </c>
      <c r="G22" s="203">
        <f>78*60*8</f>
        <v>37440</v>
      </c>
      <c r="H22" s="201">
        <v>38000</v>
      </c>
      <c r="I22" s="393" t="s">
        <v>1489</v>
      </c>
      <c r="J22" s="703" t="s">
        <v>1522</v>
      </c>
      <c r="K22" s="704"/>
      <c r="L22" s="705"/>
      <c r="M22" s="196"/>
      <c r="N22" s="192"/>
      <c r="O22" s="193"/>
      <c r="P22" s="193"/>
    </row>
    <row r="23" spans="1:16" s="191" customFormat="1" ht="29.25" customHeight="1">
      <c r="A23" s="205">
        <v>11</v>
      </c>
      <c r="B23" s="204" t="s">
        <v>30</v>
      </c>
      <c r="C23" s="204" t="s">
        <v>43</v>
      </c>
      <c r="D23" s="204" t="s">
        <v>55</v>
      </c>
      <c r="E23" s="203">
        <v>1136999</v>
      </c>
      <c r="F23" s="214" t="s">
        <v>1408</v>
      </c>
      <c r="G23" s="203">
        <f>97*60*8</f>
        <v>46560</v>
      </c>
      <c r="H23" s="201">
        <v>45000</v>
      </c>
      <c r="I23" s="393" t="s">
        <v>1489</v>
      </c>
      <c r="J23" s="706" t="s">
        <v>1484</v>
      </c>
      <c r="K23" s="704"/>
      <c r="L23" s="705"/>
      <c r="M23" s="196"/>
      <c r="N23" s="192"/>
      <c r="O23" s="193"/>
      <c r="P23" s="193"/>
    </row>
    <row r="24" spans="1:16" s="191" customFormat="1" ht="29.25" customHeight="1">
      <c r="A24" s="205">
        <v>12</v>
      </c>
      <c r="B24" s="204" t="s">
        <v>1450</v>
      </c>
      <c r="C24" s="204" t="s">
        <v>732</v>
      </c>
      <c r="D24" s="204" t="s">
        <v>1451</v>
      </c>
      <c r="E24" s="203">
        <v>270400</v>
      </c>
      <c r="F24" s="214" t="s">
        <v>1408</v>
      </c>
      <c r="G24" s="203">
        <f>89*60*8</f>
        <v>42720</v>
      </c>
      <c r="H24" s="201">
        <v>15300</v>
      </c>
      <c r="I24" s="393" t="s">
        <v>1329</v>
      </c>
      <c r="J24" s="703" t="s">
        <v>1523</v>
      </c>
      <c r="K24" s="704"/>
      <c r="L24" s="705"/>
      <c r="M24" s="196"/>
      <c r="N24" s="192"/>
      <c r="O24" s="193"/>
      <c r="P24" s="193"/>
    </row>
    <row r="25" spans="1:16" s="191" customFormat="1" ht="29.25" customHeight="1">
      <c r="A25" s="206">
        <v>13</v>
      </c>
      <c r="B25" s="204" t="s">
        <v>29</v>
      </c>
      <c r="C25" s="204" t="s">
        <v>42</v>
      </c>
      <c r="D25" s="204" t="s">
        <v>54</v>
      </c>
      <c r="E25" s="203">
        <v>534900</v>
      </c>
      <c r="F25" s="214" t="s">
        <v>1409</v>
      </c>
      <c r="G25" s="203">
        <f>105*60*10.5</f>
        <v>66150</v>
      </c>
      <c r="H25" s="201">
        <v>66800</v>
      </c>
      <c r="I25" s="393" t="s">
        <v>1329</v>
      </c>
      <c r="J25" s="706" t="s">
        <v>1524</v>
      </c>
      <c r="K25" s="704"/>
      <c r="L25" s="705"/>
      <c r="M25" s="196"/>
      <c r="N25" s="192"/>
      <c r="O25" s="193"/>
      <c r="P25" s="193"/>
    </row>
    <row r="26" spans="1:16" s="191" customFormat="1" ht="29.25" customHeight="1">
      <c r="A26" s="205">
        <v>14</v>
      </c>
      <c r="B26" s="204" t="s">
        <v>226</v>
      </c>
      <c r="C26" s="204" t="s">
        <v>227</v>
      </c>
      <c r="D26" s="204" t="s">
        <v>54</v>
      </c>
      <c r="E26" s="203">
        <v>246600</v>
      </c>
      <c r="F26" s="214" t="s">
        <v>1409</v>
      </c>
      <c r="G26" s="203">
        <f>89*60*10.5</f>
        <v>56070</v>
      </c>
      <c r="H26" s="201">
        <v>54900</v>
      </c>
      <c r="I26" s="393" t="s">
        <v>1329</v>
      </c>
      <c r="J26" s="706" t="s">
        <v>1524</v>
      </c>
      <c r="K26" s="704"/>
      <c r="L26" s="705"/>
      <c r="M26" s="196"/>
      <c r="N26" s="192"/>
      <c r="O26" s="193"/>
      <c r="P26" s="193"/>
    </row>
    <row r="27" spans="1:16" s="191" customFormat="1" ht="29.25" customHeight="1">
      <c r="A27" s="206">
        <v>24</v>
      </c>
      <c r="B27" s="204" t="s">
        <v>149</v>
      </c>
      <c r="C27" s="204" t="s">
        <v>150</v>
      </c>
      <c r="D27" s="204" t="s">
        <v>56</v>
      </c>
      <c r="E27" s="203">
        <v>3966000</v>
      </c>
      <c r="F27" s="214" t="s">
        <v>1525</v>
      </c>
      <c r="G27" s="203">
        <f>180*60*11.5</f>
        <v>124200</v>
      </c>
      <c r="H27" s="201">
        <v>124000</v>
      </c>
      <c r="I27" s="393" t="s">
        <v>1337</v>
      </c>
      <c r="J27" s="706"/>
      <c r="K27" s="704"/>
      <c r="L27" s="705"/>
      <c r="M27" s="196"/>
      <c r="N27" s="192"/>
      <c r="O27" s="193"/>
      <c r="P27" s="193"/>
    </row>
    <row r="28" spans="1:16" s="191" customFormat="1" ht="29.25" customHeight="1">
      <c r="A28" s="205">
        <v>21</v>
      </c>
      <c r="B28" s="204" t="s">
        <v>125</v>
      </c>
      <c r="C28" s="204" t="s">
        <v>980</v>
      </c>
      <c r="D28" s="204" t="s">
        <v>57</v>
      </c>
      <c r="E28" s="203">
        <v>376000</v>
      </c>
      <c r="F28" s="214" t="s">
        <v>1409</v>
      </c>
      <c r="G28" s="203">
        <f>150*60*10.5</f>
        <v>94500</v>
      </c>
      <c r="H28" s="201">
        <v>83000</v>
      </c>
      <c r="I28" s="393" t="s">
        <v>1335</v>
      </c>
      <c r="J28" s="706" t="s">
        <v>1528</v>
      </c>
      <c r="K28" s="704"/>
      <c r="L28" s="705"/>
      <c r="M28" s="196"/>
      <c r="N28" s="192"/>
      <c r="O28" s="193"/>
      <c r="P28" s="193"/>
    </row>
    <row r="29" spans="1:16" s="191" customFormat="1" ht="29.25" customHeight="1">
      <c r="A29" s="206">
        <v>22</v>
      </c>
      <c r="B29" s="204" t="s">
        <v>237</v>
      </c>
      <c r="C29" s="204" t="s">
        <v>238</v>
      </c>
      <c r="D29" s="204" t="s">
        <v>1432</v>
      </c>
      <c r="E29" s="203">
        <v>77000</v>
      </c>
      <c r="F29" s="214" t="s">
        <v>1408</v>
      </c>
      <c r="G29" s="203">
        <f>150*60*8</f>
        <v>72000</v>
      </c>
      <c r="H29" s="201"/>
      <c r="I29" s="393" t="s">
        <v>1495</v>
      </c>
      <c r="J29" s="706" t="s">
        <v>1530</v>
      </c>
      <c r="K29" s="704"/>
      <c r="L29" s="705"/>
      <c r="M29" s="196"/>
      <c r="N29" s="192"/>
      <c r="O29" s="193"/>
      <c r="P29" s="193"/>
    </row>
    <row r="30" spans="1:16" s="191" customFormat="1" ht="29.25" customHeight="1">
      <c r="A30" s="205">
        <v>22</v>
      </c>
      <c r="B30" s="204" t="s">
        <v>1473</v>
      </c>
      <c r="C30" s="204" t="s">
        <v>1474</v>
      </c>
      <c r="D30" s="204" t="s">
        <v>1476</v>
      </c>
      <c r="E30" s="203">
        <v>1000</v>
      </c>
      <c r="F30" s="214" t="s">
        <v>1408</v>
      </c>
      <c r="G30" s="203">
        <f>150*60*8</f>
        <v>72000</v>
      </c>
      <c r="H30" s="201"/>
      <c r="I30" s="393" t="s">
        <v>1495</v>
      </c>
      <c r="J30" s="706" t="s">
        <v>1530</v>
      </c>
      <c r="K30" s="704"/>
      <c r="L30" s="705"/>
      <c r="M30" s="196"/>
      <c r="N30" s="192"/>
      <c r="O30" s="193"/>
      <c r="P30" s="193"/>
    </row>
    <row r="31" spans="1:16" s="191" customFormat="1" ht="29.25" customHeight="1">
      <c r="A31" s="206">
        <v>30</v>
      </c>
      <c r="B31" s="204" t="s">
        <v>1399</v>
      </c>
      <c r="C31" s="204" t="s">
        <v>1400</v>
      </c>
      <c r="D31" s="204" t="s">
        <v>253</v>
      </c>
      <c r="E31" s="203">
        <v>203200</v>
      </c>
      <c r="F31" s="214" t="s">
        <v>1408</v>
      </c>
      <c r="G31" s="203">
        <f>150*60*8</f>
        <v>72000</v>
      </c>
      <c r="H31" s="201">
        <v>60000</v>
      </c>
      <c r="I31" s="393" t="s">
        <v>1495</v>
      </c>
      <c r="J31" s="706" t="s">
        <v>1533</v>
      </c>
      <c r="K31" s="704"/>
      <c r="L31" s="705"/>
      <c r="M31" s="196"/>
      <c r="N31" s="192"/>
      <c r="O31" s="193"/>
      <c r="P31" s="193"/>
    </row>
    <row r="32" spans="1:16" s="191" customFormat="1" ht="29.25" customHeight="1">
      <c r="A32" s="205">
        <v>25</v>
      </c>
      <c r="B32" s="204" t="s">
        <v>222</v>
      </c>
      <c r="C32" s="204" t="s">
        <v>201</v>
      </c>
      <c r="D32" s="204" t="s">
        <v>59</v>
      </c>
      <c r="E32" s="203">
        <v>220000</v>
      </c>
      <c r="F32" s="214" t="s">
        <v>1525</v>
      </c>
      <c r="G32" s="203">
        <f>180*60*11.5</f>
        <v>124200</v>
      </c>
      <c r="H32" s="201">
        <v>124000</v>
      </c>
      <c r="I32" s="393" t="s">
        <v>1337</v>
      </c>
      <c r="J32" s="706"/>
      <c r="K32" s="704"/>
      <c r="L32" s="705"/>
      <c r="M32" s="196"/>
      <c r="N32" s="192"/>
      <c r="O32" s="193"/>
      <c r="P32" s="193"/>
    </row>
    <row r="33" spans="1:16" s="191" customFormat="1" ht="29.25" customHeight="1">
      <c r="A33" s="206">
        <v>18</v>
      </c>
      <c r="B33" s="204" t="s">
        <v>203</v>
      </c>
      <c r="C33" s="204" t="s">
        <v>204</v>
      </c>
      <c r="D33" s="204" t="s">
        <v>57</v>
      </c>
      <c r="E33" s="203">
        <v>3126000</v>
      </c>
      <c r="F33" s="459" t="s">
        <v>1525</v>
      </c>
      <c r="G33" s="460">
        <f>180*60*11.5</f>
        <v>124200</v>
      </c>
      <c r="H33" s="461">
        <f>128000</f>
        <v>128000</v>
      </c>
      <c r="I33" s="462" t="s">
        <v>1335</v>
      </c>
      <c r="J33" s="712"/>
      <c r="K33" s="701"/>
      <c r="L33" s="702"/>
      <c r="M33" s="196"/>
      <c r="N33" s="192"/>
      <c r="O33" s="193"/>
      <c r="P33" s="193"/>
    </row>
    <row r="34" spans="1:16" s="191" customFormat="1" ht="29.25" customHeight="1">
      <c r="A34" s="206">
        <v>20</v>
      </c>
      <c r="B34" s="204" t="s">
        <v>203</v>
      </c>
      <c r="C34" s="204" t="s">
        <v>204</v>
      </c>
      <c r="D34" s="204" t="s">
        <v>57</v>
      </c>
      <c r="E34" s="203">
        <v>3126000</v>
      </c>
      <c r="F34" s="459" t="s">
        <v>1525</v>
      </c>
      <c r="G34" s="460">
        <f>180*60*11.5</f>
        <v>124200</v>
      </c>
      <c r="H34" s="461">
        <v>126400</v>
      </c>
      <c r="I34" s="462" t="s">
        <v>1335</v>
      </c>
      <c r="J34" s="463"/>
      <c r="K34" s="464"/>
      <c r="L34" s="465"/>
      <c r="M34" s="196"/>
      <c r="N34" s="192"/>
      <c r="O34" s="193"/>
      <c r="P34" s="193"/>
    </row>
    <row r="35" spans="1:16" s="191" customFormat="1" ht="29.25" customHeight="1">
      <c r="A35" s="206">
        <v>28</v>
      </c>
      <c r="B35" s="204" t="s">
        <v>203</v>
      </c>
      <c r="C35" s="204" t="s">
        <v>204</v>
      </c>
      <c r="D35" s="204" t="s">
        <v>57</v>
      </c>
      <c r="E35" s="203">
        <v>3126000</v>
      </c>
      <c r="F35" s="459" t="s">
        <v>1493</v>
      </c>
      <c r="G35" s="460">
        <f>180*60*9</f>
        <v>97200</v>
      </c>
      <c r="H35" s="461">
        <v>80000</v>
      </c>
      <c r="I35" s="462" t="s">
        <v>1495</v>
      </c>
      <c r="J35" s="712" t="s">
        <v>1531</v>
      </c>
      <c r="K35" s="701"/>
      <c r="L35" s="702"/>
      <c r="M35" s="196"/>
      <c r="N35" s="192"/>
      <c r="O35" s="193"/>
      <c r="P35" s="193"/>
    </row>
    <row r="36" spans="1:16" s="191" customFormat="1" ht="29.25" customHeight="1">
      <c r="A36" s="205">
        <v>31</v>
      </c>
      <c r="B36" s="204" t="s">
        <v>190</v>
      </c>
      <c r="C36" s="204" t="s">
        <v>191</v>
      </c>
      <c r="D36" s="204" t="s">
        <v>86</v>
      </c>
      <c r="E36" s="203">
        <v>44900</v>
      </c>
      <c r="F36" s="214" t="s">
        <v>1493</v>
      </c>
      <c r="G36" s="203">
        <f>180*60*9</f>
        <v>97200</v>
      </c>
      <c r="H36" s="201">
        <v>30000</v>
      </c>
      <c r="I36" s="393" t="s">
        <v>1337</v>
      </c>
      <c r="J36" s="706" t="s">
        <v>1535</v>
      </c>
      <c r="K36" s="704"/>
      <c r="L36" s="705"/>
      <c r="M36" s="196"/>
      <c r="N36" s="192"/>
      <c r="O36" s="193"/>
      <c r="P36" s="193"/>
    </row>
    <row r="37" spans="1:16" s="191" customFormat="1" ht="29.25" customHeight="1">
      <c r="A37" s="206">
        <v>31</v>
      </c>
      <c r="B37" s="204" t="s">
        <v>1394</v>
      </c>
      <c r="C37" s="204" t="s">
        <v>1395</v>
      </c>
      <c r="D37" s="204" t="s">
        <v>1396</v>
      </c>
      <c r="E37" s="203">
        <v>200000</v>
      </c>
      <c r="F37" s="214" t="s">
        <v>1493</v>
      </c>
      <c r="G37" s="203">
        <f>180*60*9</f>
        <v>97200</v>
      </c>
      <c r="H37" s="201"/>
      <c r="I37" s="393" t="s">
        <v>1335</v>
      </c>
      <c r="J37" s="706"/>
      <c r="K37" s="704"/>
      <c r="L37" s="705"/>
      <c r="M37" s="196"/>
      <c r="N37" s="192"/>
      <c r="O37" s="193"/>
      <c r="P37" s="193"/>
    </row>
    <row r="38" spans="1:16" s="191" customFormat="1" ht="29.25" customHeight="1">
      <c r="A38" s="206">
        <v>19</v>
      </c>
      <c r="B38" s="204" t="s">
        <v>128</v>
      </c>
      <c r="C38" s="204" t="s">
        <v>129</v>
      </c>
      <c r="D38" s="204" t="s">
        <v>59</v>
      </c>
      <c r="E38" s="203">
        <v>2088400</v>
      </c>
      <c r="F38" s="214" t="s">
        <v>1525</v>
      </c>
      <c r="G38" s="203">
        <f>180*60*11.5</f>
        <v>124200</v>
      </c>
      <c r="H38" s="201">
        <f>126500</f>
        <v>126500</v>
      </c>
      <c r="I38" s="393" t="s">
        <v>1335</v>
      </c>
      <c r="J38" s="706"/>
      <c r="K38" s="704"/>
      <c r="L38" s="705"/>
      <c r="M38" s="196"/>
      <c r="N38" s="192"/>
      <c r="O38" s="193"/>
      <c r="P38" s="193"/>
    </row>
    <row r="39" spans="1:16" s="191" customFormat="1" ht="29.25" customHeight="1">
      <c r="A39" s="206">
        <v>26</v>
      </c>
      <c r="B39" s="204" t="s">
        <v>128</v>
      </c>
      <c r="C39" s="204" t="s">
        <v>129</v>
      </c>
      <c r="D39" s="204" t="s">
        <v>59</v>
      </c>
      <c r="E39" s="203">
        <v>2088400</v>
      </c>
      <c r="F39" s="214" t="s">
        <v>1525</v>
      </c>
      <c r="G39" s="203">
        <f>180*60*11.5</f>
        <v>124200</v>
      </c>
      <c r="H39" s="201">
        <v>122000</v>
      </c>
      <c r="I39" s="393" t="s">
        <v>1337</v>
      </c>
      <c r="J39" s="706"/>
      <c r="K39" s="704"/>
      <c r="L39" s="705"/>
      <c r="M39" s="196"/>
      <c r="N39" s="192"/>
      <c r="O39" s="193"/>
      <c r="P39" s="193"/>
    </row>
    <row r="40" spans="1:16" s="191" customFormat="1" ht="29.25" customHeight="1">
      <c r="A40" s="206">
        <v>16</v>
      </c>
      <c r="B40" s="204" t="s">
        <v>162</v>
      </c>
      <c r="C40" s="204" t="s">
        <v>163</v>
      </c>
      <c r="D40" s="204" t="s">
        <v>56</v>
      </c>
      <c r="E40" s="203">
        <v>932500</v>
      </c>
      <c r="F40" s="214" t="s">
        <v>1408</v>
      </c>
      <c r="G40" s="203">
        <f>180*60*8</f>
        <v>86400</v>
      </c>
      <c r="H40" s="201">
        <f>49500</f>
        <v>49500</v>
      </c>
      <c r="I40" s="393" t="s">
        <v>1337</v>
      </c>
      <c r="J40" s="706" t="s">
        <v>1527</v>
      </c>
      <c r="K40" s="704"/>
      <c r="L40" s="705"/>
      <c r="M40" s="196"/>
      <c r="N40" s="192"/>
      <c r="O40" s="193"/>
      <c r="P40" s="193"/>
    </row>
    <row r="41" spans="1:16" s="191" customFormat="1" ht="29.25" customHeight="1">
      <c r="A41" s="206">
        <v>17</v>
      </c>
      <c r="B41" s="204" t="s">
        <v>162</v>
      </c>
      <c r="C41" s="204" t="s">
        <v>163</v>
      </c>
      <c r="D41" s="204" t="s">
        <v>56</v>
      </c>
      <c r="E41" s="203">
        <v>932500</v>
      </c>
      <c r="F41" s="214" t="s">
        <v>1525</v>
      </c>
      <c r="G41" s="203">
        <f>180*60*11.5</f>
        <v>124200</v>
      </c>
      <c r="H41" s="201">
        <v>126000</v>
      </c>
      <c r="I41" s="393" t="s">
        <v>1335</v>
      </c>
      <c r="J41" s="706"/>
      <c r="K41" s="704"/>
      <c r="L41" s="705"/>
      <c r="M41" s="196"/>
      <c r="N41" s="192"/>
      <c r="O41" s="193"/>
      <c r="P41" s="193"/>
    </row>
    <row r="42" spans="1:16" s="191" customFormat="1" ht="29.25" customHeight="1">
      <c r="A42" s="205">
        <v>15</v>
      </c>
      <c r="B42" s="204" t="s">
        <v>164</v>
      </c>
      <c r="C42" s="204" t="s">
        <v>165</v>
      </c>
      <c r="D42" s="204" t="s">
        <v>56</v>
      </c>
      <c r="E42" s="203">
        <v>446300</v>
      </c>
      <c r="F42" s="214" t="s">
        <v>1526</v>
      </c>
      <c r="G42" s="203">
        <f>180*60*12</f>
        <v>129600</v>
      </c>
      <c r="H42" s="201">
        <f>128000</f>
        <v>128000</v>
      </c>
      <c r="I42" s="393" t="s">
        <v>1329</v>
      </c>
      <c r="J42" s="706"/>
      <c r="K42" s="704"/>
      <c r="L42" s="705"/>
      <c r="M42" s="196"/>
      <c r="N42" s="192"/>
      <c r="O42" s="193"/>
      <c r="P42" s="193"/>
    </row>
    <row r="43" spans="1:16" s="191" customFormat="1" ht="29.25" customHeight="1">
      <c r="A43" s="205">
        <v>29</v>
      </c>
      <c r="B43" s="204" t="s">
        <v>164</v>
      </c>
      <c r="C43" s="204" t="s">
        <v>165</v>
      </c>
      <c r="D43" s="204" t="s">
        <v>56</v>
      </c>
      <c r="E43" s="203">
        <v>446300</v>
      </c>
      <c r="F43" s="214" t="s">
        <v>1408</v>
      </c>
      <c r="G43" s="203">
        <f>180*60*8</f>
        <v>86400</v>
      </c>
      <c r="H43" s="201">
        <v>77000</v>
      </c>
      <c r="I43" s="393" t="s">
        <v>1495</v>
      </c>
      <c r="J43" s="703" t="s">
        <v>1532</v>
      </c>
      <c r="K43" s="704"/>
      <c r="L43" s="705"/>
      <c r="M43" s="196"/>
      <c r="N43" s="192"/>
      <c r="O43" s="193"/>
      <c r="P43" s="193"/>
    </row>
    <row r="44" spans="1:16" s="191" customFormat="1" ht="29.25" customHeight="1">
      <c r="A44" s="205">
        <v>23</v>
      </c>
      <c r="B44" s="204" t="s">
        <v>685</v>
      </c>
      <c r="C44" s="204" t="s">
        <v>687</v>
      </c>
      <c r="D44" s="204" t="s">
        <v>59</v>
      </c>
      <c r="E44" s="203">
        <v>15000</v>
      </c>
      <c r="F44" s="214" t="s">
        <v>1493</v>
      </c>
      <c r="G44" s="203">
        <f>180*60*9</f>
        <v>97200</v>
      </c>
      <c r="H44" s="201">
        <v>22000</v>
      </c>
      <c r="I44" s="393" t="s">
        <v>1337</v>
      </c>
      <c r="J44" s="706" t="s">
        <v>1529</v>
      </c>
      <c r="K44" s="704"/>
      <c r="L44" s="705"/>
      <c r="M44" s="196"/>
      <c r="N44" s="192"/>
      <c r="O44" s="193"/>
      <c r="P44" s="193"/>
    </row>
    <row r="45" spans="1:16" s="191" customFormat="1" ht="29.25" customHeight="1">
      <c r="A45" s="205">
        <v>23</v>
      </c>
      <c r="B45" s="204" t="s">
        <v>33</v>
      </c>
      <c r="C45" s="204" t="s">
        <v>45</v>
      </c>
      <c r="D45" s="204" t="s">
        <v>58</v>
      </c>
      <c r="E45" s="203">
        <v>700000</v>
      </c>
      <c r="F45" s="214" t="s">
        <v>1493</v>
      </c>
      <c r="G45" s="203">
        <f>180*60*9</f>
        <v>97200</v>
      </c>
      <c r="H45" s="201">
        <v>71000</v>
      </c>
      <c r="I45" s="393" t="s">
        <v>1337</v>
      </c>
      <c r="J45" s="706"/>
      <c r="K45" s="704"/>
      <c r="L45" s="705"/>
      <c r="M45" s="196"/>
      <c r="N45" s="192"/>
      <c r="O45" s="193"/>
      <c r="P45" s="193"/>
    </row>
    <row r="46" spans="1:16" s="191" customFormat="1" ht="29.25" customHeight="1">
      <c r="A46" s="206">
        <v>27</v>
      </c>
      <c r="B46" s="204" t="s">
        <v>200</v>
      </c>
      <c r="C46" s="204" t="s">
        <v>201</v>
      </c>
      <c r="D46" s="204" t="s">
        <v>202</v>
      </c>
      <c r="E46" s="203">
        <v>1381000</v>
      </c>
      <c r="F46" s="214" t="s">
        <v>1493</v>
      </c>
      <c r="G46" s="203">
        <f>180*60*9</f>
        <v>97200</v>
      </c>
      <c r="H46" s="201"/>
      <c r="I46" s="393" t="s">
        <v>1335</v>
      </c>
      <c r="J46" s="706" t="s">
        <v>1534</v>
      </c>
      <c r="K46" s="704"/>
      <c r="L46" s="705"/>
      <c r="M46" s="196"/>
      <c r="N46" s="192"/>
      <c r="O46" s="193"/>
      <c r="P46" s="193"/>
    </row>
    <row r="47" spans="1:16" s="191" customFormat="1" ht="29.25" customHeight="1">
      <c r="A47" s="206">
        <v>51</v>
      </c>
      <c r="B47" s="204" t="s">
        <v>176</v>
      </c>
      <c r="C47" s="204" t="s">
        <v>148</v>
      </c>
      <c r="D47" s="204" t="s">
        <v>194</v>
      </c>
      <c r="E47" s="203">
        <v>1892800</v>
      </c>
      <c r="F47" s="214" t="s">
        <v>1525</v>
      </c>
      <c r="G47" s="203">
        <f t="shared" ref="G47:G52" si="0">180*60*11.5</f>
        <v>124200</v>
      </c>
      <c r="H47" s="201">
        <v>122300</v>
      </c>
      <c r="I47" s="393" t="s">
        <v>1363</v>
      </c>
      <c r="J47" s="706" t="s">
        <v>1537</v>
      </c>
      <c r="K47" s="704"/>
      <c r="L47" s="705"/>
      <c r="M47" s="196"/>
      <c r="N47" s="192"/>
      <c r="O47" s="193"/>
      <c r="P47" s="193"/>
    </row>
    <row r="48" spans="1:16" s="191" customFormat="1" ht="29.25" customHeight="1">
      <c r="A48" s="205">
        <v>54</v>
      </c>
      <c r="B48" s="204" t="s">
        <v>176</v>
      </c>
      <c r="C48" s="204" t="s">
        <v>148</v>
      </c>
      <c r="D48" s="204" t="s">
        <v>194</v>
      </c>
      <c r="E48" s="203">
        <v>1892800</v>
      </c>
      <c r="F48" s="214" t="s">
        <v>1525</v>
      </c>
      <c r="G48" s="203">
        <f t="shared" si="0"/>
        <v>124200</v>
      </c>
      <c r="H48" s="201">
        <v>125600</v>
      </c>
      <c r="I48" s="393" t="s">
        <v>1363</v>
      </c>
      <c r="J48" s="706" t="s">
        <v>1494</v>
      </c>
      <c r="K48" s="704"/>
      <c r="L48" s="705"/>
      <c r="M48" s="196"/>
      <c r="N48" s="192"/>
      <c r="O48" s="193"/>
      <c r="P48" s="193"/>
    </row>
    <row r="49" spans="1:16" s="191" customFormat="1" ht="29.25" customHeight="1">
      <c r="A49" s="205">
        <v>52</v>
      </c>
      <c r="B49" s="204" t="s">
        <v>35</v>
      </c>
      <c r="C49" s="204" t="s">
        <v>47</v>
      </c>
      <c r="D49" s="204" t="s">
        <v>61</v>
      </c>
      <c r="E49" s="203">
        <v>694900</v>
      </c>
      <c r="F49" s="214" t="s">
        <v>1525</v>
      </c>
      <c r="G49" s="203">
        <f t="shared" si="0"/>
        <v>124200</v>
      </c>
      <c r="H49" s="201">
        <v>109800</v>
      </c>
      <c r="I49" s="393" t="s">
        <v>1363</v>
      </c>
      <c r="J49" s="703" t="s">
        <v>1538</v>
      </c>
      <c r="K49" s="704"/>
      <c r="L49" s="705"/>
      <c r="M49" s="196"/>
      <c r="N49" s="192"/>
      <c r="O49" s="193"/>
      <c r="P49" s="193"/>
    </row>
    <row r="50" spans="1:16" s="191" customFormat="1" ht="29.25" customHeight="1">
      <c r="A50" s="206">
        <v>53</v>
      </c>
      <c r="B50" s="204" t="s">
        <v>231</v>
      </c>
      <c r="C50" s="204" t="s">
        <v>204</v>
      </c>
      <c r="D50" s="204" t="s">
        <v>183</v>
      </c>
      <c r="E50" s="203">
        <v>667400</v>
      </c>
      <c r="F50" s="214" t="s">
        <v>1525</v>
      </c>
      <c r="G50" s="203">
        <f t="shared" si="0"/>
        <v>124200</v>
      </c>
      <c r="H50" s="201">
        <v>96700</v>
      </c>
      <c r="I50" s="393" t="s">
        <v>1363</v>
      </c>
      <c r="J50" s="703" t="s">
        <v>1539</v>
      </c>
      <c r="K50" s="704"/>
      <c r="L50" s="705"/>
      <c r="M50" s="196"/>
      <c r="N50" s="192"/>
      <c r="O50" s="193"/>
      <c r="P50" s="193"/>
    </row>
    <row r="51" spans="1:16" s="191" customFormat="1" ht="29.25" customHeight="1">
      <c r="A51" s="205">
        <v>50</v>
      </c>
      <c r="B51" s="204" t="s">
        <v>208</v>
      </c>
      <c r="C51" s="204" t="s">
        <v>209</v>
      </c>
      <c r="D51" s="204" t="s">
        <v>194</v>
      </c>
      <c r="E51" s="203">
        <v>2510600</v>
      </c>
      <c r="F51" s="214" t="s">
        <v>1525</v>
      </c>
      <c r="G51" s="203">
        <f t="shared" si="0"/>
        <v>124200</v>
      </c>
      <c r="H51" s="201">
        <f>118600</f>
        <v>118600</v>
      </c>
      <c r="I51" s="393" t="s">
        <v>1363</v>
      </c>
      <c r="J51" s="706" t="s">
        <v>1536</v>
      </c>
      <c r="K51" s="704"/>
      <c r="L51" s="705"/>
      <c r="M51" s="196"/>
      <c r="N51" s="192"/>
      <c r="O51" s="193"/>
      <c r="P51" s="193"/>
    </row>
    <row r="52" spans="1:16" s="191" customFormat="1" ht="29.25" customHeight="1">
      <c r="A52" s="205">
        <v>55</v>
      </c>
      <c r="B52" s="204" t="s">
        <v>208</v>
      </c>
      <c r="C52" s="204" t="s">
        <v>209</v>
      </c>
      <c r="D52" s="204" t="s">
        <v>194</v>
      </c>
      <c r="E52" s="203">
        <v>2510600</v>
      </c>
      <c r="F52" s="214" t="s">
        <v>1525</v>
      </c>
      <c r="G52" s="203">
        <f t="shared" si="0"/>
        <v>124200</v>
      </c>
      <c r="H52" s="201">
        <v>57700</v>
      </c>
      <c r="I52" s="393" t="s">
        <v>1363</v>
      </c>
      <c r="J52" s="703" t="s">
        <v>1540</v>
      </c>
      <c r="K52" s="704"/>
      <c r="L52" s="705"/>
      <c r="M52" s="196"/>
      <c r="N52" s="192"/>
      <c r="O52" s="193"/>
      <c r="P52" s="193"/>
    </row>
    <row r="53" spans="1:16" s="191" customFormat="1" ht="29.25" customHeight="1">
      <c r="A53" s="206" t="s">
        <v>251</v>
      </c>
      <c r="B53" s="210"/>
      <c r="C53" s="210"/>
      <c r="D53" s="210"/>
      <c r="E53" s="210"/>
      <c r="F53" s="210"/>
      <c r="G53" s="210"/>
      <c r="H53" s="207">
        <f>SUM(H7:H52)</f>
        <v>2603100</v>
      </c>
      <c r="I53" s="394"/>
      <c r="J53" s="706"/>
      <c r="K53" s="704"/>
      <c r="L53" s="705"/>
      <c r="M53" s="196"/>
      <c r="N53" s="192"/>
    </row>
    <row r="54" spans="1:16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  <c r="O54" s="192"/>
    </row>
    <row r="55" spans="1:16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  <c r="O55" s="192"/>
    </row>
    <row r="56" spans="1:16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  <c r="O56" s="192"/>
    </row>
    <row r="57" spans="1:16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  <c r="O57" s="192"/>
    </row>
    <row r="58" spans="1:16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6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6" s="191" customFormat="1" ht="15.75" customHeight="1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  <c r="O60" s="192"/>
    </row>
    <row r="61" spans="1:16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  <c r="O61" s="192"/>
    </row>
    <row r="62" spans="1:16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  <c r="O62" s="192"/>
    </row>
    <row r="63" spans="1:16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K63" s="198"/>
      <c r="O63" s="192"/>
    </row>
    <row r="64" spans="1:16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K64" s="198"/>
      <c r="O64" s="192"/>
    </row>
    <row r="65" spans="1:15" s="191" customFormat="1" ht="15.75">
      <c r="A65" s="197"/>
      <c r="B65" s="197"/>
      <c r="C65" s="197"/>
      <c r="D65" s="197"/>
      <c r="E65" s="198"/>
      <c r="F65" s="198"/>
      <c r="G65" s="198"/>
      <c r="H65" s="198"/>
      <c r="I65" s="198"/>
      <c r="J65" s="198"/>
      <c r="K65" s="198"/>
      <c r="O65" s="192"/>
    </row>
    <row r="66" spans="1:15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O66" s="192"/>
    </row>
    <row r="67" spans="1:15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5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5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5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5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5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5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  <row r="74" spans="1:15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</row>
    <row r="75" spans="1:15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</row>
    <row r="76" spans="1:15" s="191" customFormat="1" ht="15.75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</row>
  </sheetData>
  <mergeCells count="56">
    <mergeCell ref="J53:L53"/>
    <mergeCell ref="J49:L49"/>
    <mergeCell ref="J50:L50"/>
    <mergeCell ref="J51:L51"/>
    <mergeCell ref="J52:L52"/>
    <mergeCell ref="J20:L20"/>
    <mergeCell ref="J19:L19"/>
    <mergeCell ref="J47:L47"/>
    <mergeCell ref="J48:L48"/>
    <mergeCell ref="J37:L37"/>
    <mergeCell ref="J38:L38"/>
    <mergeCell ref="J44:L44"/>
    <mergeCell ref="J45:L45"/>
    <mergeCell ref="J46:L46"/>
    <mergeCell ref="J41:L41"/>
    <mergeCell ref="J43:L43"/>
    <mergeCell ref="J42:L42"/>
    <mergeCell ref="J40:L40"/>
    <mergeCell ref="J39:L39"/>
    <mergeCell ref="J31:L31"/>
    <mergeCell ref="J21:L21"/>
    <mergeCell ref="J22:L22"/>
    <mergeCell ref="J23:L23"/>
    <mergeCell ref="J24:L24"/>
    <mergeCell ref="J25:L25"/>
    <mergeCell ref="J26:L26"/>
    <mergeCell ref="J27:L27"/>
    <mergeCell ref="J36:L36"/>
    <mergeCell ref="J35:L35"/>
    <mergeCell ref="J32:L32"/>
    <mergeCell ref="J33:L33"/>
    <mergeCell ref="J28:L28"/>
    <mergeCell ref="J29:L29"/>
    <mergeCell ref="J30:L30"/>
    <mergeCell ref="J16:L16"/>
    <mergeCell ref="J17:L17"/>
    <mergeCell ref="J18:L18"/>
    <mergeCell ref="J7:L7"/>
    <mergeCell ref="J8:L8"/>
    <mergeCell ref="J9:L9"/>
    <mergeCell ref="J10:L10"/>
    <mergeCell ref="J11:L11"/>
    <mergeCell ref="J14:L14"/>
    <mergeCell ref="J12:L12"/>
    <mergeCell ref="J13:L13"/>
    <mergeCell ref="J15:L15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</mergeCells>
  <phoneticPr fontId="74" type="noConversion"/>
  <conditionalFormatting sqref="H7:I52">
    <cfRule type="cellIs" dxfId="19" priority="1" operator="lessThan">
      <formula>0</formula>
    </cfRule>
  </conditionalFormatting>
  <printOptions horizontalCentered="1"/>
  <pageMargins left="0" right="0" top="0" bottom="0" header="0" footer="0"/>
  <pageSetup paperSize="9" scale="52" fitToHeight="0" orientation="portrait" r:id="rId1"/>
  <headerFooter>
    <oddFooter>&amp;LQ401-2&amp;CHANSUNGBOLT VINA&amp;RA4 (210 x 297mm)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3">
    <pageSetUpPr fitToPage="1"/>
  </sheetPr>
  <dimension ref="A1:P75"/>
  <sheetViews>
    <sheetView view="pageBreakPreview" topLeftCell="A16" zoomScale="60" zoomScaleNormal="85" workbookViewId="0">
      <selection activeCell="C23" sqref="C23:E2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3.425781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1509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1482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24</v>
      </c>
      <c r="C7" s="200" t="s">
        <v>37</v>
      </c>
      <c r="D7" s="200" t="s">
        <v>49</v>
      </c>
      <c r="E7" s="201">
        <v>274500</v>
      </c>
      <c r="F7" s="213" t="s">
        <v>1408</v>
      </c>
      <c r="G7" s="201">
        <f>45*60*8</f>
        <v>21600</v>
      </c>
      <c r="H7" s="201"/>
      <c r="I7" s="393" t="s">
        <v>1483</v>
      </c>
      <c r="J7" s="706"/>
      <c r="K7" s="704"/>
      <c r="L7" s="705"/>
      <c r="M7" s="192"/>
      <c r="N7" s="192"/>
      <c r="O7" s="193"/>
      <c r="P7" s="193"/>
    </row>
    <row r="8" spans="1:16" s="191" customFormat="1" ht="31.5" customHeight="1">
      <c r="A8" s="199">
        <v>2</v>
      </c>
      <c r="B8" s="200" t="s">
        <v>241</v>
      </c>
      <c r="C8" s="200" t="s">
        <v>242</v>
      </c>
      <c r="D8" s="200">
        <v>8.26</v>
      </c>
      <c r="E8" s="201">
        <v>33000</v>
      </c>
      <c r="F8" s="213" t="s">
        <v>1408</v>
      </c>
      <c r="G8" s="201">
        <f>42*60*8</f>
        <v>20160</v>
      </c>
      <c r="H8" s="201"/>
      <c r="I8" s="393" t="s">
        <v>1334</v>
      </c>
      <c r="J8" s="706"/>
      <c r="K8" s="704"/>
      <c r="L8" s="705"/>
      <c r="M8" s="192"/>
      <c r="N8" s="192"/>
      <c r="O8" s="193"/>
      <c r="P8" s="193"/>
    </row>
    <row r="9" spans="1:16" s="191" customFormat="1" ht="31.5" customHeight="1">
      <c r="A9" s="199">
        <v>2</v>
      </c>
      <c r="B9" s="200" t="s">
        <v>496</v>
      </c>
      <c r="C9" s="200" t="s">
        <v>498</v>
      </c>
      <c r="D9" s="200" t="s">
        <v>499</v>
      </c>
      <c r="E9" s="201">
        <v>300000</v>
      </c>
      <c r="F9" s="213" t="s">
        <v>1408</v>
      </c>
      <c r="G9" s="201">
        <f>42*60*8</f>
        <v>20160</v>
      </c>
      <c r="H9" s="201"/>
      <c r="I9" s="393" t="s">
        <v>1334</v>
      </c>
      <c r="J9" s="706" t="s">
        <v>1487</v>
      </c>
      <c r="K9" s="704"/>
      <c r="L9" s="705"/>
      <c r="M9" s="192"/>
      <c r="N9" s="192"/>
      <c r="O9" s="193"/>
      <c r="P9" s="193"/>
    </row>
    <row r="10" spans="1:16" s="195" customFormat="1" ht="31.5" customHeight="1">
      <c r="A10" s="199">
        <v>3</v>
      </c>
      <c r="B10" s="203" t="s">
        <v>151</v>
      </c>
      <c r="C10" s="203" t="s">
        <v>152</v>
      </c>
      <c r="D10" s="203" t="s">
        <v>210</v>
      </c>
      <c r="E10" s="203">
        <v>439300</v>
      </c>
      <c r="F10" s="214" t="s">
        <v>1408</v>
      </c>
      <c r="G10" s="203">
        <f>55*60*8</f>
        <v>26400</v>
      </c>
      <c r="H10" s="201"/>
      <c r="I10" s="393" t="s">
        <v>1483</v>
      </c>
      <c r="J10" s="706"/>
      <c r="K10" s="704"/>
      <c r="L10" s="705"/>
      <c r="M10" s="194"/>
      <c r="N10" s="192"/>
      <c r="O10" s="193"/>
      <c r="P10" s="193"/>
    </row>
    <row r="11" spans="1:16" s="195" customFormat="1" ht="31.5" customHeight="1">
      <c r="A11" s="199">
        <v>3</v>
      </c>
      <c r="B11" s="203" t="s">
        <v>151</v>
      </c>
      <c r="C11" s="204" t="s">
        <v>152</v>
      </c>
      <c r="D11" s="203" t="s">
        <v>210</v>
      </c>
      <c r="E11" s="203">
        <v>439300</v>
      </c>
      <c r="F11" s="214" t="s">
        <v>1408</v>
      </c>
      <c r="G11" s="203">
        <f>55*60*8</f>
        <v>26400</v>
      </c>
      <c r="H11" s="201"/>
      <c r="I11" s="393" t="s">
        <v>1483</v>
      </c>
      <c r="J11" s="706"/>
      <c r="K11" s="704"/>
      <c r="L11" s="705"/>
      <c r="M11" s="194"/>
      <c r="N11" s="192"/>
      <c r="O11" s="193"/>
      <c r="P11" s="193"/>
    </row>
    <row r="12" spans="1:16" s="195" customFormat="1" ht="31.5" customHeight="1">
      <c r="A12" s="199">
        <v>4</v>
      </c>
      <c r="B12" s="203" t="s">
        <v>143</v>
      </c>
      <c r="C12" s="204" t="s">
        <v>38</v>
      </c>
      <c r="D12" s="203" t="s">
        <v>50</v>
      </c>
      <c r="E12" s="203">
        <v>1184300</v>
      </c>
      <c r="F12" s="214" t="s">
        <v>1408</v>
      </c>
      <c r="G12" s="203">
        <f>65*60*8</f>
        <v>31200</v>
      </c>
      <c r="H12" s="201"/>
      <c r="I12" s="393" t="s">
        <v>1483</v>
      </c>
      <c r="J12" s="706"/>
      <c r="K12" s="704"/>
      <c r="L12" s="705"/>
      <c r="M12" s="194"/>
      <c r="N12" s="192"/>
      <c r="O12" s="193"/>
      <c r="P12" s="193"/>
    </row>
    <row r="13" spans="1:16" s="195" customFormat="1" ht="31.5" customHeight="1">
      <c r="A13" s="199">
        <v>5</v>
      </c>
      <c r="B13" s="200" t="s">
        <v>173</v>
      </c>
      <c r="C13" s="200" t="s">
        <v>174</v>
      </c>
      <c r="D13" s="200" t="s">
        <v>175</v>
      </c>
      <c r="E13" s="201">
        <v>149000</v>
      </c>
      <c r="F13" s="213" t="s">
        <v>1408</v>
      </c>
      <c r="G13" s="201">
        <f>45*60*8</f>
        <v>21600</v>
      </c>
      <c r="H13" s="201">
        <v>22000</v>
      </c>
      <c r="I13" s="393" t="s">
        <v>1334</v>
      </c>
      <c r="J13" s="706" t="s">
        <v>1484</v>
      </c>
      <c r="K13" s="704"/>
      <c r="L13" s="705"/>
      <c r="M13" s="194"/>
      <c r="N13" s="192"/>
      <c r="O13" s="193"/>
      <c r="P13" s="193"/>
    </row>
    <row r="14" spans="1:16" s="195" customFormat="1" ht="31.5" customHeight="1">
      <c r="A14" s="199">
        <v>6</v>
      </c>
      <c r="B14" s="200" t="s">
        <v>26</v>
      </c>
      <c r="C14" s="200" t="s">
        <v>39</v>
      </c>
      <c r="D14" s="200" t="s">
        <v>51</v>
      </c>
      <c r="E14" s="201">
        <v>559000</v>
      </c>
      <c r="F14" s="213" t="s">
        <v>1408</v>
      </c>
      <c r="G14" s="201">
        <f>42*60*8</f>
        <v>20160</v>
      </c>
      <c r="H14" s="201">
        <v>21000</v>
      </c>
      <c r="I14" s="393" t="s">
        <v>1334</v>
      </c>
      <c r="J14" s="706"/>
      <c r="K14" s="704"/>
      <c r="L14" s="705"/>
      <c r="M14" s="194"/>
      <c r="N14" s="192"/>
      <c r="O14" s="193"/>
      <c r="P14" s="193"/>
    </row>
    <row r="15" spans="1:16" s="195" customFormat="1" ht="31.5" customHeight="1">
      <c r="A15" s="202">
        <v>7</v>
      </c>
      <c r="B15" s="203" t="s">
        <v>171</v>
      </c>
      <c r="C15" s="204" t="s">
        <v>172</v>
      </c>
      <c r="D15" s="203" t="s">
        <v>177</v>
      </c>
      <c r="E15" s="203">
        <v>1285000</v>
      </c>
      <c r="F15" s="214" t="s">
        <v>1408</v>
      </c>
      <c r="G15" s="203">
        <f>100*60*8</f>
        <v>48000</v>
      </c>
      <c r="H15" s="201">
        <v>45000</v>
      </c>
      <c r="I15" s="393" t="s">
        <v>1331</v>
      </c>
      <c r="J15" s="706" t="s">
        <v>1485</v>
      </c>
      <c r="K15" s="704"/>
      <c r="L15" s="705"/>
      <c r="M15" s="194"/>
      <c r="N15" s="192"/>
      <c r="O15" s="193"/>
      <c r="P15" s="193"/>
    </row>
    <row r="16" spans="1:16" s="191" customFormat="1" ht="31.5" customHeight="1">
      <c r="A16" s="202">
        <v>7</v>
      </c>
      <c r="B16" s="203" t="s">
        <v>171</v>
      </c>
      <c r="C16" s="204" t="s">
        <v>172</v>
      </c>
      <c r="D16" s="203" t="s">
        <v>177</v>
      </c>
      <c r="E16" s="203">
        <v>1285000</v>
      </c>
      <c r="F16" s="214" t="s">
        <v>1408</v>
      </c>
      <c r="G16" s="203">
        <f>100*60*8</f>
        <v>48000</v>
      </c>
      <c r="H16" s="201"/>
      <c r="I16" s="393" t="s">
        <v>1331</v>
      </c>
      <c r="J16" s="706"/>
      <c r="K16" s="704"/>
      <c r="L16" s="705"/>
      <c r="M16" s="192"/>
      <c r="N16" s="192"/>
      <c r="O16" s="193"/>
      <c r="P16" s="193"/>
    </row>
    <row r="17" spans="1:16" s="191" customFormat="1" ht="31.5" customHeight="1">
      <c r="A17" s="205" t="s">
        <v>66</v>
      </c>
      <c r="B17" s="204" t="s">
        <v>27</v>
      </c>
      <c r="C17" s="204" t="s">
        <v>40</v>
      </c>
      <c r="D17" s="204" t="s">
        <v>52</v>
      </c>
      <c r="E17" s="203">
        <v>2628300</v>
      </c>
      <c r="F17" s="214" t="s">
        <v>1408</v>
      </c>
      <c r="G17" s="203">
        <f>138*60*8</f>
        <v>66240</v>
      </c>
      <c r="H17" s="201"/>
      <c r="I17" s="393" t="s">
        <v>1331</v>
      </c>
      <c r="J17" s="706" t="s">
        <v>1486</v>
      </c>
      <c r="K17" s="704"/>
      <c r="L17" s="705"/>
      <c r="M17" s="196"/>
      <c r="N17" s="192"/>
      <c r="O17" s="193"/>
      <c r="P17" s="193"/>
    </row>
    <row r="18" spans="1:16" s="191" customFormat="1" ht="31.5" customHeight="1">
      <c r="A18" s="205" t="s">
        <v>218</v>
      </c>
      <c r="B18" s="204" t="s">
        <v>26</v>
      </c>
      <c r="C18" s="204" t="s">
        <v>39</v>
      </c>
      <c r="D18" s="204" t="s">
        <v>51</v>
      </c>
      <c r="E18" s="203">
        <v>559000</v>
      </c>
      <c r="F18" s="214" t="s">
        <v>1408</v>
      </c>
      <c r="G18" s="203">
        <f>50*60*8</f>
        <v>24000</v>
      </c>
      <c r="H18" s="201">
        <f>18000</f>
        <v>18000</v>
      </c>
      <c r="I18" s="393" t="s">
        <v>1331</v>
      </c>
      <c r="J18" s="706" t="s">
        <v>1488</v>
      </c>
      <c r="K18" s="704"/>
      <c r="L18" s="705"/>
      <c r="M18" s="196"/>
      <c r="N18" s="192"/>
      <c r="O18" s="193"/>
      <c r="P18" s="193"/>
    </row>
    <row r="19" spans="1:16" s="191" customFormat="1" ht="31.5" customHeight="1">
      <c r="A19" s="205">
        <v>8</v>
      </c>
      <c r="B19" s="204" t="s">
        <v>968</v>
      </c>
      <c r="C19" s="204" t="s">
        <v>152</v>
      </c>
      <c r="D19" s="204" t="s">
        <v>1299</v>
      </c>
      <c r="E19" s="203">
        <v>264500</v>
      </c>
      <c r="F19" s="214" t="s">
        <v>1408</v>
      </c>
      <c r="G19" s="203">
        <f>42*60*8</f>
        <v>20160</v>
      </c>
      <c r="H19" s="201"/>
      <c r="I19" s="393" t="s">
        <v>1489</v>
      </c>
      <c r="J19" s="706" t="s">
        <v>1486</v>
      </c>
      <c r="K19" s="704"/>
      <c r="L19" s="705"/>
      <c r="M19" s="196"/>
      <c r="N19" s="192"/>
      <c r="O19" s="193"/>
      <c r="P19" s="193"/>
    </row>
    <row r="20" spans="1:16" s="191" customFormat="1" ht="31.5" customHeight="1">
      <c r="A20" s="205" t="s">
        <v>1481</v>
      </c>
      <c r="B20" s="204" t="s">
        <v>27</v>
      </c>
      <c r="C20" s="204" t="s">
        <v>40</v>
      </c>
      <c r="D20" s="204" t="s">
        <v>52</v>
      </c>
      <c r="E20" s="203">
        <v>2628300</v>
      </c>
      <c r="F20" s="214" t="s">
        <v>1408</v>
      </c>
      <c r="G20" s="203">
        <f>100*60*8</f>
        <v>48000</v>
      </c>
      <c r="H20" s="201">
        <v>28200</v>
      </c>
      <c r="I20" s="393" t="s">
        <v>1489</v>
      </c>
      <c r="J20" s="703" t="s">
        <v>1490</v>
      </c>
      <c r="K20" s="704"/>
      <c r="L20" s="705"/>
      <c r="M20" s="196"/>
      <c r="N20" s="192"/>
      <c r="O20" s="193"/>
      <c r="P20" s="193"/>
    </row>
    <row r="21" spans="1:16" s="191" customFormat="1" ht="31.5" customHeight="1">
      <c r="A21" s="206">
        <v>9</v>
      </c>
      <c r="B21" s="204" t="s">
        <v>780</v>
      </c>
      <c r="C21" s="204" t="s">
        <v>783</v>
      </c>
      <c r="D21" s="204" t="s">
        <v>56</v>
      </c>
      <c r="E21" s="203">
        <v>185000</v>
      </c>
      <c r="F21" s="214" t="s">
        <v>1408</v>
      </c>
      <c r="G21" s="203">
        <f>53*60*8</f>
        <v>25440</v>
      </c>
      <c r="H21" s="201">
        <v>25000</v>
      </c>
      <c r="I21" s="393" t="s">
        <v>1491</v>
      </c>
      <c r="J21" s="706"/>
      <c r="K21" s="704"/>
      <c r="L21" s="705"/>
      <c r="M21" s="196"/>
      <c r="N21" s="192"/>
      <c r="O21" s="193"/>
      <c r="P21" s="193"/>
    </row>
    <row r="22" spans="1:16" s="191" customFormat="1" ht="31.5" customHeight="1">
      <c r="A22" s="205">
        <v>10</v>
      </c>
      <c r="B22" s="204" t="s">
        <v>28</v>
      </c>
      <c r="C22" s="204" t="s">
        <v>41</v>
      </c>
      <c r="D22" s="204" t="s">
        <v>53</v>
      </c>
      <c r="E22" s="203">
        <v>336700</v>
      </c>
      <c r="F22" s="214" t="s">
        <v>1408</v>
      </c>
      <c r="G22" s="203">
        <f>80*60*8</f>
        <v>38400</v>
      </c>
      <c r="H22" s="201">
        <v>38000</v>
      </c>
      <c r="I22" s="393" t="s">
        <v>1491</v>
      </c>
      <c r="J22" s="706"/>
      <c r="K22" s="704"/>
      <c r="L22" s="705"/>
      <c r="M22" s="196"/>
      <c r="N22" s="192"/>
      <c r="O22" s="193"/>
      <c r="P22" s="193"/>
    </row>
    <row r="23" spans="1:16" s="191" customFormat="1" ht="31.5" customHeight="1">
      <c r="A23" s="205">
        <v>11</v>
      </c>
      <c r="B23" s="204" t="s">
        <v>30</v>
      </c>
      <c r="C23" s="204" t="s">
        <v>43</v>
      </c>
      <c r="D23" s="204" t="s">
        <v>55</v>
      </c>
      <c r="E23" s="203">
        <v>1200000</v>
      </c>
      <c r="F23" s="214" t="s">
        <v>1408</v>
      </c>
      <c r="G23" s="203">
        <f>89*60*8</f>
        <v>42720</v>
      </c>
      <c r="H23" s="201">
        <v>40000</v>
      </c>
      <c r="I23" s="393" t="s">
        <v>1491</v>
      </c>
      <c r="J23" s="706"/>
      <c r="K23" s="704"/>
      <c r="L23" s="705"/>
      <c r="M23" s="196"/>
      <c r="N23" s="192"/>
      <c r="O23" s="193"/>
      <c r="P23" s="193"/>
    </row>
    <row r="24" spans="1:16" s="191" customFormat="1" ht="31.5" customHeight="1">
      <c r="A24" s="206">
        <v>12</v>
      </c>
      <c r="B24" s="204" t="s">
        <v>1450</v>
      </c>
      <c r="C24" s="204" t="s">
        <v>732</v>
      </c>
      <c r="D24" s="204" t="s">
        <v>1451</v>
      </c>
      <c r="E24" s="203">
        <v>270400</v>
      </c>
      <c r="F24" s="214" t="s">
        <v>1408</v>
      </c>
      <c r="G24" s="203">
        <f>100*60*8</f>
        <v>48000</v>
      </c>
      <c r="H24" s="201"/>
      <c r="I24" s="393" t="s">
        <v>1489</v>
      </c>
      <c r="J24" s="706" t="s">
        <v>1487</v>
      </c>
      <c r="K24" s="704"/>
      <c r="L24" s="705"/>
      <c r="M24" s="196"/>
      <c r="N24" s="192"/>
      <c r="O24" s="193"/>
      <c r="P24" s="193"/>
    </row>
    <row r="25" spans="1:16" s="191" customFormat="1" ht="31.5" customHeight="1">
      <c r="A25" s="205">
        <v>13</v>
      </c>
      <c r="B25" s="204" t="s">
        <v>29</v>
      </c>
      <c r="C25" s="204" t="s">
        <v>42</v>
      </c>
      <c r="D25" s="204" t="s">
        <v>54</v>
      </c>
      <c r="E25" s="203">
        <v>588500</v>
      </c>
      <c r="F25" s="214" t="s">
        <v>1408</v>
      </c>
      <c r="G25" s="203">
        <f>115*60*8</f>
        <v>55200</v>
      </c>
      <c r="H25" s="201">
        <v>53600</v>
      </c>
      <c r="I25" s="393" t="s">
        <v>1329</v>
      </c>
      <c r="J25" s="706"/>
      <c r="K25" s="704"/>
      <c r="L25" s="705"/>
      <c r="M25" s="196"/>
      <c r="N25" s="192"/>
      <c r="O25" s="193"/>
      <c r="P25" s="193"/>
    </row>
    <row r="26" spans="1:16" s="191" customFormat="1" ht="31.5" customHeight="1">
      <c r="A26" s="206">
        <v>14</v>
      </c>
      <c r="B26" s="204" t="s">
        <v>226</v>
      </c>
      <c r="C26" s="204" t="s">
        <v>227</v>
      </c>
      <c r="D26" s="204" t="s">
        <v>54</v>
      </c>
      <c r="E26" s="203">
        <v>272600</v>
      </c>
      <c r="F26" s="214" t="s">
        <v>1408</v>
      </c>
      <c r="G26" s="203">
        <f>110*60*8</f>
        <v>52800</v>
      </c>
      <c r="H26" s="201">
        <v>26000</v>
      </c>
      <c r="I26" s="393" t="s">
        <v>1329</v>
      </c>
      <c r="J26" s="706" t="s">
        <v>1492</v>
      </c>
      <c r="K26" s="704"/>
      <c r="L26" s="705"/>
      <c r="M26" s="196"/>
      <c r="N26" s="192"/>
      <c r="O26" s="193"/>
      <c r="P26" s="193"/>
    </row>
    <row r="27" spans="1:16" s="191" customFormat="1" ht="31.5" customHeight="1">
      <c r="A27" s="205">
        <v>24</v>
      </c>
      <c r="B27" s="204" t="s">
        <v>149</v>
      </c>
      <c r="C27" s="204" t="s">
        <v>150</v>
      </c>
      <c r="D27" s="204" t="s">
        <v>56</v>
      </c>
      <c r="E27" s="203">
        <v>4155000</v>
      </c>
      <c r="F27" s="214" t="s">
        <v>1493</v>
      </c>
      <c r="G27" s="203">
        <f>180*60*9</f>
        <v>97200</v>
      </c>
      <c r="H27" s="201">
        <v>94000</v>
      </c>
      <c r="I27" s="393" t="s">
        <v>1337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6">
        <v>21</v>
      </c>
      <c r="B28" s="204" t="s">
        <v>31</v>
      </c>
      <c r="C28" s="204" t="s">
        <v>44</v>
      </c>
      <c r="D28" s="204" t="s">
        <v>56</v>
      </c>
      <c r="E28" s="203">
        <v>72600</v>
      </c>
      <c r="F28" s="214" t="s">
        <v>1408</v>
      </c>
      <c r="G28" s="203">
        <f>150*60*8</f>
        <v>72000</v>
      </c>
      <c r="H28" s="201">
        <v>24000</v>
      </c>
      <c r="I28" s="393" t="s">
        <v>1495</v>
      </c>
      <c r="J28" s="706" t="s">
        <v>1496</v>
      </c>
      <c r="K28" s="704"/>
      <c r="L28" s="705"/>
      <c r="M28" s="196"/>
      <c r="N28" s="192"/>
      <c r="O28" s="193"/>
      <c r="P28" s="193"/>
    </row>
    <row r="29" spans="1:16" s="191" customFormat="1" ht="31.5" customHeight="1">
      <c r="A29" s="205">
        <v>21</v>
      </c>
      <c r="B29" s="204" t="s">
        <v>125</v>
      </c>
      <c r="C29" s="204" t="s">
        <v>980</v>
      </c>
      <c r="D29" s="204" t="s">
        <v>57</v>
      </c>
      <c r="E29" s="203">
        <v>400000</v>
      </c>
      <c r="F29" s="214" t="s">
        <v>1408</v>
      </c>
      <c r="G29" s="203">
        <f>150*60*8</f>
        <v>72000</v>
      </c>
      <c r="H29" s="201">
        <v>10000</v>
      </c>
      <c r="I29" s="393" t="s">
        <v>1495</v>
      </c>
      <c r="J29" s="706"/>
      <c r="K29" s="704"/>
      <c r="L29" s="705"/>
      <c r="M29" s="196"/>
      <c r="N29" s="192"/>
      <c r="O29" s="193"/>
      <c r="P29" s="193"/>
    </row>
    <row r="30" spans="1:16" s="191" customFormat="1" ht="31.5" customHeight="1">
      <c r="A30" s="206">
        <v>22</v>
      </c>
      <c r="B30" s="204" t="s">
        <v>237</v>
      </c>
      <c r="C30" s="204" t="s">
        <v>238</v>
      </c>
      <c r="D30" s="204" t="s">
        <v>1432</v>
      </c>
      <c r="E30" s="203">
        <v>77000</v>
      </c>
      <c r="F30" s="214" t="s">
        <v>1408</v>
      </c>
      <c r="G30" s="203">
        <f>150*60*8</f>
        <v>72000</v>
      </c>
      <c r="H30" s="201"/>
      <c r="I30" s="393" t="s">
        <v>1483</v>
      </c>
      <c r="J30" s="706" t="s">
        <v>1498</v>
      </c>
      <c r="K30" s="704"/>
      <c r="L30" s="705"/>
      <c r="M30" s="196"/>
      <c r="N30" s="192"/>
      <c r="O30" s="193"/>
      <c r="P30" s="193"/>
    </row>
    <row r="31" spans="1:16" s="191" customFormat="1" ht="31.5" customHeight="1">
      <c r="A31" s="205">
        <v>22</v>
      </c>
      <c r="B31" s="204" t="s">
        <v>1473</v>
      </c>
      <c r="C31" s="204" t="s">
        <v>1474</v>
      </c>
      <c r="D31" s="204" t="s">
        <v>1476</v>
      </c>
      <c r="E31" s="203">
        <v>0</v>
      </c>
      <c r="F31" s="214" t="s">
        <v>1408</v>
      </c>
      <c r="G31" s="203">
        <f>150*60*8</f>
        <v>72000</v>
      </c>
      <c r="H31" s="201"/>
      <c r="I31" s="393" t="s">
        <v>1483</v>
      </c>
      <c r="J31" s="706" t="s">
        <v>1498</v>
      </c>
      <c r="K31" s="704"/>
      <c r="L31" s="705"/>
      <c r="M31" s="196"/>
      <c r="N31" s="192"/>
      <c r="O31" s="193"/>
      <c r="P31" s="193"/>
    </row>
    <row r="32" spans="1:16" s="191" customFormat="1" ht="31.5" customHeight="1">
      <c r="A32" s="206">
        <v>30</v>
      </c>
      <c r="B32" s="204" t="s">
        <v>1399</v>
      </c>
      <c r="C32" s="204" t="s">
        <v>1400</v>
      </c>
      <c r="D32" s="204" t="s">
        <v>253</v>
      </c>
      <c r="E32" s="203">
        <v>319200</v>
      </c>
      <c r="F32" s="452" t="s">
        <v>1408</v>
      </c>
      <c r="G32" s="453">
        <f>150*60*8</f>
        <v>72000</v>
      </c>
      <c r="H32" s="454">
        <v>57000</v>
      </c>
      <c r="I32" s="455" t="s">
        <v>1495</v>
      </c>
      <c r="J32" s="718" t="s">
        <v>1501</v>
      </c>
      <c r="K32" s="719"/>
      <c r="L32" s="720"/>
      <c r="M32" s="196"/>
      <c r="N32" s="192"/>
      <c r="O32" s="193"/>
      <c r="P32" s="193"/>
    </row>
    <row r="33" spans="1:16" s="191" customFormat="1" ht="31.5" customHeight="1">
      <c r="A33" s="205">
        <v>25</v>
      </c>
      <c r="B33" s="204" t="s">
        <v>222</v>
      </c>
      <c r="C33" s="204" t="s">
        <v>201</v>
      </c>
      <c r="D33" s="204" t="s">
        <v>59</v>
      </c>
      <c r="E33" s="203">
        <v>407500</v>
      </c>
      <c r="F33" s="214" t="s">
        <v>1493</v>
      </c>
      <c r="G33" s="203">
        <f t="shared" ref="G33:G42" si="0">180*60*9</f>
        <v>97200</v>
      </c>
      <c r="H33" s="201">
        <v>94000</v>
      </c>
      <c r="I33" s="393" t="s">
        <v>1337</v>
      </c>
      <c r="J33" s="706" t="s">
        <v>1494</v>
      </c>
      <c r="K33" s="704"/>
      <c r="L33" s="705"/>
      <c r="M33" s="196"/>
      <c r="N33" s="192"/>
      <c r="O33" s="193"/>
      <c r="P33" s="193"/>
    </row>
    <row r="34" spans="1:16" s="191" customFormat="1" ht="31.5" customHeight="1">
      <c r="A34" s="206">
        <v>18</v>
      </c>
      <c r="B34" s="204" t="s">
        <v>203</v>
      </c>
      <c r="C34" s="204" t="s">
        <v>204</v>
      </c>
      <c r="D34" s="204" t="s">
        <v>57</v>
      </c>
      <c r="E34" s="203">
        <v>3708200</v>
      </c>
      <c r="F34" s="214" t="s">
        <v>1493</v>
      </c>
      <c r="G34" s="203">
        <f t="shared" si="0"/>
        <v>97200</v>
      </c>
      <c r="H34" s="201">
        <f>96000</f>
        <v>96000</v>
      </c>
      <c r="I34" s="393" t="s">
        <v>1335</v>
      </c>
      <c r="J34" s="706"/>
      <c r="K34" s="704"/>
      <c r="L34" s="705"/>
      <c r="M34" s="196"/>
      <c r="N34" s="192"/>
      <c r="O34" s="193"/>
      <c r="P34" s="193"/>
    </row>
    <row r="35" spans="1:16" s="191" customFormat="1" ht="31.5" customHeight="1">
      <c r="A35" s="206">
        <v>20</v>
      </c>
      <c r="B35" s="204" t="s">
        <v>203</v>
      </c>
      <c r="C35" s="204" t="s">
        <v>204</v>
      </c>
      <c r="D35" s="204" t="s">
        <v>57</v>
      </c>
      <c r="E35" s="203">
        <v>3708200</v>
      </c>
      <c r="F35" s="214" t="s">
        <v>1493</v>
      </c>
      <c r="G35" s="203">
        <f t="shared" si="0"/>
        <v>97200</v>
      </c>
      <c r="H35" s="201">
        <v>94600</v>
      </c>
      <c r="I35" s="393" t="s">
        <v>1335</v>
      </c>
      <c r="J35" s="706"/>
      <c r="K35" s="704"/>
      <c r="L35" s="705"/>
      <c r="M35" s="196"/>
      <c r="N35" s="192"/>
      <c r="O35" s="193"/>
      <c r="P35" s="193"/>
    </row>
    <row r="36" spans="1:16" s="191" customFormat="1" ht="31.5" customHeight="1">
      <c r="A36" s="206">
        <v>28</v>
      </c>
      <c r="B36" s="204" t="s">
        <v>203</v>
      </c>
      <c r="C36" s="204" t="s">
        <v>204</v>
      </c>
      <c r="D36" s="204" t="s">
        <v>57</v>
      </c>
      <c r="E36" s="203">
        <v>3708200</v>
      </c>
      <c r="F36" s="214" t="s">
        <v>1493</v>
      </c>
      <c r="G36" s="203">
        <f t="shared" si="0"/>
        <v>97200</v>
      </c>
      <c r="H36" s="201">
        <v>87000</v>
      </c>
      <c r="I36" s="393" t="s">
        <v>1495</v>
      </c>
      <c r="J36" s="706" t="s">
        <v>1499</v>
      </c>
      <c r="K36" s="704"/>
      <c r="L36" s="705"/>
      <c r="M36" s="196"/>
      <c r="N36" s="192"/>
      <c r="O36" s="193"/>
      <c r="P36" s="193"/>
    </row>
    <row r="37" spans="1:16" s="191" customFormat="1" ht="31.5" customHeight="1">
      <c r="A37" s="205">
        <v>31</v>
      </c>
      <c r="B37" s="204" t="s">
        <v>190</v>
      </c>
      <c r="C37" s="204" t="s">
        <v>191</v>
      </c>
      <c r="D37" s="204" t="s">
        <v>86</v>
      </c>
      <c r="E37" s="203">
        <v>228900</v>
      </c>
      <c r="F37" s="214" t="s">
        <v>1493</v>
      </c>
      <c r="G37" s="203">
        <f t="shared" si="0"/>
        <v>97200</v>
      </c>
      <c r="H37" s="201">
        <v>89000</v>
      </c>
      <c r="I37" s="393" t="s">
        <v>1495</v>
      </c>
      <c r="J37" s="706" t="s">
        <v>1501</v>
      </c>
      <c r="K37" s="704"/>
      <c r="L37" s="705"/>
      <c r="M37" s="196"/>
      <c r="N37" s="192"/>
      <c r="O37" s="193"/>
      <c r="P37" s="193"/>
    </row>
    <row r="38" spans="1:16" s="191" customFormat="1" ht="31.5" customHeight="1">
      <c r="A38" s="205">
        <v>19</v>
      </c>
      <c r="B38" s="204" t="s">
        <v>128</v>
      </c>
      <c r="C38" s="204" t="s">
        <v>129</v>
      </c>
      <c r="D38" s="204" t="s">
        <v>59</v>
      </c>
      <c r="E38" s="203">
        <v>2468400</v>
      </c>
      <c r="F38" s="214" t="s">
        <v>1493</v>
      </c>
      <c r="G38" s="203">
        <f t="shared" si="0"/>
        <v>97200</v>
      </c>
      <c r="H38" s="201">
        <f>98000</f>
        <v>98000</v>
      </c>
      <c r="I38" s="393" t="s">
        <v>1335</v>
      </c>
      <c r="J38" s="706"/>
      <c r="K38" s="704"/>
      <c r="L38" s="705"/>
      <c r="M38" s="196"/>
      <c r="N38" s="192"/>
      <c r="O38" s="193"/>
      <c r="P38" s="193"/>
    </row>
    <row r="39" spans="1:16" s="191" customFormat="1" ht="31.5" customHeight="1">
      <c r="A39" s="205">
        <v>26</v>
      </c>
      <c r="B39" s="204" t="s">
        <v>128</v>
      </c>
      <c r="C39" s="204" t="s">
        <v>129</v>
      </c>
      <c r="D39" s="204" t="s">
        <v>59</v>
      </c>
      <c r="E39" s="203">
        <v>2468400</v>
      </c>
      <c r="F39" s="214" t="s">
        <v>1493</v>
      </c>
      <c r="G39" s="203">
        <f t="shared" si="0"/>
        <v>97200</v>
      </c>
      <c r="H39" s="201">
        <v>93000</v>
      </c>
      <c r="I39" s="393" t="s">
        <v>1337</v>
      </c>
      <c r="J39" s="706" t="s">
        <v>1494</v>
      </c>
      <c r="K39" s="704"/>
      <c r="L39" s="705"/>
      <c r="M39" s="196"/>
      <c r="N39" s="192"/>
      <c r="O39" s="193"/>
      <c r="P39" s="193"/>
    </row>
    <row r="40" spans="1:16" s="191" customFormat="1" ht="31.5" customHeight="1">
      <c r="A40" s="206">
        <v>16</v>
      </c>
      <c r="B40" s="204" t="s">
        <v>162</v>
      </c>
      <c r="C40" s="204" t="s">
        <v>163</v>
      </c>
      <c r="D40" s="204" t="s">
        <v>56</v>
      </c>
      <c r="E40" s="203">
        <v>1366600</v>
      </c>
      <c r="F40" s="214" t="s">
        <v>1493</v>
      </c>
      <c r="G40" s="203">
        <f t="shared" si="0"/>
        <v>97200</v>
      </c>
      <c r="H40" s="201">
        <f>90000</f>
        <v>90000</v>
      </c>
      <c r="I40" s="393" t="s">
        <v>1335</v>
      </c>
      <c r="J40" s="706"/>
      <c r="K40" s="704"/>
      <c r="L40" s="705"/>
      <c r="M40" s="196"/>
      <c r="N40" s="192"/>
      <c r="O40" s="193"/>
      <c r="P40" s="193"/>
    </row>
    <row r="41" spans="1:16" s="191" customFormat="1" ht="31.5" customHeight="1">
      <c r="A41" s="206">
        <v>17</v>
      </c>
      <c r="B41" s="204" t="s">
        <v>162</v>
      </c>
      <c r="C41" s="204" t="s">
        <v>163</v>
      </c>
      <c r="D41" s="204" t="s">
        <v>56</v>
      </c>
      <c r="E41" s="203">
        <v>1366600</v>
      </c>
      <c r="F41" s="214" t="s">
        <v>1493</v>
      </c>
      <c r="G41" s="203">
        <f t="shared" si="0"/>
        <v>97200</v>
      </c>
      <c r="H41" s="201">
        <v>94600</v>
      </c>
      <c r="I41" s="393" t="s">
        <v>1335</v>
      </c>
      <c r="J41" s="706"/>
      <c r="K41" s="704"/>
      <c r="L41" s="705"/>
      <c r="M41" s="196"/>
      <c r="N41" s="192"/>
      <c r="O41" s="193"/>
      <c r="P41" s="193"/>
    </row>
    <row r="42" spans="1:16" s="191" customFormat="1" ht="31.5" customHeight="1">
      <c r="A42" s="205">
        <v>15</v>
      </c>
      <c r="B42" s="204" t="s">
        <v>164</v>
      </c>
      <c r="C42" s="204" t="s">
        <v>165</v>
      </c>
      <c r="D42" s="204" t="s">
        <v>56</v>
      </c>
      <c r="E42" s="203">
        <v>768600</v>
      </c>
      <c r="F42" s="214" t="s">
        <v>1493</v>
      </c>
      <c r="G42" s="203">
        <f t="shared" si="0"/>
        <v>97200</v>
      </c>
      <c r="H42" s="201">
        <f>97800</f>
        <v>97800</v>
      </c>
      <c r="I42" s="393" t="s">
        <v>1337</v>
      </c>
      <c r="J42" s="706" t="s">
        <v>1494</v>
      </c>
      <c r="K42" s="704"/>
      <c r="L42" s="705"/>
      <c r="M42" s="196"/>
      <c r="N42" s="192"/>
      <c r="O42" s="193"/>
      <c r="P42" s="193"/>
    </row>
    <row r="43" spans="1:16" s="191" customFormat="1" ht="31.5" customHeight="1">
      <c r="A43" s="205">
        <v>29</v>
      </c>
      <c r="B43" s="204" t="s">
        <v>164</v>
      </c>
      <c r="C43" s="204" t="s">
        <v>165</v>
      </c>
      <c r="D43" s="204" t="s">
        <v>56</v>
      </c>
      <c r="E43" s="203">
        <v>768600</v>
      </c>
      <c r="F43" s="214" t="s">
        <v>1408</v>
      </c>
      <c r="G43" s="203">
        <f>180*60*8</f>
        <v>86400</v>
      </c>
      <c r="H43" s="201">
        <v>62000</v>
      </c>
      <c r="I43" s="393" t="s">
        <v>1495</v>
      </c>
      <c r="J43" s="703" t="s">
        <v>1500</v>
      </c>
      <c r="K43" s="704"/>
      <c r="L43" s="705"/>
      <c r="M43" s="196"/>
      <c r="N43" s="192"/>
      <c r="O43" s="193"/>
      <c r="P43" s="193"/>
    </row>
    <row r="44" spans="1:16" s="191" customFormat="1" ht="31.5" customHeight="1">
      <c r="A44" s="206">
        <v>23</v>
      </c>
      <c r="B44" s="204" t="s">
        <v>685</v>
      </c>
      <c r="C44" s="204" t="s">
        <v>687</v>
      </c>
      <c r="D44" s="204" t="s">
        <v>59</v>
      </c>
      <c r="E44" s="203">
        <v>100000</v>
      </c>
      <c r="F44" s="214" t="s">
        <v>1493</v>
      </c>
      <c r="G44" s="203">
        <f>180*60*9</f>
        <v>97200</v>
      </c>
      <c r="H44" s="201">
        <v>85000</v>
      </c>
      <c r="I44" s="393" t="s">
        <v>1337</v>
      </c>
      <c r="J44" s="706" t="s">
        <v>1497</v>
      </c>
      <c r="K44" s="704"/>
      <c r="L44" s="705"/>
      <c r="M44" s="196"/>
      <c r="N44" s="192"/>
      <c r="O44" s="193"/>
      <c r="P44" s="193"/>
    </row>
    <row r="45" spans="1:16" s="191" customFormat="1" ht="31.5" customHeight="1">
      <c r="A45" s="205">
        <v>27</v>
      </c>
      <c r="B45" s="204" t="s">
        <v>200</v>
      </c>
      <c r="C45" s="204" t="s">
        <v>201</v>
      </c>
      <c r="D45" s="204" t="s">
        <v>202</v>
      </c>
      <c r="E45" s="203">
        <v>1381000</v>
      </c>
      <c r="F45" s="214" t="s">
        <v>1408</v>
      </c>
      <c r="G45" s="203">
        <f>180*60*8</f>
        <v>86400</v>
      </c>
      <c r="H45" s="201"/>
      <c r="I45" s="393" t="s">
        <v>1495</v>
      </c>
      <c r="J45" s="706" t="s">
        <v>1502</v>
      </c>
      <c r="K45" s="704"/>
      <c r="L45" s="705"/>
      <c r="M45" s="196"/>
      <c r="N45" s="192"/>
      <c r="O45" s="193"/>
      <c r="P45" s="193"/>
    </row>
    <row r="46" spans="1:16" s="191" customFormat="1" ht="31.5" customHeight="1">
      <c r="A46" s="205">
        <v>51</v>
      </c>
      <c r="B46" s="204" t="s">
        <v>176</v>
      </c>
      <c r="C46" s="204" t="s">
        <v>148</v>
      </c>
      <c r="D46" s="204" t="s">
        <v>194</v>
      </c>
      <c r="E46" s="203">
        <v>2105200</v>
      </c>
      <c r="F46" s="214" t="s">
        <v>1408</v>
      </c>
      <c r="G46" s="203">
        <f>180*60*8</f>
        <v>86400</v>
      </c>
      <c r="H46" s="201">
        <f>23000</f>
        <v>23000</v>
      </c>
      <c r="I46" s="393" t="s">
        <v>1363</v>
      </c>
      <c r="J46" s="706" t="s">
        <v>1504</v>
      </c>
      <c r="K46" s="704"/>
      <c r="L46" s="705"/>
      <c r="M46" s="196"/>
      <c r="N46" s="192"/>
      <c r="O46" s="193"/>
      <c r="P46" s="193"/>
    </row>
    <row r="47" spans="1:16" s="191" customFormat="1" ht="31.5" customHeight="1">
      <c r="A47" s="205">
        <v>54</v>
      </c>
      <c r="B47" s="204" t="s">
        <v>176</v>
      </c>
      <c r="C47" s="204" t="s">
        <v>148</v>
      </c>
      <c r="D47" s="204" t="s">
        <v>194</v>
      </c>
      <c r="E47" s="203">
        <v>2105200</v>
      </c>
      <c r="F47" s="214" t="s">
        <v>1493</v>
      </c>
      <c r="G47" s="203">
        <f>180*60*9</f>
        <v>97200</v>
      </c>
      <c r="H47" s="201">
        <v>87500</v>
      </c>
      <c r="I47" s="393" t="s">
        <v>1363</v>
      </c>
      <c r="J47" s="706" t="s">
        <v>1507</v>
      </c>
      <c r="K47" s="704"/>
      <c r="L47" s="705"/>
      <c r="M47" s="196"/>
      <c r="N47" s="192"/>
      <c r="O47" s="193"/>
      <c r="P47" s="193"/>
    </row>
    <row r="48" spans="1:16" s="191" customFormat="1" ht="31.5" customHeight="1">
      <c r="A48" s="205">
        <v>52</v>
      </c>
      <c r="B48" s="204" t="s">
        <v>35</v>
      </c>
      <c r="C48" s="204" t="s">
        <v>47</v>
      </c>
      <c r="D48" s="204" t="s">
        <v>61</v>
      </c>
      <c r="E48" s="203">
        <v>877100</v>
      </c>
      <c r="F48" s="214" t="s">
        <v>1408</v>
      </c>
      <c r="G48" s="203">
        <f>180*60*8</f>
        <v>86400</v>
      </c>
      <c r="H48" s="201">
        <v>81600</v>
      </c>
      <c r="I48" s="393" t="s">
        <v>1363</v>
      </c>
      <c r="J48" s="703" t="s">
        <v>1505</v>
      </c>
      <c r="K48" s="704"/>
      <c r="L48" s="705"/>
      <c r="M48" s="196"/>
      <c r="N48" s="192"/>
      <c r="O48" s="193"/>
      <c r="P48" s="193"/>
    </row>
    <row r="49" spans="1:16" s="191" customFormat="1" ht="31.5" customHeight="1">
      <c r="A49" s="205">
        <v>53</v>
      </c>
      <c r="B49" s="204" t="s">
        <v>231</v>
      </c>
      <c r="C49" s="204" t="s">
        <v>204</v>
      </c>
      <c r="D49" s="204" t="s">
        <v>183</v>
      </c>
      <c r="E49" s="203">
        <v>843900</v>
      </c>
      <c r="F49" s="214" t="s">
        <v>1408</v>
      </c>
      <c r="G49" s="203">
        <f>180*60*8</f>
        <v>86400</v>
      </c>
      <c r="H49" s="201">
        <v>81900</v>
      </c>
      <c r="I49" s="393" t="s">
        <v>1363</v>
      </c>
      <c r="J49" s="706" t="s">
        <v>1506</v>
      </c>
      <c r="K49" s="704"/>
      <c r="L49" s="705"/>
      <c r="M49" s="196"/>
      <c r="N49" s="192"/>
      <c r="O49" s="193"/>
      <c r="P49" s="193"/>
    </row>
    <row r="50" spans="1:16" s="191" customFormat="1" ht="31.5" customHeight="1">
      <c r="A50" s="205">
        <v>50</v>
      </c>
      <c r="B50" s="204" t="s">
        <v>208</v>
      </c>
      <c r="C50" s="204" t="s">
        <v>209</v>
      </c>
      <c r="D50" s="204" t="s">
        <v>194</v>
      </c>
      <c r="E50" s="203">
        <v>2818000</v>
      </c>
      <c r="F50" s="214" t="s">
        <v>1408</v>
      </c>
      <c r="G50" s="203">
        <f>180*60*8</f>
        <v>86400</v>
      </c>
      <c r="H50" s="201">
        <f>77800</f>
        <v>77800</v>
      </c>
      <c r="I50" s="393" t="s">
        <v>1363</v>
      </c>
      <c r="J50" s="703" t="s">
        <v>1503</v>
      </c>
      <c r="K50" s="704"/>
      <c r="L50" s="705"/>
      <c r="M50" s="196"/>
      <c r="N50" s="192"/>
      <c r="O50" s="193"/>
      <c r="P50" s="193"/>
    </row>
    <row r="51" spans="1:16" s="191" customFormat="1" ht="31.5" customHeight="1">
      <c r="A51" s="205">
        <v>55</v>
      </c>
      <c r="B51" s="204" t="s">
        <v>208</v>
      </c>
      <c r="C51" s="204" t="s">
        <v>209</v>
      </c>
      <c r="D51" s="204" t="s">
        <v>194</v>
      </c>
      <c r="E51" s="203">
        <v>2818000</v>
      </c>
      <c r="F51" s="214" t="s">
        <v>1408</v>
      </c>
      <c r="G51" s="203">
        <f>180*60*8</f>
        <v>86400</v>
      </c>
      <c r="H51" s="201">
        <v>45200</v>
      </c>
      <c r="I51" s="393" t="s">
        <v>1363</v>
      </c>
      <c r="J51" s="706" t="s">
        <v>1508</v>
      </c>
      <c r="K51" s="704"/>
      <c r="L51" s="705"/>
      <c r="M51" s="196"/>
      <c r="N51" s="192"/>
      <c r="O51" s="193"/>
      <c r="P51" s="193"/>
    </row>
    <row r="52" spans="1:16" s="191" customFormat="1" ht="31.5" customHeight="1">
      <c r="A52" s="206" t="s">
        <v>251</v>
      </c>
      <c r="B52" s="210"/>
      <c r="C52" s="210"/>
      <c r="D52" s="210"/>
      <c r="E52" s="210"/>
      <c r="F52" s="210"/>
      <c r="G52" s="210"/>
      <c r="H52" s="207">
        <f>SUM(H7:H51)</f>
        <v>1979800</v>
      </c>
      <c r="I52" s="394"/>
      <c r="J52" s="706"/>
      <c r="K52" s="704"/>
      <c r="L52" s="705"/>
      <c r="M52" s="196"/>
      <c r="N52" s="192"/>
    </row>
    <row r="53" spans="1:16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  <c r="O53" s="192"/>
    </row>
    <row r="54" spans="1:16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  <c r="O54" s="192"/>
    </row>
    <row r="55" spans="1:16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  <c r="O55" s="192"/>
    </row>
    <row r="56" spans="1:16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  <c r="O56" s="192"/>
    </row>
    <row r="57" spans="1:16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  <c r="O57" s="192"/>
    </row>
    <row r="58" spans="1:16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6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6" s="191" customFormat="1" ht="15.75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  <c r="O60" s="192"/>
    </row>
    <row r="61" spans="1:16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  <c r="O61" s="192"/>
    </row>
    <row r="62" spans="1:16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  <c r="O62" s="192"/>
    </row>
    <row r="63" spans="1:16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K63" s="198"/>
      <c r="O63" s="192"/>
    </row>
    <row r="64" spans="1:16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K64" s="198"/>
      <c r="O64" s="192"/>
    </row>
    <row r="65" spans="1:15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O65" s="192"/>
    </row>
    <row r="66" spans="1:15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5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5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5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5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5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5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5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  <row r="74" spans="1:15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</row>
    <row r="75" spans="1:15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</row>
  </sheetData>
  <mergeCells count="56">
    <mergeCell ref="J52:L52"/>
    <mergeCell ref="J14:L14"/>
    <mergeCell ref="J20:L20"/>
    <mergeCell ref="J35:L35"/>
    <mergeCell ref="J36:L36"/>
    <mergeCell ref="J39:L39"/>
    <mergeCell ref="J46:L46"/>
    <mergeCell ref="J48:L48"/>
    <mergeCell ref="J49:L49"/>
    <mergeCell ref="J50:L50"/>
    <mergeCell ref="J51:L51"/>
    <mergeCell ref="J47:L47"/>
    <mergeCell ref="J38:L38"/>
    <mergeCell ref="J40:L40"/>
    <mergeCell ref="J42:L42"/>
    <mergeCell ref="J44:L44"/>
    <mergeCell ref="J45:L45"/>
    <mergeCell ref="J41:L41"/>
    <mergeCell ref="J43:L43"/>
    <mergeCell ref="J31:L31"/>
    <mergeCell ref="J32:L32"/>
    <mergeCell ref="J33:L33"/>
    <mergeCell ref="J34:L34"/>
    <mergeCell ref="J37:L37"/>
    <mergeCell ref="J30:L30"/>
    <mergeCell ref="J19:L19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18:L18"/>
    <mergeCell ref="J7:L7"/>
    <mergeCell ref="J8:L8"/>
    <mergeCell ref="J9:L9"/>
    <mergeCell ref="J10:L10"/>
    <mergeCell ref="J11:L11"/>
    <mergeCell ref="J12:L12"/>
    <mergeCell ref="J13:L13"/>
    <mergeCell ref="J15:L15"/>
    <mergeCell ref="J16:L16"/>
    <mergeCell ref="J17:L17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</mergeCells>
  <phoneticPr fontId="74" type="noConversion"/>
  <conditionalFormatting sqref="H7:I51">
    <cfRule type="cellIs" dxfId="18" priority="1" operator="lessThan">
      <formula>0</formula>
    </cfRule>
  </conditionalFormatting>
  <printOptions horizontalCentered="1"/>
  <pageMargins left="0" right="0" top="0" bottom="0" header="0" footer="0"/>
  <pageSetup paperSize="9" scale="52" fitToHeight="0" orientation="portrait" r:id="rId1"/>
  <headerFooter>
    <oddFooter>&amp;LQ401-2&amp;CHANSUNGBOLT VINA&amp;RA4 (210 x 297mm)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4">
    <pageSetUpPr fitToPage="1"/>
  </sheetPr>
  <dimension ref="A1:P75"/>
  <sheetViews>
    <sheetView view="pageBreakPreview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1430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1370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206</v>
      </c>
      <c r="C7" s="200" t="s">
        <v>36</v>
      </c>
      <c r="D7" s="200" t="s">
        <v>207</v>
      </c>
      <c r="E7" s="201">
        <v>31000</v>
      </c>
      <c r="F7" s="213"/>
      <c r="G7" s="201"/>
      <c r="H7" s="201">
        <v>7000</v>
      </c>
      <c r="I7" s="393" t="s">
        <v>1328</v>
      </c>
      <c r="J7" s="706"/>
      <c r="K7" s="704"/>
      <c r="L7" s="705"/>
      <c r="M7" s="192"/>
      <c r="N7" s="192"/>
      <c r="O7" s="193"/>
      <c r="P7" s="193"/>
    </row>
    <row r="8" spans="1:16" s="191" customFormat="1" ht="31.5" customHeight="1">
      <c r="A8" s="199">
        <v>1</v>
      </c>
      <c r="B8" s="200" t="s">
        <v>139</v>
      </c>
      <c r="C8" s="200" t="s">
        <v>140</v>
      </c>
      <c r="D8" s="200" t="s">
        <v>142</v>
      </c>
      <c r="E8" s="201">
        <v>25000</v>
      </c>
      <c r="F8" s="213"/>
      <c r="G8" s="201"/>
      <c r="H8" s="201">
        <v>21000</v>
      </c>
      <c r="I8" s="393" t="s">
        <v>1329</v>
      </c>
      <c r="J8" s="706"/>
      <c r="K8" s="704"/>
      <c r="L8" s="705"/>
      <c r="M8" s="192"/>
      <c r="N8" s="192"/>
      <c r="O8" s="193"/>
      <c r="P8" s="193"/>
    </row>
    <row r="9" spans="1:16" s="191" customFormat="1" ht="31.5" customHeight="1">
      <c r="A9" s="199">
        <v>2</v>
      </c>
      <c r="B9" s="200" t="s">
        <v>151</v>
      </c>
      <c r="C9" s="200" t="s">
        <v>152</v>
      </c>
      <c r="D9" s="200" t="s">
        <v>210</v>
      </c>
      <c r="E9" s="201">
        <v>27000</v>
      </c>
      <c r="F9" s="213"/>
      <c r="G9" s="201"/>
      <c r="H9" s="201">
        <v>25000</v>
      </c>
      <c r="I9" s="393" t="s">
        <v>1330</v>
      </c>
      <c r="J9" s="706"/>
      <c r="K9" s="704"/>
      <c r="L9" s="705"/>
      <c r="M9" s="192"/>
      <c r="N9" s="192"/>
      <c r="O9" s="193"/>
      <c r="P9" s="193"/>
    </row>
    <row r="10" spans="1:16" s="195" customFormat="1" ht="31.5" customHeight="1">
      <c r="A10" s="202">
        <v>3</v>
      </c>
      <c r="B10" s="203" t="s">
        <v>151</v>
      </c>
      <c r="C10" s="203" t="s">
        <v>152</v>
      </c>
      <c r="D10" s="203" t="s">
        <v>210</v>
      </c>
      <c r="E10" s="203"/>
      <c r="F10" s="214"/>
      <c r="G10" s="203"/>
      <c r="H10" s="201">
        <v>24000</v>
      </c>
      <c r="I10" s="393" t="s">
        <v>1330</v>
      </c>
      <c r="J10" s="706"/>
      <c r="K10" s="704"/>
      <c r="L10" s="705"/>
      <c r="M10" s="194"/>
      <c r="N10" s="192"/>
      <c r="O10" s="193"/>
      <c r="P10" s="193"/>
    </row>
    <row r="11" spans="1:16" s="195" customFormat="1" ht="31.5" customHeight="1">
      <c r="A11" s="202">
        <v>4</v>
      </c>
      <c r="B11" s="203" t="s">
        <v>90</v>
      </c>
      <c r="C11" s="204" t="s">
        <v>91</v>
      </c>
      <c r="D11" s="203" t="s">
        <v>205</v>
      </c>
      <c r="E11" s="203">
        <v>35200</v>
      </c>
      <c r="F11" s="214"/>
      <c r="G11" s="203"/>
      <c r="H11" s="201">
        <v>34000</v>
      </c>
      <c r="I11" s="393" t="s">
        <v>1329</v>
      </c>
      <c r="J11" s="706"/>
      <c r="K11" s="704"/>
      <c r="L11" s="705"/>
      <c r="M11" s="194"/>
      <c r="N11" s="192"/>
      <c r="O11" s="193"/>
      <c r="P11" s="193"/>
    </row>
    <row r="12" spans="1:16" s="195" customFormat="1" ht="31.5" customHeight="1">
      <c r="A12" s="202">
        <v>5</v>
      </c>
      <c r="B12" s="203" t="s">
        <v>168</v>
      </c>
      <c r="C12" s="204" t="s">
        <v>169</v>
      </c>
      <c r="D12" s="203" t="s">
        <v>170</v>
      </c>
      <c r="E12" s="203">
        <v>10000</v>
      </c>
      <c r="F12" s="214"/>
      <c r="G12" s="203"/>
      <c r="H12" s="201">
        <v>32000</v>
      </c>
      <c r="I12" s="393" t="s">
        <v>1329</v>
      </c>
      <c r="J12" s="703"/>
      <c r="K12" s="704"/>
      <c r="L12" s="705"/>
      <c r="M12" s="194"/>
      <c r="N12" s="192"/>
      <c r="O12" s="193"/>
      <c r="P12" s="193"/>
    </row>
    <row r="13" spans="1:16" s="195" customFormat="1" ht="31.5" customHeight="1">
      <c r="A13" s="202">
        <v>5</v>
      </c>
      <c r="B13" s="203" t="s">
        <v>168</v>
      </c>
      <c r="C13" s="204" t="s">
        <v>169</v>
      </c>
      <c r="D13" s="203" t="s">
        <v>170</v>
      </c>
      <c r="E13" s="203">
        <v>19000</v>
      </c>
      <c r="F13" s="214"/>
      <c r="G13" s="203"/>
      <c r="H13" s="201"/>
      <c r="I13" s="393" t="s">
        <v>1331</v>
      </c>
      <c r="J13" s="706"/>
      <c r="K13" s="704"/>
      <c r="L13" s="705"/>
      <c r="M13" s="194"/>
      <c r="N13" s="192"/>
      <c r="O13" s="193"/>
      <c r="P13" s="193"/>
    </row>
    <row r="14" spans="1:16" s="195" customFormat="1" ht="31.5" customHeight="1">
      <c r="A14" s="199">
        <v>7</v>
      </c>
      <c r="B14" s="200" t="s">
        <v>171</v>
      </c>
      <c r="C14" s="200" t="s">
        <v>172</v>
      </c>
      <c r="D14" s="200" t="s">
        <v>177</v>
      </c>
      <c r="E14" s="201">
        <v>65000</v>
      </c>
      <c r="F14" s="213"/>
      <c r="G14" s="201"/>
      <c r="H14" s="201">
        <v>53000</v>
      </c>
      <c r="I14" s="393" t="s">
        <v>1331</v>
      </c>
      <c r="J14" s="706"/>
      <c r="K14" s="704"/>
      <c r="L14" s="705"/>
      <c r="M14" s="194"/>
      <c r="N14" s="192"/>
      <c r="O14" s="193"/>
      <c r="P14" s="193"/>
    </row>
    <row r="15" spans="1:16" s="195" customFormat="1" ht="31.5" customHeight="1">
      <c r="A15" s="202">
        <v>7</v>
      </c>
      <c r="B15" s="203" t="s">
        <v>27</v>
      </c>
      <c r="C15" s="204" t="s">
        <v>40</v>
      </c>
      <c r="D15" s="203" t="s">
        <v>52</v>
      </c>
      <c r="E15" s="203">
        <v>84000</v>
      </c>
      <c r="F15" s="214"/>
      <c r="G15" s="203"/>
      <c r="H15" s="201">
        <v>10000</v>
      </c>
      <c r="I15" s="393" t="s">
        <v>1332</v>
      </c>
      <c r="J15" s="703"/>
      <c r="K15" s="704"/>
      <c r="L15" s="705"/>
      <c r="M15" s="194"/>
      <c r="N15" s="192"/>
      <c r="O15" s="193"/>
      <c r="P15" s="193"/>
    </row>
    <row r="16" spans="1:16" s="191" customFormat="1" ht="31.5" customHeight="1">
      <c r="A16" s="202" t="s">
        <v>66</v>
      </c>
      <c r="B16" s="203" t="s">
        <v>26</v>
      </c>
      <c r="C16" s="204" t="s">
        <v>39</v>
      </c>
      <c r="D16" s="203" t="s">
        <v>51</v>
      </c>
      <c r="E16" s="203">
        <f>26500+32500</f>
        <v>59000</v>
      </c>
      <c r="F16" s="214"/>
      <c r="G16" s="203"/>
      <c r="H16" s="201">
        <v>83000</v>
      </c>
      <c r="I16" s="393" t="s">
        <v>1332</v>
      </c>
      <c r="J16" s="703"/>
      <c r="K16" s="704"/>
      <c r="L16" s="705"/>
      <c r="M16" s="192"/>
      <c r="N16" s="192"/>
      <c r="O16" s="193"/>
      <c r="P16" s="193"/>
    </row>
    <row r="17" spans="1:16" s="191" customFormat="1" ht="31.5" customHeight="1">
      <c r="A17" s="205">
        <v>6</v>
      </c>
      <c r="B17" s="204" t="s">
        <v>26</v>
      </c>
      <c r="C17" s="204" t="s">
        <v>39</v>
      </c>
      <c r="D17" s="204">
        <v>44073</v>
      </c>
      <c r="E17" s="203"/>
      <c r="F17" s="214"/>
      <c r="G17" s="203"/>
      <c r="H17" s="201">
        <f>25000</f>
        <v>25000</v>
      </c>
      <c r="I17" s="393" t="s">
        <v>1352</v>
      </c>
      <c r="J17" s="706"/>
      <c r="K17" s="704"/>
      <c r="L17" s="705"/>
      <c r="M17" s="196"/>
      <c r="N17" s="192"/>
      <c r="O17" s="193"/>
      <c r="P17" s="193"/>
    </row>
    <row r="18" spans="1:16" s="191" customFormat="1" ht="31.5" customHeight="1">
      <c r="A18" s="205" t="s">
        <v>218</v>
      </c>
      <c r="B18" s="204" t="s">
        <v>178</v>
      </c>
      <c r="C18" s="204" t="s">
        <v>179</v>
      </c>
      <c r="D18" s="204" t="s">
        <v>180</v>
      </c>
      <c r="E18" s="203">
        <v>40000</v>
      </c>
      <c r="F18" s="214"/>
      <c r="G18" s="203"/>
      <c r="H18" s="201">
        <v>27500</v>
      </c>
      <c r="I18" s="393"/>
      <c r="J18" s="706"/>
      <c r="K18" s="704"/>
      <c r="L18" s="705"/>
      <c r="M18" s="196"/>
      <c r="N18" s="192"/>
      <c r="O18" s="193"/>
      <c r="P18" s="193"/>
    </row>
    <row r="19" spans="1:16" s="191" customFormat="1" ht="31.5" customHeight="1">
      <c r="A19" s="205">
        <v>8</v>
      </c>
      <c r="B19" s="204" t="s">
        <v>87</v>
      </c>
      <c r="C19" s="204" t="s">
        <v>81</v>
      </c>
      <c r="D19" s="204" t="s">
        <v>54</v>
      </c>
      <c r="E19" s="203">
        <v>67700</v>
      </c>
      <c r="F19" s="214"/>
      <c r="G19" s="203"/>
      <c r="H19" s="201">
        <v>31000</v>
      </c>
      <c r="I19" s="393" t="s">
        <v>1352</v>
      </c>
      <c r="J19" s="706"/>
      <c r="K19" s="704"/>
      <c r="L19" s="705"/>
      <c r="M19" s="196"/>
      <c r="N19" s="192"/>
      <c r="O19" s="193"/>
      <c r="P19" s="193"/>
    </row>
    <row r="20" spans="1:16" s="191" customFormat="1" ht="31.5" customHeight="1">
      <c r="A20" s="206">
        <v>11</v>
      </c>
      <c r="B20" s="204" t="s">
        <v>226</v>
      </c>
      <c r="C20" s="204" t="s">
        <v>227</v>
      </c>
      <c r="D20" s="204" t="s">
        <v>54</v>
      </c>
      <c r="E20" s="203">
        <v>59100</v>
      </c>
      <c r="F20" s="214"/>
      <c r="G20" s="203"/>
      <c r="H20" s="201">
        <v>40000</v>
      </c>
      <c r="I20" s="393" t="s">
        <v>1334</v>
      </c>
      <c r="J20" s="703"/>
      <c r="K20" s="704"/>
      <c r="L20" s="705"/>
      <c r="M20" s="196"/>
      <c r="N20" s="192"/>
      <c r="O20" s="193"/>
      <c r="P20" s="193"/>
    </row>
    <row r="21" spans="1:16" s="191" customFormat="1" ht="31.5" customHeight="1">
      <c r="A21" s="206">
        <v>12</v>
      </c>
      <c r="B21" s="204" t="s">
        <v>28</v>
      </c>
      <c r="C21" s="204" t="s">
        <v>41</v>
      </c>
      <c r="D21" s="204" t="s">
        <v>53</v>
      </c>
      <c r="E21" s="203">
        <f>25000+59100</f>
        <v>84100</v>
      </c>
      <c r="F21" s="214"/>
      <c r="G21" s="203"/>
      <c r="H21" s="201">
        <v>66400</v>
      </c>
      <c r="I21" s="393" t="s">
        <v>1334</v>
      </c>
      <c r="J21" s="706"/>
      <c r="K21" s="704"/>
      <c r="L21" s="705"/>
      <c r="M21" s="196"/>
      <c r="N21" s="192"/>
      <c r="O21" s="193"/>
      <c r="P21" s="193"/>
    </row>
    <row r="22" spans="1:16" s="191" customFormat="1" ht="31.5" customHeight="1">
      <c r="A22" s="205">
        <v>13</v>
      </c>
      <c r="B22" s="204" t="s">
        <v>149</v>
      </c>
      <c r="C22" s="204" t="s">
        <v>150</v>
      </c>
      <c r="D22" s="204" t="s">
        <v>56</v>
      </c>
      <c r="E22" s="203">
        <v>14400</v>
      </c>
      <c r="F22" s="214"/>
      <c r="G22" s="203"/>
      <c r="H22" s="201">
        <v>57700</v>
      </c>
      <c r="I22" s="393" t="s">
        <v>1334</v>
      </c>
      <c r="J22" s="706"/>
      <c r="K22" s="704"/>
      <c r="L22" s="705"/>
      <c r="M22" s="196"/>
      <c r="N22" s="192"/>
      <c r="O22" s="193"/>
      <c r="P22" s="193"/>
    </row>
    <row r="23" spans="1:16" s="191" customFormat="1" ht="31.5" customHeight="1">
      <c r="A23" s="205">
        <v>9</v>
      </c>
      <c r="B23" s="204" t="s">
        <v>975</v>
      </c>
      <c r="C23" s="204" t="s">
        <v>977</v>
      </c>
      <c r="D23" s="204" t="s">
        <v>57</v>
      </c>
      <c r="E23" s="203"/>
      <c r="F23" s="214"/>
      <c r="G23" s="203"/>
      <c r="H23" s="201">
        <f>25000</f>
        <v>25000</v>
      </c>
      <c r="I23" s="393" t="s">
        <v>1360</v>
      </c>
      <c r="J23" s="706"/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10</v>
      </c>
      <c r="B24" s="204" t="s">
        <v>32</v>
      </c>
      <c r="C24" s="204" t="s">
        <v>45</v>
      </c>
      <c r="D24" s="204" t="s">
        <v>58</v>
      </c>
      <c r="E24" s="203">
        <v>82500</v>
      </c>
      <c r="F24" s="214"/>
      <c r="G24" s="203"/>
      <c r="H24" s="201">
        <v>38000</v>
      </c>
      <c r="I24" s="393"/>
      <c r="J24" s="706"/>
      <c r="K24" s="704"/>
      <c r="L24" s="705"/>
      <c r="M24" s="196"/>
      <c r="N24" s="192"/>
      <c r="O24" s="193"/>
      <c r="P24" s="193"/>
    </row>
    <row r="25" spans="1:16" s="191" customFormat="1" ht="31.5" customHeight="1">
      <c r="A25" s="205">
        <v>14</v>
      </c>
      <c r="B25" s="204" t="s">
        <v>1399</v>
      </c>
      <c r="C25" s="204" t="s">
        <v>1400</v>
      </c>
      <c r="D25" s="204" t="s">
        <v>253</v>
      </c>
      <c r="E25" s="203">
        <v>72800</v>
      </c>
      <c r="F25" s="214"/>
      <c r="G25" s="203"/>
      <c r="H25" s="201">
        <v>55000</v>
      </c>
      <c r="I25" s="393"/>
      <c r="J25" s="706"/>
      <c r="K25" s="704"/>
      <c r="L25" s="705"/>
      <c r="M25" s="196"/>
      <c r="N25" s="192"/>
      <c r="O25" s="193"/>
      <c r="P25" s="193"/>
    </row>
    <row r="26" spans="1:16" s="191" customFormat="1" ht="31.5" customHeight="1">
      <c r="A26" s="205">
        <v>24</v>
      </c>
      <c r="B26" s="204" t="s">
        <v>80</v>
      </c>
      <c r="C26" s="204" t="s">
        <v>81</v>
      </c>
      <c r="D26" s="204" t="s">
        <v>60</v>
      </c>
      <c r="E26" s="203">
        <f>129000+96400</f>
        <v>225400</v>
      </c>
      <c r="F26" s="214"/>
      <c r="G26" s="203"/>
      <c r="H26" s="201">
        <v>116000</v>
      </c>
      <c r="I26" s="393" t="s">
        <v>1335</v>
      </c>
      <c r="J26" s="706"/>
      <c r="K26" s="704"/>
      <c r="L26" s="705"/>
      <c r="M26" s="196"/>
      <c r="N26" s="192"/>
      <c r="O26" s="193"/>
      <c r="P26" s="193"/>
    </row>
    <row r="27" spans="1:16" s="191" customFormat="1" ht="31.5" customHeight="1">
      <c r="A27" s="205">
        <v>19</v>
      </c>
      <c r="B27" s="204" t="s">
        <v>203</v>
      </c>
      <c r="C27" s="204" t="s">
        <v>204</v>
      </c>
      <c r="D27" s="204" t="s">
        <v>57</v>
      </c>
      <c r="E27" s="203">
        <v>21800</v>
      </c>
      <c r="F27" s="214"/>
      <c r="G27" s="203"/>
      <c r="H27" s="201">
        <v>76500</v>
      </c>
      <c r="I27" s="393" t="s">
        <v>1337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5">
        <v>27</v>
      </c>
      <c r="B28" s="204" t="s">
        <v>190</v>
      </c>
      <c r="C28" s="204" t="s">
        <v>191</v>
      </c>
      <c r="D28" s="204" t="s">
        <v>86</v>
      </c>
      <c r="E28" s="203">
        <v>44700</v>
      </c>
      <c r="F28" s="214"/>
      <c r="G28" s="203"/>
      <c r="H28" s="201">
        <v>74000</v>
      </c>
      <c r="I28" s="393" t="s">
        <v>1336</v>
      </c>
      <c r="J28" s="706"/>
      <c r="K28" s="704"/>
      <c r="L28" s="705"/>
      <c r="M28" s="196"/>
      <c r="N28" s="192"/>
      <c r="O28" s="193"/>
      <c r="P28" s="193"/>
    </row>
    <row r="29" spans="1:16" s="191" customFormat="1" ht="31.5" customHeight="1">
      <c r="A29" s="205">
        <v>18</v>
      </c>
      <c r="B29" s="204" t="s">
        <v>637</v>
      </c>
      <c r="C29" s="204" t="s">
        <v>81</v>
      </c>
      <c r="D29" s="204" t="s">
        <v>56</v>
      </c>
      <c r="E29" s="203">
        <v>123300</v>
      </c>
      <c r="F29" s="214"/>
      <c r="G29" s="203"/>
      <c r="H29" s="201">
        <f>119000</f>
        <v>119000</v>
      </c>
      <c r="I29" s="393" t="s">
        <v>1383</v>
      </c>
      <c r="J29" s="706"/>
      <c r="K29" s="704"/>
      <c r="L29" s="705"/>
      <c r="M29" s="196"/>
      <c r="N29" s="192"/>
      <c r="O29" s="193"/>
      <c r="P29" s="193"/>
    </row>
    <row r="30" spans="1:16" s="191" customFormat="1" ht="31.5" customHeight="1">
      <c r="A30" s="205">
        <v>25</v>
      </c>
      <c r="B30" s="204" t="s">
        <v>162</v>
      </c>
      <c r="C30" s="204" t="s">
        <v>163</v>
      </c>
      <c r="D30" s="204" t="s">
        <v>56</v>
      </c>
      <c r="E30" s="203">
        <v>128000</v>
      </c>
      <c r="F30" s="214"/>
      <c r="G30" s="203"/>
      <c r="H30" s="201">
        <v>123100</v>
      </c>
      <c r="I30" s="393"/>
      <c r="J30" s="706"/>
      <c r="K30" s="704"/>
      <c r="L30" s="705"/>
      <c r="M30" s="196"/>
      <c r="N30" s="192"/>
      <c r="O30" s="193"/>
      <c r="P30" s="193"/>
    </row>
    <row r="31" spans="1:16" s="191" customFormat="1" ht="31.5" customHeight="1">
      <c r="A31" s="206">
        <v>20</v>
      </c>
      <c r="B31" s="204" t="s">
        <v>695</v>
      </c>
      <c r="C31" s="204" t="s">
        <v>45</v>
      </c>
      <c r="D31" s="204" t="s">
        <v>57</v>
      </c>
      <c r="E31" s="203">
        <v>127000</v>
      </c>
      <c r="F31" s="214"/>
      <c r="G31" s="203"/>
      <c r="H31" s="201">
        <v>149700</v>
      </c>
      <c r="I31" s="393" t="s">
        <v>1337</v>
      </c>
      <c r="J31" s="706"/>
      <c r="K31" s="704"/>
      <c r="L31" s="705"/>
      <c r="M31" s="196"/>
      <c r="N31" s="192"/>
      <c r="O31" s="193"/>
      <c r="P31" s="193"/>
    </row>
    <row r="32" spans="1:16" s="191" customFormat="1" ht="31.5" customHeight="1">
      <c r="A32" s="206">
        <v>31</v>
      </c>
      <c r="B32" s="204" t="s">
        <v>214</v>
      </c>
      <c r="C32" s="204" t="s">
        <v>46</v>
      </c>
      <c r="D32" s="204" t="s">
        <v>56</v>
      </c>
      <c r="E32" s="203">
        <v>124300</v>
      </c>
      <c r="F32" s="214"/>
      <c r="G32" s="203"/>
      <c r="H32" s="201">
        <v>109000</v>
      </c>
      <c r="I32" s="393" t="s">
        <v>1337</v>
      </c>
      <c r="J32" s="706"/>
      <c r="K32" s="704"/>
      <c r="L32" s="705"/>
      <c r="M32" s="196"/>
      <c r="N32" s="192"/>
      <c r="O32" s="193"/>
      <c r="P32" s="193"/>
    </row>
    <row r="33" spans="1:16" s="191" customFormat="1" ht="31.5" customHeight="1">
      <c r="A33" s="206">
        <v>22</v>
      </c>
      <c r="B33" s="204" t="s">
        <v>164</v>
      </c>
      <c r="C33" s="204" t="s">
        <v>165</v>
      </c>
      <c r="D33" s="204" t="s">
        <v>1403</v>
      </c>
      <c r="E33" s="203">
        <f>13800</f>
        <v>13800</v>
      </c>
      <c r="F33" s="214"/>
      <c r="G33" s="203"/>
      <c r="H33" s="201">
        <v>125000</v>
      </c>
      <c r="I33" s="393" t="s">
        <v>1360</v>
      </c>
      <c r="J33" s="706"/>
      <c r="K33" s="704"/>
      <c r="L33" s="705"/>
      <c r="M33" s="196"/>
      <c r="N33" s="192"/>
      <c r="O33" s="193"/>
      <c r="P33" s="193"/>
    </row>
    <row r="34" spans="1:16" s="191" customFormat="1" ht="31.5" customHeight="1">
      <c r="A34" s="206">
        <v>16</v>
      </c>
      <c r="B34" s="204" t="s">
        <v>164</v>
      </c>
      <c r="C34" s="204" t="s">
        <v>165</v>
      </c>
      <c r="D34" s="204" t="s">
        <v>56</v>
      </c>
      <c r="E34" s="203">
        <v>59400</v>
      </c>
      <c r="F34" s="214"/>
      <c r="G34" s="203"/>
      <c r="H34" s="201">
        <v>126400</v>
      </c>
      <c r="I34" s="393" t="s">
        <v>1337</v>
      </c>
      <c r="J34" s="706"/>
      <c r="K34" s="704"/>
      <c r="L34" s="705"/>
      <c r="M34" s="196"/>
      <c r="N34" s="192"/>
      <c r="O34" s="193"/>
      <c r="P34" s="193"/>
    </row>
    <row r="35" spans="1:16" s="191" customFormat="1" ht="31.5" customHeight="1">
      <c r="A35" s="205">
        <v>17</v>
      </c>
      <c r="B35" s="204" t="s">
        <v>1394</v>
      </c>
      <c r="C35" s="204" t="s">
        <v>1395</v>
      </c>
      <c r="D35" s="204" t="s">
        <v>1396</v>
      </c>
      <c r="E35" s="203">
        <v>56500</v>
      </c>
      <c r="F35" s="214"/>
      <c r="G35" s="203"/>
      <c r="H35" s="201">
        <v>122600</v>
      </c>
      <c r="I35" s="393" t="s">
        <v>1335</v>
      </c>
      <c r="J35" s="706"/>
      <c r="K35" s="704"/>
      <c r="L35" s="705"/>
      <c r="M35" s="196"/>
      <c r="N35" s="192"/>
      <c r="O35" s="193"/>
      <c r="P35" s="193"/>
    </row>
    <row r="36" spans="1:16" s="191" customFormat="1" ht="31.5" customHeight="1">
      <c r="A36" s="205">
        <v>26</v>
      </c>
      <c r="B36" s="204" t="s">
        <v>85</v>
      </c>
      <c r="C36" s="204" t="s">
        <v>41</v>
      </c>
      <c r="D36" s="204" t="s">
        <v>86</v>
      </c>
      <c r="E36" s="203">
        <v>90300</v>
      </c>
      <c r="F36" s="214"/>
      <c r="G36" s="203"/>
      <c r="H36" s="201">
        <v>126000</v>
      </c>
      <c r="I36" s="393"/>
      <c r="J36" s="706"/>
      <c r="K36" s="704"/>
      <c r="L36" s="705"/>
      <c r="M36" s="196"/>
      <c r="N36" s="192"/>
      <c r="O36" s="193"/>
      <c r="P36" s="193"/>
    </row>
    <row r="37" spans="1:16" s="191" customFormat="1" ht="31.5" customHeight="1">
      <c r="A37" s="205">
        <v>15</v>
      </c>
      <c r="B37" s="204" t="s">
        <v>125</v>
      </c>
      <c r="C37" s="204" t="s">
        <v>980</v>
      </c>
      <c r="D37" s="204" t="s">
        <v>57</v>
      </c>
      <c r="E37" s="203">
        <v>22000</v>
      </c>
      <c r="F37" s="214"/>
      <c r="G37" s="203"/>
      <c r="H37" s="201">
        <f>120000+127000</f>
        <v>247000</v>
      </c>
      <c r="I37" s="393" t="s">
        <v>1336</v>
      </c>
      <c r="J37" s="706"/>
      <c r="K37" s="704"/>
      <c r="L37" s="705"/>
      <c r="M37" s="196"/>
      <c r="N37" s="192"/>
      <c r="O37" s="193"/>
      <c r="P37" s="193"/>
    </row>
    <row r="38" spans="1:16" s="191" customFormat="1" ht="31.5" customHeight="1">
      <c r="A38" s="206">
        <v>29</v>
      </c>
      <c r="B38" s="204" t="s">
        <v>125</v>
      </c>
      <c r="C38" s="204" t="s">
        <v>980</v>
      </c>
      <c r="D38" s="204" t="s">
        <v>57</v>
      </c>
      <c r="E38" s="203">
        <f>27000+19000</f>
        <v>46000</v>
      </c>
      <c r="F38" s="214"/>
      <c r="G38" s="203"/>
      <c r="H38" s="201"/>
      <c r="I38" s="393" t="s">
        <v>1335</v>
      </c>
      <c r="J38" s="706"/>
      <c r="K38" s="704"/>
      <c r="L38" s="705"/>
      <c r="M38" s="196"/>
      <c r="N38" s="192"/>
      <c r="O38" s="193"/>
      <c r="P38" s="193"/>
    </row>
    <row r="39" spans="1:16" s="191" customFormat="1" ht="31.5" customHeight="1">
      <c r="A39" s="206">
        <v>23</v>
      </c>
      <c r="B39" s="204" t="s">
        <v>527</v>
      </c>
      <c r="C39" s="204" t="s">
        <v>148</v>
      </c>
      <c r="D39" s="204" t="s">
        <v>61</v>
      </c>
      <c r="E39" s="203">
        <v>76000</v>
      </c>
      <c r="F39" s="214"/>
      <c r="G39" s="203"/>
      <c r="H39" s="201">
        <v>35700</v>
      </c>
      <c r="I39" s="393" t="s">
        <v>1360</v>
      </c>
      <c r="J39" s="706"/>
      <c r="K39" s="704"/>
      <c r="L39" s="705"/>
      <c r="M39" s="196"/>
      <c r="N39" s="192"/>
      <c r="O39" s="193"/>
      <c r="P39" s="193"/>
    </row>
    <row r="40" spans="1:16" s="191" customFormat="1" ht="31.5" customHeight="1">
      <c r="A40" s="205">
        <v>28</v>
      </c>
      <c r="B40" s="204" t="s">
        <v>208</v>
      </c>
      <c r="C40" s="204" t="s">
        <v>209</v>
      </c>
      <c r="D40" s="204" t="s">
        <v>194</v>
      </c>
      <c r="E40" s="203">
        <v>84600</v>
      </c>
      <c r="F40" s="214"/>
      <c r="G40" s="203"/>
      <c r="H40" s="201">
        <v>86000</v>
      </c>
      <c r="I40" s="393" t="s">
        <v>1337</v>
      </c>
      <c r="J40" s="706"/>
      <c r="K40" s="704"/>
      <c r="L40" s="705"/>
      <c r="M40" s="196"/>
      <c r="N40" s="192"/>
      <c r="O40" s="193"/>
      <c r="P40" s="193"/>
    </row>
    <row r="41" spans="1:16" s="191" customFormat="1" ht="31.5" customHeight="1">
      <c r="A41" s="205">
        <v>30</v>
      </c>
      <c r="B41" s="204" t="s">
        <v>335</v>
      </c>
      <c r="C41" s="204" t="s">
        <v>324</v>
      </c>
      <c r="D41" s="204" t="s">
        <v>61</v>
      </c>
      <c r="E41" s="203">
        <v>30000</v>
      </c>
      <c r="F41" s="214"/>
      <c r="G41" s="203"/>
      <c r="H41" s="201">
        <v>81000</v>
      </c>
      <c r="I41" s="393" t="s">
        <v>1383</v>
      </c>
      <c r="J41" s="706"/>
      <c r="K41" s="704"/>
      <c r="L41" s="705"/>
      <c r="M41" s="196"/>
      <c r="N41" s="192"/>
      <c r="O41" s="193"/>
      <c r="P41" s="193"/>
    </row>
    <row r="42" spans="1:16" s="191" customFormat="1" ht="31.5" customHeight="1">
      <c r="A42" s="205">
        <v>30</v>
      </c>
      <c r="B42" s="204" t="s">
        <v>322</v>
      </c>
      <c r="C42" s="204" t="s">
        <v>324</v>
      </c>
      <c r="D42" s="204" t="s">
        <v>194</v>
      </c>
      <c r="E42" s="203">
        <v>46800</v>
      </c>
      <c r="F42" s="214"/>
      <c r="G42" s="203"/>
      <c r="H42" s="201"/>
      <c r="I42" s="393" t="s">
        <v>1360</v>
      </c>
      <c r="J42" s="706"/>
      <c r="K42" s="704"/>
      <c r="L42" s="705"/>
      <c r="M42" s="196"/>
      <c r="N42" s="192"/>
      <c r="O42" s="193"/>
      <c r="P42" s="193"/>
    </row>
    <row r="43" spans="1:16" s="191" customFormat="1" ht="31.5" customHeight="1">
      <c r="A43" s="205">
        <v>54</v>
      </c>
      <c r="B43" s="204"/>
      <c r="C43" s="204"/>
      <c r="D43" s="204"/>
      <c r="E43" s="203"/>
      <c r="F43" s="214"/>
      <c r="G43" s="203"/>
      <c r="H43" s="201">
        <v>20700</v>
      </c>
      <c r="I43" s="393" t="s">
        <v>1363</v>
      </c>
      <c r="J43" s="706"/>
      <c r="K43" s="704"/>
      <c r="L43" s="705"/>
      <c r="M43" s="196"/>
      <c r="N43" s="192"/>
      <c r="O43" s="193"/>
      <c r="P43" s="193"/>
    </row>
    <row r="44" spans="1:16" s="191" customFormat="1" ht="31.5" customHeight="1">
      <c r="A44" s="206">
        <v>54</v>
      </c>
      <c r="B44" s="204"/>
      <c r="C44" s="204"/>
      <c r="D44" s="204"/>
      <c r="E44" s="203"/>
      <c r="F44" s="214"/>
      <c r="G44" s="203"/>
      <c r="H44" s="201"/>
      <c r="I44" s="393" t="s">
        <v>1363</v>
      </c>
      <c r="J44" s="706"/>
      <c r="K44" s="704"/>
      <c r="L44" s="705"/>
      <c r="M44" s="196"/>
      <c r="N44" s="192"/>
      <c r="O44" s="193"/>
      <c r="P44" s="193"/>
    </row>
    <row r="45" spans="1:16" s="191" customFormat="1" ht="31.5" customHeight="1">
      <c r="A45" s="206">
        <v>51</v>
      </c>
      <c r="B45" s="204"/>
      <c r="C45" s="204"/>
      <c r="D45" s="204"/>
      <c r="E45" s="203"/>
      <c r="F45" s="214"/>
      <c r="G45" s="203"/>
      <c r="H45" s="201"/>
      <c r="I45" s="393" t="s">
        <v>1363</v>
      </c>
      <c r="J45" s="706"/>
      <c r="K45" s="704"/>
      <c r="L45" s="705"/>
      <c r="M45" s="196"/>
      <c r="N45" s="192"/>
      <c r="O45" s="193"/>
      <c r="P45" s="193"/>
    </row>
    <row r="46" spans="1:16" s="191" customFormat="1" ht="31.5" customHeight="1">
      <c r="A46" s="205">
        <v>53</v>
      </c>
      <c r="B46" s="204"/>
      <c r="C46" s="204"/>
      <c r="D46" s="204"/>
      <c r="E46" s="203"/>
      <c r="F46" s="214"/>
      <c r="G46" s="203"/>
      <c r="H46" s="201">
        <v>90000</v>
      </c>
      <c r="I46" s="393" t="s">
        <v>1363</v>
      </c>
      <c r="J46" s="703"/>
      <c r="K46" s="704"/>
      <c r="L46" s="705"/>
      <c r="M46" s="196"/>
      <c r="N46" s="192"/>
      <c r="O46" s="193"/>
      <c r="P46" s="193"/>
    </row>
    <row r="47" spans="1:16" s="191" customFormat="1" ht="31.5" customHeight="1">
      <c r="A47" s="205">
        <v>53</v>
      </c>
      <c r="B47" s="204"/>
      <c r="C47" s="204"/>
      <c r="D47" s="204"/>
      <c r="E47" s="203"/>
      <c r="F47" s="214"/>
      <c r="G47" s="203"/>
      <c r="H47" s="201"/>
      <c r="I47" s="393" t="s">
        <v>1363</v>
      </c>
      <c r="J47" s="703"/>
      <c r="K47" s="704"/>
      <c r="L47" s="705"/>
      <c r="M47" s="196"/>
      <c r="N47" s="192"/>
      <c r="O47" s="193"/>
      <c r="P47" s="193"/>
    </row>
    <row r="48" spans="1:16" s="191" customFormat="1" ht="31.5" customHeight="1">
      <c r="A48" s="205">
        <v>50</v>
      </c>
      <c r="B48" s="204"/>
      <c r="C48" s="204"/>
      <c r="D48" s="204"/>
      <c r="E48" s="203"/>
      <c r="F48" s="214"/>
      <c r="G48" s="203"/>
      <c r="H48" s="201">
        <v>58700</v>
      </c>
      <c r="I48" s="393" t="s">
        <v>1363</v>
      </c>
      <c r="J48" s="703"/>
      <c r="K48" s="704"/>
      <c r="L48" s="705"/>
      <c r="M48" s="196"/>
      <c r="N48" s="192"/>
      <c r="O48" s="193"/>
      <c r="P48" s="193"/>
    </row>
    <row r="49" spans="1:16" s="191" customFormat="1" ht="31.5" customHeight="1">
      <c r="A49" s="205">
        <v>55</v>
      </c>
      <c r="B49" s="204"/>
      <c r="C49" s="204"/>
      <c r="D49" s="204"/>
      <c r="E49" s="203"/>
      <c r="F49" s="214"/>
      <c r="G49" s="203"/>
      <c r="H49" s="201">
        <v>74400</v>
      </c>
      <c r="I49" s="393" t="s">
        <v>1363</v>
      </c>
      <c r="J49" s="703"/>
      <c r="K49" s="704"/>
      <c r="L49" s="705"/>
      <c r="M49" s="196"/>
      <c r="N49" s="192"/>
      <c r="O49" s="193"/>
      <c r="P49" s="193"/>
    </row>
    <row r="50" spans="1:16" s="191" customFormat="1" ht="31.5" customHeight="1">
      <c r="A50" s="205">
        <v>55</v>
      </c>
      <c r="B50" s="204"/>
      <c r="C50" s="204"/>
      <c r="D50" s="204"/>
      <c r="E50" s="203"/>
      <c r="F50" s="214"/>
      <c r="G50" s="203"/>
      <c r="H50" s="201"/>
      <c r="I50" s="393" t="s">
        <v>1363</v>
      </c>
      <c r="J50" s="703"/>
      <c r="K50" s="704"/>
      <c r="L50" s="705"/>
      <c r="M50" s="196"/>
      <c r="N50" s="192"/>
      <c r="O50" s="193"/>
      <c r="P50" s="193"/>
    </row>
    <row r="51" spans="1:16" s="191" customFormat="1" ht="31.5" customHeight="1">
      <c r="A51" s="205"/>
      <c r="B51" s="204"/>
      <c r="C51" s="204"/>
      <c r="D51" s="204"/>
      <c r="E51" s="203"/>
      <c r="F51" s="214"/>
      <c r="G51" s="203"/>
      <c r="H51" s="201"/>
      <c r="I51" s="393"/>
      <c r="J51" s="703"/>
      <c r="K51" s="704"/>
      <c r="L51" s="705"/>
      <c r="M51" s="196"/>
      <c r="N51" s="192"/>
      <c r="O51" s="193"/>
      <c r="P51" s="193"/>
    </row>
    <row r="52" spans="1:16" s="191" customFormat="1" ht="31.5" customHeight="1">
      <c r="A52" s="206" t="s">
        <v>251</v>
      </c>
      <c r="B52" s="210"/>
      <c r="C52" s="210"/>
      <c r="D52" s="210"/>
      <c r="E52" s="210" t="e">
        <v>#N/A</v>
      </c>
      <c r="F52" s="210"/>
      <c r="G52" s="210"/>
      <c r="H52" s="207">
        <f>SUM(H7:H51)</f>
        <v>2615400</v>
      </c>
      <c r="I52" s="394"/>
      <c r="J52" s="706"/>
      <c r="K52" s="704"/>
      <c r="L52" s="705"/>
      <c r="M52" s="196"/>
      <c r="N52" s="192"/>
    </row>
    <row r="53" spans="1:16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  <c r="O53" s="192"/>
    </row>
    <row r="54" spans="1:16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  <c r="O54" s="192"/>
    </row>
    <row r="55" spans="1:16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  <c r="O55" s="192"/>
    </row>
    <row r="56" spans="1:16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  <c r="O56" s="192"/>
    </row>
    <row r="57" spans="1:16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  <c r="O57" s="192"/>
    </row>
    <row r="58" spans="1:16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6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6" s="191" customFormat="1" ht="15.75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  <c r="O60" s="192"/>
    </row>
    <row r="61" spans="1:16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  <c r="O61" s="192"/>
    </row>
    <row r="62" spans="1:16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  <c r="O62" s="192"/>
    </row>
    <row r="63" spans="1:16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K63" s="198"/>
      <c r="O63" s="192"/>
    </row>
    <row r="64" spans="1:16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K64" s="198"/>
      <c r="O64" s="192"/>
    </row>
    <row r="65" spans="1:15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O65" s="192"/>
    </row>
    <row r="66" spans="1:15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5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5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5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5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5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5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5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  <row r="74" spans="1:15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</row>
    <row r="75" spans="1:15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</row>
  </sheetData>
  <mergeCells count="56">
    <mergeCell ref="A5:A6"/>
    <mergeCell ref="B5:B6"/>
    <mergeCell ref="C5:C6"/>
    <mergeCell ref="D5:D6"/>
    <mergeCell ref="J5:L6"/>
    <mergeCell ref="A1:I3"/>
    <mergeCell ref="J2:J3"/>
    <mergeCell ref="K2:K3"/>
    <mergeCell ref="L2:L3"/>
    <mergeCell ref="A4:B4"/>
    <mergeCell ref="J18:L18"/>
    <mergeCell ref="J7:L7"/>
    <mergeCell ref="J8:L8"/>
    <mergeCell ref="J9:L9"/>
    <mergeCell ref="J10:L10"/>
    <mergeCell ref="J11:L11"/>
    <mergeCell ref="J12:L12"/>
    <mergeCell ref="J13:L13"/>
    <mergeCell ref="J14:L14"/>
    <mergeCell ref="J15:L15"/>
    <mergeCell ref="J16:L16"/>
    <mergeCell ref="J17:L17"/>
    <mergeCell ref="J30:L30"/>
    <mergeCell ref="J19:L19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42:L42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41:L41"/>
    <mergeCell ref="J49:L49"/>
    <mergeCell ref="J50:L50"/>
    <mergeCell ref="J51:L51"/>
    <mergeCell ref="J52:L52"/>
    <mergeCell ref="J43:L43"/>
    <mergeCell ref="J44:L44"/>
    <mergeCell ref="J45:L45"/>
    <mergeCell ref="J46:L46"/>
    <mergeCell ref="J47:L47"/>
    <mergeCell ref="J48:L48"/>
  </mergeCells>
  <phoneticPr fontId="74" type="noConversion"/>
  <conditionalFormatting sqref="H7:I51">
    <cfRule type="cellIs" dxfId="17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5">
    <pageSetUpPr fitToPage="1"/>
  </sheetPr>
  <dimension ref="A1:P75"/>
  <sheetViews>
    <sheetView view="pageBreakPreview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1430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1370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98</v>
      </c>
      <c r="C7" s="200" t="s">
        <v>36</v>
      </c>
      <c r="D7" s="200" t="s">
        <v>1405</v>
      </c>
      <c r="E7" s="201"/>
      <c r="F7" s="213"/>
      <c r="G7" s="201"/>
      <c r="H7" s="201">
        <v>7000</v>
      </c>
      <c r="I7" s="393" t="s">
        <v>1328</v>
      </c>
      <c r="J7" s="706"/>
      <c r="K7" s="704"/>
      <c r="L7" s="705"/>
      <c r="M7" s="192"/>
      <c r="N7" s="192"/>
      <c r="O7" s="193"/>
      <c r="P7" s="193"/>
    </row>
    <row r="8" spans="1:16" s="191" customFormat="1" ht="31.5" customHeight="1">
      <c r="A8" s="199">
        <v>1</v>
      </c>
      <c r="B8" s="200" t="s">
        <v>206</v>
      </c>
      <c r="C8" s="200" t="s">
        <v>36</v>
      </c>
      <c r="D8" s="200" t="s">
        <v>207</v>
      </c>
      <c r="E8" s="201"/>
      <c r="F8" s="213"/>
      <c r="G8" s="201"/>
      <c r="H8" s="201">
        <v>21000</v>
      </c>
      <c r="I8" s="393" t="s">
        <v>1329</v>
      </c>
      <c r="J8" s="706"/>
      <c r="K8" s="704"/>
      <c r="L8" s="705"/>
      <c r="M8" s="192"/>
      <c r="N8" s="192"/>
      <c r="O8" s="193"/>
      <c r="P8" s="193"/>
    </row>
    <row r="9" spans="1:16" s="191" customFormat="1" ht="31.5" customHeight="1">
      <c r="A9" s="199">
        <v>2</v>
      </c>
      <c r="B9" s="200" t="s">
        <v>139</v>
      </c>
      <c r="C9" s="200" t="s">
        <v>140</v>
      </c>
      <c r="D9" s="200" t="s">
        <v>142</v>
      </c>
      <c r="E9" s="201"/>
      <c r="F9" s="213"/>
      <c r="G9" s="201"/>
      <c r="H9" s="201">
        <v>25000</v>
      </c>
      <c r="I9" s="393" t="s">
        <v>1330</v>
      </c>
      <c r="J9" s="706"/>
      <c r="K9" s="704"/>
      <c r="L9" s="705"/>
      <c r="M9" s="192"/>
      <c r="N9" s="192"/>
      <c r="O9" s="193"/>
      <c r="P9" s="193"/>
    </row>
    <row r="10" spans="1:16" s="195" customFormat="1" ht="31.5" customHeight="1">
      <c r="A10" s="202">
        <v>3</v>
      </c>
      <c r="B10" s="203" t="s">
        <v>151</v>
      </c>
      <c r="C10" s="203" t="s">
        <v>152</v>
      </c>
      <c r="D10" s="203" t="s">
        <v>210</v>
      </c>
      <c r="E10" s="203"/>
      <c r="F10" s="214"/>
      <c r="G10" s="203"/>
      <c r="H10" s="201">
        <v>24000</v>
      </c>
      <c r="I10" s="393" t="s">
        <v>1330</v>
      </c>
      <c r="J10" s="706"/>
      <c r="K10" s="704"/>
      <c r="L10" s="705"/>
      <c r="M10" s="194"/>
      <c r="N10" s="192"/>
      <c r="O10" s="193"/>
      <c r="P10" s="193"/>
    </row>
    <row r="11" spans="1:16" s="195" customFormat="1" ht="31.5" customHeight="1">
      <c r="A11" s="202">
        <v>4</v>
      </c>
      <c r="B11" s="203" t="s">
        <v>90</v>
      </c>
      <c r="C11" s="204" t="s">
        <v>91</v>
      </c>
      <c r="D11" s="203" t="s">
        <v>205</v>
      </c>
      <c r="E11" s="203"/>
      <c r="F11" s="214"/>
      <c r="G11" s="203"/>
      <c r="H11" s="201">
        <v>34000</v>
      </c>
      <c r="I11" s="393" t="s">
        <v>1329</v>
      </c>
      <c r="J11" s="706"/>
      <c r="K11" s="704"/>
      <c r="L11" s="705"/>
      <c r="M11" s="194"/>
      <c r="N11" s="192"/>
      <c r="O11" s="193"/>
      <c r="P11" s="193"/>
    </row>
    <row r="12" spans="1:16" s="195" customFormat="1" ht="31.5" customHeight="1">
      <c r="A12" s="202">
        <v>5</v>
      </c>
      <c r="B12" s="203" t="s">
        <v>168</v>
      </c>
      <c r="C12" s="204" t="s">
        <v>169</v>
      </c>
      <c r="D12" s="203" t="s">
        <v>170</v>
      </c>
      <c r="E12" s="203"/>
      <c r="F12" s="214"/>
      <c r="G12" s="203"/>
      <c r="H12" s="201">
        <v>32000</v>
      </c>
      <c r="I12" s="393" t="s">
        <v>1329</v>
      </c>
      <c r="J12" s="703"/>
      <c r="K12" s="704"/>
      <c r="L12" s="705"/>
      <c r="M12" s="194"/>
      <c r="N12" s="192"/>
      <c r="O12" s="193"/>
      <c r="P12" s="193"/>
    </row>
    <row r="13" spans="1:16" s="195" customFormat="1" ht="31.5" customHeight="1">
      <c r="A13" s="202">
        <v>5</v>
      </c>
      <c r="B13" s="203" t="s">
        <v>168</v>
      </c>
      <c r="C13" s="204" t="s">
        <v>169</v>
      </c>
      <c r="D13" s="203" t="s">
        <v>170</v>
      </c>
      <c r="E13" s="203"/>
      <c r="F13" s="214"/>
      <c r="G13" s="203"/>
      <c r="H13" s="201"/>
      <c r="I13" s="393" t="s">
        <v>1331</v>
      </c>
      <c r="J13" s="706"/>
      <c r="K13" s="704"/>
      <c r="L13" s="705"/>
      <c r="M13" s="194"/>
      <c r="N13" s="192"/>
      <c r="O13" s="193"/>
      <c r="P13" s="193"/>
    </row>
    <row r="14" spans="1:16" s="195" customFormat="1" ht="31.5" customHeight="1">
      <c r="A14" s="199">
        <v>7</v>
      </c>
      <c r="B14" s="200" t="s">
        <v>171</v>
      </c>
      <c r="C14" s="200" t="s">
        <v>172</v>
      </c>
      <c r="D14" s="200" t="s">
        <v>177</v>
      </c>
      <c r="E14" s="201"/>
      <c r="F14" s="213"/>
      <c r="G14" s="201"/>
      <c r="H14" s="201">
        <v>53000</v>
      </c>
      <c r="I14" s="393" t="s">
        <v>1331</v>
      </c>
      <c r="J14" s="706"/>
      <c r="K14" s="704"/>
      <c r="L14" s="705"/>
      <c r="M14" s="194"/>
      <c r="N14" s="192"/>
      <c r="O14" s="193"/>
      <c r="P14" s="193"/>
    </row>
    <row r="15" spans="1:16" s="195" customFormat="1" ht="31.5" customHeight="1">
      <c r="A15" s="202">
        <v>7</v>
      </c>
      <c r="B15" s="203" t="s">
        <v>171</v>
      </c>
      <c r="C15" s="204" t="s">
        <v>172</v>
      </c>
      <c r="D15" s="203" t="s">
        <v>177</v>
      </c>
      <c r="E15" s="203"/>
      <c r="F15" s="214"/>
      <c r="G15" s="203"/>
      <c r="H15" s="201">
        <v>10000</v>
      </c>
      <c r="I15" s="393" t="s">
        <v>1332</v>
      </c>
      <c r="J15" s="703"/>
      <c r="K15" s="704"/>
      <c r="L15" s="705"/>
      <c r="M15" s="194"/>
      <c r="N15" s="192"/>
      <c r="O15" s="193"/>
      <c r="P15" s="193"/>
    </row>
    <row r="16" spans="1:16" s="191" customFormat="1" ht="31.5" customHeight="1">
      <c r="A16" s="202" t="s">
        <v>66</v>
      </c>
      <c r="B16" s="203" t="s">
        <v>27</v>
      </c>
      <c r="C16" s="204" t="s">
        <v>40</v>
      </c>
      <c r="D16" s="203" t="s">
        <v>52</v>
      </c>
      <c r="E16" s="203"/>
      <c r="F16" s="214"/>
      <c r="G16" s="203"/>
      <c r="H16" s="201">
        <v>83000</v>
      </c>
      <c r="I16" s="393" t="s">
        <v>1332</v>
      </c>
      <c r="J16" s="703"/>
      <c r="K16" s="704"/>
      <c r="L16" s="705"/>
      <c r="M16" s="192"/>
      <c r="N16" s="192"/>
      <c r="O16" s="193"/>
      <c r="P16" s="193"/>
    </row>
    <row r="17" spans="1:16" s="191" customFormat="1" ht="31.5" customHeight="1">
      <c r="A17" s="205">
        <v>6</v>
      </c>
      <c r="B17" s="204" t="s">
        <v>26</v>
      </c>
      <c r="C17" s="204" t="s">
        <v>39</v>
      </c>
      <c r="D17" s="204" t="s">
        <v>51</v>
      </c>
      <c r="E17" s="203"/>
      <c r="F17" s="214"/>
      <c r="G17" s="203"/>
      <c r="H17" s="201">
        <f>25000</f>
        <v>25000</v>
      </c>
      <c r="I17" s="393" t="s">
        <v>1352</v>
      </c>
      <c r="J17" s="706"/>
      <c r="K17" s="704"/>
      <c r="L17" s="705"/>
      <c r="M17" s="196"/>
      <c r="N17" s="192"/>
      <c r="O17" s="193"/>
      <c r="P17" s="193"/>
    </row>
    <row r="18" spans="1:16" s="191" customFormat="1" ht="31.5" customHeight="1">
      <c r="A18" s="205" t="s">
        <v>218</v>
      </c>
      <c r="B18" s="204" t="s">
        <v>26</v>
      </c>
      <c r="C18" s="204" t="s">
        <v>39</v>
      </c>
      <c r="D18" s="204" t="s">
        <v>51</v>
      </c>
      <c r="E18" s="203"/>
      <c r="F18" s="214"/>
      <c r="G18" s="203"/>
      <c r="H18" s="201">
        <v>27500</v>
      </c>
      <c r="I18" s="393"/>
      <c r="J18" s="706"/>
      <c r="K18" s="704"/>
      <c r="L18" s="705"/>
      <c r="M18" s="196"/>
      <c r="N18" s="192"/>
      <c r="O18" s="193"/>
      <c r="P18" s="193"/>
    </row>
    <row r="19" spans="1:16" s="191" customFormat="1" ht="31.5" customHeight="1">
      <c r="A19" s="205">
        <v>8</v>
      </c>
      <c r="B19" s="204" t="s">
        <v>103</v>
      </c>
      <c r="C19" s="204" t="s">
        <v>104</v>
      </c>
      <c r="D19" s="204" t="s">
        <v>105</v>
      </c>
      <c r="E19" s="203"/>
      <c r="F19" s="214"/>
      <c r="G19" s="203"/>
      <c r="H19" s="201">
        <v>31000</v>
      </c>
      <c r="I19" s="393" t="s">
        <v>1352</v>
      </c>
      <c r="J19" s="706"/>
      <c r="K19" s="704"/>
      <c r="L19" s="705"/>
      <c r="M19" s="196"/>
      <c r="N19" s="192"/>
      <c r="O19" s="193"/>
      <c r="P19" s="193"/>
    </row>
    <row r="20" spans="1:16" s="191" customFormat="1" ht="31.5" customHeight="1">
      <c r="A20" s="206">
        <v>11</v>
      </c>
      <c r="B20" s="204" t="s">
        <v>178</v>
      </c>
      <c r="C20" s="204" t="s">
        <v>179</v>
      </c>
      <c r="D20" s="204" t="s">
        <v>180</v>
      </c>
      <c r="E20" s="203"/>
      <c r="F20" s="214"/>
      <c r="G20" s="203"/>
      <c r="H20" s="201">
        <v>40000</v>
      </c>
      <c r="I20" s="393" t="s">
        <v>1334</v>
      </c>
      <c r="J20" s="703"/>
      <c r="K20" s="704"/>
      <c r="L20" s="705"/>
      <c r="M20" s="196"/>
      <c r="N20" s="192"/>
      <c r="O20" s="193"/>
      <c r="P20" s="193"/>
    </row>
    <row r="21" spans="1:16" s="191" customFormat="1" ht="31.5" customHeight="1">
      <c r="A21" s="206">
        <v>12</v>
      </c>
      <c r="B21" s="204" t="s">
        <v>87</v>
      </c>
      <c r="C21" s="204" t="s">
        <v>81</v>
      </c>
      <c r="D21" s="204" t="s">
        <v>54</v>
      </c>
      <c r="E21" s="203"/>
      <c r="F21" s="214"/>
      <c r="G21" s="203"/>
      <c r="H21" s="201">
        <v>66400</v>
      </c>
      <c r="I21" s="393" t="s">
        <v>1334</v>
      </c>
      <c r="J21" s="706"/>
      <c r="K21" s="704"/>
      <c r="L21" s="705"/>
      <c r="M21" s="196"/>
      <c r="N21" s="192"/>
      <c r="O21" s="193"/>
      <c r="P21" s="193"/>
    </row>
    <row r="22" spans="1:16" s="191" customFormat="1" ht="31.5" customHeight="1">
      <c r="A22" s="205">
        <v>13</v>
      </c>
      <c r="B22" s="204" t="s">
        <v>226</v>
      </c>
      <c r="C22" s="204" t="s">
        <v>227</v>
      </c>
      <c r="D22" s="204" t="s">
        <v>54</v>
      </c>
      <c r="E22" s="203"/>
      <c r="F22" s="214"/>
      <c r="G22" s="203"/>
      <c r="H22" s="201">
        <v>57700</v>
      </c>
      <c r="I22" s="393" t="s">
        <v>1334</v>
      </c>
      <c r="J22" s="706"/>
      <c r="K22" s="704"/>
      <c r="L22" s="705"/>
      <c r="M22" s="196"/>
      <c r="N22" s="192"/>
      <c r="O22" s="193"/>
      <c r="P22" s="193"/>
    </row>
    <row r="23" spans="1:16" s="191" customFormat="1" ht="31.5" customHeight="1">
      <c r="A23" s="205">
        <v>9</v>
      </c>
      <c r="B23" s="204" t="s">
        <v>28</v>
      </c>
      <c r="C23" s="204" t="s">
        <v>41</v>
      </c>
      <c r="D23" s="204" t="s">
        <v>53</v>
      </c>
      <c r="E23" s="203"/>
      <c r="F23" s="214"/>
      <c r="G23" s="203"/>
      <c r="H23" s="201">
        <f>25000</f>
        <v>25000</v>
      </c>
      <c r="I23" s="393" t="s">
        <v>1360</v>
      </c>
      <c r="J23" s="706"/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10</v>
      </c>
      <c r="B24" s="204" t="s">
        <v>28</v>
      </c>
      <c r="C24" s="204" t="s">
        <v>41</v>
      </c>
      <c r="D24" s="204" t="s">
        <v>53</v>
      </c>
      <c r="E24" s="203"/>
      <c r="F24" s="214"/>
      <c r="G24" s="203"/>
      <c r="H24" s="201">
        <v>38000</v>
      </c>
      <c r="I24" s="393"/>
      <c r="J24" s="706"/>
      <c r="K24" s="704"/>
      <c r="L24" s="705"/>
      <c r="M24" s="196"/>
      <c r="N24" s="192"/>
      <c r="O24" s="193"/>
      <c r="P24" s="193"/>
    </row>
    <row r="25" spans="1:16" s="191" customFormat="1" ht="31.5" customHeight="1">
      <c r="A25" s="205">
        <v>14</v>
      </c>
      <c r="B25" s="204" t="s">
        <v>28</v>
      </c>
      <c r="C25" s="204" t="s">
        <v>41</v>
      </c>
      <c r="D25" s="204" t="s">
        <v>53</v>
      </c>
      <c r="E25" s="203"/>
      <c r="F25" s="214"/>
      <c r="G25" s="203"/>
      <c r="H25" s="201">
        <v>55000</v>
      </c>
      <c r="I25" s="393"/>
      <c r="J25" s="706"/>
      <c r="K25" s="704"/>
      <c r="L25" s="705"/>
      <c r="M25" s="196"/>
      <c r="N25" s="192"/>
      <c r="O25" s="193"/>
      <c r="P25" s="193"/>
    </row>
    <row r="26" spans="1:16" s="191" customFormat="1" ht="31.5" customHeight="1">
      <c r="A26" s="205">
        <v>24</v>
      </c>
      <c r="B26" s="204" t="s">
        <v>149</v>
      </c>
      <c r="C26" s="204" t="s">
        <v>150</v>
      </c>
      <c r="D26" s="204" t="s">
        <v>56</v>
      </c>
      <c r="E26" s="203"/>
      <c r="F26" s="214"/>
      <c r="G26" s="203"/>
      <c r="H26" s="201">
        <v>116000</v>
      </c>
      <c r="I26" s="393" t="s">
        <v>1335</v>
      </c>
      <c r="J26" s="706"/>
      <c r="K26" s="704"/>
      <c r="L26" s="705"/>
      <c r="M26" s="196"/>
      <c r="N26" s="192"/>
      <c r="O26" s="193"/>
      <c r="P26" s="193"/>
    </row>
    <row r="27" spans="1:16" s="191" customFormat="1" ht="31.5" customHeight="1">
      <c r="A27" s="205">
        <v>19</v>
      </c>
      <c r="B27" s="204" t="s">
        <v>32</v>
      </c>
      <c r="C27" s="204" t="s">
        <v>45</v>
      </c>
      <c r="D27" s="204" t="s">
        <v>58</v>
      </c>
      <c r="E27" s="203"/>
      <c r="F27" s="214"/>
      <c r="G27" s="203"/>
      <c r="H27" s="201">
        <v>76500</v>
      </c>
      <c r="I27" s="393" t="s">
        <v>1337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5">
        <v>27</v>
      </c>
      <c r="B28" s="204" t="s">
        <v>1399</v>
      </c>
      <c r="C28" s="204" t="s">
        <v>1400</v>
      </c>
      <c r="D28" s="204" t="s">
        <v>253</v>
      </c>
      <c r="E28" s="203"/>
      <c r="F28" s="214"/>
      <c r="G28" s="203"/>
      <c r="H28" s="201">
        <v>74000</v>
      </c>
      <c r="I28" s="393" t="s">
        <v>1336</v>
      </c>
      <c r="J28" s="706"/>
      <c r="K28" s="704"/>
      <c r="L28" s="705"/>
      <c r="M28" s="196"/>
      <c r="N28" s="192"/>
      <c r="O28" s="193"/>
      <c r="P28" s="193"/>
    </row>
    <row r="29" spans="1:16" s="191" customFormat="1" ht="31.5" customHeight="1">
      <c r="A29" s="205">
        <v>18</v>
      </c>
      <c r="B29" s="204" t="s">
        <v>80</v>
      </c>
      <c r="C29" s="204" t="s">
        <v>81</v>
      </c>
      <c r="D29" s="204" t="s">
        <v>60</v>
      </c>
      <c r="E29" s="203"/>
      <c r="F29" s="214"/>
      <c r="G29" s="203"/>
      <c r="H29" s="201">
        <f>119000</f>
        <v>119000</v>
      </c>
      <c r="I29" s="393" t="s">
        <v>1383</v>
      </c>
      <c r="J29" s="706"/>
      <c r="K29" s="704"/>
      <c r="L29" s="705"/>
      <c r="M29" s="196"/>
      <c r="N29" s="192"/>
      <c r="O29" s="193"/>
      <c r="P29" s="193"/>
    </row>
    <row r="30" spans="1:16" s="191" customFormat="1" ht="31.5" customHeight="1">
      <c r="A30" s="205">
        <v>25</v>
      </c>
      <c r="B30" s="204" t="s">
        <v>80</v>
      </c>
      <c r="C30" s="204" t="s">
        <v>81</v>
      </c>
      <c r="D30" s="204" t="s">
        <v>60</v>
      </c>
      <c r="E30" s="203"/>
      <c r="F30" s="214"/>
      <c r="G30" s="203"/>
      <c r="H30" s="201">
        <v>123100</v>
      </c>
      <c r="I30" s="393"/>
      <c r="J30" s="706"/>
      <c r="K30" s="704"/>
      <c r="L30" s="705"/>
      <c r="M30" s="196"/>
      <c r="N30" s="192"/>
      <c r="O30" s="193"/>
      <c r="P30" s="193"/>
    </row>
    <row r="31" spans="1:16" s="191" customFormat="1" ht="31.5" customHeight="1">
      <c r="A31" s="206">
        <v>20</v>
      </c>
      <c r="B31" s="204" t="s">
        <v>203</v>
      </c>
      <c r="C31" s="204" t="s">
        <v>204</v>
      </c>
      <c r="D31" s="204" t="s">
        <v>57</v>
      </c>
      <c r="E31" s="203"/>
      <c r="F31" s="214"/>
      <c r="G31" s="203"/>
      <c r="H31" s="201">
        <v>149700</v>
      </c>
      <c r="I31" s="393" t="s">
        <v>1337</v>
      </c>
      <c r="J31" s="706"/>
      <c r="K31" s="704"/>
      <c r="L31" s="705"/>
      <c r="M31" s="196"/>
      <c r="N31" s="192"/>
      <c r="O31" s="193"/>
      <c r="P31" s="193"/>
    </row>
    <row r="32" spans="1:16" s="191" customFormat="1" ht="31.5" customHeight="1">
      <c r="A32" s="206">
        <v>31</v>
      </c>
      <c r="B32" s="204" t="s">
        <v>190</v>
      </c>
      <c r="C32" s="204" t="s">
        <v>191</v>
      </c>
      <c r="D32" s="204" t="s">
        <v>86</v>
      </c>
      <c r="E32" s="203"/>
      <c r="F32" s="214"/>
      <c r="G32" s="203"/>
      <c r="H32" s="201">
        <v>109000</v>
      </c>
      <c r="I32" s="393" t="s">
        <v>1337</v>
      </c>
      <c r="J32" s="706"/>
      <c r="K32" s="704"/>
      <c r="L32" s="705"/>
      <c r="M32" s="196"/>
      <c r="N32" s="192"/>
      <c r="O32" s="193"/>
      <c r="P32" s="193"/>
    </row>
    <row r="33" spans="1:16" s="191" customFormat="1" ht="31.5" customHeight="1">
      <c r="A33" s="206">
        <v>22</v>
      </c>
      <c r="B33" s="204" t="s">
        <v>637</v>
      </c>
      <c r="C33" s="204" t="s">
        <v>81</v>
      </c>
      <c r="D33" s="204" t="s">
        <v>56</v>
      </c>
      <c r="E33" s="203"/>
      <c r="F33" s="214"/>
      <c r="G33" s="203"/>
      <c r="H33" s="201">
        <v>125000</v>
      </c>
      <c r="I33" s="393" t="s">
        <v>1360</v>
      </c>
      <c r="J33" s="706"/>
      <c r="K33" s="704"/>
      <c r="L33" s="705"/>
      <c r="M33" s="196"/>
      <c r="N33" s="192"/>
      <c r="O33" s="193"/>
      <c r="P33" s="193"/>
    </row>
    <row r="34" spans="1:16" s="191" customFormat="1" ht="31.5" customHeight="1">
      <c r="A34" s="206">
        <v>16</v>
      </c>
      <c r="B34" s="204" t="s">
        <v>162</v>
      </c>
      <c r="C34" s="204" t="s">
        <v>163</v>
      </c>
      <c r="D34" s="204" t="s">
        <v>56</v>
      </c>
      <c r="E34" s="203"/>
      <c r="F34" s="214"/>
      <c r="G34" s="203"/>
      <c r="H34" s="201">
        <v>126400</v>
      </c>
      <c r="I34" s="393" t="s">
        <v>1337</v>
      </c>
      <c r="J34" s="706"/>
      <c r="K34" s="704"/>
      <c r="L34" s="705"/>
      <c r="M34" s="196"/>
      <c r="N34" s="192"/>
      <c r="O34" s="193"/>
      <c r="P34" s="193"/>
    </row>
    <row r="35" spans="1:16" s="191" customFormat="1" ht="31.5" customHeight="1">
      <c r="A35" s="205">
        <v>17</v>
      </c>
      <c r="B35" s="204" t="s">
        <v>695</v>
      </c>
      <c r="C35" s="204" t="s">
        <v>45</v>
      </c>
      <c r="D35" s="204" t="s">
        <v>57</v>
      </c>
      <c r="E35" s="203"/>
      <c r="F35" s="214"/>
      <c r="G35" s="203"/>
      <c r="H35" s="201">
        <v>122600</v>
      </c>
      <c r="I35" s="393" t="s">
        <v>1335</v>
      </c>
      <c r="J35" s="706"/>
      <c r="K35" s="704"/>
      <c r="L35" s="705"/>
      <c r="M35" s="196"/>
      <c r="N35" s="192"/>
      <c r="O35" s="193"/>
      <c r="P35" s="193"/>
    </row>
    <row r="36" spans="1:16" s="191" customFormat="1" ht="31.5" customHeight="1">
      <c r="A36" s="205">
        <v>26</v>
      </c>
      <c r="B36" s="204" t="s">
        <v>214</v>
      </c>
      <c r="C36" s="204" t="s">
        <v>46</v>
      </c>
      <c r="D36" s="204" t="s">
        <v>56</v>
      </c>
      <c r="E36" s="203"/>
      <c r="F36" s="214"/>
      <c r="G36" s="203"/>
      <c r="H36" s="201">
        <v>126000</v>
      </c>
      <c r="I36" s="393"/>
      <c r="J36" s="706"/>
      <c r="K36" s="704"/>
      <c r="L36" s="705"/>
      <c r="M36" s="196"/>
      <c r="N36" s="192"/>
      <c r="O36" s="193"/>
      <c r="P36" s="193"/>
    </row>
    <row r="37" spans="1:16" s="191" customFormat="1" ht="31.5" customHeight="1">
      <c r="A37" s="205">
        <v>15</v>
      </c>
      <c r="B37" s="204" t="s">
        <v>164</v>
      </c>
      <c r="C37" s="204" t="s">
        <v>165</v>
      </c>
      <c r="D37" s="204" t="s">
        <v>1403</v>
      </c>
      <c r="E37" s="203"/>
      <c r="F37" s="214"/>
      <c r="G37" s="203"/>
      <c r="H37" s="201">
        <f>120000+127000</f>
        <v>247000</v>
      </c>
      <c r="I37" s="393" t="s">
        <v>1336</v>
      </c>
      <c r="J37" s="706"/>
      <c r="K37" s="704"/>
      <c r="L37" s="705"/>
      <c r="M37" s="196"/>
      <c r="N37" s="192"/>
      <c r="O37" s="193"/>
      <c r="P37" s="193"/>
    </row>
    <row r="38" spans="1:16" s="191" customFormat="1" ht="31.5" customHeight="1">
      <c r="A38" s="206">
        <v>29</v>
      </c>
      <c r="B38" s="204" t="s">
        <v>164</v>
      </c>
      <c r="C38" s="204" t="s">
        <v>165</v>
      </c>
      <c r="D38" s="204" t="s">
        <v>56</v>
      </c>
      <c r="E38" s="203"/>
      <c r="F38" s="214"/>
      <c r="G38" s="203"/>
      <c r="H38" s="201"/>
      <c r="I38" s="393" t="s">
        <v>1335</v>
      </c>
      <c r="J38" s="706"/>
      <c r="K38" s="704"/>
      <c r="L38" s="705"/>
      <c r="M38" s="196"/>
      <c r="N38" s="192"/>
      <c r="O38" s="193"/>
      <c r="P38" s="193"/>
    </row>
    <row r="39" spans="1:16" s="191" customFormat="1" ht="31.5" customHeight="1">
      <c r="A39" s="206">
        <v>23</v>
      </c>
      <c r="B39" s="204" t="s">
        <v>1394</v>
      </c>
      <c r="C39" s="204" t="s">
        <v>1395</v>
      </c>
      <c r="D39" s="204" t="s">
        <v>1396</v>
      </c>
      <c r="E39" s="203"/>
      <c r="F39" s="214"/>
      <c r="G39" s="203"/>
      <c r="H39" s="201">
        <v>35700</v>
      </c>
      <c r="I39" s="393" t="s">
        <v>1360</v>
      </c>
      <c r="J39" s="706"/>
      <c r="K39" s="704"/>
      <c r="L39" s="705"/>
      <c r="M39" s="196"/>
      <c r="N39" s="192"/>
      <c r="O39" s="193"/>
      <c r="P39" s="193"/>
    </row>
    <row r="40" spans="1:16" s="191" customFormat="1" ht="31.5" customHeight="1">
      <c r="A40" s="205">
        <v>28</v>
      </c>
      <c r="B40" s="204" t="s">
        <v>85</v>
      </c>
      <c r="C40" s="204" t="s">
        <v>41</v>
      </c>
      <c r="D40" s="204" t="s">
        <v>86</v>
      </c>
      <c r="E40" s="203"/>
      <c r="F40" s="214"/>
      <c r="G40" s="203"/>
      <c r="H40" s="201">
        <v>86000</v>
      </c>
      <c r="I40" s="393" t="s">
        <v>1337</v>
      </c>
      <c r="J40" s="706"/>
      <c r="K40" s="704"/>
      <c r="L40" s="705"/>
      <c r="M40" s="196"/>
      <c r="N40" s="192"/>
      <c r="O40" s="193"/>
      <c r="P40" s="193"/>
    </row>
    <row r="41" spans="1:16" s="191" customFormat="1" ht="31.5" customHeight="1">
      <c r="A41" s="205">
        <v>30</v>
      </c>
      <c r="B41" s="204" t="s">
        <v>125</v>
      </c>
      <c r="C41" s="204" t="s">
        <v>980</v>
      </c>
      <c r="D41" s="204" t="s">
        <v>57</v>
      </c>
      <c r="E41" s="203"/>
      <c r="F41" s="214"/>
      <c r="G41" s="203"/>
      <c r="H41" s="201">
        <v>81000</v>
      </c>
      <c r="I41" s="393" t="s">
        <v>1383</v>
      </c>
      <c r="J41" s="706"/>
      <c r="K41" s="704"/>
      <c r="L41" s="705"/>
      <c r="M41" s="196"/>
      <c r="N41" s="192"/>
      <c r="O41" s="193"/>
      <c r="P41" s="193"/>
    </row>
    <row r="42" spans="1:16" s="191" customFormat="1" ht="31.5" customHeight="1">
      <c r="A42" s="205">
        <v>30</v>
      </c>
      <c r="B42" s="204" t="s">
        <v>125</v>
      </c>
      <c r="C42" s="204" t="s">
        <v>980</v>
      </c>
      <c r="D42" s="204" t="s">
        <v>57</v>
      </c>
      <c r="E42" s="203"/>
      <c r="F42" s="214"/>
      <c r="G42" s="203"/>
      <c r="H42" s="201"/>
      <c r="I42" s="393" t="s">
        <v>1360</v>
      </c>
      <c r="J42" s="706"/>
      <c r="K42" s="704"/>
      <c r="L42" s="705"/>
      <c r="M42" s="196"/>
      <c r="N42" s="192"/>
      <c r="O42" s="193"/>
      <c r="P42" s="193"/>
    </row>
    <row r="43" spans="1:16" s="191" customFormat="1" ht="31.5" customHeight="1">
      <c r="A43" s="205">
        <v>54</v>
      </c>
      <c r="B43" s="204" t="s">
        <v>35</v>
      </c>
      <c r="C43" s="204" t="s">
        <v>47</v>
      </c>
      <c r="D43" s="204" t="s">
        <v>61</v>
      </c>
      <c r="E43" s="203"/>
      <c r="F43" s="214"/>
      <c r="G43" s="203"/>
      <c r="H43" s="201">
        <v>20700</v>
      </c>
      <c r="I43" s="393" t="s">
        <v>1363</v>
      </c>
      <c r="J43" s="706"/>
      <c r="K43" s="704"/>
      <c r="L43" s="705"/>
      <c r="M43" s="196"/>
      <c r="N43" s="192"/>
      <c r="O43" s="193"/>
      <c r="P43" s="193"/>
    </row>
    <row r="44" spans="1:16" s="191" customFormat="1" ht="31.5" customHeight="1">
      <c r="A44" s="206">
        <v>54</v>
      </c>
      <c r="B44" s="204" t="s">
        <v>1247</v>
      </c>
      <c r="C44" s="204" t="s">
        <v>1249</v>
      </c>
      <c r="D44" s="204" t="s">
        <v>1429</v>
      </c>
      <c r="E44" s="203"/>
      <c r="F44" s="214"/>
      <c r="G44" s="203"/>
      <c r="H44" s="201"/>
      <c r="I44" s="393" t="s">
        <v>1363</v>
      </c>
      <c r="J44" s="706"/>
      <c r="K44" s="704"/>
      <c r="L44" s="705"/>
      <c r="M44" s="196"/>
      <c r="N44" s="192"/>
      <c r="O44" s="193"/>
      <c r="P44" s="193"/>
    </row>
    <row r="45" spans="1:16" s="191" customFormat="1" ht="31.5" customHeight="1">
      <c r="A45" s="206">
        <v>51</v>
      </c>
      <c r="B45" s="204" t="s">
        <v>176</v>
      </c>
      <c r="C45" s="204" t="s">
        <v>148</v>
      </c>
      <c r="D45" s="204" t="s">
        <v>194</v>
      </c>
      <c r="E45" s="203"/>
      <c r="F45" s="214"/>
      <c r="G45" s="203"/>
      <c r="H45" s="201"/>
      <c r="I45" s="393" t="s">
        <v>1363</v>
      </c>
      <c r="J45" s="706"/>
      <c r="K45" s="704"/>
      <c r="L45" s="705"/>
      <c r="M45" s="196"/>
      <c r="N45" s="192"/>
      <c r="O45" s="193"/>
      <c r="P45" s="193"/>
    </row>
    <row r="46" spans="1:16" s="191" customFormat="1" ht="31.5" customHeight="1">
      <c r="A46" s="205">
        <v>53</v>
      </c>
      <c r="B46" s="204" t="s">
        <v>514</v>
      </c>
      <c r="C46" s="204" t="s">
        <v>148</v>
      </c>
      <c r="D46" s="204" t="s">
        <v>194</v>
      </c>
      <c r="E46" s="203"/>
      <c r="F46" s="214"/>
      <c r="G46" s="203"/>
      <c r="H46" s="201">
        <v>90000</v>
      </c>
      <c r="I46" s="393" t="s">
        <v>1363</v>
      </c>
      <c r="J46" s="703"/>
      <c r="K46" s="704"/>
      <c r="L46" s="705"/>
      <c r="M46" s="196"/>
      <c r="N46" s="192"/>
      <c r="O46" s="193"/>
      <c r="P46" s="193"/>
    </row>
    <row r="47" spans="1:16" s="191" customFormat="1" ht="31.5" customHeight="1">
      <c r="A47" s="205">
        <v>53</v>
      </c>
      <c r="B47" s="204" t="s">
        <v>527</v>
      </c>
      <c r="C47" s="204" t="s">
        <v>148</v>
      </c>
      <c r="D47" s="204" t="s">
        <v>61</v>
      </c>
      <c r="E47" s="203"/>
      <c r="F47" s="214"/>
      <c r="G47" s="203"/>
      <c r="H47" s="201"/>
      <c r="I47" s="393" t="s">
        <v>1363</v>
      </c>
      <c r="J47" s="703"/>
      <c r="K47" s="704"/>
      <c r="L47" s="705"/>
      <c r="M47" s="196"/>
      <c r="N47" s="192"/>
      <c r="O47" s="193"/>
      <c r="P47" s="193"/>
    </row>
    <row r="48" spans="1:16" s="191" customFormat="1" ht="31.5" customHeight="1">
      <c r="A48" s="205">
        <v>50</v>
      </c>
      <c r="B48" s="204" t="s">
        <v>208</v>
      </c>
      <c r="C48" s="204" t="s">
        <v>209</v>
      </c>
      <c r="D48" s="204" t="s">
        <v>194</v>
      </c>
      <c r="E48" s="203"/>
      <c r="F48" s="214"/>
      <c r="G48" s="203"/>
      <c r="H48" s="201">
        <v>58700</v>
      </c>
      <c r="I48" s="393" t="s">
        <v>1363</v>
      </c>
      <c r="J48" s="703"/>
      <c r="K48" s="704"/>
      <c r="L48" s="705"/>
      <c r="M48" s="196"/>
      <c r="N48" s="192"/>
      <c r="O48" s="193"/>
      <c r="P48" s="193"/>
    </row>
    <row r="49" spans="1:16" s="191" customFormat="1" ht="31.5" customHeight="1">
      <c r="A49" s="205">
        <v>55</v>
      </c>
      <c r="B49" s="204" t="s">
        <v>335</v>
      </c>
      <c r="C49" s="204" t="s">
        <v>324</v>
      </c>
      <c r="D49" s="204" t="s">
        <v>61</v>
      </c>
      <c r="E49" s="203"/>
      <c r="F49" s="214"/>
      <c r="G49" s="203"/>
      <c r="H49" s="201">
        <v>74400</v>
      </c>
      <c r="I49" s="393" t="s">
        <v>1363</v>
      </c>
      <c r="J49" s="703"/>
      <c r="K49" s="704"/>
      <c r="L49" s="705"/>
      <c r="M49" s="196"/>
      <c r="N49" s="192"/>
      <c r="O49" s="193"/>
      <c r="P49" s="193"/>
    </row>
    <row r="50" spans="1:16" s="191" customFormat="1" ht="31.5" customHeight="1">
      <c r="A50" s="205">
        <v>55</v>
      </c>
      <c r="B50" s="204" t="s">
        <v>322</v>
      </c>
      <c r="C50" s="204" t="s">
        <v>324</v>
      </c>
      <c r="D50" s="204" t="s">
        <v>194</v>
      </c>
      <c r="E50" s="203"/>
      <c r="F50" s="214"/>
      <c r="G50" s="203"/>
      <c r="H50" s="201"/>
      <c r="I50" s="393" t="s">
        <v>1363</v>
      </c>
      <c r="J50" s="703"/>
      <c r="K50" s="704"/>
      <c r="L50" s="705"/>
      <c r="M50" s="196"/>
      <c r="N50" s="192"/>
      <c r="O50" s="193"/>
      <c r="P50" s="193"/>
    </row>
    <row r="51" spans="1:16" s="191" customFormat="1" ht="31.5" customHeight="1">
      <c r="A51" s="205"/>
      <c r="B51" s="204"/>
      <c r="C51" s="204"/>
      <c r="D51" s="204"/>
      <c r="E51" s="203"/>
      <c r="F51" s="214"/>
      <c r="G51" s="203"/>
      <c r="H51" s="201"/>
      <c r="I51" s="393"/>
      <c r="J51" s="703"/>
      <c r="K51" s="704"/>
      <c r="L51" s="705"/>
      <c r="M51" s="196"/>
      <c r="N51" s="192"/>
      <c r="O51" s="193"/>
      <c r="P51" s="193"/>
    </row>
    <row r="52" spans="1:16" s="191" customFormat="1" ht="31.5" customHeight="1">
      <c r="A52" s="206" t="s">
        <v>251</v>
      </c>
      <c r="B52" s="210"/>
      <c r="C52" s="210"/>
      <c r="D52" s="210"/>
      <c r="E52" s="210" t="e">
        <v>#N/A</v>
      </c>
      <c r="F52" s="210"/>
      <c r="G52" s="210"/>
      <c r="H52" s="207">
        <f>SUM(H7:H51)</f>
        <v>2615400</v>
      </c>
      <c r="I52" s="394"/>
      <c r="J52" s="706"/>
      <c r="K52" s="704"/>
      <c r="L52" s="705"/>
      <c r="M52" s="196"/>
      <c r="N52" s="192"/>
    </row>
    <row r="53" spans="1:16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  <c r="O53" s="192"/>
    </row>
    <row r="54" spans="1:16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  <c r="O54" s="192"/>
    </row>
    <row r="55" spans="1:16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  <c r="O55" s="192"/>
    </row>
    <row r="56" spans="1:16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  <c r="O56" s="192"/>
    </row>
    <row r="57" spans="1:16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  <c r="O57" s="192"/>
    </row>
    <row r="58" spans="1:16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6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6" s="191" customFormat="1" ht="15.75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  <c r="O60" s="192"/>
    </row>
    <row r="61" spans="1:16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  <c r="O61" s="192"/>
    </row>
    <row r="62" spans="1:16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  <c r="O62" s="192"/>
    </row>
    <row r="63" spans="1:16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K63" s="198"/>
      <c r="O63" s="192"/>
    </row>
    <row r="64" spans="1:16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K64" s="198"/>
      <c r="O64" s="192"/>
    </row>
    <row r="65" spans="1:15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O65" s="192"/>
    </row>
    <row r="66" spans="1:15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5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5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5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5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5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5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5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  <row r="74" spans="1:15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</row>
    <row r="75" spans="1:15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</row>
  </sheetData>
  <mergeCells count="56">
    <mergeCell ref="J17:L17"/>
    <mergeCell ref="J18:L18"/>
    <mergeCell ref="J24:L24"/>
    <mergeCell ref="J25:L25"/>
    <mergeCell ref="J30:L30"/>
    <mergeCell ref="J22:L22"/>
    <mergeCell ref="J19:L19"/>
    <mergeCell ref="J20:L20"/>
    <mergeCell ref="J21:L21"/>
    <mergeCell ref="J23:L23"/>
    <mergeCell ref="J26:L26"/>
    <mergeCell ref="J27:L27"/>
    <mergeCell ref="J28:L28"/>
    <mergeCell ref="J29:L29"/>
    <mergeCell ref="J12:L12"/>
    <mergeCell ref="J13:L13"/>
    <mergeCell ref="J14:L14"/>
    <mergeCell ref="J15:L15"/>
    <mergeCell ref="J16:L16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  <mergeCell ref="J7:L7"/>
    <mergeCell ref="J8:L8"/>
    <mergeCell ref="J9:L9"/>
    <mergeCell ref="J10:L10"/>
    <mergeCell ref="J11:L11"/>
    <mergeCell ref="J31:L31"/>
    <mergeCell ref="J34:L34"/>
    <mergeCell ref="J35:L35"/>
    <mergeCell ref="J36:L36"/>
    <mergeCell ref="J33:L33"/>
    <mergeCell ref="J32:L32"/>
    <mergeCell ref="J48:L48"/>
    <mergeCell ref="J52:L52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47:L47"/>
    <mergeCell ref="J51:L51"/>
    <mergeCell ref="J49:L49"/>
    <mergeCell ref="J50:L50"/>
  </mergeCells>
  <phoneticPr fontId="74" type="noConversion"/>
  <conditionalFormatting sqref="H7:I51">
    <cfRule type="cellIs" dxfId="16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6">
    <pageSetUpPr fitToPage="1"/>
  </sheetPr>
  <dimension ref="A1:P52"/>
  <sheetViews>
    <sheetView view="pageBreakPreview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1419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1422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98</v>
      </c>
      <c r="C7" s="200" t="s">
        <v>36</v>
      </c>
      <c r="D7" s="200" t="s">
        <v>1405</v>
      </c>
      <c r="E7" s="201">
        <v>6500</v>
      </c>
      <c r="F7" s="213">
        <v>8</v>
      </c>
      <c r="G7" s="201">
        <f>50*60*8</f>
        <v>24000</v>
      </c>
      <c r="H7" s="201">
        <v>23000</v>
      </c>
      <c r="I7" s="421" t="s">
        <v>1411</v>
      </c>
      <c r="J7" s="706" t="s">
        <v>1424</v>
      </c>
      <c r="K7" s="704"/>
      <c r="L7" s="705"/>
      <c r="M7" s="192"/>
      <c r="N7" s="192"/>
      <c r="O7" s="193"/>
      <c r="P7" s="193"/>
    </row>
    <row r="8" spans="1:16" s="195" customFormat="1" ht="31.5" customHeight="1">
      <c r="A8" s="202">
        <v>2</v>
      </c>
      <c r="B8" s="203" t="s">
        <v>139</v>
      </c>
      <c r="C8" s="204" t="s">
        <v>140</v>
      </c>
      <c r="D8" s="203" t="s">
        <v>142</v>
      </c>
      <c r="E8" s="203">
        <v>76000</v>
      </c>
      <c r="F8" s="214">
        <v>8</v>
      </c>
      <c r="G8" s="203">
        <f>42*60*8</f>
        <v>20160</v>
      </c>
      <c r="H8" s="201">
        <v>18000</v>
      </c>
      <c r="I8" s="421" t="s">
        <v>1412</v>
      </c>
      <c r="J8" s="703" t="s">
        <v>1423</v>
      </c>
      <c r="K8" s="704"/>
      <c r="L8" s="705"/>
      <c r="M8" s="194"/>
      <c r="N8" s="192"/>
      <c r="O8" s="193"/>
      <c r="P8" s="193"/>
    </row>
    <row r="9" spans="1:16" s="195" customFormat="1" ht="31.5" customHeight="1">
      <c r="A9" s="202">
        <v>3</v>
      </c>
      <c r="B9" s="203" t="s">
        <v>151</v>
      </c>
      <c r="C9" s="204" t="s">
        <v>152</v>
      </c>
      <c r="D9" s="203" t="s">
        <v>210</v>
      </c>
      <c r="E9" s="203">
        <v>674600</v>
      </c>
      <c r="F9" s="214">
        <v>8</v>
      </c>
      <c r="G9" s="203">
        <f>42*60*8</f>
        <v>20160</v>
      </c>
      <c r="H9" s="201">
        <v>20000</v>
      </c>
      <c r="I9" s="421" t="s">
        <v>1413</v>
      </c>
      <c r="J9" s="706" t="s">
        <v>1425</v>
      </c>
      <c r="K9" s="704"/>
      <c r="L9" s="705"/>
      <c r="M9" s="194"/>
      <c r="N9" s="192"/>
      <c r="O9" s="193"/>
      <c r="P9" s="193"/>
    </row>
    <row r="10" spans="1:16" s="195" customFormat="1" ht="31.5" customHeight="1">
      <c r="A10" s="199">
        <v>4</v>
      </c>
      <c r="B10" s="200" t="s">
        <v>90</v>
      </c>
      <c r="C10" s="200" t="s">
        <v>91</v>
      </c>
      <c r="D10" s="200" t="s">
        <v>205</v>
      </c>
      <c r="E10" s="201">
        <v>438000</v>
      </c>
      <c r="F10" s="213">
        <v>5.5</v>
      </c>
      <c r="G10" s="201">
        <f>70*60*5.5</f>
        <v>23100</v>
      </c>
      <c r="H10" s="201">
        <v>23000</v>
      </c>
      <c r="I10" s="421" t="s">
        <v>1413</v>
      </c>
      <c r="J10" s="706" t="s">
        <v>1417</v>
      </c>
      <c r="K10" s="704"/>
      <c r="L10" s="705"/>
      <c r="M10" s="194"/>
      <c r="N10" s="192"/>
      <c r="O10" s="193"/>
      <c r="P10" s="193"/>
    </row>
    <row r="11" spans="1:16" s="191" customFormat="1" ht="31.5" customHeight="1">
      <c r="A11" s="205">
        <v>5</v>
      </c>
      <c r="B11" s="204" t="s">
        <v>168</v>
      </c>
      <c r="C11" s="204" t="s">
        <v>169</v>
      </c>
      <c r="D11" s="204" t="s">
        <v>170</v>
      </c>
      <c r="E11" s="203">
        <v>241100</v>
      </c>
      <c r="F11" s="214">
        <v>8</v>
      </c>
      <c r="G11" s="203">
        <f>50*60*8</f>
        <v>24000</v>
      </c>
      <c r="H11" s="201">
        <v>22500</v>
      </c>
      <c r="I11" s="421" t="s">
        <v>1412</v>
      </c>
      <c r="J11" s="706" t="s">
        <v>1424</v>
      </c>
      <c r="K11" s="704"/>
      <c r="L11" s="705"/>
      <c r="M11" s="196"/>
      <c r="N11" s="192"/>
      <c r="O11" s="193"/>
      <c r="P11" s="193"/>
    </row>
    <row r="12" spans="1:16" s="191" customFormat="1" ht="31.5" customHeight="1">
      <c r="A12" s="205">
        <v>6</v>
      </c>
      <c r="B12" s="204" t="s">
        <v>139</v>
      </c>
      <c r="C12" s="204" t="s">
        <v>140</v>
      </c>
      <c r="D12" s="204" t="s">
        <v>142</v>
      </c>
      <c r="E12" s="203">
        <v>76000</v>
      </c>
      <c r="F12" s="214">
        <v>8</v>
      </c>
      <c r="G12" s="203">
        <f>42*60*8</f>
        <v>20160</v>
      </c>
      <c r="H12" s="201">
        <v>6000</v>
      </c>
      <c r="I12" s="421" t="s">
        <v>1412</v>
      </c>
      <c r="J12" s="706" t="s">
        <v>1418</v>
      </c>
      <c r="K12" s="704"/>
      <c r="L12" s="705"/>
      <c r="M12" s="196"/>
      <c r="N12" s="192"/>
      <c r="O12" s="193"/>
      <c r="P12" s="193"/>
    </row>
    <row r="13" spans="1:16" s="191" customFormat="1" ht="31.5" customHeight="1">
      <c r="A13" s="205">
        <v>6</v>
      </c>
      <c r="B13" s="204" t="s">
        <v>26</v>
      </c>
      <c r="C13" s="204" t="s">
        <v>39</v>
      </c>
      <c r="D13" s="204" t="s">
        <v>51</v>
      </c>
      <c r="E13" s="203">
        <v>1617200</v>
      </c>
      <c r="F13" s="214">
        <v>8</v>
      </c>
      <c r="G13" s="203">
        <f>42*60*8</f>
        <v>20160</v>
      </c>
      <c r="H13" s="201">
        <v>8000</v>
      </c>
      <c r="I13" s="421" t="s">
        <v>1412</v>
      </c>
      <c r="J13" s="706"/>
      <c r="K13" s="704"/>
      <c r="L13" s="705"/>
      <c r="M13" s="196"/>
      <c r="N13" s="192"/>
      <c r="O13" s="193"/>
      <c r="P13" s="193"/>
    </row>
    <row r="14" spans="1:16" s="191" customFormat="1" ht="31.5" customHeight="1">
      <c r="A14" s="205">
        <v>7</v>
      </c>
      <c r="B14" s="204" t="s">
        <v>171</v>
      </c>
      <c r="C14" s="204" t="s">
        <v>172</v>
      </c>
      <c r="D14" s="204" t="s">
        <v>177</v>
      </c>
      <c r="E14" s="203">
        <v>1348000</v>
      </c>
      <c r="F14" s="214">
        <v>8</v>
      </c>
      <c r="G14" s="203">
        <f>90*60*8</f>
        <v>43200</v>
      </c>
      <c r="H14" s="201">
        <v>43000</v>
      </c>
      <c r="I14" s="421" t="s">
        <v>1414</v>
      </c>
      <c r="J14" s="706" t="s">
        <v>1420</v>
      </c>
      <c r="K14" s="704"/>
      <c r="L14" s="705"/>
      <c r="M14" s="196"/>
      <c r="N14" s="192"/>
      <c r="O14" s="193"/>
      <c r="P14" s="193"/>
    </row>
    <row r="15" spans="1:16" s="191" customFormat="1" ht="31.5" customHeight="1">
      <c r="A15" s="206" t="s">
        <v>66</v>
      </c>
      <c r="B15" s="204" t="s">
        <v>27</v>
      </c>
      <c r="C15" s="204" t="s">
        <v>40</v>
      </c>
      <c r="D15" s="204" t="s">
        <v>52</v>
      </c>
      <c r="E15" s="203">
        <v>2969300</v>
      </c>
      <c r="F15" s="214">
        <v>8</v>
      </c>
      <c r="G15" s="203">
        <f>130*60*8</f>
        <v>62400</v>
      </c>
      <c r="H15" s="201">
        <v>60000</v>
      </c>
      <c r="I15" s="421" t="s">
        <v>1414</v>
      </c>
      <c r="J15" s="703" t="s">
        <v>1426</v>
      </c>
      <c r="K15" s="704"/>
      <c r="L15" s="705"/>
      <c r="M15" s="196"/>
      <c r="N15" s="192"/>
      <c r="O15" s="193"/>
      <c r="P15" s="193"/>
    </row>
    <row r="16" spans="1:16" s="191" customFormat="1" ht="31.5" customHeight="1">
      <c r="A16" s="206" t="s">
        <v>218</v>
      </c>
      <c r="B16" s="204" t="s">
        <v>26</v>
      </c>
      <c r="C16" s="204" t="s">
        <v>39</v>
      </c>
      <c r="D16" s="204" t="s">
        <v>51</v>
      </c>
      <c r="E16" s="203">
        <v>1617200</v>
      </c>
      <c r="F16" s="214">
        <v>8</v>
      </c>
      <c r="G16" s="203">
        <f>50*60*8</f>
        <v>24000</v>
      </c>
      <c r="H16" s="201">
        <f>22000</f>
        <v>22000</v>
      </c>
      <c r="I16" s="421" t="s">
        <v>1414</v>
      </c>
      <c r="J16" s="706" t="s">
        <v>1427</v>
      </c>
      <c r="K16" s="704"/>
      <c r="L16" s="705"/>
      <c r="M16" s="196"/>
      <c r="N16" s="192"/>
      <c r="O16" s="193"/>
      <c r="P16" s="193"/>
    </row>
    <row r="17" spans="1:16" s="191" customFormat="1" ht="31.5" customHeight="1">
      <c r="A17" s="205">
        <v>8</v>
      </c>
      <c r="B17" s="204" t="s">
        <v>103</v>
      </c>
      <c r="C17" s="204" t="s">
        <v>104</v>
      </c>
      <c r="D17" s="204" t="s">
        <v>105</v>
      </c>
      <c r="E17" s="203">
        <v>80000</v>
      </c>
      <c r="F17" s="214">
        <v>8</v>
      </c>
      <c r="G17" s="203">
        <f>42*60*8</f>
        <v>20160</v>
      </c>
      <c r="H17" s="201">
        <v>20000</v>
      </c>
      <c r="I17" s="421" t="s">
        <v>1411</v>
      </c>
      <c r="J17" s="706" t="s">
        <v>1426</v>
      </c>
      <c r="K17" s="704"/>
      <c r="L17" s="705"/>
      <c r="M17" s="196"/>
      <c r="N17" s="192"/>
      <c r="O17" s="193"/>
      <c r="P17" s="193"/>
    </row>
    <row r="18" spans="1:16" s="191" customFormat="1" ht="31.5" customHeight="1">
      <c r="A18" s="205">
        <v>19</v>
      </c>
      <c r="B18" s="204" t="s">
        <v>176</v>
      </c>
      <c r="C18" s="204" t="s">
        <v>148</v>
      </c>
      <c r="D18" s="204" t="s">
        <v>194</v>
      </c>
      <c r="E18" s="203">
        <v>994700</v>
      </c>
      <c r="F18" s="214">
        <v>8</v>
      </c>
      <c r="G18" s="203">
        <f>180*60*8</f>
        <v>86400</v>
      </c>
      <c r="H18" s="201">
        <v>38400</v>
      </c>
      <c r="I18" s="421" t="s">
        <v>1415</v>
      </c>
      <c r="J18" s="706"/>
      <c r="K18" s="704"/>
      <c r="L18" s="705"/>
      <c r="M18" s="196"/>
      <c r="N18" s="192"/>
      <c r="O18" s="193"/>
      <c r="P18" s="193"/>
    </row>
    <row r="19" spans="1:16" s="191" customFormat="1" ht="31.5" customHeight="1">
      <c r="A19" s="205">
        <v>19</v>
      </c>
      <c r="B19" s="204" t="s">
        <v>32</v>
      </c>
      <c r="C19" s="204" t="s">
        <v>45</v>
      </c>
      <c r="D19" s="204" t="s">
        <v>58</v>
      </c>
      <c r="E19" s="203">
        <v>200000</v>
      </c>
      <c r="F19" s="214">
        <v>9</v>
      </c>
      <c r="G19" s="203">
        <f>180*60*8</f>
        <v>86400</v>
      </c>
      <c r="H19" s="201"/>
      <c r="I19" s="421" t="s">
        <v>1415</v>
      </c>
      <c r="J19" s="706" t="s">
        <v>1421</v>
      </c>
      <c r="K19" s="704"/>
      <c r="L19" s="705"/>
      <c r="M19" s="196"/>
      <c r="N19" s="192"/>
      <c r="O19" s="193"/>
      <c r="P19" s="193"/>
    </row>
    <row r="20" spans="1:16" s="191" customFormat="1" ht="31.5" customHeight="1">
      <c r="A20" s="206">
        <v>27</v>
      </c>
      <c r="B20" s="204" t="s">
        <v>1399</v>
      </c>
      <c r="C20" s="204" t="s">
        <v>1400</v>
      </c>
      <c r="D20" s="204" t="s">
        <v>253</v>
      </c>
      <c r="E20" s="203">
        <v>550000</v>
      </c>
      <c r="F20" s="214">
        <v>8</v>
      </c>
      <c r="G20" s="203">
        <f>150*60*8</f>
        <v>72000</v>
      </c>
      <c r="H20" s="201">
        <v>61000</v>
      </c>
      <c r="I20" s="421" t="s">
        <v>1416</v>
      </c>
      <c r="J20" s="703" t="s">
        <v>1426</v>
      </c>
      <c r="K20" s="704"/>
      <c r="L20" s="705"/>
      <c r="M20" s="196"/>
      <c r="N20" s="192"/>
      <c r="O20" s="193"/>
      <c r="P20" s="193"/>
    </row>
    <row r="21" spans="1:16" s="191" customFormat="1" ht="31.5" customHeight="1">
      <c r="A21" s="205">
        <v>18</v>
      </c>
      <c r="B21" s="204" t="s">
        <v>80</v>
      </c>
      <c r="C21" s="204" t="s">
        <v>81</v>
      </c>
      <c r="D21" s="204" t="s">
        <v>60</v>
      </c>
      <c r="E21" s="203">
        <v>2252000</v>
      </c>
      <c r="F21" s="214">
        <v>8</v>
      </c>
      <c r="G21" s="203">
        <f t="shared" ref="G21:G28" si="0">180*60*8</f>
        <v>86400</v>
      </c>
      <c r="H21" s="201">
        <f>86300</f>
        <v>86300</v>
      </c>
      <c r="I21" s="421" t="s">
        <v>1415</v>
      </c>
      <c r="J21" s="706"/>
      <c r="K21" s="704"/>
      <c r="L21" s="705"/>
      <c r="M21" s="196"/>
      <c r="N21" s="192"/>
      <c r="O21" s="193"/>
      <c r="P21" s="193"/>
    </row>
    <row r="22" spans="1:16" s="191" customFormat="1" ht="31.5" customHeight="1">
      <c r="A22" s="205">
        <v>24</v>
      </c>
      <c r="B22" s="204" t="s">
        <v>149</v>
      </c>
      <c r="C22" s="204" t="s">
        <v>150</v>
      </c>
      <c r="D22" s="204" t="s">
        <v>56</v>
      </c>
      <c r="E22" s="203">
        <v>5707900</v>
      </c>
      <c r="F22" s="214">
        <v>8</v>
      </c>
      <c r="G22" s="203">
        <f t="shared" si="0"/>
        <v>86400</v>
      </c>
      <c r="H22" s="201">
        <v>86000</v>
      </c>
      <c r="I22" s="421" t="s">
        <v>1416</v>
      </c>
      <c r="J22" s="706"/>
      <c r="K22" s="704"/>
      <c r="L22" s="705"/>
      <c r="M22" s="196"/>
      <c r="N22" s="192"/>
      <c r="O22" s="193"/>
      <c r="P22" s="193"/>
    </row>
    <row r="23" spans="1:16" s="191" customFormat="1" ht="31.5" customHeight="1">
      <c r="A23" s="205">
        <v>25</v>
      </c>
      <c r="B23" s="204" t="s">
        <v>80</v>
      </c>
      <c r="C23" s="204" t="s">
        <v>81</v>
      </c>
      <c r="D23" s="204" t="s">
        <v>60</v>
      </c>
      <c r="E23" s="203">
        <v>2252000</v>
      </c>
      <c r="F23" s="214">
        <v>8</v>
      </c>
      <c r="G23" s="203">
        <f t="shared" si="0"/>
        <v>86400</v>
      </c>
      <c r="H23" s="201">
        <v>85000</v>
      </c>
      <c r="I23" s="421" t="s">
        <v>1416</v>
      </c>
      <c r="J23" s="706"/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16</v>
      </c>
      <c r="B24" s="204" t="s">
        <v>162</v>
      </c>
      <c r="C24" s="204" t="s">
        <v>163</v>
      </c>
      <c r="D24" s="204" t="s">
        <v>56</v>
      </c>
      <c r="E24" s="203">
        <v>1879100</v>
      </c>
      <c r="F24" s="214">
        <v>8</v>
      </c>
      <c r="G24" s="203">
        <f t="shared" si="0"/>
        <v>86400</v>
      </c>
      <c r="H24" s="201">
        <v>86400</v>
      </c>
      <c r="I24" s="421" t="s">
        <v>1415</v>
      </c>
      <c r="J24" s="706"/>
      <c r="K24" s="704"/>
      <c r="L24" s="705"/>
      <c r="M24" s="196"/>
      <c r="N24" s="192"/>
      <c r="O24" s="193"/>
      <c r="P24" s="193"/>
    </row>
    <row r="25" spans="1:16" s="191" customFormat="1" ht="31.5" customHeight="1">
      <c r="A25" s="205">
        <v>17</v>
      </c>
      <c r="B25" s="204" t="s">
        <v>695</v>
      </c>
      <c r="C25" s="204" t="s">
        <v>45</v>
      </c>
      <c r="D25" s="204" t="s">
        <v>57</v>
      </c>
      <c r="E25" s="203">
        <v>1927700</v>
      </c>
      <c r="F25" s="214">
        <v>8</v>
      </c>
      <c r="G25" s="203">
        <f t="shared" si="0"/>
        <v>86400</v>
      </c>
      <c r="H25" s="201">
        <v>85000</v>
      </c>
      <c r="I25" s="421" t="s">
        <v>1415</v>
      </c>
      <c r="J25" s="706" t="s">
        <v>1428</v>
      </c>
      <c r="K25" s="704"/>
      <c r="L25" s="705"/>
      <c r="M25" s="196"/>
      <c r="N25" s="192"/>
      <c r="O25" s="193"/>
      <c r="P25" s="193"/>
    </row>
    <row r="26" spans="1:16" s="191" customFormat="1" ht="31.5" customHeight="1">
      <c r="A26" s="205">
        <v>26</v>
      </c>
      <c r="B26" s="204" t="s">
        <v>214</v>
      </c>
      <c r="C26" s="204" t="s">
        <v>46</v>
      </c>
      <c r="D26" s="204" t="s">
        <v>56</v>
      </c>
      <c r="E26" s="203">
        <v>463100</v>
      </c>
      <c r="F26" s="214">
        <v>8</v>
      </c>
      <c r="G26" s="203">
        <f t="shared" si="0"/>
        <v>86400</v>
      </c>
      <c r="H26" s="201">
        <v>10000</v>
      </c>
      <c r="I26" s="421" t="s">
        <v>1416</v>
      </c>
      <c r="J26" s="706" t="s">
        <v>1418</v>
      </c>
      <c r="K26" s="704"/>
      <c r="L26" s="705"/>
      <c r="M26" s="196"/>
      <c r="N26" s="192"/>
      <c r="O26" s="193"/>
      <c r="P26" s="193"/>
    </row>
    <row r="27" spans="1:16" s="191" customFormat="1" ht="31.5" customHeight="1">
      <c r="A27" s="205">
        <v>26</v>
      </c>
      <c r="B27" s="204" t="s">
        <v>214</v>
      </c>
      <c r="C27" s="204" t="s">
        <v>46</v>
      </c>
      <c r="D27" s="204" t="s">
        <v>56</v>
      </c>
      <c r="E27" s="203">
        <v>463100</v>
      </c>
      <c r="F27" s="214">
        <v>8</v>
      </c>
      <c r="G27" s="203">
        <f t="shared" si="0"/>
        <v>86400</v>
      </c>
      <c r="H27" s="201">
        <v>77000</v>
      </c>
      <c r="I27" s="421" t="s">
        <v>1416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5">
        <v>15</v>
      </c>
      <c r="B28" s="204" t="s">
        <v>164</v>
      </c>
      <c r="C28" s="204" t="s">
        <v>165</v>
      </c>
      <c r="D28" s="204" t="s">
        <v>1403</v>
      </c>
      <c r="E28" s="203">
        <v>3431500</v>
      </c>
      <c r="F28" s="214">
        <v>8</v>
      </c>
      <c r="G28" s="203">
        <f t="shared" si="0"/>
        <v>86400</v>
      </c>
      <c r="H28" s="201">
        <f>86600</f>
        <v>86600</v>
      </c>
      <c r="I28" s="421" t="s">
        <v>1415</v>
      </c>
      <c r="J28" s="706"/>
      <c r="K28" s="704"/>
      <c r="L28" s="705"/>
      <c r="M28" s="196"/>
      <c r="N28" s="192"/>
      <c r="O28" s="193"/>
      <c r="P28" s="193"/>
    </row>
    <row r="29" spans="1:16" s="191" customFormat="1" ht="31.5" customHeight="1">
      <c r="A29" s="206" t="s">
        <v>251</v>
      </c>
      <c r="B29" s="210"/>
      <c r="C29" s="210"/>
      <c r="D29" s="210"/>
      <c r="E29" s="210"/>
      <c r="F29" s="210"/>
      <c r="G29" s="210"/>
      <c r="H29" s="207">
        <f>SUM(H7:H28)</f>
        <v>967200</v>
      </c>
      <c r="I29" s="394"/>
      <c r="J29" s="706"/>
      <c r="K29" s="704"/>
      <c r="L29" s="705"/>
      <c r="M29" s="196"/>
      <c r="N29" s="192"/>
    </row>
    <row r="30" spans="1:16" s="191" customFormat="1" ht="15.75" customHeight="1">
      <c r="A30" s="197"/>
      <c r="B30" s="197"/>
      <c r="C30" s="197"/>
      <c r="D30" s="197"/>
      <c r="E30" s="198"/>
      <c r="F30" s="198"/>
      <c r="G30" s="198"/>
      <c r="H30" s="198"/>
      <c r="I30" s="198"/>
      <c r="J30" s="198"/>
      <c r="K30" s="198"/>
      <c r="O30" s="192"/>
    </row>
    <row r="31" spans="1:16" s="191" customFormat="1" ht="15.75" customHeight="1">
      <c r="A31" s="197"/>
      <c r="B31" s="197"/>
      <c r="C31" s="197"/>
      <c r="D31" s="197"/>
      <c r="E31" s="198"/>
      <c r="F31" s="198"/>
      <c r="G31" s="198"/>
      <c r="H31" s="198"/>
      <c r="I31" s="198"/>
      <c r="J31" s="198"/>
      <c r="K31" s="198"/>
      <c r="O31" s="192"/>
    </row>
    <row r="32" spans="1:16" s="191" customFormat="1" ht="15.75" customHeight="1">
      <c r="A32" s="197"/>
      <c r="B32" s="197"/>
      <c r="C32" s="197"/>
      <c r="D32" s="197"/>
      <c r="E32" s="198"/>
      <c r="F32" s="198"/>
      <c r="G32" s="198"/>
      <c r="H32" s="198"/>
      <c r="I32" s="198"/>
      <c r="J32" s="198"/>
      <c r="K32" s="198"/>
      <c r="O32" s="192"/>
    </row>
    <row r="33" spans="1:15" s="191" customFormat="1" ht="15.75" customHeight="1">
      <c r="A33" s="197"/>
      <c r="B33" s="197"/>
      <c r="C33" s="197"/>
      <c r="D33" s="197"/>
      <c r="E33" s="198"/>
      <c r="F33" s="198"/>
      <c r="G33" s="198"/>
      <c r="H33" s="198"/>
      <c r="I33" s="198"/>
      <c r="J33" s="198"/>
      <c r="K33" s="198"/>
      <c r="O33" s="192"/>
    </row>
    <row r="34" spans="1:15" s="191" customFormat="1" ht="15.75" customHeight="1">
      <c r="A34" s="197"/>
      <c r="B34" s="197"/>
      <c r="C34" s="197"/>
      <c r="D34" s="197"/>
      <c r="E34" s="198"/>
      <c r="F34" s="198"/>
      <c r="G34" s="198"/>
      <c r="H34" s="198"/>
      <c r="I34" s="198"/>
      <c r="J34" s="198"/>
      <c r="K34" s="198"/>
      <c r="O34" s="192"/>
    </row>
    <row r="35" spans="1:15" s="191" customFormat="1" ht="15.75" customHeight="1">
      <c r="A35" s="197"/>
      <c r="B35" s="197"/>
      <c r="C35" s="197"/>
      <c r="D35" s="197"/>
      <c r="E35" s="198"/>
      <c r="F35" s="198"/>
      <c r="G35" s="198"/>
      <c r="H35" s="198"/>
      <c r="I35" s="198"/>
      <c r="J35" s="198"/>
      <c r="K35" s="198"/>
      <c r="O35" s="192"/>
    </row>
    <row r="36" spans="1:15" s="191" customFormat="1" ht="15.75" customHeight="1">
      <c r="A36" s="197"/>
      <c r="B36" s="197"/>
      <c r="C36" s="197"/>
      <c r="D36" s="197"/>
      <c r="E36" s="198"/>
      <c r="F36" s="198"/>
      <c r="G36" s="198"/>
      <c r="H36" s="198"/>
      <c r="I36" s="198"/>
      <c r="J36" s="198"/>
      <c r="K36" s="198"/>
      <c r="O36" s="192"/>
    </row>
    <row r="37" spans="1:15" s="191" customFormat="1" ht="15.75">
      <c r="A37" s="197"/>
      <c r="B37" s="197"/>
      <c r="C37" s="197"/>
      <c r="D37" s="197"/>
      <c r="E37" s="198"/>
      <c r="F37" s="198"/>
      <c r="G37" s="198"/>
      <c r="H37" s="198"/>
      <c r="I37" s="198"/>
      <c r="J37" s="198"/>
      <c r="K37" s="198"/>
      <c r="O37" s="192"/>
    </row>
    <row r="38" spans="1:15" s="191" customFormat="1" ht="15.75">
      <c r="A38" s="197"/>
      <c r="B38" s="197"/>
      <c r="C38" s="197"/>
      <c r="D38" s="197"/>
      <c r="E38" s="198"/>
      <c r="F38" s="198"/>
      <c r="G38" s="198"/>
      <c r="H38" s="198"/>
      <c r="I38" s="198"/>
      <c r="J38" s="198"/>
      <c r="K38" s="198"/>
      <c r="O38" s="192"/>
    </row>
    <row r="39" spans="1:15" s="191" customFormat="1" ht="15.75">
      <c r="A39" s="197"/>
      <c r="B39" s="197"/>
      <c r="C39" s="197"/>
      <c r="D39" s="197"/>
      <c r="E39" s="198"/>
      <c r="F39" s="198"/>
      <c r="G39" s="198"/>
      <c r="H39" s="198"/>
      <c r="I39" s="198"/>
      <c r="J39" s="198"/>
      <c r="K39" s="198"/>
      <c r="O39" s="192"/>
    </row>
    <row r="40" spans="1:15" s="191" customFormat="1" ht="15.75">
      <c r="A40" s="197"/>
      <c r="B40" s="197"/>
      <c r="C40" s="197"/>
      <c r="D40" s="197"/>
      <c r="E40" s="198"/>
      <c r="F40" s="198"/>
      <c r="G40" s="198"/>
      <c r="H40" s="198"/>
      <c r="I40" s="198"/>
      <c r="J40" s="198"/>
      <c r="K40" s="198"/>
      <c r="O40" s="192"/>
    </row>
    <row r="41" spans="1:15" s="191" customFormat="1" ht="15.75">
      <c r="A41" s="197"/>
      <c r="B41" s="197"/>
      <c r="C41" s="197"/>
      <c r="D41" s="197"/>
      <c r="E41" s="198"/>
      <c r="F41" s="198"/>
      <c r="G41" s="198"/>
      <c r="H41" s="198"/>
      <c r="I41" s="198"/>
      <c r="J41" s="198"/>
      <c r="K41" s="198"/>
      <c r="O41" s="192"/>
    </row>
    <row r="42" spans="1:15" s="191" customFormat="1" ht="15.75">
      <c r="A42" s="19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O42" s="192"/>
    </row>
    <row r="43" spans="1:15" s="191" customFormat="1" ht="15.75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</row>
    <row r="44" spans="1:15" s="191" customFormat="1" ht="15.75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</row>
    <row r="45" spans="1:15" s="191" customFormat="1" ht="15.75">
      <c r="A45" s="197"/>
      <c r="B45" s="197"/>
      <c r="C45" s="197"/>
      <c r="D45" s="197"/>
      <c r="E45" s="197"/>
      <c r="F45" s="197"/>
      <c r="G45" s="197"/>
      <c r="H45" s="197"/>
      <c r="I45" s="197"/>
      <c r="J45" s="197"/>
      <c r="K45" s="197"/>
    </row>
    <row r="46" spans="1:15" s="191" customFormat="1" ht="15.75">
      <c r="A46" s="197"/>
      <c r="B46" s="197"/>
      <c r="C46" s="197"/>
      <c r="D46" s="197"/>
      <c r="E46" s="197"/>
      <c r="F46" s="197"/>
      <c r="G46" s="197"/>
      <c r="H46" s="197"/>
      <c r="I46" s="197"/>
      <c r="J46" s="197"/>
      <c r="K46" s="197"/>
    </row>
    <row r="47" spans="1:15" s="191" customFormat="1" ht="15.75">
      <c r="A47" s="197"/>
      <c r="B47" s="197"/>
      <c r="C47" s="197"/>
      <c r="D47" s="197"/>
      <c r="E47" s="197"/>
      <c r="F47" s="197"/>
      <c r="G47" s="197"/>
      <c r="H47" s="197"/>
      <c r="I47" s="197"/>
      <c r="J47" s="197"/>
      <c r="K47" s="197"/>
    </row>
    <row r="48" spans="1:15" s="191" customFormat="1" ht="15.75">
      <c r="A48" s="197"/>
      <c r="B48" s="197"/>
      <c r="C48" s="197"/>
      <c r="D48" s="197"/>
      <c r="E48" s="197"/>
      <c r="F48" s="197"/>
      <c r="G48" s="197"/>
      <c r="H48" s="197"/>
      <c r="I48" s="197"/>
      <c r="J48" s="197"/>
      <c r="K48" s="197"/>
    </row>
    <row r="49" spans="1:11" s="191" customFormat="1" ht="15.75">
      <c r="A49" s="197"/>
      <c r="B49" s="197"/>
      <c r="C49" s="197"/>
      <c r="D49" s="197"/>
      <c r="E49" s="197"/>
      <c r="F49" s="197"/>
      <c r="G49" s="197"/>
      <c r="H49" s="197"/>
      <c r="I49" s="197"/>
      <c r="J49" s="197"/>
      <c r="K49" s="197"/>
    </row>
    <row r="50" spans="1:11" s="191" customFormat="1" ht="15.75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</row>
    <row r="51" spans="1:11" s="191" customFormat="1" ht="15.75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</row>
    <row r="52" spans="1:11" s="191" customFormat="1" ht="15.75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</row>
  </sheetData>
  <mergeCells count="33">
    <mergeCell ref="A5:A6"/>
    <mergeCell ref="B5:B6"/>
    <mergeCell ref="C5:C6"/>
    <mergeCell ref="D5:D6"/>
    <mergeCell ref="J5:L6"/>
    <mergeCell ref="A1:I3"/>
    <mergeCell ref="J2:J3"/>
    <mergeCell ref="K2:K3"/>
    <mergeCell ref="L2:L3"/>
    <mergeCell ref="A4:B4"/>
    <mergeCell ref="J7:L7"/>
    <mergeCell ref="J18:L18"/>
    <mergeCell ref="J13:L13"/>
    <mergeCell ref="J12:L12"/>
    <mergeCell ref="J9:L9"/>
    <mergeCell ref="J10:L10"/>
    <mergeCell ref="J15:L15"/>
    <mergeCell ref="J11:L11"/>
    <mergeCell ref="J21:L21"/>
    <mergeCell ref="J8:L8"/>
    <mergeCell ref="J29:L29"/>
    <mergeCell ref="J27:L27"/>
    <mergeCell ref="J28:L28"/>
    <mergeCell ref="J26:L26"/>
    <mergeCell ref="J16:L16"/>
    <mergeCell ref="J23:L23"/>
    <mergeCell ref="J24:L24"/>
    <mergeCell ref="J25:L25"/>
    <mergeCell ref="J22:L22"/>
    <mergeCell ref="J19:L19"/>
    <mergeCell ref="J20:L20"/>
    <mergeCell ref="J17:L17"/>
    <mergeCell ref="J14:L14"/>
  </mergeCells>
  <phoneticPr fontId="74" type="noConversion"/>
  <conditionalFormatting sqref="H7:I28">
    <cfRule type="cellIs" dxfId="15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7">
    <pageSetUpPr fitToPage="1"/>
  </sheetPr>
  <dimension ref="A1:P79"/>
  <sheetViews>
    <sheetView view="pageBreakPreview" topLeftCell="A31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1369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1370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206</v>
      </c>
      <c r="C7" s="200" t="s">
        <v>36</v>
      </c>
      <c r="D7" s="200" t="s">
        <v>207</v>
      </c>
      <c r="E7" s="201">
        <v>23500</v>
      </c>
      <c r="F7" s="213">
        <v>8</v>
      </c>
      <c r="G7" s="201">
        <f>42*60*8</f>
        <v>20160</v>
      </c>
      <c r="H7" s="201">
        <v>23500</v>
      </c>
      <c r="I7" s="393" t="s">
        <v>1328</v>
      </c>
      <c r="J7" s="706" t="s">
        <v>1371</v>
      </c>
      <c r="K7" s="704"/>
      <c r="L7" s="705"/>
      <c r="M7" s="192"/>
      <c r="N7" s="192"/>
      <c r="O7" s="193"/>
      <c r="P7" s="193"/>
    </row>
    <row r="8" spans="1:16" s="191" customFormat="1" ht="31.5" customHeight="1">
      <c r="A8" s="199">
        <v>2</v>
      </c>
      <c r="B8" s="200" t="s">
        <v>92</v>
      </c>
      <c r="C8" s="200" t="s">
        <v>93</v>
      </c>
      <c r="D8" s="200" t="s">
        <v>94</v>
      </c>
      <c r="E8" s="201">
        <v>23800</v>
      </c>
      <c r="F8" s="213">
        <v>10</v>
      </c>
      <c r="G8" s="201">
        <f>42*60*10</f>
        <v>25200</v>
      </c>
      <c r="H8" s="201">
        <v>4800</v>
      </c>
      <c r="I8" s="393" t="s">
        <v>1329</v>
      </c>
      <c r="J8" s="706" t="s">
        <v>1372</v>
      </c>
      <c r="K8" s="704"/>
      <c r="L8" s="705"/>
      <c r="M8" s="192"/>
      <c r="N8" s="192"/>
      <c r="O8" s="193"/>
      <c r="P8" s="193"/>
    </row>
    <row r="9" spans="1:16" s="191" customFormat="1" ht="31.5" customHeight="1">
      <c r="A9" s="199">
        <v>3</v>
      </c>
      <c r="B9" s="200" t="s">
        <v>486</v>
      </c>
      <c r="C9" s="200" t="s">
        <v>487</v>
      </c>
      <c r="D9" s="200" t="s">
        <v>488</v>
      </c>
      <c r="E9" s="201"/>
      <c r="F9" s="213">
        <v>8</v>
      </c>
      <c r="G9" s="201">
        <f>40*60*10</f>
        <v>24000</v>
      </c>
      <c r="H9" s="201">
        <v>21000</v>
      </c>
      <c r="I9" s="393" t="s">
        <v>1330</v>
      </c>
      <c r="J9" s="706" t="s">
        <v>1373</v>
      </c>
      <c r="K9" s="704"/>
      <c r="L9" s="705"/>
      <c r="M9" s="192"/>
      <c r="N9" s="192"/>
      <c r="O9" s="193"/>
      <c r="P9" s="193"/>
    </row>
    <row r="10" spans="1:16" s="195" customFormat="1" ht="31.5" customHeight="1">
      <c r="A10" s="202">
        <v>4</v>
      </c>
      <c r="B10" s="203" t="s">
        <v>143</v>
      </c>
      <c r="C10" s="203" t="s">
        <v>38</v>
      </c>
      <c r="D10" s="203" t="s">
        <v>50</v>
      </c>
      <c r="E10" s="203">
        <v>34500</v>
      </c>
      <c r="F10" s="214">
        <v>8</v>
      </c>
      <c r="G10" s="203">
        <f>70*60*8</f>
        <v>33600</v>
      </c>
      <c r="H10" s="201">
        <v>34500</v>
      </c>
      <c r="I10" s="393" t="s">
        <v>1330</v>
      </c>
      <c r="J10" s="706" t="s">
        <v>1374</v>
      </c>
      <c r="K10" s="704"/>
      <c r="L10" s="705"/>
      <c r="M10" s="194"/>
      <c r="N10" s="192"/>
      <c r="O10" s="193"/>
      <c r="P10" s="193"/>
    </row>
    <row r="11" spans="1:16" s="195" customFormat="1" ht="31.5" customHeight="1">
      <c r="A11" s="202">
        <v>5</v>
      </c>
      <c r="B11" s="203" t="s">
        <v>143</v>
      </c>
      <c r="C11" s="204" t="s">
        <v>38</v>
      </c>
      <c r="D11" s="203" t="s">
        <v>50</v>
      </c>
      <c r="E11" s="203">
        <v>0</v>
      </c>
      <c r="F11" s="214">
        <v>10</v>
      </c>
      <c r="G11" s="203">
        <f>50*60*10</f>
        <v>30000</v>
      </c>
      <c r="H11" s="201">
        <v>30000</v>
      </c>
      <c r="I11" s="393" t="s">
        <v>1329</v>
      </c>
      <c r="J11" s="706"/>
      <c r="K11" s="704"/>
      <c r="L11" s="705"/>
      <c r="M11" s="194"/>
      <c r="N11" s="192"/>
      <c r="O11" s="193"/>
      <c r="P11" s="193"/>
    </row>
    <row r="12" spans="1:16" s="195" customFormat="1" ht="31.5" customHeight="1">
      <c r="A12" s="202">
        <v>6</v>
      </c>
      <c r="B12" s="203" t="s">
        <v>173</v>
      </c>
      <c r="C12" s="204" t="s">
        <v>174</v>
      </c>
      <c r="D12" s="203" t="s">
        <v>175</v>
      </c>
      <c r="E12" s="203">
        <v>24000</v>
      </c>
      <c r="F12" s="214">
        <v>10</v>
      </c>
      <c r="G12" s="203">
        <f>42*60*10</f>
        <v>25200</v>
      </c>
      <c r="H12" s="201">
        <v>23200</v>
      </c>
      <c r="I12" s="393" t="s">
        <v>1329</v>
      </c>
      <c r="J12" s="703" t="s">
        <v>1375</v>
      </c>
      <c r="K12" s="704"/>
      <c r="L12" s="705"/>
      <c r="M12" s="194"/>
      <c r="N12" s="192"/>
      <c r="O12" s="193"/>
      <c r="P12" s="193"/>
    </row>
    <row r="13" spans="1:16" s="195" customFormat="1" ht="31.5" customHeight="1">
      <c r="A13" s="202">
        <v>7</v>
      </c>
      <c r="B13" s="203" t="s">
        <v>173</v>
      </c>
      <c r="C13" s="204" t="s">
        <v>174</v>
      </c>
      <c r="D13" s="203" t="s">
        <v>175</v>
      </c>
      <c r="E13" s="203">
        <v>7200</v>
      </c>
      <c r="F13" s="214">
        <v>10.5</v>
      </c>
      <c r="G13" s="203">
        <f>100*60*10.5</f>
        <v>63000</v>
      </c>
      <c r="H13" s="201">
        <v>62000</v>
      </c>
      <c r="I13" s="393" t="s">
        <v>1331</v>
      </c>
      <c r="J13" s="706" t="s">
        <v>1371</v>
      </c>
      <c r="K13" s="704"/>
      <c r="L13" s="705"/>
      <c r="M13" s="194"/>
      <c r="N13" s="192"/>
      <c r="O13" s="193"/>
      <c r="P13" s="193"/>
    </row>
    <row r="14" spans="1:16" s="195" customFormat="1" ht="31.5" customHeight="1">
      <c r="A14" s="199" t="s">
        <v>66</v>
      </c>
      <c r="B14" s="200" t="s">
        <v>139</v>
      </c>
      <c r="C14" s="200" t="s">
        <v>140</v>
      </c>
      <c r="D14" s="200" t="s">
        <v>142</v>
      </c>
      <c r="E14" s="201">
        <v>25000</v>
      </c>
      <c r="F14" s="213">
        <v>10.5</v>
      </c>
      <c r="G14" s="201">
        <f>138*60*10.5</f>
        <v>86940</v>
      </c>
      <c r="H14" s="201">
        <v>84000</v>
      </c>
      <c r="I14" s="393" t="s">
        <v>1331</v>
      </c>
      <c r="J14" s="706" t="s">
        <v>1371</v>
      </c>
      <c r="K14" s="704"/>
      <c r="L14" s="705"/>
      <c r="M14" s="194"/>
      <c r="N14" s="192"/>
      <c r="O14" s="193"/>
      <c r="P14" s="193"/>
    </row>
    <row r="15" spans="1:16" s="195" customFormat="1" ht="31.5" customHeight="1">
      <c r="A15" s="202" t="s">
        <v>218</v>
      </c>
      <c r="B15" s="203" t="s">
        <v>139</v>
      </c>
      <c r="C15" s="204" t="s">
        <v>140</v>
      </c>
      <c r="D15" s="203" t="s">
        <v>142</v>
      </c>
      <c r="E15" s="203"/>
      <c r="F15" s="214">
        <v>10.5</v>
      </c>
      <c r="G15" s="203">
        <f>42*60*10.5</f>
        <v>26460</v>
      </c>
      <c r="H15" s="201">
        <v>21500</v>
      </c>
      <c r="I15" s="393" t="s">
        <v>1332</v>
      </c>
      <c r="J15" s="703" t="s">
        <v>1376</v>
      </c>
      <c r="K15" s="704"/>
      <c r="L15" s="705"/>
      <c r="M15" s="194"/>
      <c r="N15" s="192"/>
      <c r="O15" s="193"/>
      <c r="P15" s="193"/>
    </row>
    <row r="16" spans="1:16" s="191" customFormat="1" ht="31.5" customHeight="1">
      <c r="A16" s="202">
        <v>8</v>
      </c>
      <c r="B16" s="203" t="s">
        <v>30</v>
      </c>
      <c r="C16" s="204" t="s">
        <v>43</v>
      </c>
      <c r="D16" s="203" t="s">
        <v>55</v>
      </c>
      <c r="E16" s="203">
        <v>67000</v>
      </c>
      <c r="F16" s="214">
        <v>10.5</v>
      </c>
      <c r="G16" s="203">
        <f>50*60*10.5</f>
        <v>31500</v>
      </c>
      <c r="H16" s="201">
        <v>25000</v>
      </c>
      <c r="I16" s="393" t="s">
        <v>1332</v>
      </c>
      <c r="J16" s="703" t="s">
        <v>1377</v>
      </c>
      <c r="K16" s="704"/>
      <c r="L16" s="705"/>
      <c r="M16" s="192"/>
      <c r="N16" s="192"/>
      <c r="O16" s="193"/>
      <c r="P16" s="193"/>
    </row>
    <row r="17" spans="1:16" s="191" customFormat="1" ht="31.5" customHeight="1">
      <c r="A17" s="205">
        <v>9</v>
      </c>
      <c r="B17" s="204" t="s">
        <v>27</v>
      </c>
      <c r="C17" s="204" t="s">
        <v>40</v>
      </c>
      <c r="D17" s="204" t="s">
        <v>52</v>
      </c>
      <c r="E17" s="203">
        <v>85000</v>
      </c>
      <c r="F17" s="214">
        <v>8</v>
      </c>
      <c r="G17" s="203">
        <f>50*60*8</f>
        <v>24000</v>
      </c>
      <c r="H17" s="201">
        <v>22000</v>
      </c>
      <c r="I17" s="393" t="s">
        <v>1352</v>
      </c>
      <c r="J17" s="706" t="s">
        <v>1378</v>
      </c>
      <c r="K17" s="704"/>
      <c r="L17" s="705"/>
      <c r="M17" s="196"/>
      <c r="N17" s="192"/>
      <c r="O17" s="193"/>
      <c r="P17" s="193"/>
    </row>
    <row r="18" spans="1:16" s="191" customFormat="1" ht="31.5" customHeight="1">
      <c r="A18" s="205">
        <v>10</v>
      </c>
      <c r="B18" s="204" t="s">
        <v>26</v>
      </c>
      <c r="C18" s="204" t="s">
        <v>39</v>
      </c>
      <c r="D18" s="204" t="s">
        <v>51</v>
      </c>
      <c r="E18" s="203"/>
      <c r="F18" s="214">
        <v>8</v>
      </c>
      <c r="G18" s="203">
        <f>45*60*8</f>
        <v>21600</v>
      </c>
      <c r="H18" s="201">
        <v>1000</v>
      </c>
      <c r="I18" s="393" t="s">
        <v>1352</v>
      </c>
      <c r="J18" s="706" t="s">
        <v>1353</v>
      </c>
      <c r="K18" s="704"/>
      <c r="L18" s="705"/>
      <c r="M18" s="196"/>
      <c r="N18" s="192"/>
      <c r="O18" s="193"/>
      <c r="P18" s="193"/>
    </row>
    <row r="19" spans="1:16" s="191" customFormat="1" ht="31.5" customHeight="1">
      <c r="A19" s="205">
        <v>10</v>
      </c>
      <c r="B19" s="204" t="s">
        <v>223</v>
      </c>
      <c r="C19" s="204" t="s">
        <v>224</v>
      </c>
      <c r="D19" s="204" t="s">
        <v>225</v>
      </c>
      <c r="E19" s="203">
        <v>35000</v>
      </c>
      <c r="F19" s="214">
        <v>8</v>
      </c>
      <c r="G19" s="203">
        <f>50*60*8</f>
        <v>24000</v>
      </c>
      <c r="H19" s="201"/>
      <c r="I19" s="393" t="s">
        <v>1352</v>
      </c>
      <c r="J19" s="706"/>
      <c r="K19" s="704"/>
      <c r="L19" s="705"/>
      <c r="M19" s="196"/>
      <c r="N19" s="192"/>
      <c r="O19" s="193"/>
      <c r="P19" s="193"/>
    </row>
    <row r="20" spans="1:16" s="191" customFormat="1" ht="31.5" customHeight="1">
      <c r="A20" s="205">
        <v>11</v>
      </c>
      <c r="B20" s="204" t="s">
        <v>968</v>
      </c>
      <c r="C20" s="204" t="s">
        <v>152</v>
      </c>
      <c r="D20" s="204" t="s">
        <v>1299</v>
      </c>
      <c r="E20" s="203">
        <v>25500</v>
      </c>
      <c r="F20" s="214">
        <v>8</v>
      </c>
      <c r="G20" s="203">
        <f>89*60*8</f>
        <v>42720</v>
      </c>
      <c r="H20" s="201">
        <v>40000</v>
      </c>
      <c r="I20" s="393" t="s">
        <v>1352</v>
      </c>
      <c r="J20" s="706"/>
      <c r="K20" s="704"/>
      <c r="L20" s="705"/>
      <c r="M20" s="196"/>
      <c r="N20" s="192"/>
      <c r="O20" s="193"/>
      <c r="P20" s="193"/>
    </row>
    <row r="21" spans="1:16" s="191" customFormat="1" ht="31.5" customHeight="1">
      <c r="A21" s="206">
        <v>12</v>
      </c>
      <c r="B21" s="204" t="s">
        <v>28</v>
      </c>
      <c r="C21" s="204" t="s">
        <v>41</v>
      </c>
      <c r="D21" s="204" t="s">
        <v>53</v>
      </c>
      <c r="E21" s="203">
        <v>25000</v>
      </c>
      <c r="F21" s="214">
        <v>10.5</v>
      </c>
      <c r="G21" s="203">
        <f>110*60*10.5</f>
        <v>69300</v>
      </c>
      <c r="H21" s="201">
        <v>65000</v>
      </c>
      <c r="I21" s="393" t="s">
        <v>1334</v>
      </c>
      <c r="J21" s="703" t="s">
        <v>1379</v>
      </c>
      <c r="K21" s="704"/>
      <c r="L21" s="705"/>
      <c r="M21" s="196"/>
      <c r="N21" s="192"/>
      <c r="O21" s="193"/>
      <c r="P21" s="193"/>
    </row>
    <row r="22" spans="1:16" s="191" customFormat="1" ht="31.5" customHeight="1">
      <c r="A22" s="206">
        <v>12</v>
      </c>
      <c r="B22" s="204" t="s">
        <v>248</v>
      </c>
      <c r="C22" s="204" t="s">
        <v>249</v>
      </c>
      <c r="D22" s="204" t="s">
        <v>105</v>
      </c>
      <c r="E22" s="203">
        <v>38000</v>
      </c>
      <c r="F22" s="214">
        <v>10.5</v>
      </c>
      <c r="G22" s="203">
        <f>120*60*10.5</f>
        <v>75600</v>
      </c>
      <c r="H22" s="201"/>
      <c r="I22" s="393" t="s">
        <v>1334</v>
      </c>
      <c r="J22" s="703"/>
      <c r="K22" s="704"/>
      <c r="L22" s="705"/>
      <c r="M22" s="196"/>
      <c r="N22" s="192"/>
      <c r="O22" s="193"/>
      <c r="P22" s="193"/>
    </row>
    <row r="23" spans="1:16" s="191" customFormat="1" ht="31.5" customHeight="1">
      <c r="A23" s="206">
        <v>13</v>
      </c>
      <c r="B23" s="204" t="s">
        <v>234</v>
      </c>
      <c r="C23" s="204" t="s">
        <v>235</v>
      </c>
      <c r="D23" s="204" t="s">
        <v>236</v>
      </c>
      <c r="E23" s="203">
        <v>38000</v>
      </c>
      <c r="F23" s="214">
        <v>10.5</v>
      </c>
      <c r="G23" s="203">
        <f>110*60*10.5</f>
        <v>69300</v>
      </c>
      <c r="H23" s="201">
        <v>68000</v>
      </c>
      <c r="I23" s="393" t="s">
        <v>1334</v>
      </c>
      <c r="J23" s="706" t="s">
        <v>1380</v>
      </c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14</v>
      </c>
      <c r="B24" s="204" t="s">
        <v>436</v>
      </c>
      <c r="C24" s="204" t="s">
        <v>438</v>
      </c>
      <c r="D24" s="204" t="s">
        <v>1389</v>
      </c>
      <c r="E24" s="203"/>
      <c r="F24" s="214">
        <v>10.5</v>
      </c>
      <c r="G24" s="203">
        <f>120*60*10.5</f>
        <v>75600</v>
      </c>
      <c r="H24" s="201">
        <v>73000</v>
      </c>
      <c r="I24" s="393" t="s">
        <v>1334</v>
      </c>
      <c r="J24" s="706" t="s">
        <v>1381</v>
      </c>
      <c r="K24" s="704"/>
      <c r="L24" s="705"/>
      <c r="M24" s="196"/>
      <c r="N24" s="192"/>
      <c r="O24" s="193"/>
      <c r="P24" s="193"/>
    </row>
    <row r="25" spans="1:16" s="191" customFormat="1" ht="31.5" customHeight="1">
      <c r="A25" s="205">
        <v>29</v>
      </c>
      <c r="B25" s="204" t="s">
        <v>988</v>
      </c>
      <c r="C25" s="204" t="s">
        <v>990</v>
      </c>
      <c r="D25" s="204" t="s">
        <v>54</v>
      </c>
      <c r="E25" s="203">
        <v>20000</v>
      </c>
      <c r="F25" s="214">
        <v>9</v>
      </c>
      <c r="G25" s="203">
        <f>180*60*9</f>
        <v>97200</v>
      </c>
      <c r="H25" s="201">
        <v>95500</v>
      </c>
      <c r="I25" s="393" t="s">
        <v>1360</v>
      </c>
      <c r="J25" s="706" t="s">
        <v>1358</v>
      </c>
      <c r="K25" s="704"/>
      <c r="L25" s="705"/>
      <c r="M25" s="196"/>
      <c r="N25" s="192"/>
      <c r="O25" s="193"/>
      <c r="P25" s="193"/>
    </row>
    <row r="26" spans="1:16" s="191" customFormat="1" ht="31.5" customHeight="1">
      <c r="A26" s="205">
        <v>17</v>
      </c>
      <c r="B26" s="204" t="s">
        <v>988</v>
      </c>
      <c r="C26" s="204" t="s">
        <v>990</v>
      </c>
      <c r="D26" s="204" t="s">
        <v>54</v>
      </c>
      <c r="E26" s="203">
        <v>48000</v>
      </c>
      <c r="F26" s="214">
        <v>12</v>
      </c>
      <c r="G26" s="203">
        <f>180*60*12</f>
        <v>129600</v>
      </c>
      <c r="H26" s="201">
        <f>121000</f>
        <v>121000</v>
      </c>
      <c r="I26" s="393" t="s">
        <v>1335</v>
      </c>
      <c r="J26" s="706" t="s">
        <v>1382</v>
      </c>
      <c r="K26" s="704"/>
      <c r="L26" s="705"/>
      <c r="M26" s="196"/>
      <c r="N26" s="192"/>
      <c r="O26" s="193"/>
      <c r="P26" s="193"/>
    </row>
    <row r="27" spans="1:16" s="191" customFormat="1" ht="31.5" customHeight="1">
      <c r="A27" s="205">
        <v>18</v>
      </c>
      <c r="B27" s="204" t="s">
        <v>775</v>
      </c>
      <c r="C27" s="204" t="s">
        <v>777</v>
      </c>
      <c r="D27" s="204" t="s">
        <v>1339</v>
      </c>
      <c r="E27" s="203">
        <v>68000</v>
      </c>
      <c r="F27" s="214">
        <v>12</v>
      </c>
      <c r="G27" s="203">
        <f>180*60*12</f>
        <v>129600</v>
      </c>
      <c r="H27" s="201">
        <v>127000</v>
      </c>
      <c r="I27" s="393" t="s">
        <v>1335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5">
        <v>24</v>
      </c>
      <c r="B28" s="204" t="s">
        <v>198</v>
      </c>
      <c r="C28" s="204" t="s">
        <v>199</v>
      </c>
      <c r="D28" s="204" t="s">
        <v>54</v>
      </c>
      <c r="E28" s="203"/>
      <c r="F28" s="214">
        <v>9</v>
      </c>
      <c r="G28" s="203">
        <f>180*60*9</f>
        <v>97200</v>
      </c>
      <c r="H28" s="201">
        <v>96000</v>
      </c>
      <c r="I28" s="393" t="s">
        <v>1337</v>
      </c>
      <c r="J28" s="706" t="s">
        <v>1358</v>
      </c>
      <c r="K28" s="704"/>
      <c r="L28" s="705"/>
      <c r="M28" s="196"/>
      <c r="N28" s="192"/>
      <c r="O28" s="193"/>
      <c r="P28" s="193"/>
    </row>
    <row r="29" spans="1:16" s="191" customFormat="1" ht="31.5" customHeight="1">
      <c r="A29" s="205">
        <v>19</v>
      </c>
      <c r="B29" s="204" t="s">
        <v>29</v>
      </c>
      <c r="C29" s="204" t="s">
        <v>42</v>
      </c>
      <c r="D29" s="204" t="s">
        <v>54</v>
      </c>
      <c r="E29" s="203">
        <v>73000</v>
      </c>
      <c r="F29" s="214">
        <v>9</v>
      </c>
      <c r="G29" s="203">
        <f>180*60*9</f>
        <v>97200</v>
      </c>
      <c r="H29" s="201">
        <f>94000</f>
        <v>94000</v>
      </c>
      <c r="I29" s="393" t="s">
        <v>1336</v>
      </c>
      <c r="J29" s="706" t="s">
        <v>1358</v>
      </c>
      <c r="K29" s="704"/>
      <c r="L29" s="705"/>
      <c r="M29" s="196"/>
      <c r="N29" s="192"/>
      <c r="O29" s="193"/>
      <c r="P29" s="193"/>
    </row>
    <row r="30" spans="1:16" s="191" customFormat="1" ht="31.5" customHeight="1">
      <c r="A30" s="205">
        <v>27</v>
      </c>
      <c r="B30" s="204" t="s">
        <v>195</v>
      </c>
      <c r="C30" s="204" t="s">
        <v>167</v>
      </c>
      <c r="D30" s="204" t="s">
        <v>59</v>
      </c>
      <c r="E30" s="203">
        <v>47000</v>
      </c>
      <c r="F30" s="214">
        <v>9</v>
      </c>
      <c r="G30" s="203">
        <f>180*60*9</f>
        <v>97200</v>
      </c>
      <c r="H30" s="201">
        <v>96000</v>
      </c>
      <c r="I30" s="393" t="s">
        <v>1383</v>
      </c>
      <c r="J30" s="706"/>
      <c r="K30" s="704"/>
      <c r="L30" s="705"/>
      <c r="M30" s="196"/>
      <c r="N30" s="192"/>
      <c r="O30" s="193"/>
      <c r="P30" s="193"/>
    </row>
    <row r="31" spans="1:16" s="191" customFormat="1" ht="31.5" customHeight="1">
      <c r="A31" s="206">
        <v>25</v>
      </c>
      <c r="B31" s="204" t="s">
        <v>128</v>
      </c>
      <c r="C31" s="204" t="s">
        <v>129</v>
      </c>
      <c r="D31" s="204" t="s">
        <v>59</v>
      </c>
      <c r="E31" s="203"/>
      <c r="F31" s="214">
        <v>9</v>
      </c>
      <c r="G31" s="203">
        <f t="shared" ref="G31:G41" si="0">180*60*9</f>
        <v>97200</v>
      </c>
      <c r="H31" s="201">
        <v>93000</v>
      </c>
      <c r="I31" s="393" t="s">
        <v>1337</v>
      </c>
      <c r="J31" s="706" t="s">
        <v>1358</v>
      </c>
      <c r="K31" s="704"/>
      <c r="L31" s="705"/>
      <c r="M31" s="196"/>
      <c r="N31" s="192"/>
      <c r="O31" s="193"/>
      <c r="P31" s="193"/>
    </row>
    <row r="32" spans="1:16" s="191" customFormat="1" ht="31.5" customHeight="1">
      <c r="A32" s="206">
        <v>26</v>
      </c>
      <c r="B32" s="204" t="s">
        <v>149</v>
      </c>
      <c r="C32" s="204" t="s">
        <v>150</v>
      </c>
      <c r="D32" s="204" t="s">
        <v>56</v>
      </c>
      <c r="E32" s="203">
        <f>32900+126000+127000</f>
        <v>285900</v>
      </c>
      <c r="F32" s="214">
        <v>9</v>
      </c>
      <c r="G32" s="203">
        <f>150*60*9</f>
        <v>81000</v>
      </c>
      <c r="H32" s="201">
        <v>78800</v>
      </c>
      <c r="I32" s="393" t="s">
        <v>1337</v>
      </c>
      <c r="J32" s="706" t="s">
        <v>1358</v>
      </c>
      <c r="K32" s="704"/>
      <c r="L32" s="705"/>
      <c r="M32" s="196"/>
      <c r="N32" s="192"/>
      <c r="O32" s="193"/>
      <c r="P32" s="193"/>
    </row>
    <row r="33" spans="1:16" s="191" customFormat="1" ht="31.5" customHeight="1">
      <c r="A33" s="206">
        <v>31</v>
      </c>
      <c r="B33" s="204" t="s">
        <v>176</v>
      </c>
      <c r="C33" s="204" t="s">
        <v>148</v>
      </c>
      <c r="D33" s="204" t="s">
        <v>153</v>
      </c>
      <c r="E33" s="203">
        <f>126000+125000</f>
        <v>251000</v>
      </c>
      <c r="F33" s="214">
        <v>12</v>
      </c>
      <c r="G33" s="203">
        <f>180*60*12</f>
        <v>129600</v>
      </c>
      <c r="H33" s="201">
        <v>36500</v>
      </c>
      <c r="I33" s="393" t="s">
        <v>1360</v>
      </c>
      <c r="J33" s="706" t="s">
        <v>1385</v>
      </c>
      <c r="K33" s="704"/>
      <c r="L33" s="705"/>
      <c r="M33" s="196"/>
      <c r="N33" s="192"/>
      <c r="O33" s="193"/>
      <c r="P33" s="193"/>
    </row>
    <row r="34" spans="1:16" s="191" customFormat="1" ht="31.5" customHeight="1">
      <c r="A34" s="206">
        <v>22</v>
      </c>
      <c r="B34" s="204" t="s">
        <v>80</v>
      </c>
      <c r="C34" s="204" t="s">
        <v>81</v>
      </c>
      <c r="D34" s="204" t="s">
        <v>60</v>
      </c>
      <c r="E34" s="203">
        <v>90000</v>
      </c>
      <c r="F34" s="214">
        <v>12</v>
      </c>
      <c r="G34" s="203">
        <f>150*60*12</f>
        <v>108000</v>
      </c>
      <c r="H34" s="201">
        <v>97200</v>
      </c>
      <c r="I34" s="393" t="s">
        <v>1337</v>
      </c>
      <c r="J34" s="706" t="s">
        <v>1358</v>
      </c>
      <c r="K34" s="704"/>
      <c r="L34" s="705"/>
      <c r="M34" s="196"/>
      <c r="N34" s="192"/>
      <c r="O34" s="193"/>
      <c r="P34" s="193"/>
    </row>
    <row r="35" spans="1:16" s="191" customFormat="1" ht="31.5" customHeight="1">
      <c r="A35" s="205">
        <v>15</v>
      </c>
      <c r="B35" s="204" t="s">
        <v>190</v>
      </c>
      <c r="C35" s="204" t="s">
        <v>191</v>
      </c>
      <c r="D35" s="204" t="s">
        <v>86</v>
      </c>
      <c r="E35" s="203">
        <v>101000</v>
      </c>
      <c r="F35" s="214">
        <v>12</v>
      </c>
      <c r="G35" s="203">
        <f>180*60*12</f>
        <v>129600</v>
      </c>
      <c r="H35" s="201">
        <v>129000</v>
      </c>
      <c r="I35" s="393" t="s">
        <v>1335</v>
      </c>
      <c r="J35" s="706"/>
      <c r="K35" s="704"/>
      <c r="L35" s="705"/>
      <c r="M35" s="196"/>
      <c r="N35" s="192"/>
      <c r="O35" s="193"/>
      <c r="P35" s="193"/>
    </row>
    <row r="36" spans="1:16" s="191" customFormat="1" ht="31.5" customHeight="1">
      <c r="A36" s="205">
        <v>21</v>
      </c>
      <c r="B36" s="204" t="s">
        <v>203</v>
      </c>
      <c r="C36" s="204" t="s">
        <v>204</v>
      </c>
      <c r="D36" s="204" t="s">
        <v>57</v>
      </c>
      <c r="E36" s="203">
        <v>81700</v>
      </c>
      <c r="F36" s="214">
        <v>9</v>
      </c>
      <c r="G36" s="203">
        <f t="shared" si="0"/>
        <v>97200</v>
      </c>
      <c r="H36" s="201"/>
      <c r="I36" s="393"/>
      <c r="J36" s="706" t="s">
        <v>1304</v>
      </c>
      <c r="K36" s="704"/>
      <c r="L36" s="705"/>
      <c r="M36" s="196"/>
      <c r="N36" s="192"/>
      <c r="O36" s="193"/>
      <c r="P36" s="193"/>
    </row>
    <row r="37" spans="1:16" s="191" customFormat="1" ht="31.5" customHeight="1">
      <c r="A37" s="205">
        <v>20</v>
      </c>
      <c r="B37" s="204" t="s">
        <v>196</v>
      </c>
      <c r="C37" s="204" t="s">
        <v>197</v>
      </c>
      <c r="D37" s="204" t="s">
        <v>60</v>
      </c>
      <c r="E37" s="203"/>
      <c r="F37" s="214">
        <v>9</v>
      </c>
      <c r="G37" s="203">
        <f t="shared" si="0"/>
        <v>97200</v>
      </c>
      <c r="H37" s="201">
        <v>97200</v>
      </c>
      <c r="I37" s="393" t="s">
        <v>1336</v>
      </c>
      <c r="J37" s="706"/>
      <c r="K37" s="704"/>
      <c r="L37" s="705"/>
      <c r="M37" s="196"/>
      <c r="N37" s="192"/>
      <c r="O37" s="193"/>
      <c r="P37" s="193"/>
    </row>
    <row r="38" spans="1:16" s="191" customFormat="1" ht="31.5" customHeight="1">
      <c r="A38" s="206">
        <v>16</v>
      </c>
      <c r="B38" s="204" t="s">
        <v>637</v>
      </c>
      <c r="C38" s="204" t="s">
        <v>81</v>
      </c>
      <c r="D38" s="204" t="s">
        <v>56</v>
      </c>
      <c r="E38" s="203">
        <v>40000</v>
      </c>
      <c r="F38" s="214">
        <v>12</v>
      </c>
      <c r="G38" s="203">
        <f>180*60*12</f>
        <v>129600</v>
      </c>
      <c r="H38" s="201">
        <f>65000+61000</f>
        <v>126000</v>
      </c>
      <c r="I38" s="393" t="s">
        <v>1335</v>
      </c>
      <c r="J38" s="706"/>
      <c r="K38" s="704"/>
      <c r="L38" s="705"/>
      <c r="M38" s="196"/>
      <c r="N38" s="192"/>
      <c r="O38" s="193"/>
      <c r="P38" s="193"/>
    </row>
    <row r="39" spans="1:16" s="191" customFormat="1" ht="31.5" customHeight="1">
      <c r="A39" s="206">
        <v>28</v>
      </c>
      <c r="B39" s="204" t="s">
        <v>162</v>
      </c>
      <c r="C39" s="204" t="s">
        <v>163</v>
      </c>
      <c r="D39" s="204" t="s">
        <v>56</v>
      </c>
      <c r="E39" s="203">
        <v>127500</v>
      </c>
      <c r="F39" s="214">
        <v>8</v>
      </c>
      <c r="G39" s="203">
        <f>180*60*8</f>
        <v>86400</v>
      </c>
      <c r="H39" s="201">
        <f>65000+25000</f>
        <v>90000</v>
      </c>
      <c r="I39" s="393" t="s">
        <v>1360</v>
      </c>
      <c r="J39" s="706" t="s">
        <v>1384</v>
      </c>
      <c r="K39" s="704"/>
      <c r="L39" s="705"/>
      <c r="M39" s="196"/>
      <c r="N39" s="192"/>
      <c r="O39" s="193"/>
      <c r="P39" s="193"/>
    </row>
    <row r="40" spans="1:16" s="191" customFormat="1" ht="31.5" customHeight="1">
      <c r="A40" s="205">
        <v>23</v>
      </c>
      <c r="B40" s="204" t="s">
        <v>162</v>
      </c>
      <c r="C40" s="204" t="s">
        <v>163</v>
      </c>
      <c r="D40" s="204" t="s">
        <v>56</v>
      </c>
      <c r="E40" s="203"/>
      <c r="F40" s="214">
        <v>9</v>
      </c>
      <c r="G40" s="203">
        <f t="shared" si="0"/>
        <v>97200</v>
      </c>
      <c r="H40" s="201">
        <v>93300</v>
      </c>
      <c r="I40" s="393" t="s">
        <v>1337</v>
      </c>
      <c r="J40" s="706" t="s">
        <v>1318</v>
      </c>
      <c r="K40" s="704"/>
      <c r="L40" s="705"/>
      <c r="M40" s="196"/>
      <c r="N40" s="192"/>
      <c r="O40" s="193"/>
      <c r="P40" s="193"/>
    </row>
    <row r="41" spans="1:16" s="191" customFormat="1" ht="31.5" customHeight="1">
      <c r="A41" s="205">
        <v>30</v>
      </c>
      <c r="B41" s="204" t="s">
        <v>214</v>
      </c>
      <c r="C41" s="204" t="s">
        <v>46</v>
      </c>
      <c r="D41" s="204" t="s">
        <v>56</v>
      </c>
      <c r="E41" s="203">
        <v>98000</v>
      </c>
      <c r="F41" s="214">
        <v>9</v>
      </c>
      <c r="G41" s="203">
        <f t="shared" si="0"/>
        <v>97200</v>
      </c>
      <c r="H41" s="201"/>
      <c r="I41" s="393" t="s">
        <v>1383</v>
      </c>
      <c r="J41" s="706" t="s">
        <v>1314</v>
      </c>
      <c r="K41" s="704"/>
      <c r="L41" s="705"/>
      <c r="M41" s="196"/>
      <c r="N41" s="192"/>
      <c r="O41" s="193"/>
      <c r="P41" s="193"/>
    </row>
    <row r="42" spans="1:16" s="191" customFormat="1" ht="31.5" customHeight="1">
      <c r="A42" s="205">
        <v>54</v>
      </c>
      <c r="B42" s="204" t="s">
        <v>164</v>
      </c>
      <c r="C42" s="204" t="s">
        <v>165</v>
      </c>
      <c r="D42" s="204" t="s">
        <v>56</v>
      </c>
      <c r="E42" s="203">
        <f>111600+124000</f>
        <v>235600</v>
      </c>
      <c r="F42" s="214">
        <v>8</v>
      </c>
      <c r="G42" s="203">
        <f>180*60*8</f>
        <v>86400</v>
      </c>
      <c r="H42" s="201">
        <v>91400</v>
      </c>
      <c r="I42" s="393" t="s">
        <v>1360</v>
      </c>
      <c r="J42" s="706"/>
      <c r="K42" s="704"/>
      <c r="L42" s="705"/>
      <c r="M42" s="196"/>
      <c r="N42" s="192"/>
      <c r="O42" s="193"/>
      <c r="P42" s="193"/>
    </row>
    <row r="43" spans="1:16" s="191" customFormat="1" ht="31.5" customHeight="1">
      <c r="A43" s="205">
        <v>55</v>
      </c>
      <c r="B43" s="204" t="s">
        <v>31</v>
      </c>
      <c r="C43" s="204" t="s">
        <v>44</v>
      </c>
      <c r="D43" s="204" t="s">
        <v>56</v>
      </c>
      <c r="E43" s="203"/>
      <c r="F43" s="214">
        <v>12</v>
      </c>
      <c r="G43" s="203">
        <f>180*60*12</f>
        <v>129600</v>
      </c>
      <c r="H43" s="201">
        <v>87700</v>
      </c>
      <c r="I43" s="393" t="s">
        <v>1337</v>
      </c>
      <c r="J43" s="706" t="s">
        <v>1388</v>
      </c>
      <c r="K43" s="704"/>
      <c r="L43" s="705"/>
      <c r="M43" s="196"/>
      <c r="N43" s="192"/>
      <c r="O43" s="193"/>
      <c r="P43" s="193"/>
    </row>
    <row r="44" spans="1:16" s="191" customFormat="1" ht="31.5" customHeight="1">
      <c r="A44" s="206">
        <v>50</v>
      </c>
      <c r="B44" s="204" t="s">
        <v>222</v>
      </c>
      <c r="C44" s="204" t="s">
        <v>201</v>
      </c>
      <c r="D44" s="204" t="s">
        <v>59</v>
      </c>
      <c r="E44" s="203">
        <v>62000</v>
      </c>
      <c r="F44" s="214">
        <v>9</v>
      </c>
      <c r="G44" s="203">
        <f>180*60*9</f>
        <v>97200</v>
      </c>
      <c r="H44" s="201">
        <f>95100</f>
        <v>95100</v>
      </c>
      <c r="I44" s="393" t="s">
        <v>1360</v>
      </c>
      <c r="J44" s="706" t="s">
        <v>1358</v>
      </c>
      <c r="K44" s="704"/>
      <c r="L44" s="705"/>
      <c r="M44" s="196"/>
      <c r="N44" s="192"/>
      <c r="O44" s="193"/>
      <c r="P44" s="193"/>
    </row>
    <row r="45" spans="1:16" s="191" customFormat="1" ht="31.5" customHeight="1">
      <c r="A45" s="206">
        <v>52</v>
      </c>
      <c r="B45" s="204" t="s">
        <v>633</v>
      </c>
      <c r="C45" s="204" t="s">
        <v>619</v>
      </c>
      <c r="D45" s="204" t="s">
        <v>56</v>
      </c>
      <c r="E45" s="203">
        <v>123000</v>
      </c>
      <c r="F45" s="214">
        <v>9</v>
      </c>
      <c r="G45" s="203">
        <f>180*60*9</f>
        <v>97200</v>
      </c>
      <c r="H45" s="201">
        <v>80400</v>
      </c>
      <c r="I45" s="393"/>
      <c r="J45" s="706" t="s">
        <v>1386</v>
      </c>
      <c r="K45" s="704"/>
      <c r="L45" s="705"/>
      <c r="M45" s="196"/>
      <c r="N45" s="192"/>
      <c r="O45" s="193"/>
      <c r="P45" s="193"/>
    </row>
    <row r="46" spans="1:16" s="191" customFormat="1" ht="31.5" customHeight="1">
      <c r="A46" s="205">
        <v>53</v>
      </c>
      <c r="B46" s="204" t="s">
        <v>125</v>
      </c>
      <c r="C46" s="204" t="s">
        <v>980</v>
      </c>
      <c r="D46" s="204" t="s">
        <v>57</v>
      </c>
      <c r="E46" s="203"/>
      <c r="F46" s="214">
        <v>8</v>
      </c>
      <c r="G46" s="203">
        <f>180*60*8</f>
        <v>86400</v>
      </c>
      <c r="H46" s="201">
        <v>74000</v>
      </c>
      <c r="I46" s="393" t="s">
        <v>1363</v>
      </c>
      <c r="J46" s="703" t="s">
        <v>1387</v>
      </c>
      <c r="K46" s="704"/>
      <c r="L46" s="705"/>
      <c r="M46" s="196"/>
      <c r="N46" s="192"/>
      <c r="O46" s="193"/>
      <c r="P46" s="193"/>
    </row>
    <row r="47" spans="1:16" s="191" customFormat="1" ht="31.5" customHeight="1">
      <c r="A47" s="205"/>
      <c r="B47" s="204" t="s">
        <v>35</v>
      </c>
      <c r="C47" s="204" t="s">
        <v>47</v>
      </c>
      <c r="D47" s="204" t="s">
        <v>61</v>
      </c>
      <c r="E47" s="203">
        <v>83000</v>
      </c>
      <c r="F47" s="214"/>
      <c r="G47" s="203"/>
      <c r="H47" s="201"/>
      <c r="I47" s="393"/>
      <c r="J47" s="393"/>
      <c r="K47" s="396"/>
      <c r="L47" s="397"/>
      <c r="M47" s="196"/>
      <c r="N47" s="192"/>
      <c r="O47" s="193"/>
      <c r="P47" s="193"/>
    </row>
    <row r="48" spans="1:16" s="191" customFormat="1" ht="31.5" customHeight="1">
      <c r="A48" s="205"/>
      <c r="B48" s="204" t="s">
        <v>254</v>
      </c>
      <c r="C48" s="204" t="s">
        <v>255</v>
      </c>
      <c r="D48" s="204" t="s">
        <v>61</v>
      </c>
      <c r="E48" s="203">
        <v>120800</v>
      </c>
      <c r="F48" s="214"/>
      <c r="G48" s="203"/>
      <c r="H48" s="201"/>
      <c r="I48" s="393"/>
      <c r="J48" s="393"/>
      <c r="K48" s="396"/>
      <c r="L48" s="397"/>
      <c r="M48" s="196"/>
      <c r="N48" s="192"/>
      <c r="O48" s="193"/>
      <c r="P48" s="193"/>
    </row>
    <row r="49" spans="1:16" s="191" customFormat="1" ht="31.5" customHeight="1">
      <c r="A49" s="205"/>
      <c r="B49" s="204" t="s">
        <v>181</v>
      </c>
      <c r="C49" s="204" t="s">
        <v>182</v>
      </c>
      <c r="D49" s="204" t="s">
        <v>183</v>
      </c>
      <c r="E49" s="203">
        <f>126300+94000</f>
        <v>220300</v>
      </c>
      <c r="F49" s="214"/>
      <c r="G49" s="203"/>
      <c r="H49" s="201"/>
      <c r="I49" s="393"/>
      <c r="J49" s="393"/>
      <c r="K49" s="396"/>
      <c r="L49" s="397"/>
      <c r="M49" s="196"/>
      <c r="N49" s="192"/>
      <c r="O49" s="193"/>
      <c r="P49" s="193"/>
    </row>
    <row r="50" spans="1:16" s="191" customFormat="1" ht="31.5" customHeight="1">
      <c r="A50" s="205"/>
      <c r="B50" s="204" t="s">
        <v>192</v>
      </c>
      <c r="C50" s="204" t="s">
        <v>193</v>
      </c>
      <c r="D50" s="204" t="s">
        <v>194</v>
      </c>
      <c r="E50" s="203"/>
      <c r="F50" s="214"/>
      <c r="G50" s="203"/>
      <c r="H50" s="201"/>
      <c r="I50" s="393"/>
      <c r="J50" s="393"/>
      <c r="K50" s="396"/>
      <c r="L50" s="397"/>
      <c r="M50" s="196"/>
      <c r="N50" s="192"/>
      <c r="O50" s="193"/>
      <c r="P50" s="193"/>
    </row>
    <row r="51" spans="1:16" s="191" customFormat="1" ht="31.5" customHeight="1">
      <c r="A51" s="205"/>
      <c r="B51" s="204" t="s">
        <v>208</v>
      </c>
      <c r="C51" s="204" t="s">
        <v>209</v>
      </c>
      <c r="D51" s="204" t="s">
        <v>194</v>
      </c>
      <c r="E51" s="203">
        <v>20000</v>
      </c>
      <c r="F51" s="214"/>
      <c r="G51" s="203"/>
      <c r="H51" s="201"/>
      <c r="I51" s="393"/>
      <c r="J51" s="393"/>
      <c r="K51" s="396"/>
      <c r="L51" s="397"/>
      <c r="M51" s="196"/>
      <c r="N51" s="192"/>
      <c r="O51" s="193"/>
      <c r="P51" s="193"/>
    </row>
    <row r="52" spans="1:16" s="191" customFormat="1" ht="31.5" customHeight="1">
      <c r="A52" s="205"/>
      <c r="B52" s="204"/>
      <c r="C52" s="204"/>
      <c r="D52" s="204"/>
      <c r="E52" s="203"/>
      <c r="F52" s="214"/>
      <c r="G52" s="203"/>
      <c r="H52" s="201"/>
      <c r="I52" s="393"/>
      <c r="J52" s="393"/>
      <c r="K52" s="396"/>
      <c r="L52" s="397"/>
      <c r="M52" s="196"/>
      <c r="N52" s="192"/>
      <c r="O52" s="193"/>
      <c r="P52" s="193"/>
    </row>
    <row r="53" spans="1:16" s="191" customFormat="1" ht="31.5" customHeight="1">
      <c r="A53" s="205"/>
      <c r="B53" s="204"/>
      <c r="C53" s="204"/>
      <c r="D53" s="204"/>
      <c r="E53" s="203"/>
      <c r="F53" s="214"/>
      <c r="G53" s="203"/>
      <c r="H53" s="201"/>
      <c r="I53" s="393"/>
      <c r="J53" s="393"/>
      <c r="K53" s="396"/>
      <c r="L53" s="397"/>
      <c r="M53" s="196"/>
      <c r="N53" s="192"/>
      <c r="O53" s="193"/>
      <c r="P53" s="193"/>
    </row>
    <row r="54" spans="1:16" s="191" customFormat="1" ht="31.5" customHeight="1">
      <c r="A54" s="205"/>
      <c r="B54" s="204" t="s">
        <v>208</v>
      </c>
      <c r="C54" s="204" t="s">
        <v>209</v>
      </c>
      <c r="D54" s="204" t="s">
        <v>194</v>
      </c>
      <c r="E54" s="203">
        <v>101900</v>
      </c>
      <c r="F54" s="214"/>
      <c r="G54" s="203"/>
      <c r="H54" s="201"/>
      <c r="I54" s="393"/>
      <c r="J54" s="393"/>
      <c r="K54" s="396"/>
      <c r="L54" s="397"/>
      <c r="M54" s="196"/>
      <c r="N54" s="192"/>
      <c r="O54" s="193"/>
      <c r="P54" s="193"/>
    </row>
    <row r="55" spans="1:16" s="191" customFormat="1" ht="31.5" customHeight="1">
      <c r="A55" s="205">
        <v>53</v>
      </c>
      <c r="B55" s="204"/>
      <c r="C55" s="204"/>
      <c r="D55" s="204"/>
      <c r="E55" s="203"/>
      <c r="F55" s="214">
        <v>12</v>
      </c>
      <c r="G55" s="203">
        <f>180*60*12</f>
        <v>129600</v>
      </c>
      <c r="H55" s="201"/>
      <c r="I55" s="393" t="s">
        <v>1363</v>
      </c>
      <c r="J55" s="706"/>
      <c r="K55" s="704"/>
      <c r="L55" s="705"/>
      <c r="M55" s="196"/>
      <c r="N55" s="192"/>
      <c r="O55" s="193"/>
      <c r="P55" s="193"/>
    </row>
    <row r="56" spans="1:16" s="191" customFormat="1" ht="31.5" customHeight="1">
      <c r="A56" s="206" t="s">
        <v>251</v>
      </c>
      <c r="B56" s="210"/>
      <c r="C56" s="210"/>
      <c r="D56" s="210"/>
      <c r="E56" s="210" t="e">
        <v>#N/A</v>
      </c>
      <c r="F56" s="210"/>
      <c r="G56" s="210"/>
      <c r="H56" s="207">
        <f>SUM(H7:H55)</f>
        <v>2497600</v>
      </c>
      <c r="I56" s="394"/>
      <c r="J56" s="706"/>
      <c r="K56" s="704"/>
      <c r="L56" s="705"/>
      <c r="M56" s="196"/>
      <c r="N56" s="192"/>
    </row>
    <row r="57" spans="1:16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  <c r="O57" s="192"/>
    </row>
    <row r="58" spans="1:16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6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6" s="191" customFormat="1" ht="15.75" customHeight="1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  <c r="O60" s="192"/>
    </row>
    <row r="61" spans="1:16" s="191" customFormat="1" ht="15.75" customHeight="1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  <c r="O61" s="192"/>
    </row>
    <row r="62" spans="1:16" s="191" customFormat="1" ht="15.75" customHeight="1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  <c r="O62" s="192"/>
    </row>
    <row r="63" spans="1:16" s="191" customFormat="1" ht="15.75" customHeight="1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K63" s="198"/>
      <c r="O63" s="192"/>
    </row>
    <row r="64" spans="1:16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K64" s="198"/>
      <c r="O64" s="192"/>
    </row>
    <row r="65" spans="1:15" s="191" customFormat="1" ht="15.75">
      <c r="A65" s="197"/>
      <c r="B65" s="197"/>
      <c r="C65" s="197"/>
      <c r="D65" s="197"/>
      <c r="E65" s="198"/>
      <c r="F65" s="198"/>
      <c r="G65" s="198"/>
      <c r="H65" s="198"/>
      <c r="I65" s="198"/>
      <c r="J65" s="198"/>
      <c r="K65" s="198"/>
      <c r="O65" s="192"/>
    </row>
    <row r="66" spans="1:15" s="191" customFormat="1" ht="15.75">
      <c r="A66" s="197"/>
      <c r="B66" s="197"/>
      <c r="C66" s="197"/>
      <c r="D66" s="197"/>
      <c r="E66" s="198"/>
      <c r="F66" s="198"/>
      <c r="G66" s="198"/>
      <c r="H66" s="198"/>
      <c r="I66" s="198"/>
      <c r="J66" s="198"/>
      <c r="K66" s="198"/>
      <c r="O66" s="192"/>
    </row>
    <row r="67" spans="1:15" s="191" customFormat="1" ht="15.75">
      <c r="A67" s="197"/>
      <c r="B67" s="197"/>
      <c r="C67" s="197"/>
      <c r="D67" s="197"/>
      <c r="E67" s="198"/>
      <c r="F67" s="198"/>
      <c r="G67" s="198"/>
      <c r="H67" s="198"/>
      <c r="I67" s="198"/>
      <c r="J67" s="198"/>
      <c r="K67" s="198"/>
      <c r="O67" s="192"/>
    </row>
    <row r="68" spans="1:15" s="191" customFormat="1" ht="15.75">
      <c r="A68" s="197"/>
      <c r="B68" s="197"/>
      <c r="C68" s="197"/>
      <c r="D68" s="197"/>
      <c r="E68" s="198"/>
      <c r="F68" s="198"/>
      <c r="G68" s="198"/>
      <c r="H68" s="198"/>
      <c r="I68" s="198"/>
      <c r="J68" s="198"/>
      <c r="K68" s="198"/>
      <c r="O68" s="192"/>
    </row>
    <row r="69" spans="1:15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O69" s="192"/>
    </row>
    <row r="70" spans="1:15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5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5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5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  <row r="74" spans="1:15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</row>
    <row r="75" spans="1:15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</row>
    <row r="76" spans="1:15" s="191" customFormat="1" ht="15.75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</row>
    <row r="77" spans="1:15" s="191" customFormat="1" ht="15.75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</row>
    <row r="78" spans="1:15" s="191" customFormat="1" ht="15.75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</row>
    <row r="79" spans="1:15" s="191" customFormat="1" ht="15.75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</row>
  </sheetData>
  <mergeCells count="52">
    <mergeCell ref="J56:L56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55:L55"/>
    <mergeCell ref="J36:L36"/>
    <mergeCell ref="J25:L25"/>
    <mergeCell ref="J26:L26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24:L24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12:L12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  <mergeCell ref="J7:L7"/>
    <mergeCell ref="J8:L8"/>
    <mergeCell ref="J9:L9"/>
    <mergeCell ref="J10:L10"/>
    <mergeCell ref="J11:L11"/>
  </mergeCells>
  <phoneticPr fontId="74" type="noConversion"/>
  <conditionalFormatting sqref="H7:I55">
    <cfRule type="cellIs" dxfId="14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8">
    <pageSetUpPr fitToPage="1"/>
  </sheetPr>
  <dimension ref="A1:P77"/>
  <sheetViews>
    <sheetView view="pageBreakPreview" topLeftCell="A31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1369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1370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206</v>
      </c>
      <c r="C7" s="200" t="s">
        <v>36</v>
      </c>
      <c r="D7" s="200" t="s">
        <v>207</v>
      </c>
      <c r="E7" s="201">
        <v>23500</v>
      </c>
      <c r="F7" s="213">
        <v>8</v>
      </c>
      <c r="G7" s="201">
        <f>42*60*8</f>
        <v>20160</v>
      </c>
      <c r="H7" s="201">
        <v>23500</v>
      </c>
      <c r="I7" s="393" t="s">
        <v>1328</v>
      </c>
      <c r="J7" s="706" t="s">
        <v>1371</v>
      </c>
      <c r="K7" s="704"/>
      <c r="L7" s="705"/>
      <c r="M7" s="192"/>
      <c r="N7" s="192"/>
      <c r="O7" s="193"/>
      <c r="P7" s="193"/>
    </row>
    <row r="8" spans="1:16" s="191" customFormat="1" ht="31.5" customHeight="1">
      <c r="A8" s="199">
        <v>2</v>
      </c>
      <c r="B8" s="200" t="s">
        <v>92</v>
      </c>
      <c r="C8" s="200" t="s">
        <v>93</v>
      </c>
      <c r="D8" s="200" t="s">
        <v>94</v>
      </c>
      <c r="E8" s="201">
        <v>23800</v>
      </c>
      <c r="F8" s="213">
        <v>10</v>
      </c>
      <c r="G8" s="201">
        <f>42*60*10</f>
        <v>25200</v>
      </c>
      <c r="H8" s="201">
        <v>4800</v>
      </c>
      <c r="I8" s="393" t="s">
        <v>1329</v>
      </c>
      <c r="J8" s="706" t="s">
        <v>1372</v>
      </c>
      <c r="K8" s="704"/>
      <c r="L8" s="705"/>
      <c r="M8" s="192"/>
      <c r="N8" s="192"/>
      <c r="O8" s="193"/>
      <c r="P8" s="193"/>
    </row>
    <row r="9" spans="1:16" s="191" customFormat="1" ht="31.5" customHeight="1">
      <c r="A9" s="199">
        <v>3</v>
      </c>
      <c r="B9" s="200" t="s">
        <v>486</v>
      </c>
      <c r="C9" s="200" t="s">
        <v>487</v>
      </c>
      <c r="D9" s="200" t="s">
        <v>488</v>
      </c>
      <c r="E9" s="201"/>
      <c r="F9" s="213">
        <v>8</v>
      </c>
      <c r="G9" s="201">
        <f>40*60*10</f>
        <v>24000</v>
      </c>
      <c r="H9" s="201">
        <v>21000</v>
      </c>
      <c r="I9" s="393" t="s">
        <v>1330</v>
      </c>
      <c r="J9" s="706" t="s">
        <v>1373</v>
      </c>
      <c r="K9" s="704"/>
      <c r="L9" s="705"/>
      <c r="M9" s="192"/>
      <c r="N9" s="192"/>
      <c r="O9" s="193"/>
      <c r="P9" s="193"/>
    </row>
    <row r="10" spans="1:16" s="195" customFormat="1" ht="31.5" customHeight="1">
      <c r="A10" s="202">
        <v>4</v>
      </c>
      <c r="B10" s="203" t="s">
        <v>143</v>
      </c>
      <c r="C10" s="203" t="s">
        <v>38</v>
      </c>
      <c r="D10" s="203" t="s">
        <v>50</v>
      </c>
      <c r="E10" s="203">
        <v>34500</v>
      </c>
      <c r="F10" s="214">
        <v>8</v>
      </c>
      <c r="G10" s="203">
        <f>70*60*8</f>
        <v>33600</v>
      </c>
      <c r="H10" s="201">
        <v>34500</v>
      </c>
      <c r="I10" s="393" t="s">
        <v>1330</v>
      </c>
      <c r="J10" s="706" t="s">
        <v>1374</v>
      </c>
      <c r="K10" s="704"/>
      <c r="L10" s="705"/>
      <c r="M10" s="194"/>
      <c r="N10" s="192"/>
      <c r="O10" s="193"/>
      <c r="P10" s="193"/>
    </row>
    <row r="11" spans="1:16" s="195" customFormat="1" ht="31.5" customHeight="1">
      <c r="A11" s="202">
        <v>5</v>
      </c>
      <c r="B11" s="203" t="s">
        <v>143</v>
      </c>
      <c r="C11" s="204" t="s">
        <v>38</v>
      </c>
      <c r="D11" s="203" t="s">
        <v>50</v>
      </c>
      <c r="E11" s="203">
        <v>0</v>
      </c>
      <c r="F11" s="214">
        <v>10</v>
      </c>
      <c r="G11" s="203">
        <f>50*60*10</f>
        <v>30000</v>
      </c>
      <c r="H11" s="201">
        <v>30000</v>
      </c>
      <c r="I11" s="393" t="s">
        <v>1329</v>
      </c>
      <c r="J11" s="706"/>
      <c r="K11" s="704"/>
      <c r="L11" s="705"/>
      <c r="M11" s="194"/>
      <c r="N11" s="192"/>
      <c r="O11" s="193"/>
      <c r="P11" s="193"/>
    </row>
    <row r="12" spans="1:16" s="195" customFormat="1" ht="31.5" customHeight="1">
      <c r="A12" s="202">
        <v>6</v>
      </c>
      <c r="B12" s="203" t="s">
        <v>173</v>
      </c>
      <c r="C12" s="204" t="s">
        <v>174</v>
      </c>
      <c r="D12" s="203" t="s">
        <v>175</v>
      </c>
      <c r="E12" s="203">
        <v>24000</v>
      </c>
      <c r="F12" s="214">
        <v>10</v>
      </c>
      <c r="G12" s="203">
        <f>42*60*10</f>
        <v>25200</v>
      </c>
      <c r="H12" s="201">
        <v>23200</v>
      </c>
      <c r="I12" s="393" t="s">
        <v>1329</v>
      </c>
      <c r="J12" s="703" t="s">
        <v>1375</v>
      </c>
      <c r="K12" s="704"/>
      <c r="L12" s="705"/>
      <c r="M12" s="194"/>
      <c r="N12" s="192"/>
      <c r="O12" s="193"/>
      <c r="P12" s="193"/>
    </row>
    <row r="13" spans="1:16" s="195" customFormat="1" ht="31.5" customHeight="1">
      <c r="A13" s="202">
        <v>7</v>
      </c>
      <c r="B13" s="203" t="s">
        <v>173</v>
      </c>
      <c r="C13" s="204" t="s">
        <v>174</v>
      </c>
      <c r="D13" s="203" t="s">
        <v>175</v>
      </c>
      <c r="E13" s="203">
        <v>7200</v>
      </c>
      <c r="F13" s="214">
        <v>10.5</v>
      </c>
      <c r="G13" s="203">
        <f>100*60*10.5</f>
        <v>63000</v>
      </c>
      <c r="H13" s="201">
        <v>62000</v>
      </c>
      <c r="I13" s="393" t="s">
        <v>1331</v>
      </c>
      <c r="J13" s="706" t="s">
        <v>1371</v>
      </c>
      <c r="K13" s="704"/>
      <c r="L13" s="705"/>
      <c r="M13" s="194"/>
      <c r="N13" s="192"/>
      <c r="O13" s="193"/>
      <c r="P13" s="193"/>
    </row>
    <row r="14" spans="1:16" s="195" customFormat="1" ht="31.5" customHeight="1">
      <c r="A14" s="199" t="s">
        <v>66</v>
      </c>
      <c r="B14" s="200" t="s">
        <v>139</v>
      </c>
      <c r="C14" s="200" t="s">
        <v>140</v>
      </c>
      <c r="D14" s="200" t="s">
        <v>142</v>
      </c>
      <c r="E14" s="201">
        <v>25000</v>
      </c>
      <c r="F14" s="213">
        <v>10.5</v>
      </c>
      <c r="G14" s="201">
        <f>138*60*10.5</f>
        <v>86940</v>
      </c>
      <c r="H14" s="201">
        <v>84000</v>
      </c>
      <c r="I14" s="393" t="s">
        <v>1331</v>
      </c>
      <c r="J14" s="706" t="s">
        <v>1371</v>
      </c>
      <c r="K14" s="704"/>
      <c r="L14" s="705"/>
      <c r="M14" s="194"/>
      <c r="N14" s="192"/>
      <c r="O14" s="193"/>
      <c r="P14" s="193"/>
    </row>
    <row r="15" spans="1:16" s="195" customFormat="1" ht="31.5" customHeight="1">
      <c r="A15" s="202" t="s">
        <v>218</v>
      </c>
      <c r="B15" s="203" t="s">
        <v>139</v>
      </c>
      <c r="C15" s="204" t="s">
        <v>140</v>
      </c>
      <c r="D15" s="203" t="s">
        <v>142</v>
      </c>
      <c r="E15" s="203"/>
      <c r="F15" s="214">
        <v>10.5</v>
      </c>
      <c r="G15" s="203">
        <f>42*60*10.5</f>
        <v>26460</v>
      </c>
      <c r="H15" s="201">
        <v>21500</v>
      </c>
      <c r="I15" s="393" t="s">
        <v>1332</v>
      </c>
      <c r="J15" s="703" t="s">
        <v>1376</v>
      </c>
      <c r="K15" s="704"/>
      <c r="L15" s="705"/>
      <c r="M15" s="194"/>
      <c r="N15" s="192"/>
      <c r="O15" s="193"/>
      <c r="P15" s="193"/>
    </row>
    <row r="16" spans="1:16" s="191" customFormat="1" ht="31.5" customHeight="1">
      <c r="A16" s="202">
        <v>8</v>
      </c>
      <c r="B16" s="203" t="s">
        <v>30</v>
      </c>
      <c r="C16" s="204" t="s">
        <v>43</v>
      </c>
      <c r="D16" s="203" t="s">
        <v>55</v>
      </c>
      <c r="E16" s="203">
        <v>67000</v>
      </c>
      <c r="F16" s="214">
        <v>10.5</v>
      </c>
      <c r="G16" s="203">
        <f>50*60*10.5</f>
        <v>31500</v>
      </c>
      <c r="H16" s="201">
        <v>25000</v>
      </c>
      <c r="I16" s="393" t="s">
        <v>1332</v>
      </c>
      <c r="J16" s="703" t="s">
        <v>1377</v>
      </c>
      <c r="K16" s="704"/>
      <c r="L16" s="705"/>
      <c r="M16" s="192"/>
      <c r="N16" s="192"/>
      <c r="O16" s="193"/>
      <c r="P16" s="193"/>
    </row>
    <row r="17" spans="1:16" s="191" customFormat="1" ht="31.5" customHeight="1">
      <c r="A17" s="205">
        <v>9</v>
      </c>
      <c r="B17" s="204" t="s">
        <v>27</v>
      </c>
      <c r="C17" s="204" t="s">
        <v>40</v>
      </c>
      <c r="D17" s="204" t="s">
        <v>52</v>
      </c>
      <c r="E17" s="203">
        <v>85000</v>
      </c>
      <c r="F17" s="214">
        <v>8</v>
      </c>
      <c r="G17" s="203">
        <f>50*60*8</f>
        <v>24000</v>
      </c>
      <c r="H17" s="201">
        <v>22000</v>
      </c>
      <c r="I17" s="393" t="s">
        <v>1352</v>
      </c>
      <c r="J17" s="706" t="s">
        <v>1378</v>
      </c>
      <c r="K17" s="704"/>
      <c r="L17" s="705"/>
      <c r="M17" s="196"/>
      <c r="N17" s="192"/>
      <c r="O17" s="193"/>
      <c r="P17" s="193"/>
    </row>
    <row r="18" spans="1:16" s="191" customFormat="1" ht="31.5" customHeight="1">
      <c r="A18" s="205">
        <v>10</v>
      </c>
      <c r="B18" s="204" t="s">
        <v>26</v>
      </c>
      <c r="C18" s="204" t="s">
        <v>39</v>
      </c>
      <c r="D18" s="204" t="s">
        <v>51</v>
      </c>
      <c r="E18" s="203"/>
      <c r="F18" s="214">
        <v>8</v>
      </c>
      <c r="G18" s="203">
        <f>45*60*8</f>
        <v>21600</v>
      </c>
      <c r="H18" s="201">
        <v>1000</v>
      </c>
      <c r="I18" s="393" t="s">
        <v>1352</v>
      </c>
      <c r="J18" s="706" t="s">
        <v>1353</v>
      </c>
      <c r="K18" s="704"/>
      <c r="L18" s="705"/>
      <c r="M18" s="196"/>
      <c r="N18" s="192"/>
      <c r="O18" s="193"/>
      <c r="P18" s="193"/>
    </row>
    <row r="19" spans="1:16" s="191" customFormat="1" ht="31.5" customHeight="1">
      <c r="A19" s="205">
        <v>10</v>
      </c>
      <c r="B19" s="204" t="s">
        <v>223</v>
      </c>
      <c r="C19" s="204" t="s">
        <v>224</v>
      </c>
      <c r="D19" s="204" t="s">
        <v>225</v>
      </c>
      <c r="E19" s="203">
        <v>35000</v>
      </c>
      <c r="F19" s="214">
        <v>8</v>
      </c>
      <c r="G19" s="203">
        <f>50*60*8</f>
        <v>24000</v>
      </c>
      <c r="H19" s="201"/>
      <c r="I19" s="393" t="s">
        <v>1352</v>
      </c>
      <c r="J19" s="706"/>
      <c r="K19" s="704"/>
      <c r="L19" s="705"/>
      <c r="M19" s="196"/>
      <c r="N19" s="192"/>
      <c r="O19" s="193"/>
      <c r="P19" s="193"/>
    </row>
    <row r="20" spans="1:16" s="191" customFormat="1" ht="31.5" customHeight="1">
      <c r="A20" s="205">
        <v>11</v>
      </c>
      <c r="B20" s="204" t="s">
        <v>968</v>
      </c>
      <c r="C20" s="204" t="s">
        <v>152</v>
      </c>
      <c r="D20" s="204" t="s">
        <v>1299</v>
      </c>
      <c r="E20" s="203">
        <v>25500</v>
      </c>
      <c r="F20" s="214">
        <v>8</v>
      </c>
      <c r="G20" s="203">
        <f>89*60*8</f>
        <v>42720</v>
      </c>
      <c r="H20" s="201">
        <v>40000</v>
      </c>
      <c r="I20" s="393" t="s">
        <v>1352</v>
      </c>
      <c r="J20" s="706"/>
      <c r="K20" s="704"/>
      <c r="L20" s="705"/>
      <c r="M20" s="196"/>
      <c r="N20" s="192"/>
      <c r="O20" s="193"/>
      <c r="P20" s="193"/>
    </row>
    <row r="21" spans="1:16" s="191" customFormat="1" ht="31.5" customHeight="1">
      <c r="A21" s="206">
        <v>12</v>
      </c>
      <c r="B21" s="204" t="s">
        <v>28</v>
      </c>
      <c r="C21" s="204" t="s">
        <v>41</v>
      </c>
      <c r="D21" s="204" t="s">
        <v>53</v>
      </c>
      <c r="E21" s="203">
        <v>25000</v>
      </c>
      <c r="F21" s="214">
        <v>10.5</v>
      </c>
      <c r="G21" s="203">
        <f>110*60*10.5</f>
        <v>69300</v>
      </c>
      <c r="H21" s="201">
        <v>65000</v>
      </c>
      <c r="I21" s="393" t="s">
        <v>1334</v>
      </c>
      <c r="J21" s="703" t="s">
        <v>1379</v>
      </c>
      <c r="K21" s="704"/>
      <c r="L21" s="705"/>
      <c r="M21" s="196"/>
      <c r="N21" s="192"/>
      <c r="O21" s="193"/>
      <c r="P21" s="193"/>
    </row>
    <row r="22" spans="1:16" s="191" customFormat="1" ht="31.5" customHeight="1">
      <c r="A22" s="206">
        <v>12</v>
      </c>
      <c r="B22" s="204" t="s">
        <v>248</v>
      </c>
      <c r="C22" s="204" t="s">
        <v>249</v>
      </c>
      <c r="D22" s="204" t="s">
        <v>105</v>
      </c>
      <c r="E22" s="203">
        <v>38000</v>
      </c>
      <c r="F22" s="214">
        <v>10.5</v>
      </c>
      <c r="G22" s="203">
        <f>120*60*10.5</f>
        <v>75600</v>
      </c>
      <c r="H22" s="201"/>
      <c r="I22" s="393" t="s">
        <v>1334</v>
      </c>
      <c r="J22" s="703"/>
      <c r="K22" s="704"/>
      <c r="L22" s="705"/>
      <c r="M22" s="196"/>
      <c r="N22" s="192"/>
      <c r="O22" s="193"/>
      <c r="P22" s="193"/>
    </row>
    <row r="23" spans="1:16" s="191" customFormat="1" ht="31.5" customHeight="1">
      <c r="A23" s="206">
        <v>13</v>
      </c>
      <c r="B23" s="204" t="s">
        <v>234</v>
      </c>
      <c r="C23" s="204" t="s">
        <v>235</v>
      </c>
      <c r="D23" s="204" t="s">
        <v>236</v>
      </c>
      <c r="E23" s="203">
        <v>38000</v>
      </c>
      <c r="F23" s="214">
        <v>10.5</v>
      </c>
      <c r="G23" s="203">
        <f>110*60*10.5</f>
        <v>69300</v>
      </c>
      <c r="H23" s="201">
        <v>68000</v>
      </c>
      <c r="I23" s="393" t="s">
        <v>1334</v>
      </c>
      <c r="J23" s="706" t="s">
        <v>1380</v>
      </c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14</v>
      </c>
      <c r="B24" s="204" t="s">
        <v>436</v>
      </c>
      <c r="C24" s="204" t="s">
        <v>438</v>
      </c>
      <c r="D24" s="204" t="s">
        <v>1389</v>
      </c>
      <c r="E24" s="203"/>
      <c r="F24" s="214">
        <v>10.5</v>
      </c>
      <c r="G24" s="203">
        <f>120*60*10.5</f>
        <v>75600</v>
      </c>
      <c r="H24" s="201">
        <v>73000</v>
      </c>
      <c r="I24" s="393" t="s">
        <v>1334</v>
      </c>
      <c r="J24" s="706" t="s">
        <v>1381</v>
      </c>
      <c r="K24" s="704"/>
      <c r="L24" s="705"/>
      <c r="M24" s="196"/>
      <c r="N24" s="192"/>
      <c r="O24" s="193"/>
      <c r="P24" s="193"/>
    </row>
    <row r="25" spans="1:16" s="191" customFormat="1" ht="31.5" customHeight="1">
      <c r="A25" s="205">
        <v>29</v>
      </c>
      <c r="B25" s="204" t="s">
        <v>988</v>
      </c>
      <c r="C25" s="204" t="s">
        <v>990</v>
      </c>
      <c r="D25" s="204" t="s">
        <v>54</v>
      </c>
      <c r="E25" s="203">
        <v>20000</v>
      </c>
      <c r="F25" s="214">
        <v>9</v>
      </c>
      <c r="G25" s="203">
        <f>180*60*9</f>
        <v>97200</v>
      </c>
      <c r="H25" s="201">
        <v>95500</v>
      </c>
      <c r="I25" s="393" t="s">
        <v>1360</v>
      </c>
      <c r="J25" s="706" t="s">
        <v>1358</v>
      </c>
      <c r="K25" s="704"/>
      <c r="L25" s="705"/>
      <c r="M25" s="196"/>
      <c r="N25" s="192"/>
      <c r="O25" s="193"/>
      <c r="P25" s="193"/>
    </row>
    <row r="26" spans="1:16" s="191" customFormat="1" ht="31.5" customHeight="1">
      <c r="A26" s="205">
        <v>17</v>
      </c>
      <c r="B26" s="204" t="s">
        <v>988</v>
      </c>
      <c r="C26" s="204" t="s">
        <v>990</v>
      </c>
      <c r="D26" s="204" t="s">
        <v>54</v>
      </c>
      <c r="E26" s="203">
        <v>48000</v>
      </c>
      <c r="F26" s="214">
        <v>12</v>
      </c>
      <c r="G26" s="203">
        <f>180*60*12</f>
        <v>129600</v>
      </c>
      <c r="H26" s="201">
        <f>121000</f>
        <v>121000</v>
      </c>
      <c r="I26" s="393" t="s">
        <v>1335</v>
      </c>
      <c r="J26" s="706" t="s">
        <v>1382</v>
      </c>
      <c r="K26" s="704"/>
      <c r="L26" s="705"/>
      <c r="M26" s="196"/>
      <c r="N26" s="192"/>
      <c r="O26" s="193"/>
      <c r="P26" s="193"/>
    </row>
    <row r="27" spans="1:16" s="191" customFormat="1" ht="31.5" customHeight="1">
      <c r="A27" s="205">
        <v>18</v>
      </c>
      <c r="B27" s="204" t="s">
        <v>775</v>
      </c>
      <c r="C27" s="204" t="s">
        <v>777</v>
      </c>
      <c r="D27" s="204" t="s">
        <v>1339</v>
      </c>
      <c r="E27" s="203">
        <v>68000</v>
      </c>
      <c r="F27" s="214">
        <v>12</v>
      </c>
      <c r="G27" s="203">
        <f>180*60*12</f>
        <v>129600</v>
      </c>
      <c r="H27" s="201">
        <v>127000</v>
      </c>
      <c r="I27" s="393" t="s">
        <v>1335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5">
        <v>24</v>
      </c>
      <c r="B28" s="204" t="s">
        <v>198</v>
      </c>
      <c r="C28" s="204" t="s">
        <v>199</v>
      </c>
      <c r="D28" s="204" t="s">
        <v>54</v>
      </c>
      <c r="E28" s="203"/>
      <c r="F28" s="214">
        <v>9</v>
      </c>
      <c r="G28" s="203">
        <f>180*60*9</f>
        <v>97200</v>
      </c>
      <c r="H28" s="201">
        <v>96000</v>
      </c>
      <c r="I28" s="393" t="s">
        <v>1337</v>
      </c>
      <c r="J28" s="706" t="s">
        <v>1358</v>
      </c>
      <c r="K28" s="704"/>
      <c r="L28" s="705"/>
      <c r="M28" s="196"/>
      <c r="N28" s="192"/>
      <c r="O28" s="193"/>
      <c r="P28" s="193"/>
    </row>
    <row r="29" spans="1:16" s="191" customFormat="1" ht="31.5" customHeight="1">
      <c r="A29" s="205">
        <v>19</v>
      </c>
      <c r="B29" s="204" t="s">
        <v>29</v>
      </c>
      <c r="C29" s="204" t="s">
        <v>42</v>
      </c>
      <c r="D29" s="204" t="s">
        <v>54</v>
      </c>
      <c r="E29" s="203">
        <v>73000</v>
      </c>
      <c r="F29" s="214">
        <v>9</v>
      </c>
      <c r="G29" s="203">
        <f>180*60*9</f>
        <v>97200</v>
      </c>
      <c r="H29" s="201">
        <f>94000</f>
        <v>94000</v>
      </c>
      <c r="I29" s="393" t="s">
        <v>1336</v>
      </c>
      <c r="J29" s="706" t="s">
        <v>1358</v>
      </c>
      <c r="K29" s="704"/>
      <c r="L29" s="705"/>
      <c r="M29" s="196"/>
      <c r="N29" s="192"/>
      <c r="O29" s="193"/>
      <c r="P29" s="193"/>
    </row>
    <row r="30" spans="1:16" s="191" customFormat="1" ht="31.5" customHeight="1">
      <c r="A30" s="205">
        <v>27</v>
      </c>
      <c r="B30" s="204" t="s">
        <v>195</v>
      </c>
      <c r="C30" s="204" t="s">
        <v>167</v>
      </c>
      <c r="D30" s="204" t="s">
        <v>59</v>
      </c>
      <c r="E30" s="203">
        <v>47000</v>
      </c>
      <c r="F30" s="214">
        <v>9</v>
      </c>
      <c r="G30" s="203">
        <f>180*60*9</f>
        <v>97200</v>
      </c>
      <c r="H30" s="201">
        <v>96000</v>
      </c>
      <c r="I30" s="393" t="s">
        <v>1383</v>
      </c>
      <c r="J30" s="706"/>
      <c r="K30" s="704"/>
      <c r="L30" s="705"/>
      <c r="M30" s="196"/>
      <c r="N30" s="192"/>
      <c r="O30" s="193"/>
      <c r="P30" s="193"/>
    </row>
    <row r="31" spans="1:16" s="191" customFormat="1" ht="31.5" customHeight="1">
      <c r="A31" s="206">
        <v>25</v>
      </c>
      <c r="B31" s="204" t="s">
        <v>128</v>
      </c>
      <c r="C31" s="204" t="s">
        <v>129</v>
      </c>
      <c r="D31" s="204" t="s">
        <v>59</v>
      </c>
      <c r="E31" s="203"/>
      <c r="F31" s="214">
        <v>9</v>
      </c>
      <c r="G31" s="203">
        <f t="shared" ref="G31:G41" si="0">180*60*9</f>
        <v>97200</v>
      </c>
      <c r="H31" s="201">
        <v>93000</v>
      </c>
      <c r="I31" s="393" t="s">
        <v>1337</v>
      </c>
      <c r="J31" s="706" t="s">
        <v>1358</v>
      </c>
      <c r="K31" s="704"/>
      <c r="L31" s="705"/>
      <c r="M31" s="196"/>
      <c r="N31" s="192"/>
      <c r="O31" s="193"/>
      <c r="P31" s="193"/>
    </row>
    <row r="32" spans="1:16" s="191" customFormat="1" ht="31.5" customHeight="1">
      <c r="A32" s="206">
        <v>26</v>
      </c>
      <c r="B32" s="204" t="s">
        <v>149</v>
      </c>
      <c r="C32" s="204" t="s">
        <v>150</v>
      </c>
      <c r="D32" s="204" t="s">
        <v>56</v>
      </c>
      <c r="E32" s="203">
        <f>32900+126000+127000</f>
        <v>285900</v>
      </c>
      <c r="F32" s="214">
        <v>9</v>
      </c>
      <c r="G32" s="203">
        <f>150*60*9</f>
        <v>81000</v>
      </c>
      <c r="H32" s="201">
        <v>78800</v>
      </c>
      <c r="I32" s="393" t="s">
        <v>1337</v>
      </c>
      <c r="J32" s="706" t="s">
        <v>1358</v>
      </c>
      <c r="K32" s="704"/>
      <c r="L32" s="705"/>
      <c r="M32" s="196"/>
      <c r="N32" s="192"/>
      <c r="O32" s="193"/>
      <c r="P32" s="193"/>
    </row>
    <row r="33" spans="1:16" s="191" customFormat="1" ht="31.5" customHeight="1">
      <c r="A33" s="206">
        <v>31</v>
      </c>
      <c r="B33" s="204" t="s">
        <v>176</v>
      </c>
      <c r="C33" s="204" t="s">
        <v>148</v>
      </c>
      <c r="D33" s="204" t="s">
        <v>153</v>
      </c>
      <c r="E33" s="203">
        <f>126000+125000</f>
        <v>251000</v>
      </c>
      <c r="F33" s="214">
        <v>12</v>
      </c>
      <c r="G33" s="203">
        <f>180*60*12</f>
        <v>129600</v>
      </c>
      <c r="H33" s="201">
        <v>36500</v>
      </c>
      <c r="I33" s="393" t="s">
        <v>1360</v>
      </c>
      <c r="J33" s="706" t="s">
        <v>1385</v>
      </c>
      <c r="K33" s="704"/>
      <c r="L33" s="705"/>
      <c r="M33" s="196"/>
      <c r="N33" s="192"/>
      <c r="O33" s="193"/>
      <c r="P33" s="193"/>
    </row>
    <row r="34" spans="1:16" s="191" customFormat="1" ht="31.5" customHeight="1">
      <c r="A34" s="206">
        <v>22</v>
      </c>
      <c r="B34" s="204" t="s">
        <v>80</v>
      </c>
      <c r="C34" s="204" t="s">
        <v>81</v>
      </c>
      <c r="D34" s="204" t="s">
        <v>60</v>
      </c>
      <c r="E34" s="203">
        <v>90000</v>
      </c>
      <c r="F34" s="214">
        <v>12</v>
      </c>
      <c r="G34" s="203">
        <f>150*60*12</f>
        <v>108000</v>
      </c>
      <c r="H34" s="201">
        <v>97200</v>
      </c>
      <c r="I34" s="393" t="s">
        <v>1337</v>
      </c>
      <c r="J34" s="706" t="s">
        <v>1358</v>
      </c>
      <c r="K34" s="704"/>
      <c r="L34" s="705"/>
      <c r="M34" s="196"/>
      <c r="N34" s="192"/>
      <c r="O34" s="193"/>
      <c r="P34" s="193"/>
    </row>
    <row r="35" spans="1:16" s="191" customFormat="1" ht="31.5" customHeight="1">
      <c r="A35" s="205">
        <v>15</v>
      </c>
      <c r="B35" s="204" t="s">
        <v>190</v>
      </c>
      <c r="C35" s="204" t="s">
        <v>191</v>
      </c>
      <c r="D35" s="204" t="s">
        <v>86</v>
      </c>
      <c r="E35" s="203">
        <v>101000</v>
      </c>
      <c r="F35" s="214">
        <v>12</v>
      </c>
      <c r="G35" s="203">
        <f>180*60*12</f>
        <v>129600</v>
      </c>
      <c r="H35" s="201">
        <v>129000</v>
      </c>
      <c r="I35" s="393" t="s">
        <v>1335</v>
      </c>
      <c r="J35" s="706"/>
      <c r="K35" s="704"/>
      <c r="L35" s="705"/>
      <c r="M35" s="196"/>
      <c r="N35" s="192"/>
      <c r="O35" s="193"/>
      <c r="P35" s="193"/>
    </row>
    <row r="36" spans="1:16" s="191" customFormat="1" ht="31.5" customHeight="1">
      <c r="A36" s="205">
        <v>21</v>
      </c>
      <c r="B36" s="204" t="s">
        <v>203</v>
      </c>
      <c r="C36" s="204" t="s">
        <v>204</v>
      </c>
      <c r="D36" s="204" t="s">
        <v>57</v>
      </c>
      <c r="E36" s="203">
        <v>81700</v>
      </c>
      <c r="F36" s="214">
        <v>9</v>
      </c>
      <c r="G36" s="203">
        <f t="shared" si="0"/>
        <v>97200</v>
      </c>
      <c r="H36" s="201"/>
      <c r="I36" s="393"/>
      <c r="J36" s="706" t="s">
        <v>1304</v>
      </c>
      <c r="K36" s="704"/>
      <c r="L36" s="705"/>
      <c r="M36" s="196"/>
      <c r="N36" s="192"/>
      <c r="O36" s="193"/>
      <c r="P36" s="193"/>
    </row>
    <row r="37" spans="1:16" s="191" customFormat="1" ht="31.5" customHeight="1">
      <c r="A37" s="205">
        <v>20</v>
      </c>
      <c r="B37" s="204" t="s">
        <v>196</v>
      </c>
      <c r="C37" s="204" t="s">
        <v>197</v>
      </c>
      <c r="D37" s="204" t="s">
        <v>60</v>
      </c>
      <c r="E37" s="203"/>
      <c r="F37" s="214">
        <v>9</v>
      </c>
      <c r="G37" s="203">
        <f t="shared" si="0"/>
        <v>97200</v>
      </c>
      <c r="H37" s="201">
        <v>97200</v>
      </c>
      <c r="I37" s="393" t="s">
        <v>1336</v>
      </c>
      <c r="J37" s="706"/>
      <c r="K37" s="704"/>
      <c r="L37" s="705"/>
      <c r="M37" s="196"/>
      <c r="N37" s="192"/>
      <c r="O37" s="193"/>
      <c r="P37" s="193"/>
    </row>
    <row r="38" spans="1:16" s="191" customFormat="1" ht="31.5" customHeight="1">
      <c r="A38" s="206">
        <v>16</v>
      </c>
      <c r="B38" s="204" t="s">
        <v>637</v>
      </c>
      <c r="C38" s="204" t="s">
        <v>81</v>
      </c>
      <c r="D38" s="204" t="s">
        <v>56</v>
      </c>
      <c r="E38" s="203">
        <v>40000</v>
      </c>
      <c r="F38" s="214">
        <v>12</v>
      </c>
      <c r="G38" s="203">
        <f>180*60*12</f>
        <v>129600</v>
      </c>
      <c r="H38" s="201">
        <f>65000+61000</f>
        <v>126000</v>
      </c>
      <c r="I38" s="393" t="s">
        <v>1335</v>
      </c>
      <c r="J38" s="706"/>
      <c r="K38" s="704"/>
      <c r="L38" s="705"/>
      <c r="M38" s="196"/>
      <c r="N38" s="192"/>
      <c r="O38" s="193"/>
      <c r="P38" s="193"/>
    </row>
    <row r="39" spans="1:16" s="191" customFormat="1" ht="31.5" customHeight="1">
      <c r="A39" s="206">
        <v>28</v>
      </c>
      <c r="B39" s="204" t="s">
        <v>162</v>
      </c>
      <c r="C39" s="204" t="s">
        <v>163</v>
      </c>
      <c r="D39" s="204" t="s">
        <v>56</v>
      </c>
      <c r="E39" s="203">
        <v>127500</v>
      </c>
      <c r="F39" s="214">
        <v>8</v>
      </c>
      <c r="G39" s="203">
        <f>180*60*8</f>
        <v>86400</v>
      </c>
      <c r="H39" s="201">
        <f>65000+25000</f>
        <v>90000</v>
      </c>
      <c r="I39" s="393" t="s">
        <v>1360</v>
      </c>
      <c r="J39" s="706" t="s">
        <v>1384</v>
      </c>
      <c r="K39" s="704"/>
      <c r="L39" s="705"/>
      <c r="M39" s="196"/>
      <c r="N39" s="192"/>
      <c r="O39" s="193"/>
      <c r="P39" s="193"/>
    </row>
    <row r="40" spans="1:16" s="191" customFormat="1" ht="31.5" customHeight="1">
      <c r="A40" s="205">
        <v>23</v>
      </c>
      <c r="B40" s="204" t="s">
        <v>162</v>
      </c>
      <c r="C40" s="204" t="s">
        <v>163</v>
      </c>
      <c r="D40" s="204" t="s">
        <v>56</v>
      </c>
      <c r="E40" s="203"/>
      <c r="F40" s="214">
        <v>9</v>
      </c>
      <c r="G40" s="203">
        <f t="shared" si="0"/>
        <v>97200</v>
      </c>
      <c r="H40" s="201">
        <v>93300</v>
      </c>
      <c r="I40" s="393" t="s">
        <v>1337</v>
      </c>
      <c r="J40" s="706" t="s">
        <v>1318</v>
      </c>
      <c r="K40" s="704"/>
      <c r="L40" s="705"/>
      <c r="M40" s="196"/>
      <c r="N40" s="192"/>
      <c r="O40" s="193"/>
      <c r="P40" s="193"/>
    </row>
    <row r="41" spans="1:16" s="191" customFormat="1" ht="31.5" customHeight="1">
      <c r="A41" s="205">
        <v>30</v>
      </c>
      <c r="B41" s="204" t="s">
        <v>214</v>
      </c>
      <c r="C41" s="204" t="s">
        <v>46</v>
      </c>
      <c r="D41" s="204" t="s">
        <v>56</v>
      </c>
      <c r="E41" s="203">
        <v>98000</v>
      </c>
      <c r="F41" s="214">
        <v>9</v>
      </c>
      <c r="G41" s="203">
        <f t="shared" si="0"/>
        <v>97200</v>
      </c>
      <c r="H41" s="201"/>
      <c r="I41" s="393" t="s">
        <v>1383</v>
      </c>
      <c r="J41" s="706" t="s">
        <v>1314</v>
      </c>
      <c r="K41" s="704"/>
      <c r="L41" s="705"/>
      <c r="M41" s="196"/>
      <c r="N41" s="192"/>
      <c r="O41" s="193"/>
      <c r="P41" s="193"/>
    </row>
    <row r="42" spans="1:16" s="191" customFormat="1" ht="31.5" customHeight="1">
      <c r="A42" s="205">
        <v>54</v>
      </c>
      <c r="B42" s="204" t="s">
        <v>164</v>
      </c>
      <c r="C42" s="204" t="s">
        <v>165</v>
      </c>
      <c r="D42" s="204" t="s">
        <v>56</v>
      </c>
      <c r="E42" s="203">
        <f>111600+124000</f>
        <v>235600</v>
      </c>
      <c r="F42" s="214">
        <v>8</v>
      </c>
      <c r="G42" s="203">
        <f>180*60*8</f>
        <v>86400</v>
      </c>
      <c r="H42" s="201">
        <v>91400</v>
      </c>
      <c r="I42" s="393" t="s">
        <v>1360</v>
      </c>
      <c r="J42" s="706"/>
      <c r="K42" s="704"/>
      <c r="L42" s="705"/>
      <c r="M42" s="196"/>
      <c r="N42" s="192"/>
      <c r="O42" s="193"/>
      <c r="P42" s="193"/>
    </row>
    <row r="43" spans="1:16" s="191" customFormat="1" ht="31.5" customHeight="1">
      <c r="A43" s="205">
        <v>55</v>
      </c>
      <c r="B43" s="204" t="s">
        <v>31</v>
      </c>
      <c r="C43" s="204" t="s">
        <v>44</v>
      </c>
      <c r="D43" s="204" t="s">
        <v>56</v>
      </c>
      <c r="E43" s="203"/>
      <c r="F43" s="214">
        <v>12</v>
      </c>
      <c r="G43" s="203">
        <f>180*60*12</f>
        <v>129600</v>
      </c>
      <c r="H43" s="201">
        <v>87700</v>
      </c>
      <c r="I43" s="393" t="s">
        <v>1337</v>
      </c>
      <c r="J43" s="706" t="s">
        <v>1388</v>
      </c>
      <c r="K43" s="704"/>
      <c r="L43" s="705"/>
      <c r="M43" s="196"/>
      <c r="N43" s="192"/>
      <c r="O43" s="193"/>
      <c r="P43" s="193"/>
    </row>
    <row r="44" spans="1:16" s="191" customFormat="1" ht="31.5" customHeight="1">
      <c r="A44" s="206">
        <v>50</v>
      </c>
      <c r="B44" s="204" t="s">
        <v>222</v>
      </c>
      <c r="C44" s="204" t="s">
        <v>201</v>
      </c>
      <c r="D44" s="204" t="s">
        <v>59</v>
      </c>
      <c r="E44" s="203">
        <v>62000</v>
      </c>
      <c r="F44" s="214">
        <v>9</v>
      </c>
      <c r="G44" s="203">
        <f>180*60*9</f>
        <v>97200</v>
      </c>
      <c r="H44" s="201">
        <f>95100</f>
        <v>95100</v>
      </c>
      <c r="I44" s="393" t="s">
        <v>1360</v>
      </c>
      <c r="J44" s="706" t="s">
        <v>1358</v>
      </c>
      <c r="K44" s="704"/>
      <c r="L44" s="705"/>
      <c r="M44" s="196"/>
      <c r="N44" s="192"/>
      <c r="O44" s="193"/>
      <c r="P44" s="193"/>
    </row>
    <row r="45" spans="1:16" s="191" customFormat="1" ht="31.5" customHeight="1">
      <c r="A45" s="206">
        <v>52</v>
      </c>
      <c r="B45" s="204" t="s">
        <v>633</v>
      </c>
      <c r="C45" s="204" t="s">
        <v>619</v>
      </c>
      <c r="D45" s="204" t="s">
        <v>56</v>
      </c>
      <c r="E45" s="203">
        <v>123000</v>
      </c>
      <c r="F45" s="214">
        <v>9</v>
      </c>
      <c r="G45" s="203">
        <f>180*60*9</f>
        <v>97200</v>
      </c>
      <c r="H45" s="201">
        <v>80400</v>
      </c>
      <c r="I45" s="393"/>
      <c r="J45" s="706" t="s">
        <v>1386</v>
      </c>
      <c r="K45" s="704"/>
      <c r="L45" s="705"/>
      <c r="M45" s="196"/>
      <c r="N45" s="192"/>
      <c r="O45" s="193"/>
      <c r="P45" s="193"/>
    </row>
    <row r="46" spans="1:16" s="191" customFormat="1" ht="31.5" customHeight="1">
      <c r="A46" s="205">
        <v>53</v>
      </c>
      <c r="B46" s="204" t="s">
        <v>125</v>
      </c>
      <c r="C46" s="204" t="s">
        <v>980</v>
      </c>
      <c r="D46" s="204" t="s">
        <v>57</v>
      </c>
      <c r="E46" s="203"/>
      <c r="F46" s="214">
        <v>8</v>
      </c>
      <c r="G46" s="203">
        <f>180*60*8</f>
        <v>86400</v>
      </c>
      <c r="H46" s="201">
        <v>74000</v>
      </c>
      <c r="I46" s="393" t="s">
        <v>1363</v>
      </c>
      <c r="J46" s="703" t="s">
        <v>1387</v>
      </c>
      <c r="K46" s="704"/>
      <c r="L46" s="705"/>
      <c r="M46" s="196"/>
      <c r="N46" s="192"/>
      <c r="O46" s="193"/>
      <c r="P46" s="193"/>
    </row>
    <row r="47" spans="1:16" s="191" customFormat="1" ht="31.5" customHeight="1">
      <c r="A47" s="205"/>
      <c r="B47" s="204" t="s">
        <v>35</v>
      </c>
      <c r="C47" s="204" t="s">
        <v>47</v>
      </c>
      <c r="D47" s="204" t="s">
        <v>61</v>
      </c>
      <c r="E47" s="203">
        <v>83000</v>
      </c>
      <c r="F47" s="214"/>
      <c r="G47" s="203"/>
      <c r="H47" s="201"/>
      <c r="I47" s="393"/>
      <c r="J47" s="393"/>
      <c r="K47" s="396"/>
      <c r="L47" s="397"/>
      <c r="M47" s="196"/>
      <c r="N47" s="192"/>
      <c r="O47" s="193"/>
      <c r="P47" s="193"/>
    </row>
    <row r="48" spans="1:16" s="191" customFormat="1" ht="31.5" customHeight="1">
      <c r="A48" s="205"/>
      <c r="B48" s="204" t="s">
        <v>254</v>
      </c>
      <c r="C48" s="204" t="s">
        <v>255</v>
      </c>
      <c r="D48" s="204" t="s">
        <v>61</v>
      </c>
      <c r="E48" s="203">
        <v>120800</v>
      </c>
      <c r="F48" s="214"/>
      <c r="G48" s="203"/>
      <c r="H48" s="201"/>
      <c r="I48" s="393"/>
      <c r="J48" s="393"/>
      <c r="K48" s="396"/>
      <c r="L48" s="397"/>
      <c r="M48" s="196"/>
      <c r="N48" s="192"/>
      <c r="O48" s="193"/>
      <c r="P48" s="193"/>
    </row>
    <row r="49" spans="1:16" s="191" customFormat="1" ht="31.5" customHeight="1">
      <c r="A49" s="205"/>
      <c r="B49" s="204" t="s">
        <v>181</v>
      </c>
      <c r="C49" s="204" t="s">
        <v>182</v>
      </c>
      <c r="D49" s="204" t="s">
        <v>183</v>
      </c>
      <c r="E49" s="203">
        <f>126300+94000</f>
        <v>220300</v>
      </c>
      <c r="F49" s="214"/>
      <c r="G49" s="203"/>
      <c r="H49" s="201"/>
      <c r="I49" s="393"/>
      <c r="J49" s="393"/>
      <c r="K49" s="396"/>
      <c r="L49" s="397"/>
      <c r="M49" s="196"/>
      <c r="N49" s="192"/>
      <c r="O49" s="193"/>
      <c r="P49" s="193"/>
    </row>
    <row r="50" spans="1:16" s="191" customFormat="1" ht="31.5" customHeight="1">
      <c r="A50" s="205"/>
      <c r="B50" s="204" t="s">
        <v>192</v>
      </c>
      <c r="C50" s="204" t="s">
        <v>193</v>
      </c>
      <c r="D50" s="204" t="s">
        <v>194</v>
      </c>
      <c r="E50" s="203"/>
      <c r="F50" s="214"/>
      <c r="G50" s="203"/>
      <c r="H50" s="201"/>
      <c r="I50" s="393"/>
      <c r="J50" s="393"/>
      <c r="K50" s="396"/>
      <c r="L50" s="397"/>
      <c r="M50" s="196"/>
      <c r="N50" s="192"/>
      <c r="O50" s="193"/>
      <c r="P50" s="193"/>
    </row>
    <row r="51" spans="1:16" s="191" customFormat="1" ht="31.5" customHeight="1">
      <c r="A51" s="205"/>
      <c r="B51" s="204" t="s">
        <v>208</v>
      </c>
      <c r="C51" s="204" t="s">
        <v>209</v>
      </c>
      <c r="D51" s="204" t="s">
        <v>194</v>
      </c>
      <c r="E51" s="203">
        <v>20000</v>
      </c>
      <c r="F51" s="214"/>
      <c r="G51" s="203"/>
      <c r="H51" s="201"/>
      <c r="I51" s="393"/>
      <c r="J51" s="393"/>
      <c r="K51" s="396"/>
      <c r="L51" s="397"/>
      <c r="M51" s="196"/>
      <c r="N51" s="192"/>
      <c r="O51" s="193"/>
      <c r="P51" s="193"/>
    </row>
    <row r="52" spans="1:16" s="191" customFormat="1" ht="31.5" customHeight="1">
      <c r="A52" s="205"/>
      <c r="B52" s="204" t="s">
        <v>208</v>
      </c>
      <c r="C52" s="204" t="s">
        <v>209</v>
      </c>
      <c r="D52" s="204" t="s">
        <v>194</v>
      </c>
      <c r="E52" s="203">
        <v>101900</v>
      </c>
      <c r="F52" s="214"/>
      <c r="G52" s="203"/>
      <c r="H52" s="201"/>
      <c r="I52" s="393"/>
      <c r="J52" s="393"/>
      <c r="K52" s="396"/>
      <c r="L52" s="397"/>
      <c r="M52" s="196"/>
      <c r="N52" s="192"/>
      <c r="O52" s="193"/>
      <c r="P52" s="193"/>
    </row>
    <row r="53" spans="1:16" s="191" customFormat="1" ht="31.5" customHeight="1">
      <c r="A53" s="205">
        <v>53</v>
      </c>
      <c r="B53" s="204"/>
      <c r="C53" s="204"/>
      <c r="D53" s="204"/>
      <c r="E53" s="203"/>
      <c r="F53" s="214">
        <v>12</v>
      </c>
      <c r="G53" s="203">
        <f>180*60*12</f>
        <v>129600</v>
      </c>
      <c r="H53" s="201"/>
      <c r="I53" s="393" t="s">
        <v>1363</v>
      </c>
      <c r="J53" s="706"/>
      <c r="K53" s="704"/>
      <c r="L53" s="705"/>
      <c r="M53" s="196"/>
      <c r="N53" s="192"/>
      <c r="O53" s="193"/>
      <c r="P53" s="193"/>
    </row>
    <row r="54" spans="1:16" s="191" customFormat="1" ht="31.5" customHeight="1">
      <c r="A54" s="206" t="s">
        <v>251</v>
      </c>
      <c r="B54" s="210"/>
      <c r="C54" s="210"/>
      <c r="D54" s="210"/>
      <c r="E54" s="210" t="e">
        <v>#N/A</v>
      </c>
      <c r="F54" s="210"/>
      <c r="G54" s="210"/>
      <c r="H54" s="207">
        <f>SUM(H7:H53)</f>
        <v>2497600</v>
      </c>
      <c r="I54" s="394"/>
      <c r="J54" s="706"/>
      <c r="K54" s="704"/>
      <c r="L54" s="705"/>
      <c r="M54" s="196"/>
      <c r="N54" s="192"/>
    </row>
    <row r="55" spans="1:16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  <c r="O55" s="192"/>
    </row>
    <row r="56" spans="1:16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  <c r="O56" s="192"/>
    </row>
    <row r="57" spans="1:16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  <c r="O57" s="192"/>
    </row>
    <row r="58" spans="1:16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6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6" s="191" customFormat="1" ht="15.75" customHeight="1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  <c r="O60" s="192"/>
    </row>
    <row r="61" spans="1:16" s="191" customFormat="1" ht="15.75" customHeight="1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  <c r="O61" s="192"/>
    </row>
    <row r="62" spans="1:16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  <c r="O62" s="192"/>
    </row>
    <row r="63" spans="1:16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K63" s="198"/>
      <c r="O63" s="192"/>
    </row>
    <row r="64" spans="1:16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K64" s="198"/>
      <c r="O64" s="192"/>
    </row>
    <row r="65" spans="1:15" s="191" customFormat="1" ht="15.75">
      <c r="A65" s="197"/>
      <c r="B65" s="197"/>
      <c r="C65" s="197"/>
      <c r="D65" s="197"/>
      <c r="E65" s="198"/>
      <c r="F65" s="198"/>
      <c r="G65" s="198"/>
      <c r="H65" s="198"/>
      <c r="I65" s="198"/>
      <c r="J65" s="198"/>
      <c r="K65" s="198"/>
      <c r="O65" s="192"/>
    </row>
    <row r="66" spans="1:15" s="191" customFormat="1" ht="15.75">
      <c r="A66" s="197"/>
      <c r="B66" s="197"/>
      <c r="C66" s="197"/>
      <c r="D66" s="197"/>
      <c r="E66" s="198"/>
      <c r="F66" s="198"/>
      <c r="G66" s="198"/>
      <c r="H66" s="198"/>
      <c r="I66" s="198"/>
      <c r="J66" s="198"/>
      <c r="K66" s="198"/>
      <c r="O66" s="192"/>
    </row>
    <row r="67" spans="1:15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O67" s="192"/>
    </row>
    <row r="68" spans="1:15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5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5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5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5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5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  <row r="74" spans="1:15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</row>
    <row r="75" spans="1:15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</row>
    <row r="76" spans="1:15" s="191" customFormat="1" ht="15.75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</row>
    <row r="77" spans="1:15" s="191" customFormat="1" ht="15.75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</row>
  </sheetData>
  <mergeCells count="52">
    <mergeCell ref="J12:L12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  <mergeCell ref="J7:L7"/>
    <mergeCell ref="J8:L8"/>
    <mergeCell ref="J9:L9"/>
    <mergeCell ref="J10:L10"/>
    <mergeCell ref="J11:L11"/>
    <mergeCell ref="J24:L24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36:L36"/>
    <mergeCell ref="J25:L25"/>
    <mergeCell ref="J26:L26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54:L54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53:L53"/>
  </mergeCells>
  <phoneticPr fontId="74" type="noConversion"/>
  <conditionalFormatting sqref="H7:I53">
    <cfRule type="cellIs" dxfId="13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9">
    <pageSetUpPr fitToPage="1"/>
  </sheetPr>
  <dimension ref="A1:P71"/>
  <sheetViews>
    <sheetView view="pageBreakPreview" topLeftCell="A19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1369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1370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206</v>
      </c>
      <c r="C7" s="200" t="s">
        <v>36</v>
      </c>
      <c r="D7" s="200" t="s">
        <v>207</v>
      </c>
      <c r="E7" s="201">
        <v>685800</v>
      </c>
      <c r="F7" s="213">
        <v>8</v>
      </c>
      <c r="G7" s="201">
        <f>42*60*8</f>
        <v>20160</v>
      </c>
      <c r="H7" s="201">
        <v>23500</v>
      </c>
      <c r="I7" s="393" t="s">
        <v>1328</v>
      </c>
      <c r="J7" s="706" t="s">
        <v>1371</v>
      </c>
      <c r="K7" s="704"/>
      <c r="L7" s="705"/>
      <c r="M7" s="192"/>
      <c r="N7" s="192"/>
      <c r="O7" s="193"/>
      <c r="P7" s="193"/>
    </row>
    <row r="8" spans="1:16" s="191" customFormat="1" ht="31.5" customHeight="1">
      <c r="A8" s="199">
        <v>2</v>
      </c>
      <c r="B8" s="200" t="s">
        <v>92</v>
      </c>
      <c r="C8" s="200" t="s">
        <v>93</v>
      </c>
      <c r="D8" s="200" t="s">
        <v>94</v>
      </c>
      <c r="E8" s="201">
        <v>39500</v>
      </c>
      <c r="F8" s="213">
        <v>10</v>
      </c>
      <c r="G8" s="201">
        <f>42*60*10</f>
        <v>25200</v>
      </c>
      <c r="H8" s="201">
        <v>4800</v>
      </c>
      <c r="I8" s="393" t="s">
        <v>1329</v>
      </c>
      <c r="J8" s="706" t="s">
        <v>1372</v>
      </c>
      <c r="K8" s="704"/>
      <c r="L8" s="705"/>
      <c r="M8" s="192"/>
      <c r="N8" s="192"/>
      <c r="O8" s="193"/>
      <c r="P8" s="193"/>
    </row>
    <row r="9" spans="1:16" s="191" customFormat="1" ht="31.5" customHeight="1">
      <c r="A9" s="199">
        <v>3</v>
      </c>
      <c r="B9" s="200" t="s">
        <v>151</v>
      </c>
      <c r="C9" s="200" t="s">
        <v>152</v>
      </c>
      <c r="D9" s="200" t="s">
        <v>210</v>
      </c>
      <c r="E9" s="201">
        <v>1069200</v>
      </c>
      <c r="F9" s="213">
        <v>8</v>
      </c>
      <c r="G9" s="201">
        <f>40*60*10</f>
        <v>24000</v>
      </c>
      <c r="H9" s="201">
        <v>21000</v>
      </c>
      <c r="I9" s="393" t="s">
        <v>1330</v>
      </c>
      <c r="J9" s="706" t="s">
        <v>1373</v>
      </c>
      <c r="K9" s="704"/>
      <c r="L9" s="705"/>
      <c r="M9" s="192"/>
      <c r="N9" s="192"/>
      <c r="O9" s="193"/>
      <c r="P9" s="193"/>
    </row>
    <row r="10" spans="1:16" s="195" customFormat="1" ht="31.5" customHeight="1">
      <c r="A10" s="202">
        <v>4</v>
      </c>
      <c r="B10" s="203" t="s">
        <v>143</v>
      </c>
      <c r="C10" s="203" t="s">
        <v>38</v>
      </c>
      <c r="D10" s="203" t="s">
        <v>50</v>
      </c>
      <c r="E10" s="203">
        <v>1670600</v>
      </c>
      <c r="F10" s="214">
        <v>8</v>
      </c>
      <c r="G10" s="203">
        <f>70*60*8</f>
        <v>33600</v>
      </c>
      <c r="H10" s="201">
        <v>34500</v>
      </c>
      <c r="I10" s="393" t="s">
        <v>1330</v>
      </c>
      <c r="J10" s="706" t="s">
        <v>1374</v>
      </c>
      <c r="K10" s="704"/>
      <c r="L10" s="705"/>
      <c r="M10" s="194"/>
      <c r="N10" s="192"/>
      <c r="O10" s="193"/>
      <c r="P10" s="193"/>
    </row>
    <row r="11" spans="1:16" s="195" customFormat="1" ht="31.5" customHeight="1">
      <c r="A11" s="202">
        <v>5</v>
      </c>
      <c r="B11" s="203" t="s">
        <v>173</v>
      </c>
      <c r="C11" s="204" t="s">
        <v>174</v>
      </c>
      <c r="D11" s="203" t="s">
        <v>175</v>
      </c>
      <c r="E11" s="203">
        <v>603600</v>
      </c>
      <c r="F11" s="214">
        <v>10</v>
      </c>
      <c r="G11" s="203">
        <f>50*60*10</f>
        <v>30000</v>
      </c>
      <c r="H11" s="201">
        <v>30000</v>
      </c>
      <c r="I11" s="393" t="s">
        <v>1329</v>
      </c>
      <c r="J11" s="706"/>
      <c r="K11" s="704"/>
      <c r="L11" s="705"/>
      <c r="M11" s="194"/>
      <c r="N11" s="192"/>
      <c r="O11" s="193"/>
      <c r="P11" s="193"/>
    </row>
    <row r="12" spans="1:16" s="195" customFormat="1" ht="31.5" customHeight="1">
      <c r="A12" s="202">
        <v>6</v>
      </c>
      <c r="B12" s="203" t="s">
        <v>139</v>
      </c>
      <c r="C12" s="204" t="s">
        <v>140</v>
      </c>
      <c r="D12" s="203" t="s">
        <v>142</v>
      </c>
      <c r="E12" s="203">
        <v>571600</v>
      </c>
      <c r="F12" s="214">
        <v>10</v>
      </c>
      <c r="G12" s="203">
        <f>42*60*10</f>
        <v>25200</v>
      </c>
      <c r="H12" s="201">
        <v>23200</v>
      </c>
      <c r="I12" s="393" t="s">
        <v>1329</v>
      </c>
      <c r="J12" s="703" t="s">
        <v>1375</v>
      </c>
      <c r="K12" s="704"/>
      <c r="L12" s="705"/>
      <c r="M12" s="194"/>
      <c r="N12" s="192"/>
      <c r="O12" s="193"/>
      <c r="P12" s="193"/>
    </row>
    <row r="13" spans="1:16" s="195" customFormat="1" ht="31.5" customHeight="1">
      <c r="A13" s="202">
        <v>7</v>
      </c>
      <c r="B13" s="203" t="s">
        <v>30</v>
      </c>
      <c r="C13" s="204" t="s">
        <v>43</v>
      </c>
      <c r="D13" s="203" t="s">
        <v>55</v>
      </c>
      <c r="E13" s="203">
        <v>1700000</v>
      </c>
      <c r="F13" s="214">
        <v>10.5</v>
      </c>
      <c r="G13" s="203">
        <f>100*60*10.5</f>
        <v>63000</v>
      </c>
      <c r="H13" s="201">
        <v>62000</v>
      </c>
      <c r="I13" s="393" t="s">
        <v>1331</v>
      </c>
      <c r="J13" s="706" t="s">
        <v>1371</v>
      </c>
      <c r="K13" s="704"/>
      <c r="L13" s="705"/>
      <c r="M13" s="194"/>
      <c r="N13" s="192"/>
      <c r="O13" s="193"/>
      <c r="P13" s="193"/>
    </row>
    <row r="14" spans="1:16" s="195" customFormat="1" ht="31.5" customHeight="1">
      <c r="A14" s="199" t="s">
        <v>66</v>
      </c>
      <c r="B14" s="200" t="s">
        <v>27</v>
      </c>
      <c r="C14" s="200" t="s">
        <v>40</v>
      </c>
      <c r="D14" s="200" t="s">
        <v>52</v>
      </c>
      <c r="E14" s="201">
        <v>4364000</v>
      </c>
      <c r="F14" s="213">
        <v>10.5</v>
      </c>
      <c r="G14" s="201">
        <f>138*60*10.5</f>
        <v>86940</v>
      </c>
      <c r="H14" s="201">
        <v>84000</v>
      </c>
      <c r="I14" s="393" t="s">
        <v>1331</v>
      </c>
      <c r="J14" s="706" t="s">
        <v>1371</v>
      </c>
      <c r="K14" s="704"/>
      <c r="L14" s="705"/>
      <c r="M14" s="194"/>
      <c r="N14" s="192"/>
      <c r="O14" s="193"/>
      <c r="P14" s="193"/>
    </row>
    <row r="15" spans="1:16" s="195" customFormat="1" ht="31.5" customHeight="1">
      <c r="A15" s="202" t="s">
        <v>218</v>
      </c>
      <c r="B15" s="203" t="s">
        <v>223</v>
      </c>
      <c r="C15" s="204" t="s">
        <v>224</v>
      </c>
      <c r="D15" s="203" t="s">
        <v>225</v>
      </c>
      <c r="E15" s="203">
        <v>50500</v>
      </c>
      <c r="F15" s="214">
        <v>10.5</v>
      </c>
      <c r="G15" s="203">
        <f>42*60*10.5</f>
        <v>26460</v>
      </c>
      <c r="H15" s="201">
        <v>21500</v>
      </c>
      <c r="I15" s="393" t="s">
        <v>1332</v>
      </c>
      <c r="J15" s="703" t="s">
        <v>1376</v>
      </c>
      <c r="K15" s="704"/>
      <c r="L15" s="705"/>
      <c r="M15" s="194"/>
      <c r="N15" s="192"/>
      <c r="O15" s="193"/>
      <c r="P15" s="193"/>
    </row>
    <row r="16" spans="1:16" s="191" customFormat="1" ht="31.5" customHeight="1">
      <c r="A16" s="202">
        <v>8</v>
      </c>
      <c r="B16" s="203" t="s">
        <v>968</v>
      </c>
      <c r="C16" s="204" t="s">
        <v>152</v>
      </c>
      <c r="D16" s="203" t="s">
        <v>1299</v>
      </c>
      <c r="E16" s="203">
        <v>256000</v>
      </c>
      <c r="F16" s="214">
        <v>10.5</v>
      </c>
      <c r="G16" s="203">
        <f>50*60*10.5</f>
        <v>31500</v>
      </c>
      <c r="H16" s="201">
        <v>25000</v>
      </c>
      <c r="I16" s="393" t="s">
        <v>1332</v>
      </c>
      <c r="J16" s="703" t="s">
        <v>1377</v>
      </c>
      <c r="K16" s="704"/>
      <c r="L16" s="705"/>
      <c r="M16" s="192"/>
      <c r="N16" s="192"/>
      <c r="O16" s="193"/>
      <c r="P16" s="193"/>
    </row>
    <row r="17" spans="1:16" s="191" customFormat="1" ht="31.5" customHeight="1">
      <c r="A17" s="205">
        <v>9</v>
      </c>
      <c r="B17" s="204" t="s">
        <v>28</v>
      </c>
      <c r="C17" s="204" t="s">
        <v>41</v>
      </c>
      <c r="D17" s="204" t="s">
        <v>53</v>
      </c>
      <c r="E17" s="203">
        <v>2475000</v>
      </c>
      <c r="F17" s="214">
        <v>8</v>
      </c>
      <c r="G17" s="203">
        <f>50*60*8</f>
        <v>24000</v>
      </c>
      <c r="H17" s="201">
        <v>22000</v>
      </c>
      <c r="I17" s="393" t="s">
        <v>1352</v>
      </c>
      <c r="J17" s="706" t="s">
        <v>1378</v>
      </c>
      <c r="K17" s="704"/>
      <c r="L17" s="705"/>
      <c r="M17" s="196"/>
      <c r="N17" s="192"/>
      <c r="O17" s="193"/>
      <c r="P17" s="193"/>
    </row>
    <row r="18" spans="1:16" s="191" customFormat="1" ht="31.5" customHeight="1">
      <c r="A18" s="205">
        <v>10</v>
      </c>
      <c r="B18" s="204" t="s">
        <v>229</v>
      </c>
      <c r="C18" s="204" t="s">
        <v>220</v>
      </c>
      <c r="D18" s="204" t="s">
        <v>230</v>
      </c>
      <c r="E18" s="203">
        <v>1000</v>
      </c>
      <c r="F18" s="214">
        <v>8</v>
      </c>
      <c r="G18" s="203">
        <f>45*60*8</f>
        <v>21600</v>
      </c>
      <c r="H18" s="201">
        <v>1000</v>
      </c>
      <c r="I18" s="393" t="s">
        <v>1352</v>
      </c>
      <c r="J18" s="706" t="s">
        <v>1353</v>
      </c>
      <c r="K18" s="704"/>
      <c r="L18" s="705"/>
      <c r="M18" s="196"/>
      <c r="N18" s="192"/>
      <c r="O18" s="193"/>
      <c r="P18" s="193"/>
    </row>
    <row r="19" spans="1:16" s="191" customFormat="1" ht="31.5" customHeight="1">
      <c r="A19" s="205">
        <v>10</v>
      </c>
      <c r="B19" s="204" t="s">
        <v>248</v>
      </c>
      <c r="C19" s="204" t="s">
        <v>249</v>
      </c>
      <c r="D19" s="204" t="s">
        <v>105</v>
      </c>
      <c r="E19" s="203">
        <v>300000</v>
      </c>
      <c r="F19" s="214">
        <v>8</v>
      </c>
      <c r="G19" s="203">
        <f>50*60*8</f>
        <v>24000</v>
      </c>
      <c r="H19" s="201"/>
      <c r="I19" s="393" t="s">
        <v>1352</v>
      </c>
      <c r="J19" s="706"/>
      <c r="K19" s="704"/>
      <c r="L19" s="705"/>
      <c r="M19" s="196"/>
      <c r="N19" s="192"/>
      <c r="O19" s="193"/>
      <c r="P19" s="193"/>
    </row>
    <row r="20" spans="1:16" s="191" customFormat="1" ht="31.5" customHeight="1">
      <c r="A20" s="205">
        <v>11</v>
      </c>
      <c r="B20" s="204" t="s">
        <v>234</v>
      </c>
      <c r="C20" s="204" t="s">
        <v>235</v>
      </c>
      <c r="D20" s="204" t="s">
        <v>236</v>
      </c>
      <c r="E20" s="203">
        <v>130000</v>
      </c>
      <c r="F20" s="214">
        <v>8</v>
      </c>
      <c r="G20" s="203">
        <f>89*60*8</f>
        <v>42720</v>
      </c>
      <c r="H20" s="201">
        <v>40000</v>
      </c>
      <c r="I20" s="393" t="s">
        <v>1352</v>
      </c>
      <c r="J20" s="706"/>
      <c r="K20" s="704"/>
      <c r="L20" s="705"/>
      <c r="M20" s="196"/>
      <c r="N20" s="192"/>
      <c r="O20" s="193"/>
      <c r="P20" s="193"/>
    </row>
    <row r="21" spans="1:16" s="191" customFormat="1" ht="31.5" customHeight="1">
      <c r="A21" s="206">
        <v>12</v>
      </c>
      <c r="B21" s="204" t="s">
        <v>988</v>
      </c>
      <c r="C21" s="204" t="s">
        <v>990</v>
      </c>
      <c r="D21" s="204" t="s">
        <v>54</v>
      </c>
      <c r="E21" s="203">
        <v>584000</v>
      </c>
      <c r="F21" s="214">
        <v>10.5</v>
      </c>
      <c r="G21" s="203">
        <f>110*60*10.5</f>
        <v>69300</v>
      </c>
      <c r="H21" s="201">
        <v>65000</v>
      </c>
      <c r="I21" s="393" t="s">
        <v>1334</v>
      </c>
      <c r="J21" s="703" t="s">
        <v>1379</v>
      </c>
      <c r="K21" s="704"/>
      <c r="L21" s="705"/>
      <c r="M21" s="196"/>
      <c r="N21" s="192"/>
      <c r="O21" s="193"/>
      <c r="P21" s="193"/>
    </row>
    <row r="22" spans="1:16" s="191" customFormat="1" ht="31.5" customHeight="1">
      <c r="A22" s="206">
        <v>12</v>
      </c>
      <c r="B22" s="204" t="s">
        <v>988</v>
      </c>
      <c r="C22" s="204" t="s">
        <v>990</v>
      </c>
      <c r="D22" s="204" t="s">
        <v>54</v>
      </c>
      <c r="E22" s="203">
        <v>584000</v>
      </c>
      <c r="F22" s="214">
        <v>10.5</v>
      </c>
      <c r="G22" s="203">
        <f>120*60*10.5</f>
        <v>75600</v>
      </c>
      <c r="H22" s="201"/>
      <c r="I22" s="393" t="s">
        <v>1334</v>
      </c>
      <c r="J22" s="703"/>
      <c r="K22" s="704"/>
      <c r="L22" s="705"/>
      <c r="M22" s="196"/>
      <c r="N22" s="192"/>
      <c r="O22" s="193"/>
      <c r="P22" s="193"/>
    </row>
    <row r="23" spans="1:16" s="191" customFormat="1" ht="31.5" customHeight="1">
      <c r="A23" s="206">
        <v>13</v>
      </c>
      <c r="B23" s="204" t="s">
        <v>775</v>
      </c>
      <c r="C23" s="204" t="s">
        <v>777</v>
      </c>
      <c r="D23" s="204" t="s">
        <v>1339</v>
      </c>
      <c r="E23" s="203">
        <v>162000</v>
      </c>
      <c r="F23" s="214">
        <v>10.5</v>
      </c>
      <c r="G23" s="203">
        <f>110*60*10.5</f>
        <v>69300</v>
      </c>
      <c r="H23" s="201">
        <v>68000</v>
      </c>
      <c r="I23" s="393" t="s">
        <v>1334</v>
      </c>
      <c r="J23" s="706" t="s">
        <v>1380</v>
      </c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14</v>
      </c>
      <c r="B24" s="204" t="s">
        <v>29</v>
      </c>
      <c r="C24" s="204" t="s">
        <v>42</v>
      </c>
      <c r="D24" s="204" t="s">
        <v>54</v>
      </c>
      <c r="E24" s="203">
        <v>266000</v>
      </c>
      <c r="F24" s="214">
        <v>10.5</v>
      </c>
      <c r="G24" s="203">
        <f>120*60*10.5</f>
        <v>75600</v>
      </c>
      <c r="H24" s="201">
        <v>73000</v>
      </c>
      <c r="I24" s="393" t="s">
        <v>1334</v>
      </c>
      <c r="J24" s="706" t="s">
        <v>1381</v>
      </c>
      <c r="K24" s="704"/>
      <c r="L24" s="705"/>
      <c r="M24" s="196"/>
      <c r="N24" s="192"/>
      <c r="O24" s="193"/>
      <c r="P24" s="193"/>
    </row>
    <row r="25" spans="1:16" s="191" customFormat="1" ht="31.5" customHeight="1">
      <c r="A25" s="205">
        <v>29</v>
      </c>
      <c r="B25" s="204" t="s">
        <v>195</v>
      </c>
      <c r="C25" s="204" t="s">
        <v>167</v>
      </c>
      <c r="D25" s="204" t="s">
        <v>59</v>
      </c>
      <c r="E25" s="203">
        <v>120000</v>
      </c>
      <c r="F25" s="214">
        <v>9</v>
      </c>
      <c r="G25" s="203">
        <f>180*60*9</f>
        <v>97200</v>
      </c>
      <c r="H25" s="201">
        <v>95500</v>
      </c>
      <c r="I25" s="393" t="s">
        <v>1360</v>
      </c>
      <c r="J25" s="706" t="s">
        <v>1358</v>
      </c>
      <c r="K25" s="704"/>
      <c r="L25" s="705"/>
      <c r="M25" s="196"/>
      <c r="N25" s="192"/>
      <c r="O25" s="193"/>
      <c r="P25" s="193"/>
    </row>
    <row r="26" spans="1:16" s="191" customFormat="1" ht="31.5" customHeight="1">
      <c r="A26" s="205">
        <v>17</v>
      </c>
      <c r="B26" s="204" t="s">
        <v>149</v>
      </c>
      <c r="C26" s="204" t="s">
        <v>150</v>
      </c>
      <c r="D26" s="204" t="s">
        <v>56</v>
      </c>
      <c r="E26" s="203">
        <v>5314300</v>
      </c>
      <c r="F26" s="214">
        <v>12</v>
      </c>
      <c r="G26" s="203">
        <f>180*60*12</f>
        <v>129600</v>
      </c>
      <c r="H26" s="201">
        <f>121000</f>
        <v>121000</v>
      </c>
      <c r="I26" s="393" t="s">
        <v>1335</v>
      </c>
      <c r="J26" s="706" t="s">
        <v>1382</v>
      </c>
      <c r="K26" s="704"/>
      <c r="L26" s="705"/>
      <c r="M26" s="196"/>
      <c r="N26" s="192"/>
      <c r="O26" s="193"/>
      <c r="P26" s="193"/>
    </row>
    <row r="27" spans="1:16" s="191" customFormat="1" ht="31.5" customHeight="1">
      <c r="A27" s="205">
        <v>18</v>
      </c>
      <c r="B27" s="204" t="s">
        <v>149</v>
      </c>
      <c r="C27" s="204" t="s">
        <v>150</v>
      </c>
      <c r="D27" s="204" t="s">
        <v>56</v>
      </c>
      <c r="E27" s="203">
        <v>5314300</v>
      </c>
      <c r="F27" s="214">
        <v>12</v>
      </c>
      <c r="G27" s="203">
        <f>180*60*12</f>
        <v>129600</v>
      </c>
      <c r="H27" s="201">
        <v>127000</v>
      </c>
      <c r="I27" s="393" t="s">
        <v>1335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5">
        <v>24</v>
      </c>
      <c r="B28" s="204" t="s">
        <v>149</v>
      </c>
      <c r="C28" s="204" t="s">
        <v>150</v>
      </c>
      <c r="D28" s="204" t="s">
        <v>56</v>
      </c>
      <c r="E28" s="203">
        <v>5314300</v>
      </c>
      <c r="F28" s="214">
        <v>9</v>
      </c>
      <c r="G28" s="203">
        <f>180*60*9</f>
        <v>97200</v>
      </c>
      <c r="H28" s="201">
        <v>96000</v>
      </c>
      <c r="I28" s="393" t="s">
        <v>1337</v>
      </c>
      <c r="J28" s="706" t="s">
        <v>1358</v>
      </c>
      <c r="K28" s="704"/>
      <c r="L28" s="705"/>
      <c r="M28" s="196"/>
      <c r="N28" s="192"/>
      <c r="O28" s="193"/>
      <c r="P28" s="193"/>
    </row>
    <row r="29" spans="1:16" s="191" customFormat="1" ht="31.5" customHeight="1">
      <c r="A29" s="205">
        <v>19</v>
      </c>
      <c r="B29" s="204" t="s">
        <v>176</v>
      </c>
      <c r="C29" s="204" t="s">
        <v>148</v>
      </c>
      <c r="D29" s="204" t="s">
        <v>153</v>
      </c>
      <c r="E29" s="203">
        <v>1864800</v>
      </c>
      <c r="F29" s="214">
        <v>9</v>
      </c>
      <c r="G29" s="203">
        <f>180*60*9</f>
        <v>97200</v>
      </c>
      <c r="H29" s="201">
        <f>94000</f>
        <v>94000</v>
      </c>
      <c r="I29" s="393" t="s">
        <v>1336</v>
      </c>
      <c r="J29" s="706" t="s">
        <v>1358</v>
      </c>
      <c r="K29" s="704"/>
      <c r="L29" s="705"/>
      <c r="M29" s="196"/>
      <c r="N29" s="192"/>
      <c r="O29" s="193"/>
      <c r="P29" s="193"/>
    </row>
    <row r="30" spans="1:16" s="191" customFormat="1" ht="31.5" customHeight="1">
      <c r="A30" s="205">
        <v>27</v>
      </c>
      <c r="B30" s="204" t="s">
        <v>176</v>
      </c>
      <c r="C30" s="204" t="s">
        <v>148</v>
      </c>
      <c r="D30" s="204" t="s">
        <v>153</v>
      </c>
      <c r="E30" s="203">
        <v>1864800</v>
      </c>
      <c r="F30" s="214">
        <v>9</v>
      </c>
      <c r="G30" s="203">
        <f>180*60*9</f>
        <v>97200</v>
      </c>
      <c r="H30" s="201">
        <v>96000</v>
      </c>
      <c r="I30" s="393" t="s">
        <v>1383</v>
      </c>
      <c r="J30" s="706"/>
      <c r="K30" s="704"/>
      <c r="L30" s="705"/>
      <c r="M30" s="196"/>
      <c r="N30" s="192"/>
      <c r="O30" s="193"/>
      <c r="P30" s="193"/>
    </row>
    <row r="31" spans="1:16" s="191" customFormat="1" ht="31.5" customHeight="1">
      <c r="A31" s="206">
        <v>25</v>
      </c>
      <c r="B31" s="204" t="s">
        <v>80</v>
      </c>
      <c r="C31" s="204" t="s">
        <v>81</v>
      </c>
      <c r="D31" s="204" t="s">
        <v>60</v>
      </c>
      <c r="E31" s="203">
        <v>2392600</v>
      </c>
      <c r="F31" s="214">
        <v>9</v>
      </c>
      <c r="G31" s="203">
        <f t="shared" ref="G31:G41" si="0">180*60*9</f>
        <v>97200</v>
      </c>
      <c r="H31" s="201">
        <v>93000</v>
      </c>
      <c r="I31" s="393" t="s">
        <v>1337</v>
      </c>
      <c r="J31" s="706" t="s">
        <v>1358</v>
      </c>
      <c r="K31" s="704"/>
      <c r="L31" s="705"/>
      <c r="M31" s="196"/>
      <c r="N31" s="192"/>
      <c r="O31" s="193"/>
      <c r="P31" s="193"/>
    </row>
    <row r="32" spans="1:16" s="191" customFormat="1" ht="31.5" customHeight="1">
      <c r="A32" s="206">
        <v>26</v>
      </c>
      <c r="B32" s="204" t="s">
        <v>190</v>
      </c>
      <c r="C32" s="204" t="s">
        <v>191</v>
      </c>
      <c r="D32" s="204" t="s">
        <v>86</v>
      </c>
      <c r="E32" s="203">
        <v>675900</v>
      </c>
      <c r="F32" s="214">
        <v>9</v>
      </c>
      <c r="G32" s="203">
        <f>150*60*9</f>
        <v>81000</v>
      </c>
      <c r="H32" s="201">
        <v>78800</v>
      </c>
      <c r="I32" s="393" t="s">
        <v>1337</v>
      </c>
      <c r="J32" s="706" t="s">
        <v>1358</v>
      </c>
      <c r="K32" s="704"/>
      <c r="L32" s="705"/>
      <c r="M32" s="196"/>
      <c r="N32" s="192"/>
      <c r="O32" s="193"/>
      <c r="P32" s="193"/>
    </row>
    <row r="33" spans="1:16" s="191" customFormat="1" ht="31.5" customHeight="1">
      <c r="A33" s="206">
        <v>31</v>
      </c>
      <c r="B33" s="204" t="s">
        <v>203</v>
      </c>
      <c r="C33" s="204" t="s">
        <v>204</v>
      </c>
      <c r="D33" s="204" t="s">
        <v>57</v>
      </c>
      <c r="E33" s="203">
        <v>531700</v>
      </c>
      <c r="F33" s="214">
        <v>12</v>
      </c>
      <c r="G33" s="203">
        <f>180*60*12</f>
        <v>129600</v>
      </c>
      <c r="H33" s="201">
        <v>36500</v>
      </c>
      <c r="I33" s="393" t="s">
        <v>1360</v>
      </c>
      <c r="J33" s="706" t="s">
        <v>1385</v>
      </c>
      <c r="K33" s="704"/>
      <c r="L33" s="705"/>
      <c r="M33" s="196"/>
      <c r="N33" s="192"/>
      <c r="O33" s="193"/>
      <c r="P33" s="193"/>
    </row>
    <row r="34" spans="1:16" s="191" customFormat="1" ht="31.5" customHeight="1">
      <c r="A34" s="206">
        <v>22</v>
      </c>
      <c r="B34" s="204" t="s">
        <v>637</v>
      </c>
      <c r="C34" s="204" t="s">
        <v>81</v>
      </c>
      <c r="D34" s="204" t="s">
        <v>56</v>
      </c>
      <c r="E34" s="203">
        <v>1092600</v>
      </c>
      <c r="F34" s="214">
        <v>12</v>
      </c>
      <c r="G34" s="203">
        <f>150*60*12</f>
        <v>108000</v>
      </c>
      <c r="H34" s="201">
        <v>97200</v>
      </c>
      <c r="I34" s="393" t="s">
        <v>1337</v>
      </c>
      <c r="J34" s="706" t="s">
        <v>1358</v>
      </c>
      <c r="K34" s="704"/>
      <c r="L34" s="705"/>
      <c r="M34" s="196"/>
      <c r="N34" s="192"/>
      <c r="O34" s="193"/>
      <c r="P34" s="193"/>
    </row>
    <row r="35" spans="1:16" s="191" customFormat="1" ht="31.5" customHeight="1">
      <c r="A35" s="205">
        <v>15</v>
      </c>
      <c r="B35" s="204" t="s">
        <v>162</v>
      </c>
      <c r="C35" s="204" t="s">
        <v>163</v>
      </c>
      <c r="D35" s="204" t="s">
        <v>56</v>
      </c>
      <c r="E35" s="203">
        <v>2975300</v>
      </c>
      <c r="F35" s="214">
        <v>12</v>
      </c>
      <c r="G35" s="203">
        <f>180*60*12</f>
        <v>129600</v>
      </c>
      <c r="H35" s="201">
        <v>129000</v>
      </c>
      <c r="I35" s="393" t="s">
        <v>1335</v>
      </c>
      <c r="J35" s="706"/>
      <c r="K35" s="704"/>
      <c r="L35" s="705"/>
      <c r="M35" s="196"/>
      <c r="N35" s="192"/>
      <c r="O35" s="193"/>
      <c r="P35" s="193"/>
    </row>
    <row r="36" spans="1:16" s="191" customFormat="1" ht="31.5" customHeight="1">
      <c r="A36" s="205">
        <v>21</v>
      </c>
      <c r="B36" s="204" t="s">
        <v>162</v>
      </c>
      <c r="C36" s="204" t="s">
        <v>163</v>
      </c>
      <c r="D36" s="204" t="s">
        <v>56</v>
      </c>
      <c r="E36" s="203">
        <v>2975300</v>
      </c>
      <c r="F36" s="214">
        <v>9</v>
      </c>
      <c r="G36" s="203">
        <f t="shared" si="0"/>
        <v>97200</v>
      </c>
      <c r="H36" s="201"/>
      <c r="I36" s="393"/>
      <c r="J36" s="706" t="s">
        <v>1304</v>
      </c>
      <c r="K36" s="704"/>
      <c r="L36" s="705"/>
      <c r="M36" s="196"/>
      <c r="N36" s="192"/>
      <c r="O36" s="193"/>
      <c r="P36" s="193"/>
    </row>
    <row r="37" spans="1:16" s="191" customFormat="1" ht="31.5" customHeight="1">
      <c r="A37" s="205">
        <v>20</v>
      </c>
      <c r="B37" s="204" t="s">
        <v>214</v>
      </c>
      <c r="C37" s="204" t="s">
        <v>46</v>
      </c>
      <c r="D37" s="204" t="s">
        <v>56</v>
      </c>
      <c r="E37" s="203">
        <v>868500</v>
      </c>
      <c r="F37" s="214">
        <v>9</v>
      </c>
      <c r="G37" s="203">
        <f t="shared" si="0"/>
        <v>97200</v>
      </c>
      <c r="H37" s="201">
        <v>97200</v>
      </c>
      <c r="I37" s="393" t="s">
        <v>1336</v>
      </c>
      <c r="J37" s="706"/>
      <c r="K37" s="704"/>
      <c r="L37" s="705"/>
      <c r="M37" s="196"/>
      <c r="N37" s="192"/>
      <c r="O37" s="193"/>
      <c r="P37" s="193"/>
    </row>
    <row r="38" spans="1:16" s="191" customFormat="1" ht="31.5" customHeight="1">
      <c r="A38" s="206">
        <v>16</v>
      </c>
      <c r="B38" s="204" t="s">
        <v>164</v>
      </c>
      <c r="C38" s="204" t="s">
        <v>165</v>
      </c>
      <c r="D38" s="204" t="s">
        <v>56</v>
      </c>
      <c r="E38" s="203">
        <v>4126600</v>
      </c>
      <c r="F38" s="214">
        <v>12</v>
      </c>
      <c r="G38" s="203">
        <f>180*60*12</f>
        <v>129600</v>
      </c>
      <c r="H38" s="201">
        <f>65000+61000</f>
        <v>126000</v>
      </c>
      <c r="I38" s="393" t="s">
        <v>1335</v>
      </c>
      <c r="J38" s="706"/>
      <c r="K38" s="704"/>
      <c r="L38" s="705"/>
      <c r="M38" s="196"/>
      <c r="N38" s="192"/>
      <c r="O38" s="193"/>
      <c r="P38" s="193"/>
    </row>
    <row r="39" spans="1:16" s="191" customFormat="1" ht="31.5" customHeight="1">
      <c r="A39" s="206">
        <v>28</v>
      </c>
      <c r="B39" s="204" t="s">
        <v>164</v>
      </c>
      <c r="C39" s="204" t="s">
        <v>165</v>
      </c>
      <c r="D39" s="204" t="s">
        <v>56</v>
      </c>
      <c r="E39" s="203">
        <v>4126600</v>
      </c>
      <c r="F39" s="214">
        <v>8</v>
      </c>
      <c r="G39" s="203">
        <f>180*60*8</f>
        <v>86400</v>
      </c>
      <c r="H39" s="201">
        <f>65000+25000</f>
        <v>90000</v>
      </c>
      <c r="I39" s="393" t="s">
        <v>1360</v>
      </c>
      <c r="J39" s="706" t="s">
        <v>1384</v>
      </c>
      <c r="K39" s="704"/>
      <c r="L39" s="705"/>
      <c r="M39" s="196"/>
      <c r="N39" s="192"/>
      <c r="O39" s="193"/>
      <c r="P39" s="193"/>
    </row>
    <row r="40" spans="1:16" s="191" customFormat="1" ht="31.5" customHeight="1">
      <c r="A40" s="205">
        <v>23</v>
      </c>
      <c r="B40" s="204" t="s">
        <v>222</v>
      </c>
      <c r="C40" s="204" t="s">
        <v>201</v>
      </c>
      <c r="D40" s="204" t="s">
        <v>59</v>
      </c>
      <c r="E40" s="203">
        <v>152700</v>
      </c>
      <c r="F40" s="214">
        <v>9</v>
      </c>
      <c r="G40" s="203">
        <f t="shared" si="0"/>
        <v>97200</v>
      </c>
      <c r="H40" s="201">
        <v>93300</v>
      </c>
      <c r="I40" s="393" t="s">
        <v>1337</v>
      </c>
      <c r="J40" s="706" t="s">
        <v>1318</v>
      </c>
      <c r="K40" s="704"/>
      <c r="L40" s="705"/>
      <c r="M40" s="196"/>
      <c r="N40" s="192"/>
      <c r="O40" s="193"/>
      <c r="P40" s="193"/>
    </row>
    <row r="41" spans="1:16" s="191" customFormat="1" ht="31.5" customHeight="1">
      <c r="A41" s="205">
        <v>30</v>
      </c>
      <c r="B41" s="204" t="s">
        <v>633</v>
      </c>
      <c r="C41" s="204" t="s">
        <v>619</v>
      </c>
      <c r="D41" s="204" t="s">
        <v>56</v>
      </c>
      <c r="E41" s="203">
        <v>200000</v>
      </c>
      <c r="F41" s="214">
        <v>9</v>
      </c>
      <c r="G41" s="203">
        <f t="shared" si="0"/>
        <v>97200</v>
      </c>
      <c r="H41" s="201"/>
      <c r="I41" s="393" t="s">
        <v>1383</v>
      </c>
      <c r="J41" s="706" t="s">
        <v>1314</v>
      </c>
      <c r="K41" s="704"/>
      <c r="L41" s="705"/>
      <c r="M41" s="196"/>
      <c r="N41" s="192"/>
      <c r="O41" s="193"/>
      <c r="P41" s="193"/>
    </row>
    <row r="42" spans="1:16" s="191" customFormat="1" ht="31.5" customHeight="1">
      <c r="A42" s="205">
        <v>54</v>
      </c>
      <c r="B42" s="204" t="s">
        <v>35</v>
      </c>
      <c r="C42" s="204" t="s">
        <v>47</v>
      </c>
      <c r="D42" s="204" t="s">
        <v>61</v>
      </c>
      <c r="E42" s="203">
        <v>1789700</v>
      </c>
      <c r="F42" s="214">
        <v>8</v>
      </c>
      <c r="G42" s="203">
        <f>180*60*8</f>
        <v>86400</v>
      </c>
      <c r="H42" s="201">
        <v>91400</v>
      </c>
      <c r="I42" s="393" t="s">
        <v>1360</v>
      </c>
      <c r="J42" s="706"/>
      <c r="K42" s="704"/>
      <c r="L42" s="705"/>
      <c r="M42" s="196"/>
      <c r="N42" s="192"/>
      <c r="O42" s="193"/>
      <c r="P42" s="193"/>
    </row>
    <row r="43" spans="1:16" s="191" customFormat="1" ht="31.5" customHeight="1">
      <c r="A43" s="205">
        <v>55</v>
      </c>
      <c r="B43" s="204" t="s">
        <v>254</v>
      </c>
      <c r="C43" s="204" t="s">
        <v>255</v>
      </c>
      <c r="D43" s="204" t="s">
        <v>61</v>
      </c>
      <c r="E43" s="203">
        <v>513400</v>
      </c>
      <c r="F43" s="214">
        <v>12</v>
      </c>
      <c r="G43" s="203">
        <f>180*60*12</f>
        <v>129600</v>
      </c>
      <c r="H43" s="201">
        <v>87700</v>
      </c>
      <c r="I43" s="393" t="s">
        <v>1337</v>
      </c>
      <c r="J43" s="706" t="s">
        <v>1388</v>
      </c>
      <c r="K43" s="704"/>
      <c r="L43" s="705"/>
      <c r="M43" s="196"/>
      <c r="N43" s="192"/>
      <c r="O43" s="193"/>
      <c r="P43" s="193"/>
    </row>
    <row r="44" spans="1:16" s="191" customFormat="1" ht="31.5" customHeight="1">
      <c r="A44" s="206">
        <v>50</v>
      </c>
      <c r="B44" s="204" t="s">
        <v>181</v>
      </c>
      <c r="C44" s="204" t="s">
        <v>182</v>
      </c>
      <c r="D44" s="204" t="s">
        <v>183</v>
      </c>
      <c r="E44" s="203">
        <v>402100</v>
      </c>
      <c r="F44" s="214">
        <v>9</v>
      </c>
      <c r="G44" s="203">
        <f>180*60*9</f>
        <v>97200</v>
      </c>
      <c r="H44" s="201">
        <f>95100</f>
        <v>95100</v>
      </c>
      <c r="I44" s="393" t="s">
        <v>1360</v>
      </c>
      <c r="J44" s="706" t="s">
        <v>1358</v>
      </c>
      <c r="K44" s="704"/>
      <c r="L44" s="705"/>
      <c r="M44" s="196"/>
      <c r="N44" s="192"/>
      <c r="O44" s="193"/>
      <c r="P44" s="193"/>
    </row>
    <row r="45" spans="1:16" s="191" customFormat="1" ht="31.5" customHeight="1">
      <c r="A45" s="206">
        <v>52</v>
      </c>
      <c r="B45" s="204" t="s">
        <v>181</v>
      </c>
      <c r="C45" s="204" t="s">
        <v>182</v>
      </c>
      <c r="D45" s="204" t="s">
        <v>183</v>
      </c>
      <c r="E45" s="203">
        <v>402100</v>
      </c>
      <c r="F45" s="214">
        <v>9</v>
      </c>
      <c r="G45" s="203">
        <f>180*60*9</f>
        <v>97200</v>
      </c>
      <c r="H45" s="201">
        <v>80400</v>
      </c>
      <c r="I45" s="393" t="s">
        <v>1363</v>
      </c>
      <c r="J45" s="706" t="s">
        <v>1386</v>
      </c>
      <c r="K45" s="704"/>
      <c r="L45" s="705"/>
      <c r="M45" s="196"/>
      <c r="N45" s="192"/>
      <c r="O45" s="193"/>
      <c r="P45" s="193"/>
    </row>
    <row r="46" spans="1:16" s="191" customFormat="1" ht="31.5" customHeight="1">
      <c r="A46" s="205">
        <v>53</v>
      </c>
      <c r="B46" s="204" t="s">
        <v>208</v>
      </c>
      <c r="C46" s="204" t="s">
        <v>209</v>
      </c>
      <c r="D46" s="204" t="s">
        <v>194</v>
      </c>
      <c r="E46" s="203">
        <v>2166300</v>
      </c>
      <c r="F46" s="214">
        <v>8</v>
      </c>
      <c r="G46" s="203">
        <f>180*60*8</f>
        <v>86400</v>
      </c>
      <c r="H46" s="201">
        <v>74000</v>
      </c>
      <c r="I46" s="393" t="s">
        <v>1363</v>
      </c>
      <c r="J46" s="703" t="s">
        <v>1387</v>
      </c>
      <c r="K46" s="704"/>
      <c r="L46" s="705"/>
      <c r="M46" s="196"/>
      <c r="N46" s="192"/>
      <c r="O46" s="193"/>
      <c r="P46" s="193"/>
    </row>
    <row r="47" spans="1:16" s="191" customFormat="1" ht="31.5" customHeight="1">
      <c r="A47" s="205">
        <v>53</v>
      </c>
      <c r="B47" s="204" t="s">
        <v>208</v>
      </c>
      <c r="C47" s="204" t="s">
        <v>209</v>
      </c>
      <c r="D47" s="204" t="s">
        <v>194</v>
      </c>
      <c r="E47" s="203">
        <v>2166300</v>
      </c>
      <c r="F47" s="214">
        <v>12</v>
      </c>
      <c r="G47" s="203">
        <f>180*60*12</f>
        <v>129600</v>
      </c>
      <c r="H47" s="201"/>
      <c r="I47" s="393" t="s">
        <v>1363</v>
      </c>
      <c r="J47" s="706"/>
      <c r="K47" s="704"/>
      <c r="L47" s="705"/>
      <c r="M47" s="196"/>
      <c r="N47" s="192"/>
      <c r="O47" s="193"/>
      <c r="P47" s="193"/>
    </row>
    <row r="48" spans="1:16" s="191" customFormat="1" ht="31.5" customHeight="1">
      <c r="A48" s="206" t="s">
        <v>251</v>
      </c>
      <c r="B48" s="210"/>
      <c r="C48" s="210"/>
      <c r="D48" s="210"/>
      <c r="E48" s="210" t="e">
        <v>#N/A</v>
      </c>
      <c r="F48" s="210"/>
      <c r="G48" s="210"/>
      <c r="H48" s="207">
        <f>SUM(H7:H47)</f>
        <v>2497600</v>
      </c>
      <c r="I48" s="394"/>
      <c r="J48" s="706"/>
      <c r="K48" s="704"/>
      <c r="L48" s="705"/>
      <c r="M48" s="196"/>
      <c r="N48" s="192"/>
    </row>
    <row r="49" spans="1:15" s="191" customFormat="1" ht="15.75" customHeight="1">
      <c r="A49" s="197"/>
      <c r="B49" s="197"/>
      <c r="C49" s="197"/>
      <c r="D49" s="197"/>
      <c r="E49" s="198"/>
      <c r="F49" s="198"/>
      <c r="G49" s="198"/>
      <c r="H49" s="198"/>
      <c r="I49" s="198"/>
      <c r="J49" s="198"/>
      <c r="K49" s="198"/>
      <c r="O49" s="192"/>
    </row>
    <row r="50" spans="1:15" s="191" customFormat="1" ht="15.75" customHeight="1">
      <c r="A50" s="197"/>
      <c r="B50" s="197"/>
      <c r="C50" s="197"/>
      <c r="D50" s="197"/>
      <c r="E50" s="198"/>
      <c r="F50" s="198"/>
      <c r="G50" s="198"/>
      <c r="H50" s="198"/>
      <c r="I50" s="198"/>
      <c r="J50" s="198"/>
      <c r="K50" s="198"/>
      <c r="O50" s="192"/>
    </row>
    <row r="51" spans="1:15" s="191" customFormat="1" ht="15.75" customHeight="1">
      <c r="A51" s="197"/>
      <c r="B51" s="197"/>
      <c r="C51" s="197"/>
      <c r="D51" s="197"/>
      <c r="E51" s="198"/>
      <c r="F51" s="198"/>
      <c r="G51" s="198"/>
      <c r="H51" s="198"/>
      <c r="I51" s="198"/>
      <c r="J51" s="198"/>
      <c r="K51" s="198"/>
      <c r="O51" s="192"/>
    </row>
    <row r="52" spans="1:15" s="191" customFormat="1" ht="15.75" customHeight="1">
      <c r="A52" s="197"/>
      <c r="B52" s="197"/>
      <c r="C52" s="197"/>
      <c r="D52" s="197"/>
      <c r="E52" s="198"/>
      <c r="F52" s="198"/>
      <c r="G52" s="198"/>
      <c r="H52" s="198"/>
      <c r="I52" s="198"/>
      <c r="J52" s="198"/>
      <c r="K52" s="198"/>
      <c r="O52" s="192"/>
    </row>
    <row r="53" spans="1:15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  <c r="O53" s="192"/>
    </row>
    <row r="54" spans="1:15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  <c r="O54" s="192"/>
    </row>
    <row r="55" spans="1:15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  <c r="O55" s="192"/>
    </row>
    <row r="56" spans="1:15" s="191" customFormat="1" ht="15.75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  <c r="O56" s="192"/>
    </row>
    <row r="57" spans="1:15" s="191" customFormat="1" ht="15.75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  <c r="O57" s="192"/>
    </row>
    <row r="58" spans="1:15" s="191" customFormat="1" ht="15.75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5" s="191" customFormat="1" ht="15.75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5" s="191" customFormat="1" ht="15.75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  <c r="O60" s="192"/>
    </row>
    <row r="61" spans="1:15" s="191" customFormat="1" ht="15.75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O61" s="192"/>
    </row>
    <row r="62" spans="1:15" s="191" customFormat="1" ht="15.75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</row>
    <row r="63" spans="1:15" s="191" customFormat="1" ht="15.75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</row>
    <row r="64" spans="1:15" s="191" customFormat="1" ht="15.75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</row>
    <row r="65" spans="1:11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</row>
    <row r="66" spans="1:11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1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1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1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1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1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</sheetData>
  <mergeCells count="52">
    <mergeCell ref="J48:L48"/>
    <mergeCell ref="J27:L27"/>
    <mergeCell ref="J28:L28"/>
    <mergeCell ref="J30:L30"/>
    <mergeCell ref="J36:L36"/>
    <mergeCell ref="J45:L45"/>
    <mergeCell ref="J41:L41"/>
    <mergeCell ref="J42:L42"/>
    <mergeCell ref="J43:L43"/>
    <mergeCell ref="J44:L44"/>
    <mergeCell ref="J46:L46"/>
    <mergeCell ref="J47:L47"/>
    <mergeCell ref="J34:L34"/>
    <mergeCell ref="J35:L35"/>
    <mergeCell ref="J37:L37"/>
    <mergeCell ref="J38:L38"/>
    <mergeCell ref="J39:L39"/>
    <mergeCell ref="J40:L40"/>
    <mergeCell ref="J25:L25"/>
    <mergeCell ref="J26:L26"/>
    <mergeCell ref="J29:L29"/>
    <mergeCell ref="J31:L31"/>
    <mergeCell ref="J32:L32"/>
    <mergeCell ref="J33:L33"/>
    <mergeCell ref="J24:L24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12:L12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  <mergeCell ref="J7:L7"/>
    <mergeCell ref="J8:L8"/>
    <mergeCell ref="J9:L9"/>
    <mergeCell ref="J10:L10"/>
    <mergeCell ref="J11:L11"/>
  </mergeCells>
  <phoneticPr fontId="74" type="noConversion"/>
  <conditionalFormatting sqref="H7:I47">
    <cfRule type="cellIs" dxfId="12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0">
    <pageSetUpPr fitToPage="1"/>
  </sheetPr>
  <dimension ref="A1:P70"/>
  <sheetViews>
    <sheetView view="pageBreakPreview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1369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1343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206</v>
      </c>
      <c r="C7" s="200" t="s">
        <v>36</v>
      </c>
      <c r="D7" s="200" t="s">
        <v>207</v>
      </c>
      <c r="E7" s="201">
        <f>VLOOKUP(B7,'19'!B7:E47,4,0)</f>
        <v>685800</v>
      </c>
      <c r="F7" s="213">
        <v>10.5</v>
      </c>
      <c r="G7" s="201">
        <f>42*60*10.5</f>
        <v>26460</v>
      </c>
      <c r="H7" s="201">
        <v>7500</v>
      </c>
      <c r="I7" s="393" t="s">
        <v>1328</v>
      </c>
      <c r="J7" s="706" t="s">
        <v>1344</v>
      </c>
      <c r="K7" s="704"/>
      <c r="L7" s="705"/>
      <c r="M7" s="192"/>
      <c r="N7" s="192"/>
      <c r="O7" s="193"/>
      <c r="P7" s="193"/>
    </row>
    <row r="8" spans="1:16" s="191" customFormat="1" ht="31.5" customHeight="1">
      <c r="A8" s="199">
        <v>2</v>
      </c>
      <c r="B8" s="200" t="s">
        <v>92</v>
      </c>
      <c r="C8" s="200" t="s">
        <v>93</v>
      </c>
      <c r="D8" s="200" t="s">
        <v>94</v>
      </c>
      <c r="E8" s="201">
        <f>VLOOKUP(B8,'19'!B8:E48,4,0)</f>
        <v>39500</v>
      </c>
      <c r="F8" s="213">
        <v>10</v>
      </c>
      <c r="G8" s="201">
        <f>42*60*10</f>
        <v>25200</v>
      </c>
      <c r="H8" s="201">
        <v>10500</v>
      </c>
      <c r="I8" s="393" t="s">
        <v>1329</v>
      </c>
      <c r="J8" s="703" t="s">
        <v>1345</v>
      </c>
      <c r="K8" s="704"/>
      <c r="L8" s="705"/>
      <c r="M8" s="192"/>
      <c r="N8" s="192"/>
      <c r="O8" s="193"/>
      <c r="P8" s="193"/>
    </row>
    <row r="9" spans="1:16" s="191" customFormat="1" ht="31.5" customHeight="1">
      <c r="A9" s="199">
        <v>3</v>
      </c>
      <c r="B9" s="200" t="s">
        <v>151</v>
      </c>
      <c r="C9" s="200" t="s">
        <v>152</v>
      </c>
      <c r="D9" s="200" t="s">
        <v>210</v>
      </c>
      <c r="E9" s="201">
        <f>VLOOKUP(B9,'19'!B9:E49,4,0)</f>
        <v>1069200</v>
      </c>
      <c r="F9" s="213">
        <v>8</v>
      </c>
      <c r="G9" s="201">
        <f>40*60*10</f>
        <v>24000</v>
      </c>
      <c r="H9" s="201">
        <v>21000</v>
      </c>
      <c r="I9" s="393" t="s">
        <v>1330</v>
      </c>
      <c r="J9" s="706" t="s">
        <v>1346</v>
      </c>
      <c r="K9" s="704"/>
      <c r="L9" s="705"/>
      <c r="M9" s="192"/>
      <c r="N9" s="192"/>
      <c r="O9" s="193"/>
      <c r="P9" s="193"/>
    </row>
    <row r="10" spans="1:16" s="195" customFormat="1" ht="31.5" customHeight="1">
      <c r="A10" s="202">
        <v>4</v>
      </c>
      <c r="B10" s="203" t="s">
        <v>143</v>
      </c>
      <c r="C10" s="203" t="s">
        <v>38</v>
      </c>
      <c r="D10" s="203" t="s">
        <v>50</v>
      </c>
      <c r="E10" s="203">
        <f>VLOOKUP(B10,'19'!B10:E50,4,0)</f>
        <v>1670600</v>
      </c>
      <c r="F10" s="214">
        <v>8</v>
      </c>
      <c r="G10" s="203">
        <f>70*60*8</f>
        <v>33600</v>
      </c>
      <c r="H10" s="201">
        <v>35000</v>
      </c>
      <c r="I10" s="393" t="s">
        <v>1330</v>
      </c>
      <c r="J10" s="706"/>
      <c r="K10" s="704"/>
      <c r="L10" s="705"/>
      <c r="M10" s="194"/>
      <c r="N10" s="192"/>
      <c r="O10" s="193"/>
      <c r="P10" s="193"/>
    </row>
    <row r="11" spans="1:16" s="195" customFormat="1" ht="31.5" customHeight="1">
      <c r="A11" s="202">
        <v>5</v>
      </c>
      <c r="B11" s="203" t="s">
        <v>159</v>
      </c>
      <c r="C11" s="204" t="s">
        <v>160</v>
      </c>
      <c r="D11" s="203" t="s">
        <v>1290</v>
      </c>
      <c r="E11" s="203" t="e">
        <f>VLOOKUP(B11,'19'!B11:E51,4,0)</f>
        <v>#N/A</v>
      </c>
      <c r="F11" s="214">
        <v>8</v>
      </c>
      <c r="G11" s="203">
        <f>45*60*8</f>
        <v>21600</v>
      </c>
      <c r="H11" s="201">
        <v>7200</v>
      </c>
      <c r="I11" s="393" t="s">
        <v>1329</v>
      </c>
      <c r="J11" s="706" t="s">
        <v>1347</v>
      </c>
      <c r="K11" s="704"/>
      <c r="L11" s="705"/>
      <c r="M11" s="194"/>
      <c r="N11" s="192"/>
      <c r="O11" s="193"/>
      <c r="P11" s="193"/>
    </row>
    <row r="12" spans="1:16" s="195" customFormat="1" ht="31.5" customHeight="1">
      <c r="A12" s="202">
        <v>5</v>
      </c>
      <c r="B12" s="203" t="s">
        <v>173</v>
      </c>
      <c r="C12" s="204" t="s">
        <v>174</v>
      </c>
      <c r="D12" s="203" t="s">
        <v>175</v>
      </c>
      <c r="E12" s="203" t="e">
        <f>VLOOKUP(B12,'19'!B12:E52,4,0)</f>
        <v>#N/A</v>
      </c>
      <c r="F12" s="214">
        <v>10</v>
      </c>
      <c r="G12" s="203">
        <f>45*60*10</f>
        <v>27000</v>
      </c>
      <c r="H12" s="201">
        <v>5400</v>
      </c>
      <c r="I12" s="393" t="s">
        <v>1329</v>
      </c>
      <c r="J12" s="706"/>
      <c r="K12" s="704"/>
      <c r="L12" s="705"/>
      <c r="M12" s="194"/>
      <c r="N12" s="192"/>
      <c r="O12" s="193"/>
      <c r="P12" s="193"/>
    </row>
    <row r="13" spans="1:16" s="195" customFormat="1" ht="31.5" customHeight="1">
      <c r="A13" s="202">
        <v>6</v>
      </c>
      <c r="B13" s="203" t="s">
        <v>139</v>
      </c>
      <c r="C13" s="204" t="s">
        <v>140</v>
      </c>
      <c r="D13" s="203" t="s">
        <v>142</v>
      </c>
      <c r="E13" s="203" t="e">
        <f>VLOOKUP(B13,'19'!B13:E53,4,0)</f>
        <v>#N/A</v>
      </c>
      <c r="F13" s="214">
        <v>10</v>
      </c>
      <c r="G13" s="203">
        <f>42*60*10</f>
        <v>25200</v>
      </c>
      <c r="H13" s="201">
        <v>24400</v>
      </c>
      <c r="I13" s="393" t="s">
        <v>1329</v>
      </c>
      <c r="J13" s="706" t="s">
        <v>1348</v>
      </c>
      <c r="K13" s="704"/>
      <c r="L13" s="705"/>
      <c r="M13" s="194"/>
      <c r="N13" s="192"/>
      <c r="O13" s="193"/>
      <c r="P13" s="193"/>
    </row>
    <row r="14" spans="1:16" s="195" customFormat="1" ht="31.5" customHeight="1">
      <c r="A14" s="199">
        <v>7</v>
      </c>
      <c r="B14" s="200" t="s">
        <v>171</v>
      </c>
      <c r="C14" s="200" t="s">
        <v>172</v>
      </c>
      <c r="D14" s="200" t="s">
        <v>177</v>
      </c>
      <c r="E14" s="201" t="e">
        <f>VLOOKUP(B14,'19'!B14:E54,4,0)</f>
        <v>#N/A</v>
      </c>
      <c r="F14" s="213">
        <v>8</v>
      </c>
      <c r="G14" s="201">
        <f>100*60*8</f>
        <v>48000</v>
      </c>
      <c r="H14" s="201">
        <v>47000</v>
      </c>
      <c r="I14" s="393" t="s">
        <v>1331</v>
      </c>
      <c r="J14" s="706"/>
      <c r="K14" s="704"/>
      <c r="L14" s="705"/>
      <c r="M14" s="194"/>
      <c r="N14" s="192"/>
      <c r="O14" s="193"/>
      <c r="P14" s="193"/>
    </row>
    <row r="15" spans="1:16" s="195" customFormat="1" ht="31.5" customHeight="1">
      <c r="A15" s="202" t="s">
        <v>66</v>
      </c>
      <c r="B15" s="203" t="s">
        <v>27</v>
      </c>
      <c r="C15" s="204" t="s">
        <v>40</v>
      </c>
      <c r="D15" s="203" t="s">
        <v>52</v>
      </c>
      <c r="E15" s="203" t="e">
        <f>VLOOKUP(B15,'19'!B15:E55,4,0)</f>
        <v>#N/A</v>
      </c>
      <c r="F15" s="214">
        <v>10.5</v>
      </c>
      <c r="G15" s="203">
        <f>138*60*10.3</f>
        <v>85284</v>
      </c>
      <c r="H15" s="201">
        <v>84000</v>
      </c>
      <c r="I15" s="393" t="s">
        <v>1331</v>
      </c>
      <c r="J15" s="706" t="s">
        <v>1349</v>
      </c>
      <c r="K15" s="704"/>
      <c r="L15" s="705"/>
      <c r="M15" s="194"/>
      <c r="N15" s="192"/>
      <c r="O15" s="193"/>
      <c r="P15" s="193"/>
    </row>
    <row r="16" spans="1:16" s="191" customFormat="1" ht="31.5" customHeight="1">
      <c r="A16" s="202" t="s">
        <v>218</v>
      </c>
      <c r="B16" s="203" t="s">
        <v>223</v>
      </c>
      <c r="C16" s="204" t="s">
        <v>224</v>
      </c>
      <c r="D16" s="203" t="s">
        <v>225</v>
      </c>
      <c r="E16" s="203" t="e">
        <f>VLOOKUP(B16,'19'!B16:E56,4,0)</f>
        <v>#N/A</v>
      </c>
      <c r="F16" s="214">
        <v>10.5</v>
      </c>
      <c r="G16" s="203">
        <f>50*60*10.3</f>
        <v>30900.000000000004</v>
      </c>
      <c r="H16" s="201">
        <v>27100</v>
      </c>
      <c r="I16" s="393" t="s">
        <v>1332</v>
      </c>
      <c r="J16" s="706" t="s">
        <v>1350</v>
      </c>
      <c r="K16" s="704"/>
      <c r="L16" s="705"/>
      <c r="M16" s="192"/>
      <c r="N16" s="192"/>
      <c r="O16" s="193"/>
      <c r="P16" s="193"/>
    </row>
    <row r="17" spans="1:16" s="191" customFormat="1" ht="31.5" customHeight="1">
      <c r="A17" s="205">
        <v>8</v>
      </c>
      <c r="B17" s="204" t="s">
        <v>968</v>
      </c>
      <c r="C17" s="204" t="s">
        <v>152</v>
      </c>
      <c r="D17" s="204" t="s">
        <v>1299</v>
      </c>
      <c r="E17" s="203" t="e">
        <f>VLOOKUP(B17,'19'!B17:E57,4,0)</f>
        <v>#N/A</v>
      </c>
      <c r="F17" s="214">
        <v>10.5</v>
      </c>
      <c r="G17" s="203">
        <f>45*60*10.5</f>
        <v>28350</v>
      </c>
      <c r="H17" s="201">
        <v>24000</v>
      </c>
      <c r="I17" s="393" t="s">
        <v>1332</v>
      </c>
      <c r="J17" s="706" t="s">
        <v>1351</v>
      </c>
      <c r="K17" s="704"/>
      <c r="L17" s="705"/>
      <c r="M17" s="196"/>
      <c r="N17" s="192"/>
      <c r="O17" s="193"/>
      <c r="P17" s="193"/>
    </row>
    <row r="18" spans="1:16" s="191" customFormat="1" ht="31.5" customHeight="1">
      <c r="A18" s="205">
        <v>9</v>
      </c>
      <c r="B18" s="204" t="s">
        <v>28</v>
      </c>
      <c r="C18" s="204" t="s">
        <v>41</v>
      </c>
      <c r="D18" s="204" t="s">
        <v>53</v>
      </c>
      <c r="E18" s="203" t="e">
        <f>VLOOKUP(B18,'19'!B18:E58,4,0)</f>
        <v>#N/A</v>
      </c>
      <c r="F18" s="214">
        <v>8</v>
      </c>
      <c r="G18" s="203">
        <f>45*60*8</f>
        <v>21600</v>
      </c>
      <c r="H18" s="201">
        <v>22000</v>
      </c>
      <c r="I18" s="393" t="s">
        <v>1352</v>
      </c>
      <c r="J18" s="706"/>
      <c r="K18" s="704"/>
      <c r="L18" s="705"/>
      <c r="M18" s="196"/>
      <c r="N18" s="192"/>
      <c r="O18" s="193"/>
      <c r="P18" s="193"/>
    </row>
    <row r="19" spans="1:16" s="191" customFormat="1" ht="31.5" customHeight="1">
      <c r="A19" s="205">
        <v>10</v>
      </c>
      <c r="B19" s="204" t="s">
        <v>229</v>
      </c>
      <c r="C19" s="204" t="s">
        <v>220</v>
      </c>
      <c r="D19" s="204" t="s">
        <v>230</v>
      </c>
      <c r="E19" s="203" t="e">
        <f>VLOOKUP(B19,'19'!B19:E59,4,0)</f>
        <v>#N/A</v>
      </c>
      <c r="F19" s="214">
        <v>8</v>
      </c>
      <c r="G19" s="203">
        <f>50*60*8</f>
        <v>24000</v>
      </c>
      <c r="H19" s="201"/>
      <c r="I19" s="393" t="s">
        <v>1352</v>
      </c>
      <c r="J19" s="706" t="s">
        <v>1353</v>
      </c>
      <c r="K19" s="704"/>
      <c r="L19" s="705"/>
      <c r="M19" s="196"/>
      <c r="N19" s="192"/>
      <c r="O19" s="193"/>
      <c r="P19" s="193"/>
    </row>
    <row r="20" spans="1:16" s="191" customFormat="1" ht="31.5" customHeight="1">
      <c r="A20" s="205">
        <v>11</v>
      </c>
      <c r="B20" s="204" t="s">
        <v>234</v>
      </c>
      <c r="C20" s="204" t="s">
        <v>235</v>
      </c>
      <c r="D20" s="204" t="s">
        <v>236</v>
      </c>
      <c r="E20" s="203">
        <f>VLOOKUP(B20,'19'!B20:E60,4,0)</f>
        <v>130000</v>
      </c>
      <c r="F20" s="214">
        <v>8</v>
      </c>
      <c r="G20" s="203">
        <f>89*60*8</f>
        <v>42720</v>
      </c>
      <c r="H20" s="201">
        <v>30000</v>
      </c>
      <c r="I20" s="393" t="s">
        <v>1352</v>
      </c>
      <c r="J20" s="706" t="s">
        <v>1354</v>
      </c>
      <c r="K20" s="704"/>
      <c r="L20" s="705"/>
      <c r="M20" s="196"/>
      <c r="N20" s="192"/>
      <c r="O20" s="193"/>
      <c r="P20" s="193"/>
    </row>
    <row r="21" spans="1:16" s="191" customFormat="1" ht="31.5" customHeight="1">
      <c r="A21" s="206">
        <v>12</v>
      </c>
      <c r="B21" s="204" t="s">
        <v>988</v>
      </c>
      <c r="C21" s="204" t="s">
        <v>990</v>
      </c>
      <c r="D21" s="204" t="s">
        <v>54</v>
      </c>
      <c r="E21" s="203">
        <f>VLOOKUP(B21,'19'!B21:E61,4,0)</f>
        <v>584000</v>
      </c>
      <c r="F21" s="214">
        <v>10.5</v>
      </c>
      <c r="G21" s="203">
        <f>110*60*10.5</f>
        <v>69300</v>
      </c>
      <c r="H21" s="201">
        <v>56000</v>
      </c>
      <c r="I21" s="393" t="s">
        <v>1334</v>
      </c>
      <c r="J21" s="703" t="s">
        <v>1355</v>
      </c>
      <c r="K21" s="704"/>
      <c r="L21" s="705"/>
      <c r="M21" s="196"/>
      <c r="N21" s="192"/>
      <c r="O21" s="193"/>
      <c r="P21" s="193"/>
    </row>
    <row r="22" spans="1:16" s="191" customFormat="1" ht="31.5" customHeight="1">
      <c r="A22" s="206">
        <v>13</v>
      </c>
      <c r="B22" s="204" t="s">
        <v>775</v>
      </c>
      <c r="C22" s="204" t="s">
        <v>777</v>
      </c>
      <c r="D22" s="204" t="s">
        <v>1339</v>
      </c>
      <c r="E22" s="203">
        <f>VLOOKUP(B22,'19'!B22:E62,4,0)</f>
        <v>162000</v>
      </c>
      <c r="F22" s="214">
        <v>10.5</v>
      </c>
      <c r="G22" s="203">
        <f>120*60*10.5</f>
        <v>75600</v>
      </c>
      <c r="H22" s="201">
        <v>38000</v>
      </c>
      <c r="I22" s="393" t="s">
        <v>1334</v>
      </c>
      <c r="J22" s="703" t="s">
        <v>1356</v>
      </c>
      <c r="K22" s="704"/>
      <c r="L22" s="705"/>
      <c r="M22" s="196"/>
      <c r="N22" s="192"/>
      <c r="O22" s="193"/>
      <c r="P22" s="193"/>
    </row>
    <row r="23" spans="1:16" s="191" customFormat="1" ht="31.5" customHeight="1">
      <c r="A23" s="206">
        <v>14</v>
      </c>
      <c r="B23" s="204" t="s">
        <v>29</v>
      </c>
      <c r="C23" s="204" t="s">
        <v>42</v>
      </c>
      <c r="D23" s="204" t="s">
        <v>54</v>
      </c>
      <c r="E23" s="203">
        <f>VLOOKUP(B23,'19'!B23:E63,4,0)</f>
        <v>266000</v>
      </c>
      <c r="F23" s="214">
        <v>10.5</v>
      </c>
      <c r="G23" s="203">
        <f>120*60*10.5</f>
        <v>75600</v>
      </c>
      <c r="H23" s="201">
        <v>73000</v>
      </c>
      <c r="I23" s="393" t="s">
        <v>1334</v>
      </c>
      <c r="J23" s="706"/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29</v>
      </c>
      <c r="B24" s="204" t="s">
        <v>195</v>
      </c>
      <c r="C24" s="204" t="s">
        <v>167</v>
      </c>
      <c r="D24" s="204" t="s">
        <v>59</v>
      </c>
      <c r="E24" s="203">
        <f>VLOOKUP(B24,'19'!B24:E64,4,0)</f>
        <v>120000</v>
      </c>
      <c r="F24" s="214">
        <v>10</v>
      </c>
      <c r="G24" s="203">
        <f>180*60*10</f>
        <v>108000</v>
      </c>
      <c r="H24" s="201">
        <v>55000</v>
      </c>
      <c r="I24" s="393" t="s">
        <v>1360</v>
      </c>
      <c r="J24" s="703" t="s">
        <v>1361</v>
      </c>
      <c r="K24" s="704"/>
      <c r="L24" s="705"/>
      <c r="M24" s="196"/>
      <c r="N24" s="192"/>
      <c r="O24" s="193"/>
      <c r="P24" s="193"/>
    </row>
    <row r="25" spans="1:16" s="191" customFormat="1" ht="31.5" customHeight="1">
      <c r="A25" s="205">
        <v>17</v>
      </c>
      <c r="B25" s="204" t="s">
        <v>149</v>
      </c>
      <c r="C25" s="204" t="s">
        <v>150</v>
      </c>
      <c r="D25" s="204" t="s">
        <v>56</v>
      </c>
      <c r="E25" s="203">
        <f>VLOOKUP(B25,'19'!B25:E65,4,0)</f>
        <v>5314300</v>
      </c>
      <c r="F25" s="214">
        <v>12</v>
      </c>
      <c r="G25" s="203">
        <f>180*60*12</f>
        <v>129600</v>
      </c>
      <c r="H25" s="201">
        <v>127000</v>
      </c>
      <c r="I25" s="393" t="s">
        <v>1335</v>
      </c>
      <c r="J25" s="706"/>
      <c r="K25" s="704"/>
      <c r="L25" s="705"/>
      <c r="M25" s="196"/>
      <c r="N25" s="192"/>
      <c r="O25" s="193"/>
      <c r="P25" s="193"/>
    </row>
    <row r="26" spans="1:16" s="191" customFormat="1" ht="31.5" customHeight="1">
      <c r="A26" s="205">
        <v>18</v>
      </c>
      <c r="B26" s="204" t="s">
        <v>149</v>
      </c>
      <c r="C26" s="204" t="s">
        <v>150</v>
      </c>
      <c r="D26" s="204" t="s">
        <v>56</v>
      </c>
      <c r="E26" s="203">
        <f>VLOOKUP(B26,'19'!B26:E66,4,0)</f>
        <v>5314300</v>
      </c>
      <c r="F26" s="214">
        <v>12</v>
      </c>
      <c r="G26" s="203">
        <f>180*60*12</f>
        <v>129600</v>
      </c>
      <c r="H26" s="201">
        <v>128400</v>
      </c>
      <c r="I26" s="393" t="s">
        <v>1335</v>
      </c>
      <c r="J26" s="706"/>
      <c r="K26" s="704"/>
      <c r="L26" s="705"/>
      <c r="M26" s="196"/>
      <c r="N26" s="192"/>
      <c r="O26" s="193"/>
      <c r="P26" s="193"/>
    </row>
    <row r="27" spans="1:16" s="191" customFormat="1" ht="31.5" customHeight="1">
      <c r="A27" s="205">
        <v>24</v>
      </c>
      <c r="B27" s="204" t="s">
        <v>149</v>
      </c>
      <c r="C27" s="204" t="s">
        <v>150</v>
      </c>
      <c r="D27" s="204" t="s">
        <v>56</v>
      </c>
      <c r="E27" s="203" t="e">
        <f>VLOOKUP(B27,'19'!B29:E67,4,0)</f>
        <v>#N/A</v>
      </c>
      <c r="F27" s="214">
        <v>12</v>
      </c>
      <c r="G27" s="203">
        <f>180*60*12</f>
        <v>129600</v>
      </c>
      <c r="H27" s="201">
        <v>127000</v>
      </c>
      <c r="I27" s="393" t="s">
        <v>1337</v>
      </c>
      <c r="J27" s="706" t="s">
        <v>1358</v>
      </c>
      <c r="K27" s="704"/>
      <c r="L27" s="705"/>
      <c r="M27" s="196"/>
      <c r="N27" s="192"/>
      <c r="O27" s="193"/>
      <c r="P27" s="193"/>
    </row>
    <row r="28" spans="1:16" s="191" customFormat="1" ht="31.5" customHeight="1">
      <c r="A28" s="206">
        <v>19</v>
      </c>
      <c r="B28" s="204" t="s">
        <v>176</v>
      </c>
      <c r="C28" s="204" t="s">
        <v>148</v>
      </c>
      <c r="D28" s="204" t="s">
        <v>153</v>
      </c>
      <c r="E28" s="203" t="e">
        <f>VLOOKUP(B28,'19'!B31:E68,4,0)</f>
        <v>#N/A</v>
      </c>
      <c r="F28" s="214">
        <v>9</v>
      </c>
      <c r="G28" s="203">
        <f>180*60*9</f>
        <v>97200</v>
      </c>
      <c r="H28" s="201">
        <v>98000</v>
      </c>
      <c r="I28" s="393" t="s">
        <v>1336</v>
      </c>
      <c r="J28" s="706"/>
      <c r="K28" s="704"/>
      <c r="L28" s="705"/>
      <c r="M28" s="196"/>
      <c r="N28" s="192"/>
      <c r="O28" s="193"/>
      <c r="P28" s="193"/>
    </row>
    <row r="29" spans="1:16" s="191" customFormat="1" ht="31.5" customHeight="1">
      <c r="A29" s="206">
        <v>27</v>
      </c>
      <c r="B29" s="204" t="s">
        <v>176</v>
      </c>
      <c r="C29" s="204" t="s">
        <v>148</v>
      </c>
      <c r="D29" s="204" t="s">
        <v>153</v>
      </c>
      <c r="E29" s="203" t="e">
        <f>VLOOKUP(B29,'19'!B32:E69,4,0)</f>
        <v>#N/A</v>
      </c>
      <c r="F29" s="214">
        <v>11</v>
      </c>
      <c r="G29" s="203">
        <f>180*60*11</f>
        <v>118800</v>
      </c>
      <c r="H29" s="201">
        <v>119000</v>
      </c>
      <c r="I29" s="393" t="s">
        <v>1360</v>
      </c>
      <c r="J29" s="706" t="s">
        <v>1358</v>
      </c>
      <c r="K29" s="704"/>
      <c r="L29" s="705"/>
      <c r="M29" s="196"/>
      <c r="N29" s="192"/>
      <c r="O29" s="193"/>
      <c r="P29" s="193"/>
    </row>
    <row r="30" spans="1:16" s="191" customFormat="1" ht="31.5" customHeight="1">
      <c r="A30" s="206">
        <v>25</v>
      </c>
      <c r="B30" s="204" t="s">
        <v>80</v>
      </c>
      <c r="C30" s="204" t="s">
        <v>81</v>
      </c>
      <c r="D30" s="204" t="s">
        <v>60</v>
      </c>
      <c r="E30" s="203" t="e">
        <f>VLOOKUP(B30,'19'!B33:E70,4,0)</f>
        <v>#N/A</v>
      </c>
      <c r="F30" s="214">
        <v>12</v>
      </c>
      <c r="G30" s="203">
        <f>180*60*12</f>
        <v>129600</v>
      </c>
      <c r="H30" s="201">
        <v>126000</v>
      </c>
      <c r="I30" s="393" t="s">
        <v>1337</v>
      </c>
      <c r="J30" s="706" t="s">
        <v>1359</v>
      </c>
      <c r="K30" s="704"/>
      <c r="L30" s="705"/>
      <c r="M30" s="196"/>
      <c r="N30" s="192"/>
      <c r="O30" s="193"/>
      <c r="P30" s="193"/>
    </row>
    <row r="31" spans="1:16" s="191" customFormat="1" ht="31.5" customHeight="1">
      <c r="A31" s="206">
        <v>26</v>
      </c>
      <c r="B31" s="204" t="s">
        <v>190</v>
      </c>
      <c r="C31" s="204" t="s">
        <v>191</v>
      </c>
      <c r="D31" s="204" t="s">
        <v>86</v>
      </c>
      <c r="E31" s="203" t="e">
        <f>VLOOKUP(B31,'19'!B34:E71,4,0)</f>
        <v>#N/A</v>
      </c>
      <c r="F31" s="214">
        <v>12</v>
      </c>
      <c r="G31" s="203">
        <f>150*60*12</f>
        <v>108000</v>
      </c>
      <c r="H31" s="201">
        <v>111000</v>
      </c>
      <c r="I31" s="393" t="s">
        <v>1337</v>
      </c>
      <c r="J31" s="706" t="s">
        <v>1358</v>
      </c>
      <c r="K31" s="704"/>
      <c r="L31" s="705"/>
      <c r="M31" s="196"/>
      <c r="N31" s="192"/>
      <c r="O31" s="193"/>
      <c r="P31" s="193"/>
    </row>
    <row r="32" spans="1:16" s="191" customFormat="1" ht="31.5" customHeight="1">
      <c r="A32" s="205">
        <v>31</v>
      </c>
      <c r="B32" s="204" t="s">
        <v>203</v>
      </c>
      <c r="C32" s="204" t="s">
        <v>204</v>
      </c>
      <c r="D32" s="204" t="s">
        <v>57</v>
      </c>
      <c r="E32" s="203" t="e">
        <f>VLOOKUP(B32,'19'!B35:E72,4,0)</f>
        <v>#N/A</v>
      </c>
      <c r="F32" s="214">
        <v>10</v>
      </c>
      <c r="G32" s="203">
        <f>180*60*10</f>
        <v>108000</v>
      </c>
      <c r="H32" s="201">
        <v>100000</v>
      </c>
      <c r="I32" s="393" t="s">
        <v>1360</v>
      </c>
      <c r="J32" s="706" t="s">
        <v>1358</v>
      </c>
      <c r="K32" s="704"/>
      <c r="L32" s="705"/>
      <c r="M32" s="196"/>
      <c r="N32" s="192"/>
      <c r="O32" s="193"/>
      <c r="P32" s="193"/>
    </row>
    <row r="33" spans="1:16" s="191" customFormat="1" ht="31.5" customHeight="1">
      <c r="A33" s="205">
        <v>22</v>
      </c>
      <c r="B33" s="204" t="s">
        <v>637</v>
      </c>
      <c r="C33" s="204" t="s">
        <v>81</v>
      </c>
      <c r="D33" s="204" t="s">
        <v>56</v>
      </c>
      <c r="E33" s="203" t="e">
        <f>VLOOKUP(B33,'19'!B37:E73,4,0)</f>
        <v>#N/A</v>
      </c>
      <c r="F33" s="214">
        <v>9</v>
      </c>
      <c r="G33" s="203">
        <f>180*60*9</f>
        <v>97200</v>
      </c>
      <c r="H33" s="201">
        <v>91200</v>
      </c>
      <c r="I33" s="393" t="s">
        <v>1336</v>
      </c>
      <c r="J33" s="706" t="s">
        <v>1357</v>
      </c>
      <c r="K33" s="704"/>
      <c r="L33" s="705"/>
      <c r="M33" s="196"/>
      <c r="N33" s="192"/>
      <c r="O33" s="193"/>
      <c r="P33" s="193"/>
    </row>
    <row r="34" spans="1:16" s="191" customFormat="1" ht="31.5" customHeight="1">
      <c r="A34" s="206">
        <v>15</v>
      </c>
      <c r="B34" s="204" t="s">
        <v>162</v>
      </c>
      <c r="C34" s="204" t="s">
        <v>163</v>
      </c>
      <c r="D34" s="204" t="s">
        <v>56</v>
      </c>
      <c r="E34" s="203" t="e">
        <f>VLOOKUP(B34,'19'!B38:E74,4,0)</f>
        <v>#N/A</v>
      </c>
      <c r="F34" s="214">
        <v>12</v>
      </c>
      <c r="G34" s="203">
        <f>180*60*12</f>
        <v>129600</v>
      </c>
      <c r="H34" s="201">
        <v>127700</v>
      </c>
      <c r="I34" s="393" t="s">
        <v>1335</v>
      </c>
      <c r="J34" s="706"/>
      <c r="K34" s="704"/>
      <c r="L34" s="705"/>
      <c r="M34" s="196"/>
      <c r="N34" s="192"/>
      <c r="O34" s="193"/>
      <c r="P34" s="193"/>
    </row>
    <row r="35" spans="1:16" s="191" customFormat="1" ht="31.5" customHeight="1">
      <c r="A35" s="206">
        <v>21</v>
      </c>
      <c r="B35" s="204" t="s">
        <v>162</v>
      </c>
      <c r="C35" s="204" t="s">
        <v>163</v>
      </c>
      <c r="D35" s="204" t="s">
        <v>56</v>
      </c>
      <c r="E35" s="203" t="e">
        <f>VLOOKUP(B35,'19'!B39:E75,4,0)</f>
        <v>#N/A</v>
      </c>
      <c r="F35" s="214">
        <v>8</v>
      </c>
      <c r="G35" s="203">
        <f>180*60*8</f>
        <v>86400</v>
      </c>
      <c r="H35" s="201"/>
      <c r="I35" s="393" t="s">
        <v>1336</v>
      </c>
      <c r="J35" s="706" t="s">
        <v>1304</v>
      </c>
      <c r="K35" s="704"/>
      <c r="L35" s="705"/>
      <c r="M35" s="196"/>
      <c r="N35" s="192"/>
      <c r="O35" s="193"/>
      <c r="P35" s="193"/>
    </row>
    <row r="36" spans="1:16" s="191" customFormat="1" ht="31.5" customHeight="1">
      <c r="A36" s="205">
        <v>20</v>
      </c>
      <c r="B36" s="204" t="s">
        <v>214</v>
      </c>
      <c r="C36" s="204" t="s">
        <v>46</v>
      </c>
      <c r="D36" s="204" t="s">
        <v>56</v>
      </c>
      <c r="E36" s="203" t="e">
        <f>VLOOKUP(B36,'19'!B40:E76,4,0)</f>
        <v>#N/A</v>
      </c>
      <c r="F36" s="214">
        <v>9</v>
      </c>
      <c r="G36" s="203">
        <f>180*60*9</f>
        <v>97200</v>
      </c>
      <c r="H36" s="201">
        <v>95800</v>
      </c>
      <c r="I36" s="393" t="s">
        <v>1336</v>
      </c>
      <c r="J36" s="706" t="s">
        <v>1318</v>
      </c>
      <c r="K36" s="704"/>
      <c r="L36" s="705"/>
      <c r="M36" s="196"/>
      <c r="N36" s="192"/>
      <c r="O36" s="193"/>
      <c r="P36" s="193"/>
    </row>
    <row r="37" spans="1:16" s="191" customFormat="1" ht="31.5" customHeight="1">
      <c r="A37" s="205">
        <v>16</v>
      </c>
      <c r="B37" s="204" t="s">
        <v>164</v>
      </c>
      <c r="C37" s="204" t="s">
        <v>165</v>
      </c>
      <c r="D37" s="204" t="s">
        <v>56</v>
      </c>
      <c r="E37" s="203" t="e">
        <f>VLOOKUP(B37,'19'!B41:E77,4,0)</f>
        <v>#N/A</v>
      </c>
      <c r="F37" s="214">
        <v>12</v>
      </c>
      <c r="G37" s="203">
        <f>150*60*12</f>
        <v>108000</v>
      </c>
      <c r="H37" s="201">
        <v>121000</v>
      </c>
      <c r="I37" s="393" t="s">
        <v>1335</v>
      </c>
      <c r="J37" s="706" t="s">
        <v>1304</v>
      </c>
      <c r="K37" s="704"/>
      <c r="L37" s="705"/>
      <c r="M37" s="196"/>
      <c r="N37" s="192"/>
      <c r="O37" s="193"/>
      <c r="P37" s="193"/>
    </row>
    <row r="38" spans="1:16" s="191" customFormat="1" ht="31.5" customHeight="1">
      <c r="A38" s="205">
        <v>28</v>
      </c>
      <c r="B38" s="204" t="s">
        <v>164</v>
      </c>
      <c r="C38" s="204" t="s">
        <v>165</v>
      </c>
      <c r="D38" s="204" t="s">
        <v>56</v>
      </c>
      <c r="E38" s="203" t="e">
        <f>VLOOKUP(B38,'19'!B42:E78,4,0)</f>
        <v>#N/A</v>
      </c>
      <c r="F38" s="214">
        <v>11.5</v>
      </c>
      <c r="G38" s="203">
        <f>180*60*11.5</f>
        <v>124200</v>
      </c>
      <c r="H38" s="201">
        <v>121500</v>
      </c>
      <c r="I38" s="393" t="s">
        <v>1360</v>
      </c>
      <c r="J38" s="706" t="s">
        <v>1317</v>
      </c>
      <c r="K38" s="704"/>
      <c r="L38" s="705"/>
      <c r="M38" s="196"/>
      <c r="N38" s="192"/>
      <c r="O38" s="193"/>
      <c r="P38" s="193"/>
    </row>
    <row r="39" spans="1:16" s="191" customFormat="1" ht="31.5" customHeight="1">
      <c r="A39" s="205">
        <v>23</v>
      </c>
      <c r="B39" s="204" t="s">
        <v>222</v>
      </c>
      <c r="C39" s="204" t="s">
        <v>201</v>
      </c>
      <c r="D39" s="204" t="s">
        <v>59</v>
      </c>
      <c r="E39" s="203" t="e">
        <f>VLOOKUP(B39,'19'!B43:E79,4,0)</f>
        <v>#N/A</v>
      </c>
      <c r="F39" s="214">
        <v>12</v>
      </c>
      <c r="G39" s="203">
        <f>180*60*12</f>
        <v>129600</v>
      </c>
      <c r="H39" s="201">
        <v>125000</v>
      </c>
      <c r="I39" s="393" t="s">
        <v>1337</v>
      </c>
      <c r="J39" s="706" t="s">
        <v>1358</v>
      </c>
      <c r="K39" s="704"/>
      <c r="L39" s="705"/>
      <c r="M39" s="196"/>
      <c r="N39" s="192"/>
      <c r="O39" s="193"/>
      <c r="P39" s="193"/>
    </row>
    <row r="40" spans="1:16" s="191" customFormat="1" ht="31.5" customHeight="1">
      <c r="A40" s="206">
        <v>30</v>
      </c>
      <c r="B40" s="204" t="s">
        <v>128</v>
      </c>
      <c r="C40" s="204" t="s">
        <v>129</v>
      </c>
      <c r="D40" s="204" t="s">
        <v>59</v>
      </c>
      <c r="E40" s="203" t="e">
        <f>VLOOKUP(B40,'19'!B44:E80,4,0)</f>
        <v>#N/A</v>
      </c>
      <c r="F40" s="214">
        <v>8</v>
      </c>
      <c r="G40" s="203">
        <f>180*60*8</f>
        <v>86400</v>
      </c>
      <c r="H40" s="201">
        <v>45200</v>
      </c>
      <c r="I40" s="393" t="s">
        <v>1360</v>
      </c>
      <c r="J40" s="706" t="s">
        <v>1362</v>
      </c>
      <c r="K40" s="704"/>
      <c r="L40" s="705"/>
      <c r="M40" s="196"/>
      <c r="N40" s="192"/>
      <c r="O40" s="193"/>
      <c r="P40" s="193"/>
    </row>
    <row r="41" spans="1:16" s="191" customFormat="1" ht="31.5" customHeight="1">
      <c r="A41" s="205">
        <v>54</v>
      </c>
      <c r="B41" s="204" t="s">
        <v>35</v>
      </c>
      <c r="C41" s="204" t="s">
        <v>47</v>
      </c>
      <c r="D41" s="204" t="s">
        <v>61</v>
      </c>
      <c r="E41" s="203" t="e">
        <f>VLOOKUP(B41,'19'!B47:E82,4,0)</f>
        <v>#N/A</v>
      </c>
      <c r="F41" s="214">
        <v>12</v>
      </c>
      <c r="G41" s="203">
        <f>180*60*12</f>
        <v>129600</v>
      </c>
      <c r="H41" s="201">
        <v>124300</v>
      </c>
      <c r="I41" s="393" t="s">
        <v>1363</v>
      </c>
      <c r="J41" s="706" t="s">
        <v>1367</v>
      </c>
      <c r="K41" s="704"/>
      <c r="L41" s="705"/>
      <c r="M41" s="196"/>
      <c r="N41" s="192"/>
      <c r="O41" s="193"/>
      <c r="P41" s="193"/>
    </row>
    <row r="42" spans="1:16" s="191" customFormat="1" ht="31.5" customHeight="1">
      <c r="A42" s="205">
        <v>55</v>
      </c>
      <c r="B42" s="204" t="s">
        <v>254</v>
      </c>
      <c r="C42" s="204" t="s">
        <v>255</v>
      </c>
      <c r="D42" s="204" t="s">
        <v>61</v>
      </c>
      <c r="E42" s="203" t="e">
        <f>VLOOKUP(B42,'19'!B48:E83,4,0)</f>
        <v>#N/A</v>
      </c>
      <c r="F42" s="214">
        <v>12</v>
      </c>
      <c r="G42" s="203">
        <f>180*60*12</f>
        <v>129600</v>
      </c>
      <c r="H42" s="201">
        <v>105800</v>
      </c>
      <c r="I42" s="393" t="s">
        <v>1363</v>
      </c>
      <c r="J42" s="703" t="s">
        <v>1368</v>
      </c>
      <c r="K42" s="704"/>
      <c r="L42" s="705"/>
      <c r="M42" s="196"/>
      <c r="N42" s="192"/>
      <c r="O42" s="193"/>
      <c r="P42" s="193"/>
    </row>
    <row r="43" spans="1:16" s="191" customFormat="1" ht="31.5" customHeight="1">
      <c r="A43" s="205">
        <v>50</v>
      </c>
      <c r="B43" s="204" t="s">
        <v>181</v>
      </c>
      <c r="C43" s="204" t="s">
        <v>182</v>
      </c>
      <c r="D43" s="204" t="s">
        <v>183</v>
      </c>
      <c r="E43" s="203" t="e">
        <f>VLOOKUP(B43,'19'!B48:E84,4,0)</f>
        <v>#N/A</v>
      </c>
      <c r="F43" s="214">
        <v>12</v>
      </c>
      <c r="G43" s="203">
        <f>180*60*12</f>
        <v>129600</v>
      </c>
      <c r="H43" s="201">
        <v>122700</v>
      </c>
      <c r="I43" s="393" t="s">
        <v>1363</v>
      </c>
      <c r="J43" s="703" t="s">
        <v>1364</v>
      </c>
      <c r="K43" s="704"/>
      <c r="L43" s="705"/>
      <c r="M43" s="196"/>
      <c r="N43" s="192"/>
      <c r="O43" s="193"/>
      <c r="P43" s="193"/>
    </row>
    <row r="44" spans="1:16" s="191" customFormat="1" ht="31.5" customHeight="1">
      <c r="A44" s="205">
        <v>52</v>
      </c>
      <c r="B44" s="204" t="s">
        <v>181</v>
      </c>
      <c r="C44" s="204" t="s">
        <v>182</v>
      </c>
      <c r="D44" s="204" t="s">
        <v>183</v>
      </c>
      <c r="E44" s="203" t="e">
        <f>VLOOKUP(B44,'19'!B48:E85,4,0)</f>
        <v>#N/A</v>
      </c>
      <c r="F44" s="214">
        <v>12</v>
      </c>
      <c r="G44" s="203">
        <f>180*60*12</f>
        <v>129600</v>
      </c>
      <c r="H44" s="201">
        <v>105000</v>
      </c>
      <c r="I44" s="393" t="s">
        <v>1363</v>
      </c>
      <c r="J44" s="706" t="s">
        <v>1365</v>
      </c>
      <c r="K44" s="704"/>
      <c r="L44" s="705"/>
      <c r="M44" s="196"/>
      <c r="N44" s="192"/>
      <c r="O44" s="193"/>
      <c r="P44" s="193"/>
    </row>
    <row r="45" spans="1:16" s="191" customFormat="1" ht="31.5" customHeight="1">
      <c r="A45" s="206">
        <v>53</v>
      </c>
      <c r="B45" s="204" t="s">
        <v>208</v>
      </c>
      <c r="C45" s="204" t="s">
        <v>209</v>
      </c>
      <c r="D45" s="204" t="s">
        <v>194</v>
      </c>
      <c r="E45" s="203" t="e">
        <f>VLOOKUP(B45,'19'!B48:E86,4,0)</f>
        <v>#N/A</v>
      </c>
      <c r="F45" s="214">
        <v>12</v>
      </c>
      <c r="G45" s="203">
        <f>180*60*12</f>
        <v>129600</v>
      </c>
      <c r="H45" s="201">
        <v>118800</v>
      </c>
      <c r="I45" s="393" t="s">
        <v>1363</v>
      </c>
      <c r="J45" s="703" t="s">
        <v>1366</v>
      </c>
      <c r="K45" s="704"/>
      <c r="L45" s="705"/>
      <c r="M45" s="196"/>
      <c r="N45" s="192"/>
      <c r="O45" s="193"/>
      <c r="P45" s="193"/>
    </row>
    <row r="46" spans="1:16" s="191" customFormat="1" ht="31.5" customHeight="1">
      <c r="A46" s="206">
        <v>53</v>
      </c>
      <c r="B46" s="204" t="s">
        <v>208</v>
      </c>
      <c r="C46" s="204" t="s">
        <v>209</v>
      </c>
      <c r="D46" s="204" t="s">
        <v>194</v>
      </c>
      <c r="E46" s="203" t="e">
        <f>VLOOKUP(B46,'19'!B48:E87,4,0)</f>
        <v>#N/A</v>
      </c>
      <c r="F46" s="214"/>
      <c r="G46" s="203"/>
      <c r="H46" s="201"/>
      <c r="I46" s="393" t="s">
        <v>1363</v>
      </c>
      <c r="J46" s="706"/>
      <c r="K46" s="704"/>
      <c r="L46" s="705"/>
      <c r="M46" s="196"/>
      <c r="N46" s="192"/>
      <c r="O46" s="193"/>
      <c r="P46" s="193"/>
    </row>
    <row r="47" spans="1:16" s="191" customFormat="1" ht="31.5" customHeight="1">
      <c r="A47" s="206" t="s">
        <v>251</v>
      </c>
      <c r="B47" s="210"/>
      <c r="C47" s="210"/>
      <c r="D47" s="210"/>
      <c r="E47" s="210" t="e">
        <v>#N/A</v>
      </c>
      <c r="F47" s="210"/>
      <c r="G47" s="210"/>
      <c r="H47" s="207">
        <f>SUM(H7:H46)</f>
        <v>2807500</v>
      </c>
      <c r="I47" s="394"/>
      <c r="J47" s="706"/>
      <c r="K47" s="704"/>
      <c r="L47" s="705"/>
      <c r="M47" s="196"/>
      <c r="N47" s="192"/>
    </row>
    <row r="48" spans="1:16" s="191" customFormat="1" ht="15.75" customHeight="1">
      <c r="A48" s="197"/>
      <c r="B48" s="197"/>
      <c r="C48" s="197"/>
      <c r="D48" s="197"/>
      <c r="E48" s="198"/>
      <c r="F48" s="198"/>
      <c r="G48" s="198"/>
      <c r="H48" s="198"/>
      <c r="I48" s="198"/>
      <c r="J48" s="198"/>
      <c r="K48" s="198"/>
      <c r="O48" s="192"/>
    </row>
    <row r="49" spans="1:15" s="191" customFormat="1" ht="15.75" customHeight="1">
      <c r="A49" s="197"/>
      <c r="B49" s="197"/>
      <c r="C49" s="197"/>
      <c r="D49" s="197"/>
      <c r="E49" s="198"/>
      <c r="F49" s="198"/>
      <c r="G49" s="198"/>
      <c r="H49" s="198"/>
      <c r="I49" s="198"/>
      <c r="J49" s="198"/>
      <c r="K49" s="198"/>
      <c r="O49" s="192"/>
    </row>
    <row r="50" spans="1:15" s="191" customFormat="1" ht="15.75" customHeight="1">
      <c r="A50" s="197"/>
      <c r="B50" s="197"/>
      <c r="C50" s="197"/>
      <c r="D50" s="197"/>
      <c r="E50" s="198"/>
      <c r="F50" s="198"/>
      <c r="G50" s="198"/>
      <c r="H50" s="198"/>
      <c r="I50" s="198"/>
      <c r="J50" s="198"/>
      <c r="K50" s="198"/>
      <c r="O50" s="192"/>
    </row>
    <row r="51" spans="1:15" s="191" customFormat="1" ht="15.75" customHeight="1">
      <c r="A51" s="197"/>
      <c r="B51" s="197"/>
      <c r="C51" s="197"/>
      <c r="D51" s="197"/>
      <c r="E51" s="198"/>
      <c r="F51" s="198"/>
      <c r="G51" s="198"/>
      <c r="H51" s="198"/>
      <c r="I51" s="198"/>
      <c r="J51" s="198"/>
      <c r="K51" s="198"/>
      <c r="O51" s="192"/>
    </row>
    <row r="52" spans="1:15" s="191" customFormat="1" ht="15.75" customHeight="1">
      <c r="A52" s="197"/>
      <c r="B52" s="197"/>
      <c r="C52" s="197"/>
      <c r="D52" s="197"/>
      <c r="E52" s="198"/>
      <c r="F52" s="198"/>
      <c r="G52" s="198"/>
      <c r="H52" s="198"/>
      <c r="I52" s="198"/>
      <c r="J52" s="198"/>
      <c r="K52" s="198"/>
      <c r="O52" s="192"/>
    </row>
    <row r="53" spans="1:15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  <c r="O53" s="192"/>
    </row>
    <row r="54" spans="1:15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  <c r="O54" s="192"/>
    </row>
    <row r="55" spans="1:15" s="191" customFormat="1" ht="15.75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  <c r="O55" s="192"/>
    </row>
    <row r="56" spans="1:15" s="191" customFormat="1" ht="15.75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  <c r="O56" s="192"/>
    </row>
    <row r="57" spans="1:15" s="191" customFormat="1" ht="15.75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  <c r="O57" s="192"/>
    </row>
    <row r="58" spans="1:15" s="191" customFormat="1" ht="15.75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5" s="191" customFormat="1" ht="15.75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5" s="191" customFormat="1" ht="15.75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O60" s="192"/>
    </row>
    <row r="61" spans="1:15" s="191" customFormat="1" ht="15.75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</row>
    <row r="62" spans="1:15" s="191" customFormat="1" ht="15.75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</row>
    <row r="63" spans="1:15" s="191" customFormat="1" ht="15.75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</row>
    <row r="64" spans="1:15" s="191" customFormat="1" ht="15.75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</row>
    <row r="65" spans="1:11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</row>
    <row r="66" spans="1:11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1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1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1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1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</sheetData>
  <mergeCells count="51">
    <mergeCell ref="A5:A6"/>
    <mergeCell ref="B5:B6"/>
    <mergeCell ref="C5:C6"/>
    <mergeCell ref="D5:D6"/>
    <mergeCell ref="J5:L6"/>
    <mergeCell ref="A1:I3"/>
    <mergeCell ref="J2:J3"/>
    <mergeCell ref="K2:K3"/>
    <mergeCell ref="L2:L3"/>
    <mergeCell ref="A4:B4"/>
    <mergeCell ref="J7:L7"/>
    <mergeCell ref="J8:L8"/>
    <mergeCell ref="J9:L9"/>
    <mergeCell ref="J10:L10"/>
    <mergeCell ref="J11:L11"/>
    <mergeCell ref="J17:L17"/>
    <mergeCell ref="J18:L18"/>
    <mergeCell ref="J19:L19"/>
    <mergeCell ref="J20:L20"/>
    <mergeCell ref="J12:L12"/>
    <mergeCell ref="J13:L13"/>
    <mergeCell ref="J14:L14"/>
    <mergeCell ref="J15:L15"/>
    <mergeCell ref="J16:L16"/>
    <mergeCell ref="J34:L34"/>
    <mergeCell ref="J21:L21"/>
    <mergeCell ref="J22:L22"/>
    <mergeCell ref="J23:L23"/>
    <mergeCell ref="J24:L24"/>
    <mergeCell ref="J25:L25"/>
    <mergeCell ref="J28:L28"/>
    <mergeCell ref="J30:L30"/>
    <mergeCell ref="J31:L31"/>
    <mergeCell ref="J32:L32"/>
    <mergeCell ref="J33:L33"/>
    <mergeCell ref="J47:L47"/>
    <mergeCell ref="J41:L41"/>
    <mergeCell ref="J29:L29"/>
    <mergeCell ref="J27:L27"/>
    <mergeCell ref="J26:L26"/>
    <mergeCell ref="J35:L35"/>
    <mergeCell ref="J44:L44"/>
    <mergeCell ref="J42:L42"/>
    <mergeCell ref="J43:L43"/>
    <mergeCell ref="J45:L45"/>
    <mergeCell ref="J46:L46"/>
    <mergeCell ref="J36:L36"/>
    <mergeCell ref="J37:L37"/>
    <mergeCell ref="J38:L38"/>
    <mergeCell ref="J39:L39"/>
    <mergeCell ref="J40:L40"/>
  </mergeCells>
  <phoneticPr fontId="74" type="noConversion"/>
  <conditionalFormatting sqref="H7:I46">
    <cfRule type="cellIs" dxfId="11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1">
    <pageSetUpPr fitToPage="1"/>
  </sheetPr>
  <dimension ref="A1:P80"/>
  <sheetViews>
    <sheetView view="pageBreakPreview" topLeftCell="A4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1302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1301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206</v>
      </c>
      <c r="C7" s="200" t="s">
        <v>36</v>
      </c>
      <c r="D7" s="200" t="s">
        <v>207</v>
      </c>
      <c r="E7" s="201">
        <v>693300</v>
      </c>
      <c r="F7" s="213">
        <v>8</v>
      </c>
      <c r="G7" s="201">
        <f>42*60*8</f>
        <v>20160</v>
      </c>
      <c r="H7" s="201"/>
      <c r="I7" s="393" t="s">
        <v>1328</v>
      </c>
      <c r="J7" s="706" t="s">
        <v>1306</v>
      </c>
      <c r="K7" s="704"/>
      <c r="L7" s="705"/>
      <c r="M7" s="192"/>
      <c r="N7" s="192"/>
      <c r="O7" s="193"/>
      <c r="P7" s="193"/>
    </row>
    <row r="8" spans="1:16" s="191" customFormat="1" ht="31.5" customHeight="1">
      <c r="A8" s="199">
        <v>2</v>
      </c>
      <c r="B8" s="200" t="s">
        <v>215</v>
      </c>
      <c r="C8" s="200" t="s">
        <v>216</v>
      </c>
      <c r="D8" s="200" t="s">
        <v>217</v>
      </c>
      <c r="E8" s="201" t="s">
        <v>1287</v>
      </c>
      <c r="F8" s="213">
        <v>8</v>
      </c>
      <c r="G8" s="201">
        <f>42*60*8</f>
        <v>20160</v>
      </c>
      <c r="H8" s="201">
        <v>16200</v>
      </c>
      <c r="I8" s="393" t="s">
        <v>1329</v>
      </c>
      <c r="J8" s="706" t="s">
        <v>1333</v>
      </c>
      <c r="K8" s="704"/>
      <c r="L8" s="705"/>
      <c r="M8" s="192"/>
      <c r="N8" s="192"/>
      <c r="O8" s="193"/>
      <c r="P8" s="193"/>
    </row>
    <row r="9" spans="1:16" s="191" customFormat="1" ht="31.5" customHeight="1">
      <c r="A9" s="199">
        <v>2</v>
      </c>
      <c r="B9" s="200" t="s">
        <v>92</v>
      </c>
      <c r="C9" s="200" t="s">
        <v>93</v>
      </c>
      <c r="D9" s="200" t="s">
        <v>94</v>
      </c>
      <c r="E9" s="201">
        <v>50000</v>
      </c>
      <c r="F9" s="213">
        <v>8</v>
      </c>
      <c r="G9" s="201">
        <f>42*60*10</f>
        <v>25200</v>
      </c>
      <c r="H9" s="201"/>
      <c r="I9" s="393" t="s">
        <v>1329</v>
      </c>
      <c r="J9" s="706"/>
      <c r="K9" s="704"/>
      <c r="L9" s="705"/>
      <c r="M9" s="192"/>
      <c r="N9" s="192"/>
      <c r="O9" s="193"/>
      <c r="P9" s="193"/>
    </row>
    <row r="10" spans="1:16" s="191" customFormat="1" ht="31.5" customHeight="1">
      <c r="A10" s="199">
        <v>3</v>
      </c>
      <c r="B10" s="200" t="s">
        <v>151</v>
      </c>
      <c r="C10" s="200" t="s">
        <v>152</v>
      </c>
      <c r="D10" s="200" t="s">
        <v>210</v>
      </c>
      <c r="E10" s="201">
        <v>1090200</v>
      </c>
      <c r="F10" s="213">
        <v>8</v>
      </c>
      <c r="G10" s="201">
        <f>45*60*8</f>
        <v>21600</v>
      </c>
      <c r="H10" s="201">
        <v>27000</v>
      </c>
      <c r="I10" s="393" t="s">
        <v>1330</v>
      </c>
      <c r="J10" s="706" t="s">
        <v>1307</v>
      </c>
      <c r="K10" s="704"/>
      <c r="L10" s="705"/>
      <c r="M10" s="192"/>
      <c r="N10" s="192"/>
      <c r="O10" s="193"/>
      <c r="P10" s="193"/>
    </row>
    <row r="11" spans="1:16" s="195" customFormat="1" ht="31.5" customHeight="1">
      <c r="A11" s="202">
        <v>4</v>
      </c>
      <c r="B11" s="203" t="s">
        <v>143</v>
      </c>
      <c r="C11" s="203" t="s">
        <v>38</v>
      </c>
      <c r="D11" s="203" t="s">
        <v>50</v>
      </c>
      <c r="E11" s="203">
        <v>1705600</v>
      </c>
      <c r="F11" s="214">
        <v>8</v>
      </c>
      <c r="G11" s="203">
        <f>70*60*8</f>
        <v>33600</v>
      </c>
      <c r="H11" s="201">
        <v>35000</v>
      </c>
      <c r="I11" s="393" t="s">
        <v>1330</v>
      </c>
      <c r="J11" s="706" t="s">
        <v>1308</v>
      </c>
      <c r="K11" s="704"/>
      <c r="L11" s="705"/>
      <c r="M11" s="194"/>
      <c r="N11" s="192"/>
      <c r="O11" s="193"/>
      <c r="P11" s="193"/>
    </row>
    <row r="12" spans="1:16" s="195" customFormat="1" ht="31.5" customHeight="1">
      <c r="A12" s="202">
        <v>5</v>
      </c>
      <c r="B12" s="203" t="s">
        <v>159</v>
      </c>
      <c r="C12" s="204" t="s">
        <v>160</v>
      </c>
      <c r="D12" s="203" t="s">
        <v>1290</v>
      </c>
      <c r="E12" s="203">
        <v>25100</v>
      </c>
      <c r="F12" s="214">
        <v>8</v>
      </c>
      <c r="G12" s="203">
        <f>45*60*8</f>
        <v>21600</v>
      </c>
      <c r="H12" s="201">
        <v>31000</v>
      </c>
      <c r="I12" s="393" t="s">
        <v>1330</v>
      </c>
      <c r="J12" s="706"/>
      <c r="K12" s="704"/>
      <c r="L12" s="705"/>
      <c r="M12" s="194"/>
      <c r="N12" s="192"/>
      <c r="O12" s="193"/>
      <c r="P12" s="193"/>
    </row>
    <row r="13" spans="1:16" s="195" customFormat="1" ht="31.5" customHeight="1">
      <c r="A13" s="202">
        <v>6</v>
      </c>
      <c r="B13" s="203" t="s">
        <v>139</v>
      </c>
      <c r="C13" s="204" t="s">
        <v>140</v>
      </c>
      <c r="D13" s="203" t="s">
        <v>142</v>
      </c>
      <c r="E13" s="203">
        <v>596000</v>
      </c>
      <c r="F13" s="214">
        <v>10</v>
      </c>
      <c r="G13" s="203">
        <f>45*60*10</f>
        <v>27000</v>
      </c>
      <c r="H13" s="201">
        <v>14000</v>
      </c>
      <c r="I13" s="393" t="s">
        <v>1329</v>
      </c>
      <c r="J13" s="706" t="s">
        <v>1309</v>
      </c>
      <c r="K13" s="704"/>
      <c r="L13" s="705"/>
      <c r="M13" s="194"/>
      <c r="N13" s="192"/>
      <c r="O13" s="193"/>
      <c r="P13" s="193"/>
    </row>
    <row r="14" spans="1:16" s="195" customFormat="1" ht="31.5" customHeight="1">
      <c r="A14" s="202">
        <v>7</v>
      </c>
      <c r="B14" s="203" t="s">
        <v>171</v>
      </c>
      <c r="C14" s="204" t="s">
        <v>172</v>
      </c>
      <c r="D14" s="203" t="s">
        <v>177</v>
      </c>
      <c r="E14" s="203">
        <v>1253000</v>
      </c>
      <c r="F14" s="214">
        <v>8</v>
      </c>
      <c r="G14" s="203">
        <f>42*60*8</f>
        <v>20160</v>
      </c>
      <c r="H14" s="201">
        <v>38000</v>
      </c>
      <c r="I14" s="393" t="s">
        <v>1329</v>
      </c>
      <c r="J14" s="706" t="s">
        <v>1310</v>
      </c>
      <c r="K14" s="704"/>
      <c r="L14" s="705"/>
      <c r="M14" s="194"/>
      <c r="N14" s="192"/>
      <c r="O14" s="193"/>
      <c r="P14" s="193"/>
    </row>
    <row r="15" spans="1:16" s="195" customFormat="1" ht="31.5" customHeight="1">
      <c r="A15" s="199">
        <v>7</v>
      </c>
      <c r="B15" s="200" t="s">
        <v>30</v>
      </c>
      <c r="C15" s="200" t="s">
        <v>43</v>
      </c>
      <c r="D15" s="200" t="s">
        <v>55</v>
      </c>
      <c r="E15" s="201">
        <v>1700000</v>
      </c>
      <c r="F15" s="213">
        <v>8</v>
      </c>
      <c r="G15" s="201">
        <f>42*60*8</f>
        <v>20160</v>
      </c>
      <c r="H15" s="201"/>
      <c r="I15" s="393" t="s">
        <v>1329</v>
      </c>
      <c r="J15" s="706"/>
      <c r="K15" s="704"/>
      <c r="L15" s="705"/>
      <c r="M15" s="194"/>
      <c r="N15" s="192"/>
      <c r="O15" s="193"/>
      <c r="P15" s="193"/>
    </row>
    <row r="16" spans="1:16" s="195" customFormat="1" ht="31.5" customHeight="1">
      <c r="A16" s="202" t="s">
        <v>66</v>
      </c>
      <c r="B16" s="203" t="s">
        <v>27</v>
      </c>
      <c r="C16" s="204" t="s">
        <v>40</v>
      </c>
      <c r="D16" s="203" t="s">
        <v>52</v>
      </c>
      <c r="E16" s="203">
        <v>4448000</v>
      </c>
      <c r="F16" s="214">
        <v>8</v>
      </c>
      <c r="G16" s="203">
        <f>138*60*8</f>
        <v>66240</v>
      </c>
      <c r="H16" s="201">
        <v>53000</v>
      </c>
      <c r="I16" s="393" t="s">
        <v>1331</v>
      </c>
      <c r="J16" s="706" t="s">
        <v>1311</v>
      </c>
      <c r="K16" s="704"/>
      <c r="L16" s="705"/>
      <c r="M16" s="194"/>
      <c r="N16" s="192"/>
      <c r="O16" s="193"/>
      <c r="P16" s="193"/>
    </row>
    <row r="17" spans="1:16" s="195" customFormat="1" ht="31.5" customHeight="1">
      <c r="A17" s="202" t="s">
        <v>218</v>
      </c>
      <c r="B17" s="203" t="s">
        <v>223</v>
      </c>
      <c r="C17" s="204" t="s">
        <v>224</v>
      </c>
      <c r="D17" s="203" t="s">
        <v>225</v>
      </c>
      <c r="E17" s="203">
        <v>77600</v>
      </c>
      <c r="F17" s="214">
        <v>8</v>
      </c>
      <c r="G17" s="203">
        <f>100*60*8</f>
        <v>48000</v>
      </c>
      <c r="H17" s="201">
        <v>13000</v>
      </c>
      <c r="I17" s="393" t="s">
        <v>1331</v>
      </c>
      <c r="J17" s="706" t="s">
        <v>1312</v>
      </c>
      <c r="K17" s="704"/>
      <c r="L17" s="705"/>
      <c r="M17" s="194"/>
      <c r="N17" s="192"/>
      <c r="O17" s="193"/>
      <c r="P17" s="193"/>
    </row>
    <row r="18" spans="1:16" s="191" customFormat="1" ht="31.5" customHeight="1">
      <c r="A18" s="202">
        <v>8</v>
      </c>
      <c r="B18" s="203" t="s">
        <v>968</v>
      </c>
      <c r="C18" s="204" t="s">
        <v>152</v>
      </c>
      <c r="D18" s="203" t="s">
        <v>1299</v>
      </c>
      <c r="E18" s="203">
        <v>280000</v>
      </c>
      <c r="F18" s="214">
        <v>8</v>
      </c>
      <c r="G18" s="203">
        <f>50*60*8</f>
        <v>24000</v>
      </c>
      <c r="H18" s="201">
        <v>20000</v>
      </c>
      <c r="I18" s="393" t="s">
        <v>1332</v>
      </c>
      <c r="J18" s="706" t="s">
        <v>1313</v>
      </c>
      <c r="K18" s="704"/>
      <c r="L18" s="705"/>
      <c r="M18" s="192"/>
      <c r="N18" s="192"/>
      <c r="O18" s="193"/>
      <c r="P18" s="193"/>
    </row>
    <row r="19" spans="1:16" s="191" customFormat="1" ht="31.5" customHeight="1">
      <c r="A19" s="205" t="s">
        <v>228</v>
      </c>
      <c r="B19" s="204" t="s">
        <v>28</v>
      </c>
      <c r="C19" s="204" t="s">
        <v>41</v>
      </c>
      <c r="D19" s="204" t="s">
        <v>53</v>
      </c>
      <c r="E19" s="203">
        <v>2497000</v>
      </c>
      <c r="F19" s="214">
        <v>8</v>
      </c>
      <c r="G19" s="203">
        <f>50*60*8</f>
        <v>24000</v>
      </c>
      <c r="H19" s="201">
        <v>22000</v>
      </c>
      <c r="I19" s="393" t="s">
        <v>1332</v>
      </c>
      <c r="J19" s="706" t="s">
        <v>1314</v>
      </c>
      <c r="K19" s="704"/>
      <c r="L19" s="705"/>
      <c r="M19" s="196"/>
      <c r="N19" s="192"/>
      <c r="O19" s="193"/>
      <c r="P19" s="193"/>
    </row>
    <row r="20" spans="1:16" s="191" customFormat="1" ht="31.5" customHeight="1">
      <c r="A20" s="205">
        <v>10</v>
      </c>
      <c r="B20" s="204" t="s">
        <v>229</v>
      </c>
      <c r="C20" s="204" t="s">
        <v>220</v>
      </c>
      <c r="D20" s="204" t="s">
        <v>230</v>
      </c>
      <c r="E20" s="203" t="e">
        <v>#N/A</v>
      </c>
      <c r="F20" s="214">
        <v>8</v>
      </c>
      <c r="G20" s="203">
        <f>45*60*8</f>
        <v>21600</v>
      </c>
      <c r="H20" s="201"/>
      <c r="I20" s="393"/>
      <c r="J20" s="706"/>
      <c r="K20" s="704"/>
      <c r="L20" s="705"/>
      <c r="M20" s="196"/>
      <c r="N20" s="192"/>
      <c r="O20" s="193"/>
      <c r="P20" s="193"/>
    </row>
    <row r="21" spans="1:16" s="191" customFormat="1" ht="31.5" customHeight="1">
      <c r="A21" s="205">
        <v>10</v>
      </c>
      <c r="B21" s="204" t="s">
        <v>248</v>
      </c>
      <c r="C21" s="204" t="s">
        <v>249</v>
      </c>
      <c r="D21" s="204" t="s">
        <v>105</v>
      </c>
      <c r="E21" s="203">
        <v>300000</v>
      </c>
      <c r="F21" s="214">
        <v>8</v>
      </c>
      <c r="G21" s="203">
        <f>50*60*8</f>
        <v>24000</v>
      </c>
      <c r="H21" s="201"/>
      <c r="I21" s="393"/>
      <c r="J21" s="706"/>
      <c r="K21" s="704"/>
      <c r="L21" s="705"/>
      <c r="M21" s="196"/>
      <c r="N21" s="192"/>
      <c r="O21" s="193"/>
      <c r="P21" s="193"/>
    </row>
    <row r="22" spans="1:16" s="191" customFormat="1" ht="31.5" customHeight="1">
      <c r="A22" s="205">
        <v>11</v>
      </c>
      <c r="B22" s="204" t="s">
        <v>232</v>
      </c>
      <c r="C22" s="204" t="s">
        <v>220</v>
      </c>
      <c r="D22" s="204" t="s">
        <v>233</v>
      </c>
      <c r="E22" s="203">
        <v>0</v>
      </c>
      <c r="F22" s="214">
        <v>8</v>
      </c>
      <c r="G22" s="203">
        <f>50*60*8</f>
        <v>24000</v>
      </c>
      <c r="H22" s="201">
        <v>1000</v>
      </c>
      <c r="I22" s="393"/>
      <c r="J22" s="706"/>
      <c r="K22" s="704"/>
      <c r="L22" s="705"/>
      <c r="M22" s="196"/>
      <c r="N22" s="192"/>
      <c r="O22" s="193"/>
      <c r="P22" s="193"/>
    </row>
    <row r="23" spans="1:16" s="191" customFormat="1" ht="31.5" customHeight="1">
      <c r="A23" s="205">
        <v>11</v>
      </c>
      <c r="B23" s="204" t="s">
        <v>234</v>
      </c>
      <c r="C23" s="204" t="s">
        <v>235</v>
      </c>
      <c r="D23" s="204" t="s">
        <v>236</v>
      </c>
      <c r="E23" s="203">
        <v>160000</v>
      </c>
      <c r="F23" s="214">
        <v>8</v>
      </c>
      <c r="G23" s="203">
        <f>110*60*8</f>
        <v>52800</v>
      </c>
      <c r="H23" s="201"/>
      <c r="I23" s="393"/>
      <c r="J23" s="706"/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12</v>
      </c>
      <c r="B24" s="204" t="s">
        <v>988</v>
      </c>
      <c r="C24" s="204" t="s">
        <v>990</v>
      </c>
      <c r="D24" s="204" t="s">
        <v>54</v>
      </c>
      <c r="E24" s="203">
        <v>640000</v>
      </c>
      <c r="F24" s="214">
        <v>8</v>
      </c>
      <c r="G24" s="203">
        <f>110*60*8</f>
        <v>52800</v>
      </c>
      <c r="H24" s="201">
        <v>50000</v>
      </c>
      <c r="I24" s="393"/>
      <c r="J24" s="706"/>
      <c r="K24" s="704"/>
      <c r="L24" s="705"/>
      <c r="M24" s="196"/>
      <c r="N24" s="192"/>
      <c r="O24" s="193"/>
      <c r="P24" s="193"/>
    </row>
    <row r="25" spans="1:16" s="191" customFormat="1" ht="31.5" customHeight="1">
      <c r="A25" s="206">
        <v>13</v>
      </c>
      <c r="B25" s="204" t="s">
        <v>775</v>
      </c>
      <c r="C25" s="204" t="s">
        <v>777</v>
      </c>
      <c r="D25" s="204" t="s">
        <v>1339</v>
      </c>
      <c r="E25" s="203">
        <v>200000</v>
      </c>
      <c r="F25" s="214">
        <v>8</v>
      </c>
      <c r="G25" s="203">
        <f>110*60*8</f>
        <v>52800</v>
      </c>
      <c r="H25" s="201"/>
      <c r="I25" s="393" t="s">
        <v>1334</v>
      </c>
      <c r="J25" s="706" t="s">
        <v>1315</v>
      </c>
      <c r="K25" s="704"/>
      <c r="L25" s="705"/>
      <c r="M25" s="196"/>
      <c r="N25" s="192"/>
      <c r="O25" s="193"/>
      <c r="P25" s="193"/>
    </row>
    <row r="26" spans="1:16" s="191" customFormat="1" ht="31.5" customHeight="1">
      <c r="A26" s="206">
        <v>14</v>
      </c>
      <c r="B26" s="204" t="s">
        <v>29</v>
      </c>
      <c r="C26" s="204" t="s">
        <v>42</v>
      </c>
      <c r="D26" s="204" t="s">
        <v>54</v>
      </c>
      <c r="E26" s="203">
        <v>339000</v>
      </c>
      <c r="F26" s="214">
        <v>8</v>
      </c>
      <c r="G26" s="203">
        <f>120*60*8</f>
        <v>57600</v>
      </c>
      <c r="H26" s="201">
        <v>55000</v>
      </c>
      <c r="I26" s="393" t="s">
        <v>1334</v>
      </c>
      <c r="J26" s="706" t="s">
        <v>1316</v>
      </c>
      <c r="K26" s="704"/>
      <c r="L26" s="705"/>
      <c r="M26" s="196"/>
      <c r="N26" s="192"/>
      <c r="O26" s="193"/>
      <c r="P26" s="193"/>
    </row>
    <row r="27" spans="1:16" s="191" customFormat="1" ht="31.5" customHeight="1">
      <c r="A27" s="206">
        <v>29</v>
      </c>
      <c r="B27" s="204" t="s">
        <v>195</v>
      </c>
      <c r="C27" s="204" t="s">
        <v>167</v>
      </c>
      <c r="D27" s="204" t="s">
        <v>59</v>
      </c>
      <c r="E27" s="203">
        <v>171300</v>
      </c>
      <c r="F27" s="214">
        <v>8</v>
      </c>
      <c r="G27" s="203">
        <f>110*60*8</f>
        <v>52800</v>
      </c>
      <c r="H27" s="201"/>
      <c r="I27" s="393" t="s">
        <v>1334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5">
        <v>17</v>
      </c>
      <c r="B28" s="204" t="s">
        <v>149</v>
      </c>
      <c r="C28" s="204" t="s">
        <v>150</v>
      </c>
      <c r="D28" s="204" t="s">
        <v>56</v>
      </c>
      <c r="E28" s="203">
        <v>5696700</v>
      </c>
      <c r="F28" s="214">
        <v>9</v>
      </c>
      <c r="G28" s="203">
        <f t="shared" ref="G28:G37" si="0">180*60*9</f>
        <v>97200</v>
      </c>
      <c r="H28" s="201">
        <f>126300+126000+123300</f>
        <v>375600</v>
      </c>
      <c r="I28" s="393" t="s">
        <v>1335</v>
      </c>
      <c r="J28" s="706"/>
      <c r="K28" s="704"/>
      <c r="L28" s="705"/>
      <c r="M28" s="196"/>
      <c r="N28" s="192"/>
      <c r="O28" s="193"/>
      <c r="P28" s="193"/>
    </row>
    <row r="29" spans="1:16" s="191" customFormat="1" ht="31.5" customHeight="1">
      <c r="A29" s="205">
        <v>18</v>
      </c>
      <c r="B29" s="204"/>
      <c r="C29" s="204"/>
      <c r="D29" s="204"/>
      <c r="E29" s="203" t="e">
        <v>#N/A</v>
      </c>
      <c r="F29" s="214"/>
      <c r="G29" s="203"/>
      <c r="H29" s="201"/>
      <c r="I29" s="393"/>
      <c r="J29" s="706"/>
      <c r="K29" s="704"/>
      <c r="L29" s="705"/>
      <c r="M29" s="196"/>
      <c r="N29" s="192"/>
      <c r="O29" s="193"/>
      <c r="P29" s="193"/>
    </row>
    <row r="30" spans="1:16" s="191" customFormat="1" ht="31.5" customHeight="1">
      <c r="A30" s="205">
        <v>24</v>
      </c>
      <c r="B30" s="204"/>
      <c r="C30" s="204"/>
      <c r="D30" s="204"/>
      <c r="E30" s="203" t="e">
        <v>#N/A</v>
      </c>
      <c r="F30" s="214"/>
      <c r="G30" s="203"/>
      <c r="H30" s="201"/>
      <c r="I30" s="393"/>
      <c r="J30" s="706"/>
      <c r="K30" s="704"/>
      <c r="L30" s="705"/>
      <c r="M30" s="196"/>
      <c r="N30" s="192"/>
      <c r="O30" s="193"/>
      <c r="P30" s="193"/>
    </row>
    <row r="31" spans="1:16" s="191" customFormat="1" ht="31.5" customHeight="1">
      <c r="A31" s="206">
        <v>19</v>
      </c>
      <c r="B31" s="204" t="s">
        <v>176</v>
      </c>
      <c r="C31" s="204" t="s">
        <v>148</v>
      </c>
      <c r="D31" s="204" t="s">
        <v>153</v>
      </c>
      <c r="E31" s="203">
        <v>2081800</v>
      </c>
      <c r="F31" s="214">
        <v>9</v>
      </c>
      <c r="G31" s="203">
        <f t="shared" si="0"/>
        <v>97200</v>
      </c>
      <c r="H31" s="201">
        <f>99500+127000</f>
        <v>226500</v>
      </c>
      <c r="I31" s="393" t="s">
        <v>1335</v>
      </c>
      <c r="J31" s="706"/>
      <c r="K31" s="704"/>
      <c r="L31" s="705"/>
      <c r="M31" s="196"/>
      <c r="N31" s="192"/>
      <c r="O31" s="193"/>
      <c r="P31" s="193"/>
    </row>
    <row r="32" spans="1:16" s="191" customFormat="1" ht="31.5" customHeight="1">
      <c r="A32" s="206">
        <v>25</v>
      </c>
      <c r="B32" s="204"/>
      <c r="C32" s="204"/>
      <c r="D32" s="204"/>
      <c r="E32" s="203" t="e">
        <v>#N/A</v>
      </c>
      <c r="F32" s="214"/>
      <c r="G32" s="203"/>
      <c r="H32" s="201"/>
      <c r="I32" s="393"/>
      <c r="J32" s="706"/>
      <c r="K32" s="704"/>
      <c r="L32" s="705"/>
      <c r="M32" s="196"/>
      <c r="N32" s="192"/>
      <c r="O32" s="193"/>
      <c r="P32" s="193"/>
    </row>
    <row r="33" spans="1:16" s="191" customFormat="1" ht="31.5" customHeight="1">
      <c r="A33" s="206" t="s">
        <v>261</v>
      </c>
      <c r="B33" s="204" t="s">
        <v>80</v>
      </c>
      <c r="C33" s="204" t="s">
        <v>81</v>
      </c>
      <c r="D33" s="204" t="s">
        <v>60</v>
      </c>
      <c r="E33" s="203">
        <v>2518600</v>
      </c>
      <c r="F33" s="214">
        <v>9</v>
      </c>
      <c r="G33" s="203">
        <f t="shared" si="0"/>
        <v>97200</v>
      </c>
      <c r="H33" s="201">
        <v>120000</v>
      </c>
      <c r="I33" s="393" t="s">
        <v>1335</v>
      </c>
      <c r="J33" s="706"/>
      <c r="K33" s="704"/>
      <c r="L33" s="705"/>
      <c r="M33" s="196"/>
      <c r="N33" s="192"/>
      <c r="O33" s="193"/>
      <c r="P33" s="193"/>
    </row>
    <row r="34" spans="1:16" s="191" customFormat="1" ht="31.5" customHeight="1">
      <c r="A34" s="205">
        <v>18</v>
      </c>
      <c r="B34" s="204" t="s">
        <v>190</v>
      </c>
      <c r="C34" s="204" t="s">
        <v>191</v>
      </c>
      <c r="D34" s="204" t="s">
        <v>86</v>
      </c>
      <c r="E34" s="203">
        <v>786900</v>
      </c>
      <c r="F34" s="214">
        <v>9</v>
      </c>
      <c r="G34" s="203">
        <f t="shared" si="0"/>
        <v>97200</v>
      </c>
      <c r="H34" s="201">
        <v>110000</v>
      </c>
      <c r="I34" s="393" t="s">
        <v>1335</v>
      </c>
      <c r="J34" s="706"/>
      <c r="K34" s="704"/>
      <c r="L34" s="705"/>
      <c r="M34" s="196"/>
      <c r="N34" s="192"/>
      <c r="O34" s="193"/>
      <c r="P34" s="193"/>
    </row>
    <row r="35" spans="1:16" s="191" customFormat="1" ht="31.5" customHeight="1">
      <c r="A35" s="205">
        <v>19</v>
      </c>
      <c r="B35" s="204" t="s">
        <v>203</v>
      </c>
      <c r="C35" s="204" t="s">
        <v>204</v>
      </c>
      <c r="D35" s="204" t="s">
        <v>57</v>
      </c>
      <c r="E35" s="203">
        <v>631700</v>
      </c>
      <c r="F35" s="214">
        <v>9</v>
      </c>
      <c r="G35" s="203">
        <f t="shared" si="0"/>
        <v>97200</v>
      </c>
      <c r="H35" s="201">
        <v>111000</v>
      </c>
      <c r="I35" s="393" t="s">
        <v>1335</v>
      </c>
      <c r="J35" s="706"/>
      <c r="K35" s="704"/>
      <c r="L35" s="705"/>
      <c r="M35" s="196"/>
      <c r="N35" s="192"/>
      <c r="O35" s="193"/>
      <c r="P35" s="193"/>
    </row>
    <row r="36" spans="1:16" s="191" customFormat="1" ht="31.5" customHeight="1">
      <c r="A36" s="206">
        <v>20</v>
      </c>
      <c r="B36" s="204" t="s">
        <v>32</v>
      </c>
      <c r="C36" s="204" t="s">
        <v>45</v>
      </c>
      <c r="D36" s="204" t="s">
        <v>58</v>
      </c>
      <c r="E36" s="203" t="s">
        <v>1287</v>
      </c>
      <c r="F36" s="214">
        <v>9</v>
      </c>
      <c r="G36" s="203">
        <f t="shared" si="0"/>
        <v>97200</v>
      </c>
      <c r="H36" s="201">
        <v>50000</v>
      </c>
      <c r="I36" s="393" t="s">
        <v>1336</v>
      </c>
      <c r="J36" s="706"/>
      <c r="K36" s="704"/>
      <c r="L36" s="705"/>
      <c r="M36" s="196"/>
      <c r="N36" s="192"/>
      <c r="O36" s="193"/>
      <c r="P36" s="193"/>
    </row>
    <row r="37" spans="1:16" s="191" customFormat="1" ht="31.5" customHeight="1">
      <c r="A37" s="205">
        <v>25</v>
      </c>
      <c r="B37" s="204" t="s">
        <v>637</v>
      </c>
      <c r="C37" s="204" t="s">
        <v>81</v>
      </c>
      <c r="D37" s="204" t="s">
        <v>56</v>
      </c>
      <c r="E37" s="203">
        <v>1183800</v>
      </c>
      <c r="F37" s="214">
        <v>9</v>
      </c>
      <c r="G37" s="203">
        <f t="shared" si="0"/>
        <v>97200</v>
      </c>
      <c r="H37" s="201">
        <v>16200</v>
      </c>
      <c r="I37" s="393" t="s">
        <v>1337</v>
      </c>
      <c r="J37" s="706" t="s">
        <v>1318</v>
      </c>
      <c r="K37" s="704"/>
      <c r="L37" s="705"/>
      <c r="M37" s="196"/>
      <c r="N37" s="192"/>
      <c r="O37" s="193"/>
      <c r="P37" s="193"/>
    </row>
    <row r="38" spans="1:16" s="191" customFormat="1" ht="31.5" customHeight="1">
      <c r="A38" s="205">
        <v>21</v>
      </c>
      <c r="B38" s="204" t="s">
        <v>162</v>
      </c>
      <c r="C38" s="204" t="s">
        <v>163</v>
      </c>
      <c r="D38" s="204" t="s">
        <v>56</v>
      </c>
      <c r="E38" s="203">
        <v>3103000</v>
      </c>
      <c r="F38" s="214">
        <v>8</v>
      </c>
      <c r="G38" s="203">
        <f>150*60*8</f>
        <v>72000</v>
      </c>
      <c r="H38" s="201">
        <v>30000</v>
      </c>
      <c r="I38" s="393" t="s">
        <v>1336</v>
      </c>
      <c r="J38" s="706" t="s">
        <v>1304</v>
      </c>
      <c r="K38" s="704"/>
      <c r="L38" s="705"/>
      <c r="M38" s="196"/>
      <c r="N38" s="192"/>
      <c r="O38" s="193"/>
      <c r="P38" s="193"/>
    </row>
    <row r="39" spans="1:16" s="191" customFormat="1" ht="31.5" customHeight="1">
      <c r="A39" s="205">
        <v>22</v>
      </c>
      <c r="B39" s="204" t="s">
        <v>162</v>
      </c>
      <c r="C39" s="204" t="s">
        <v>163</v>
      </c>
      <c r="D39" s="204" t="s">
        <v>56</v>
      </c>
      <c r="E39" s="203">
        <v>3103000</v>
      </c>
      <c r="F39" s="214">
        <v>8</v>
      </c>
      <c r="G39" s="203">
        <f>150*60*8</f>
        <v>72000</v>
      </c>
      <c r="H39" s="201">
        <v>97000</v>
      </c>
      <c r="I39" s="393" t="s">
        <v>1336</v>
      </c>
      <c r="J39" s="706" t="s">
        <v>1317</v>
      </c>
      <c r="K39" s="704"/>
      <c r="L39" s="705"/>
      <c r="M39" s="196"/>
      <c r="N39" s="192"/>
      <c r="O39" s="193"/>
      <c r="P39" s="193"/>
    </row>
    <row r="40" spans="1:16" s="191" customFormat="1" ht="31.5" customHeight="1">
      <c r="A40" s="205">
        <v>22</v>
      </c>
      <c r="B40" s="204" t="s">
        <v>219</v>
      </c>
      <c r="C40" s="204" t="s">
        <v>220</v>
      </c>
      <c r="D40" s="204" t="s">
        <v>183</v>
      </c>
      <c r="E40" s="203" t="s">
        <v>1287</v>
      </c>
      <c r="F40" s="214">
        <v>8</v>
      </c>
      <c r="G40" s="203">
        <f t="shared" ref="G40:G49" si="1">180*60*8</f>
        <v>86400</v>
      </c>
      <c r="H40" s="201">
        <v>40000</v>
      </c>
      <c r="I40" s="393" t="s">
        <v>1336</v>
      </c>
      <c r="J40" s="706"/>
      <c r="K40" s="704"/>
      <c r="L40" s="705"/>
      <c r="M40" s="196"/>
      <c r="N40" s="192"/>
      <c r="O40" s="193"/>
      <c r="P40" s="193"/>
    </row>
    <row r="41" spans="1:16" s="191" customFormat="1" ht="31.5" customHeight="1">
      <c r="A41" s="206">
        <v>23</v>
      </c>
      <c r="B41" s="204" t="s">
        <v>214</v>
      </c>
      <c r="C41" s="204" t="s">
        <v>46</v>
      </c>
      <c r="D41" s="204" t="s">
        <v>56</v>
      </c>
      <c r="E41" s="203">
        <v>964300</v>
      </c>
      <c r="F41" s="214">
        <v>8</v>
      </c>
      <c r="G41" s="203">
        <f t="shared" si="1"/>
        <v>86400</v>
      </c>
      <c r="H41" s="201">
        <v>99000</v>
      </c>
      <c r="I41" s="393" t="s">
        <v>1337</v>
      </c>
      <c r="J41" s="706" t="s">
        <v>1318</v>
      </c>
      <c r="K41" s="704"/>
      <c r="L41" s="705"/>
      <c r="M41" s="196"/>
      <c r="N41" s="192"/>
      <c r="O41" s="193"/>
      <c r="P41" s="193"/>
    </row>
    <row r="42" spans="1:16" s="191" customFormat="1" ht="31.5" customHeight="1">
      <c r="A42" s="205">
        <v>24</v>
      </c>
      <c r="B42" s="204" t="s">
        <v>164</v>
      </c>
      <c r="C42" s="204" t="s">
        <v>165</v>
      </c>
      <c r="D42" s="204" t="s">
        <v>56</v>
      </c>
      <c r="E42" s="203">
        <v>4369100</v>
      </c>
      <c r="F42" s="214">
        <v>8</v>
      </c>
      <c r="G42" s="203">
        <f t="shared" si="1"/>
        <v>86400</v>
      </c>
      <c r="H42" s="201">
        <v>126000</v>
      </c>
      <c r="I42" s="393" t="s">
        <v>1337</v>
      </c>
      <c r="J42" s="706" t="s">
        <v>1318</v>
      </c>
      <c r="K42" s="704"/>
      <c r="L42" s="705"/>
      <c r="M42" s="196"/>
      <c r="N42" s="192"/>
      <c r="O42" s="193"/>
      <c r="P42" s="193"/>
    </row>
    <row r="43" spans="1:16" s="191" customFormat="1" ht="31.5" customHeight="1">
      <c r="A43" s="205"/>
      <c r="B43" s="204"/>
      <c r="C43" s="204"/>
      <c r="D43" s="204"/>
      <c r="E43" s="203" t="e">
        <v>#N/A</v>
      </c>
      <c r="F43" s="214"/>
      <c r="G43" s="203"/>
      <c r="H43" s="201"/>
      <c r="I43" s="393"/>
      <c r="J43" s="395"/>
      <c r="K43" s="396"/>
      <c r="L43" s="397"/>
      <c r="M43" s="196"/>
      <c r="N43" s="192"/>
      <c r="O43" s="193"/>
      <c r="P43" s="193"/>
    </row>
    <row r="44" spans="1:16" s="191" customFormat="1" ht="31.5" customHeight="1">
      <c r="A44" s="205">
        <v>26</v>
      </c>
      <c r="B44" s="204" t="s">
        <v>222</v>
      </c>
      <c r="C44" s="204" t="s">
        <v>201</v>
      </c>
      <c r="D44" s="204" t="s">
        <v>59</v>
      </c>
      <c r="E44" s="203">
        <v>277700</v>
      </c>
      <c r="F44" s="214">
        <v>8</v>
      </c>
      <c r="G44" s="203">
        <f t="shared" si="1"/>
        <v>86400</v>
      </c>
      <c r="H44" s="201">
        <v>125000</v>
      </c>
      <c r="I44" s="393" t="s">
        <v>1337</v>
      </c>
      <c r="J44" s="706" t="s">
        <v>1318</v>
      </c>
      <c r="K44" s="704"/>
      <c r="L44" s="705"/>
      <c r="M44" s="196"/>
      <c r="N44" s="192"/>
      <c r="O44" s="193"/>
      <c r="P44" s="193"/>
    </row>
    <row r="45" spans="1:16" s="191" customFormat="1" ht="31.5" customHeight="1">
      <c r="A45" s="205">
        <v>27</v>
      </c>
      <c r="B45" s="204" t="s">
        <v>128</v>
      </c>
      <c r="C45" s="204" t="s">
        <v>129</v>
      </c>
      <c r="D45" s="204" t="s">
        <v>59</v>
      </c>
      <c r="E45" s="203">
        <v>874500</v>
      </c>
      <c r="F45" s="214">
        <v>8</v>
      </c>
      <c r="G45" s="203">
        <f t="shared" si="1"/>
        <v>86400</v>
      </c>
      <c r="H45" s="201">
        <f>55000+55000</f>
        <v>110000</v>
      </c>
      <c r="I45" s="393" t="s">
        <v>1337</v>
      </c>
      <c r="J45" s="706"/>
      <c r="K45" s="704"/>
      <c r="L45" s="705"/>
      <c r="M45" s="196"/>
      <c r="N45" s="192"/>
      <c r="O45" s="193"/>
      <c r="P45" s="193"/>
    </row>
    <row r="46" spans="1:16" s="191" customFormat="1" ht="31.5" customHeight="1">
      <c r="A46" s="206">
        <v>28</v>
      </c>
      <c r="B46" s="204" t="s">
        <v>1341</v>
      </c>
      <c r="C46" s="204" t="s">
        <v>129</v>
      </c>
      <c r="D46" s="204" t="s">
        <v>59</v>
      </c>
      <c r="E46" s="203" t="e">
        <v>#N/A</v>
      </c>
      <c r="F46" s="214">
        <v>8</v>
      </c>
      <c r="G46" s="203">
        <f t="shared" si="1"/>
        <v>86400</v>
      </c>
      <c r="H46" s="201">
        <f>51500+74000</f>
        <v>125500</v>
      </c>
      <c r="I46" s="393" t="s">
        <v>1336</v>
      </c>
      <c r="J46" s="706" t="s">
        <v>1319</v>
      </c>
      <c r="K46" s="704"/>
      <c r="L46" s="705"/>
      <c r="M46" s="196"/>
      <c r="N46" s="192"/>
      <c r="O46" s="193"/>
      <c r="P46" s="193"/>
    </row>
    <row r="47" spans="1:16" s="191" customFormat="1" ht="31.5" customHeight="1">
      <c r="A47" s="206">
        <v>29</v>
      </c>
      <c r="B47" s="204" t="s">
        <v>35</v>
      </c>
      <c r="C47" s="204" t="s">
        <v>47</v>
      </c>
      <c r="D47" s="204" t="s">
        <v>61</v>
      </c>
      <c r="E47" s="203">
        <v>1914000</v>
      </c>
      <c r="F47" s="214">
        <v>8</v>
      </c>
      <c r="G47" s="203">
        <f t="shared" si="1"/>
        <v>86400</v>
      </c>
      <c r="H47" s="201">
        <v>86000</v>
      </c>
      <c r="I47" s="393" t="s">
        <v>1336</v>
      </c>
      <c r="J47" s="706"/>
      <c r="K47" s="704"/>
      <c r="L47" s="705"/>
      <c r="M47" s="196"/>
      <c r="N47" s="192"/>
      <c r="O47" s="193"/>
      <c r="P47" s="193"/>
    </row>
    <row r="48" spans="1:16" s="191" customFormat="1" ht="31.5" customHeight="1">
      <c r="A48" s="206">
        <v>30</v>
      </c>
      <c r="B48" s="204" t="s">
        <v>254</v>
      </c>
      <c r="C48" s="204" t="s">
        <v>255</v>
      </c>
      <c r="D48" s="204" t="s">
        <v>61</v>
      </c>
      <c r="E48" s="203">
        <v>619200</v>
      </c>
      <c r="F48" s="214">
        <v>8</v>
      </c>
      <c r="G48" s="203">
        <f t="shared" si="1"/>
        <v>86400</v>
      </c>
      <c r="H48" s="201">
        <v>97200</v>
      </c>
      <c r="I48" s="393" t="s">
        <v>1338</v>
      </c>
      <c r="J48" s="706" t="s">
        <v>1320</v>
      </c>
      <c r="K48" s="704"/>
      <c r="L48" s="705"/>
      <c r="M48" s="196"/>
      <c r="N48" s="192"/>
      <c r="O48" s="193"/>
      <c r="P48" s="193"/>
    </row>
    <row r="49" spans="1:16" s="191" customFormat="1" ht="31.5" customHeight="1">
      <c r="A49" s="205">
        <v>31</v>
      </c>
      <c r="B49" s="204" t="s">
        <v>181</v>
      </c>
      <c r="C49" s="204" t="s">
        <v>182</v>
      </c>
      <c r="D49" s="204" t="s">
        <v>183</v>
      </c>
      <c r="E49" s="203">
        <v>629800</v>
      </c>
      <c r="F49" s="214">
        <v>8</v>
      </c>
      <c r="G49" s="203">
        <f t="shared" si="1"/>
        <v>86400</v>
      </c>
      <c r="H49" s="201">
        <f>92700+66500</f>
        <v>159200</v>
      </c>
      <c r="I49" s="393" t="s">
        <v>1338</v>
      </c>
      <c r="J49" s="706" t="s">
        <v>1321</v>
      </c>
      <c r="K49" s="704"/>
      <c r="L49" s="705"/>
      <c r="M49" s="196"/>
      <c r="N49" s="192"/>
      <c r="O49" s="193"/>
      <c r="P49" s="193"/>
    </row>
    <row r="50" spans="1:16" s="191" customFormat="1" ht="31.5" customHeight="1">
      <c r="A50" s="205"/>
      <c r="B50" s="204"/>
      <c r="C50" s="204"/>
      <c r="D50" s="204"/>
      <c r="E50" s="203" t="e">
        <v>#N/A</v>
      </c>
      <c r="F50" s="214"/>
      <c r="G50" s="203"/>
      <c r="H50" s="201"/>
      <c r="I50" s="393"/>
      <c r="J50" s="395"/>
      <c r="K50" s="396"/>
      <c r="L50" s="397"/>
      <c r="M50" s="196"/>
      <c r="N50" s="192"/>
      <c r="O50" s="193"/>
      <c r="P50" s="193"/>
    </row>
    <row r="51" spans="1:16" s="191" customFormat="1" ht="31.5" customHeight="1">
      <c r="A51" s="205">
        <v>50</v>
      </c>
      <c r="B51" s="204" t="s">
        <v>208</v>
      </c>
      <c r="C51" s="208" t="s">
        <v>209</v>
      </c>
      <c r="D51" s="208" t="s">
        <v>194</v>
      </c>
      <c r="E51" s="203">
        <v>2285100</v>
      </c>
      <c r="F51" s="214">
        <v>9</v>
      </c>
      <c r="G51" s="203">
        <f>180*60*9</f>
        <v>97200</v>
      </c>
      <c r="H51" s="201">
        <v>82700</v>
      </c>
      <c r="I51" s="393" t="s">
        <v>1338</v>
      </c>
      <c r="J51" s="706" t="s">
        <v>1322</v>
      </c>
      <c r="K51" s="704"/>
      <c r="L51" s="705"/>
      <c r="M51" s="196"/>
      <c r="N51" s="192"/>
      <c r="O51" s="193"/>
      <c r="P51" s="193"/>
    </row>
    <row r="52" spans="1:16" s="191" customFormat="1" ht="31.5" customHeight="1">
      <c r="A52" s="206">
        <v>54</v>
      </c>
      <c r="B52" s="204"/>
      <c r="C52" s="208"/>
      <c r="D52" s="208"/>
      <c r="E52" s="203" t="e">
        <v>#N/A</v>
      </c>
      <c r="F52" s="214"/>
      <c r="G52" s="203"/>
      <c r="H52" s="201"/>
      <c r="I52" s="393" t="s">
        <v>1338</v>
      </c>
      <c r="J52" s="706" t="s">
        <v>1325</v>
      </c>
      <c r="K52" s="704"/>
      <c r="L52" s="705"/>
      <c r="M52" s="196"/>
      <c r="N52" s="192"/>
      <c r="O52" s="193"/>
      <c r="P52" s="193"/>
    </row>
    <row r="53" spans="1:16" s="191" customFormat="1" ht="31.5" customHeight="1">
      <c r="A53" s="209">
        <v>51</v>
      </c>
      <c r="B53" s="204"/>
      <c r="C53" s="204"/>
      <c r="D53" s="204"/>
      <c r="E53" s="203" t="e">
        <v>#N/A</v>
      </c>
      <c r="F53" s="214"/>
      <c r="G53" s="203"/>
      <c r="H53" s="201"/>
      <c r="I53" s="393"/>
      <c r="J53" s="706" t="s">
        <v>1303</v>
      </c>
      <c r="K53" s="704"/>
      <c r="L53" s="705"/>
      <c r="M53" s="196"/>
      <c r="N53" s="192"/>
      <c r="O53" s="193"/>
      <c r="P53" s="193"/>
    </row>
    <row r="54" spans="1:16" s="191" customFormat="1" ht="31.5" customHeight="1">
      <c r="A54" s="205">
        <v>52</v>
      </c>
      <c r="B54" s="204"/>
      <c r="C54" s="208"/>
      <c r="D54" s="208"/>
      <c r="E54" s="203" t="e">
        <v>#N/A</v>
      </c>
      <c r="F54" s="214"/>
      <c r="G54" s="203"/>
      <c r="H54" s="201"/>
      <c r="I54" s="393" t="s">
        <v>1338</v>
      </c>
      <c r="J54" s="706" t="s">
        <v>1323</v>
      </c>
      <c r="K54" s="704"/>
      <c r="L54" s="705"/>
      <c r="M54" s="196"/>
      <c r="N54" s="192"/>
      <c r="O54" s="193"/>
      <c r="P54" s="193"/>
    </row>
    <row r="55" spans="1:16" s="191" customFormat="1" ht="31.5" customHeight="1">
      <c r="A55" s="209">
        <v>53</v>
      </c>
      <c r="B55" s="204"/>
      <c r="C55" s="204"/>
      <c r="D55" s="204"/>
      <c r="E55" s="203" t="e">
        <v>#N/A</v>
      </c>
      <c r="F55" s="214"/>
      <c r="G55" s="203"/>
      <c r="H55" s="201"/>
      <c r="I55" s="393" t="s">
        <v>1338</v>
      </c>
      <c r="J55" s="706" t="s">
        <v>1324</v>
      </c>
      <c r="K55" s="704"/>
      <c r="L55" s="705"/>
      <c r="M55" s="196"/>
      <c r="N55" s="192"/>
      <c r="O55" s="193"/>
      <c r="P55" s="193"/>
    </row>
    <row r="56" spans="1:16" s="191" customFormat="1" ht="31.5" customHeight="1">
      <c r="A56" s="205">
        <v>55</v>
      </c>
      <c r="B56" s="204"/>
      <c r="C56" s="208"/>
      <c r="D56" s="208"/>
      <c r="E56" s="203" t="e">
        <v>#N/A</v>
      </c>
      <c r="F56" s="214"/>
      <c r="G56" s="203"/>
      <c r="H56" s="201"/>
      <c r="I56" s="393" t="s">
        <v>1338</v>
      </c>
      <c r="J56" s="706" t="s">
        <v>1326</v>
      </c>
      <c r="K56" s="704"/>
      <c r="L56" s="705"/>
      <c r="M56" s="196"/>
      <c r="N56" s="192"/>
      <c r="O56" s="193"/>
      <c r="P56" s="193"/>
    </row>
    <row r="57" spans="1:16" s="191" customFormat="1" ht="31.5" customHeight="1">
      <c r="A57" s="206" t="s">
        <v>251</v>
      </c>
      <c r="B57" s="210"/>
      <c r="C57" s="210"/>
      <c r="D57" s="210"/>
      <c r="E57" s="210" t="e">
        <v>#N/A</v>
      </c>
      <c r="F57" s="210"/>
      <c r="G57" s="210"/>
      <c r="H57" s="207">
        <f>SUM(H7:H56)</f>
        <v>2562100</v>
      </c>
      <c r="I57" s="394"/>
      <c r="J57" s="706"/>
      <c r="K57" s="704"/>
      <c r="L57" s="705"/>
      <c r="M57" s="196"/>
      <c r="N57" s="192"/>
    </row>
    <row r="58" spans="1:16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6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6" s="191" customFormat="1" ht="15.75" customHeight="1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  <c r="O60" s="192"/>
    </row>
    <row r="61" spans="1:16" s="191" customFormat="1" ht="15.75" customHeight="1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  <c r="O61" s="192"/>
    </row>
    <row r="62" spans="1:16" s="191" customFormat="1" ht="15.75" customHeight="1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  <c r="O62" s="192"/>
    </row>
    <row r="63" spans="1:16" s="191" customFormat="1" ht="15.75" customHeight="1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K63" s="198"/>
      <c r="O63" s="192"/>
    </row>
    <row r="64" spans="1:16" s="191" customFormat="1" ht="15.75" customHeight="1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K64" s="198"/>
      <c r="O64" s="192"/>
    </row>
    <row r="65" spans="1:15" s="191" customFormat="1" ht="15.75">
      <c r="A65" s="197"/>
      <c r="B65" s="197"/>
      <c r="C65" s="197"/>
      <c r="D65" s="197"/>
      <c r="E65" s="198"/>
      <c r="F65" s="198"/>
      <c r="G65" s="198"/>
      <c r="H65" s="198"/>
      <c r="I65" s="198"/>
      <c r="J65" s="198"/>
      <c r="K65" s="198"/>
      <c r="O65" s="192"/>
    </row>
    <row r="66" spans="1:15" s="191" customFormat="1" ht="15.75">
      <c r="A66" s="197"/>
      <c r="B66" s="197"/>
      <c r="C66" s="197"/>
      <c r="D66" s="197"/>
      <c r="E66" s="198"/>
      <c r="F66" s="198"/>
      <c r="G66" s="198"/>
      <c r="H66" s="198"/>
      <c r="I66" s="198"/>
      <c r="J66" s="198"/>
      <c r="K66" s="198"/>
      <c r="O66" s="192"/>
    </row>
    <row r="67" spans="1:15" s="191" customFormat="1" ht="15.75">
      <c r="A67" s="197"/>
      <c r="B67" s="197"/>
      <c r="C67" s="197"/>
      <c r="D67" s="197"/>
      <c r="E67" s="198"/>
      <c r="F67" s="198"/>
      <c r="G67" s="198"/>
      <c r="H67" s="198"/>
      <c r="I67" s="198"/>
      <c r="J67" s="198"/>
      <c r="K67" s="198"/>
      <c r="O67" s="192"/>
    </row>
    <row r="68" spans="1:15" s="191" customFormat="1" ht="15.75">
      <c r="A68" s="197"/>
      <c r="B68" s="197"/>
      <c r="C68" s="197"/>
      <c r="D68" s="197"/>
      <c r="E68" s="198"/>
      <c r="F68" s="198"/>
      <c r="G68" s="198"/>
      <c r="H68" s="198"/>
      <c r="I68" s="198"/>
      <c r="J68" s="198"/>
      <c r="K68" s="198"/>
      <c r="O68" s="192"/>
    </row>
    <row r="69" spans="1:15" s="191" customFormat="1" ht="15.75">
      <c r="A69" s="197"/>
      <c r="B69" s="197"/>
      <c r="C69" s="197"/>
      <c r="D69" s="197"/>
      <c r="E69" s="198"/>
      <c r="F69" s="198"/>
      <c r="G69" s="198"/>
      <c r="H69" s="198"/>
      <c r="I69" s="198"/>
      <c r="J69" s="198"/>
      <c r="K69" s="198"/>
      <c r="O69" s="192"/>
    </row>
    <row r="70" spans="1:15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O70" s="192"/>
    </row>
    <row r="71" spans="1:15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5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5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  <row r="74" spans="1:15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</row>
    <row r="75" spans="1:15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</row>
    <row r="76" spans="1:15" s="191" customFormat="1" ht="15.75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</row>
    <row r="77" spans="1:15" s="191" customFormat="1" ht="15.75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</row>
    <row r="78" spans="1:15" s="191" customFormat="1" ht="15.75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</row>
    <row r="79" spans="1:15" s="191" customFormat="1" ht="15.75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</row>
    <row r="80" spans="1:15" s="191" customFormat="1" ht="15.75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</row>
  </sheetData>
  <mergeCells count="59">
    <mergeCell ref="A5:A6"/>
    <mergeCell ref="B5:B6"/>
    <mergeCell ref="C5:C6"/>
    <mergeCell ref="D5:D6"/>
    <mergeCell ref="J5:L6"/>
    <mergeCell ref="A1:I3"/>
    <mergeCell ref="J2:J3"/>
    <mergeCell ref="K2:K3"/>
    <mergeCell ref="L2:L3"/>
    <mergeCell ref="A4:B4"/>
    <mergeCell ref="J18:L18"/>
    <mergeCell ref="J7:L7"/>
    <mergeCell ref="J8:L8"/>
    <mergeCell ref="J9:L9"/>
    <mergeCell ref="J10:L10"/>
    <mergeCell ref="J11:L11"/>
    <mergeCell ref="J12:L12"/>
    <mergeCell ref="J13:L13"/>
    <mergeCell ref="J14:L14"/>
    <mergeCell ref="J15:L15"/>
    <mergeCell ref="J16:L16"/>
    <mergeCell ref="J17:L17"/>
    <mergeCell ref="J33:L33"/>
    <mergeCell ref="J19:L19"/>
    <mergeCell ref="J20:L20"/>
    <mergeCell ref="J21:L21"/>
    <mergeCell ref="J22:L22"/>
    <mergeCell ref="J23:L23"/>
    <mergeCell ref="J24:L24"/>
    <mergeCell ref="J29:L29"/>
    <mergeCell ref="J30:L30"/>
    <mergeCell ref="J32:L32"/>
    <mergeCell ref="J25:L25"/>
    <mergeCell ref="J26:L26"/>
    <mergeCell ref="J27:L27"/>
    <mergeCell ref="J28:L28"/>
    <mergeCell ref="J31:L31"/>
    <mergeCell ref="J46:L46"/>
    <mergeCell ref="J34:L34"/>
    <mergeCell ref="J35:L35"/>
    <mergeCell ref="J36:L36"/>
    <mergeCell ref="J37:L37"/>
    <mergeCell ref="J38:L38"/>
    <mergeCell ref="J39:L39"/>
    <mergeCell ref="J40:L40"/>
    <mergeCell ref="J41:L41"/>
    <mergeCell ref="J42:L42"/>
    <mergeCell ref="J44:L44"/>
    <mergeCell ref="J45:L45"/>
    <mergeCell ref="J54:L54"/>
    <mergeCell ref="J55:L55"/>
    <mergeCell ref="J56:L56"/>
    <mergeCell ref="J57:L57"/>
    <mergeCell ref="J47:L47"/>
    <mergeCell ref="J48:L48"/>
    <mergeCell ref="J49:L49"/>
    <mergeCell ref="J51:L51"/>
    <mergeCell ref="J52:L52"/>
    <mergeCell ref="J53:L53"/>
  </mergeCells>
  <phoneticPr fontId="74" type="noConversion"/>
  <conditionalFormatting sqref="H7:I56">
    <cfRule type="cellIs" dxfId="10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2">
    <pageSetUpPr fitToPage="1"/>
  </sheetPr>
  <dimension ref="A1:P75"/>
  <sheetViews>
    <sheetView view="pageBreakPreview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1302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1301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206</v>
      </c>
      <c r="C7" s="200" t="s">
        <v>36</v>
      </c>
      <c r="D7" s="200" t="s">
        <v>207</v>
      </c>
      <c r="E7" s="201">
        <v>693300</v>
      </c>
      <c r="F7" s="213">
        <v>8</v>
      </c>
      <c r="G7" s="201">
        <f>42*60*8</f>
        <v>20160</v>
      </c>
      <c r="H7" s="201">
        <v>17000</v>
      </c>
      <c r="I7" s="393" t="s">
        <v>1328</v>
      </c>
      <c r="J7" s="706" t="s">
        <v>1306</v>
      </c>
      <c r="K7" s="704"/>
      <c r="L7" s="705"/>
      <c r="M7" s="192"/>
      <c r="N7" s="192"/>
      <c r="O7" s="193"/>
      <c r="P7" s="193"/>
    </row>
    <row r="8" spans="1:16" s="191" customFormat="1" ht="31.5" customHeight="1">
      <c r="A8" s="199">
        <v>2</v>
      </c>
      <c r="B8" s="200" t="s">
        <v>215</v>
      </c>
      <c r="C8" s="200" t="s">
        <v>216</v>
      </c>
      <c r="D8" s="200" t="s">
        <v>217</v>
      </c>
      <c r="E8" s="201" t="s">
        <v>1287</v>
      </c>
      <c r="F8" s="213">
        <v>8</v>
      </c>
      <c r="G8" s="201">
        <f>42*60*8</f>
        <v>20160</v>
      </c>
      <c r="H8" s="201">
        <v>17500</v>
      </c>
      <c r="I8" s="393" t="s">
        <v>1329</v>
      </c>
      <c r="J8" s="706" t="s">
        <v>1340</v>
      </c>
      <c r="K8" s="704"/>
      <c r="L8" s="705"/>
      <c r="M8" s="192"/>
      <c r="N8" s="192"/>
      <c r="O8" s="193"/>
      <c r="P8" s="193"/>
    </row>
    <row r="9" spans="1:16" s="191" customFormat="1" ht="31.5" customHeight="1">
      <c r="A9" s="199">
        <v>2</v>
      </c>
      <c r="B9" s="200" t="s">
        <v>92</v>
      </c>
      <c r="C9" s="200" t="s">
        <v>93</v>
      </c>
      <c r="D9" s="200" t="s">
        <v>94</v>
      </c>
      <c r="E9" s="201">
        <v>50000</v>
      </c>
      <c r="F9" s="213">
        <v>8</v>
      </c>
      <c r="G9" s="201">
        <f>42*60*10</f>
        <v>25200</v>
      </c>
      <c r="H9" s="201"/>
      <c r="I9" s="393" t="s">
        <v>1329</v>
      </c>
      <c r="J9" s="706"/>
      <c r="K9" s="704"/>
      <c r="L9" s="705"/>
      <c r="M9" s="192"/>
      <c r="N9" s="192"/>
      <c r="O9" s="193"/>
      <c r="P9" s="193"/>
    </row>
    <row r="10" spans="1:16" s="191" customFormat="1" ht="31.5" customHeight="1">
      <c r="A10" s="199">
        <v>3</v>
      </c>
      <c r="B10" s="200" t="s">
        <v>151</v>
      </c>
      <c r="C10" s="200" t="s">
        <v>152</v>
      </c>
      <c r="D10" s="200" t="s">
        <v>210</v>
      </c>
      <c r="E10" s="201">
        <v>1117200</v>
      </c>
      <c r="F10" s="213">
        <v>8</v>
      </c>
      <c r="G10" s="201">
        <f>45*60*8</f>
        <v>21600</v>
      </c>
      <c r="H10" s="201">
        <v>21000</v>
      </c>
      <c r="I10" s="393" t="s">
        <v>1330</v>
      </c>
      <c r="J10" s="706" t="s">
        <v>1307</v>
      </c>
      <c r="K10" s="704"/>
      <c r="L10" s="705"/>
      <c r="M10" s="192"/>
      <c r="N10" s="192"/>
      <c r="O10" s="193"/>
      <c r="P10" s="193"/>
    </row>
    <row r="11" spans="1:16" s="195" customFormat="1" ht="31.5" customHeight="1">
      <c r="A11" s="202">
        <v>4</v>
      </c>
      <c r="B11" s="203" t="s">
        <v>90</v>
      </c>
      <c r="C11" s="203" t="s">
        <v>91</v>
      </c>
      <c r="D11" s="203" t="s">
        <v>205</v>
      </c>
      <c r="E11" s="203">
        <v>800000</v>
      </c>
      <c r="F11" s="214">
        <v>8</v>
      </c>
      <c r="G11" s="203">
        <f>70*60*8</f>
        <v>33600</v>
      </c>
      <c r="H11" s="201">
        <v>7000</v>
      </c>
      <c r="I11" s="393" t="s">
        <v>1330</v>
      </c>
      <c r="J11" s="706" t="s">
        <v>1308</v>
      </c>
      <c r="K11" s="704"/>
      <c r="L11" s="705"/>
      <c r="M11" s="194"/>
      <c r="N11" s="192"/>
      <c r="O11" s="193"/>
      <c r="P11" s="193"/>
    </row>
    <row r="12" spans="1:16" s="195" customFormat="1" ht="31.5" customHeight="1">
      <c r="A12" s="202">
        <v>4</v>
      </c>
      <c r="B12" s="203" t="s">
        <v>143</v>
      </c>
      <c r="C12" s="204" t="s">
        <v>38</v>
      </c>
      <c r="D12" s="203" t="s">
        <v>50</v>
      </c>
      <c r="E12" s="203">
        <v>1740600</v>
      </c>
      <c r="F12" s="214">
        <v>8</v>
      </c>
      <c r="G12" s="203">
        <f>45*60*8</f>
        <v>21600</v>
      </c>
      <c r="H12" s="201"/>
      <c r="I12" s="393" t="s">
        <v>1330</v>
      </c>
      <c r="J12" s="706"/>
      <c r="K12" s="704"/>
      <c r="L12" s="705"/>
      <c r="M12" s="194"/>
      <c r="N12" s="192"/>
      <c r="O12" s="193"/>
      <c r="P12" s="193"/>
    </row>
    <row r="13" spans="1:16" s="195" customFormat="1" ht="31.5" customHeight="1">
      <c r="A13" s="202">
        <v>5</v>
      </c>
      <c r="B13" s="203" t="s">
        <v>159</v>
      </c>
      <c r="C13" s="204" t="s">
        <v>160</v>
      </c>
      <c r="D13" s="203" t="s">
        <v>1290</v>
      </c>
      <c r="E13" s="203">
        <v>56100</v>
      </c>
      <c r="F13" s="214">
        <v>10</v>
      </c>
      <c r="G13" s="203">
        <f>45*60*10</f>
        <v>27000</v>
      </c>
      <c r="H13" s="201">
        <v>23000</v>
      </c>
      <c r="I13" s="393" t="s">
        <v>1329</v>
      </c>
      <c r="J13" s="706" t="s">
        <v>1309</v>
      </c>
      <c r="K13" s="704"/>
      <c r="L13" s="705"/>
      <c r="M13" s="194"/>
      <c r="N13" s="192"/>
      <c r="O13" s="193"/>
      <c r="P13" s="193"/>
    </row>
    <row r="14" spans="1:16" s="195" customFormat="1" ht="31.5" customHeight="1">
      <c r="A14" s="202">
        <v>6</v>
      </c>
      <c r="B14" s="203" t="s">
        <v>144</v>
      </c>
      <c r="C14" s="204" t="s">
        <v>145</v>
      </c>
      <c r="D14" s="203" t="s">
        <v>146</v>
      </c>
      <c r="E14" s="203">
        <v>200000</v>
      </c>
      <c r="F14" s="214">
        <v>8</v>
      </c>
      <c r="G14" s="203">
        <f>42*60*8</f>
        <v>20160</v>
      </c>
      <c r="H14" s="201">
        <v>14900</v>
      </c>
      <c r="I14" s="393" t="s">
        <v>1329</v>
      </c>
      <c r="J14" s="706" t="s">
        <v>1310</v>
      </c>
      <c r="K14" s="704"/>
      <c r="L14" s="705"/>
      <c r="M14" s="194"/>
      <c r="N14" s="192"/>
      <c r="O14" s="193"/>
      <c r="P14" s="193"/>
    </row>
    <row r="15" spans="1:16" s="195" customFormat="1" ht="31.5" customHeight="1">
      <c r="A15" s="199">
        <v>6</v>
      </c>
      <c r="B15" s="200" t="s">
        <v>139</v>
      </c>
      <c r="C15" s="200" t="s">
        <v>140</v>
      </c>
      <c r="D15" s="200" t="s">
        <v>142</v>
      </c>
      <c r="E15" s="201">
        <v>610000</v>
      </c>
      <c r="F15" s="213">
        <v>8</v>
      </c>
      <c r="G15" s="201">
        <f>42*60*8</f>
        <v>20160</v>
      </c>
      <c r="H15" s="201"/>
      <c r="I15" s="393" t="s">
        <v>1329</v>
      </c>
      <c r="J15" s="706"/>
      <c r="K15" s="704"/>
      <c r="L15" s="705"/>
      <c r="M15" s="194"/>
      <c r="N15" s="192"/>
      <c r="O15" s="193"/>
      <c r="P15" s="193"/>
    </row>
    <row r="16" spans="1:16" s="195" customFormat="1" ht="31.5" customHeight="1">
      <c r="A16" s="202">
        <v>7</v>
      </c>
      <c r="B16" s="203" t="s">
        <v>171</v>
      </c>
      <c r="C16" s="204" t="s">
        <v>172</v>
      </c>
      <c r="D16" s="203" t="s">
        <v>177</v>
      </c>
      <c r="E16" s="203">
        <v>1291000</v>
      </c>
      <c r="F16" s="214">
        <v>8</v>
      </c>
      <c r="G16" s="203">
        <f>138*60*8</f>
        <v>66240</v>
      </c>
      <c r="H16" s="201">
        <v>47000</v>
      </c>
      <c r="I16" s="393" t="s">
        <v>1331</v>
      </c>
      <c r="J16" s="706" t="s">
        <v>1311</v>
      </c>
      <c r="K16" s="704"/>
      <c r="L16" s="705"/>
      <c r="M16" s="194"/>
      <c r="N16" s="192"/>
      <c r="O16" s="193"/>
      <c r="P16" s="193"/>
    </row>
    <row r="17" spans="1:16" s="195" customFormat="1" ht="31.5" customHeight="1">
      <c r="A17" s="202" t="s">
        <v>66</v>
      </c>
      <c r="B17" s="203" t="s">
        <v>27</v>
      </c>
      <c r="C17" s="204" t="s">
        <v>40</v>
      </c>
      <c r="D17" s="203" t="s">
        <v>52</v>
      </c>
      <c r="E17" s="203">
        <v>4501000</v>
      </c>
      <c r="F17" s="214">
        <v>8</v>
      </c>
      <c r="G17" s="203">
        <f>100*60*8</f>
        <v>48000</v>
      </c>
      <c r="H17" s="201">
        <v>35000</v>
      </c>
      <c r="I17" s="393" t="s">
        <v>1331</v>
      </c>
      <c r="J17" s="706" t="s">
        <v>1312</v>
      </c>
      <c r="K17" s="704"/>
      <c r="L17" s="705"/>
      <c r="M17" s="194"/>
      <c r="N17" s="192"/>
      <c r="O17" s="193"/>
      <c r="P17" s="193"/>
    </row>
    <row r="18" spans="1:16" s="191" customFormat="1" ht="31.5" customHeight="1">
      <c r="A18" s="202" t="s">
        <v>218</v>
      </c>
      <c r="B18" s="203" t="s">
        <v>223</v>
      </c>
      <c r="C18" s="204" t="s">
        <v>224</v>
      </c>
      <c r="D18" s="203" t="s">
        <v>225</v>
      </c>
      <c r="E18" s="203">
        <v>90600</v>
      </c>
      <c r="F18" s="214">
        <v>8</v>
      </c>
      <c r="G18" s="203">
        <f>50*60*8</f>
        <v>24000</v>
      </c>
      <c r="H18" s="201">
        <v>16600</v>
      </c>
      <c r="I18" s="393" t="s">
        <v>1332</v>
      </c>
      <c r="J18" s="706" t="s">
        <v>1313</v>
      </c>
      <c r="K18" s="704"/>
      <c r="L18" s="705"/>
      <c r="M18" s="192"/>
      <c r="N18" s="192"/>
      <c r="O18" s="193"/>
      <c r="P18" s="193"/>
    </row>
    <row r="19" spans="1:16" s="191" customFormat="1" ht="31.5" customHeight="1">
      <c r="A19" s="205">
        <v>8</v>
      </c>
      <c r="B19" s="204" t="s">
        <v>968</v>
      </c>
      <c r="C19" s="204" t="s">
        <v>152</v>
      </c>
      <c r="D19" s="204" t="s">
        <v>1299</v>
      </c>
      <c r="E19" s="203">
        <v>300000</v>
      </c>
      <c r="F19" s="214">
        <v>8</v>
      </c>
      <c r="G19" s="203">
        <f>50*60*8</f>
        <v>24000</v>
      </c>
      <c r="H19" s="201"/>
      <c r="I19" s="393" t="s">
        <v>1332</v>
      </c>
      <c r="J19" s="706" t="s">
        <v>1314</v>
      </c>
      <c r="K19" s="704"/>
      <c r="L19" s="705"/>
      <c r="M19" s="196"/>
      <c r="N19" s="192"/>
      <c r="O19" s="193"/>
      <c r="P19" s="193"/>
    </row>
    <row r="20" spans="1:16" s="191" customFormat="1" ht="31.5" customHeight="1">
      <c r="A20" s="205" t="s">
        <v>228</v>
      </c>
      <c r="B20" s="204" t="s">
        <v>28</v>
      </c>
      <c r="C20" s="204" t="s">
        <v>41</v>
      </c>
      <c r="D20" s="204" t="s">
        <v>53</v>
      </c>
      <c r="E20" s="203">
        <v>2519000</v>
      </c>
      <c r="F20" s="214">
        <v>8</v>
      </c>
      <c r="G20" s="203">
        <f>45*60*8</f>
        <v>21600</v>
      </c>
      <c r="H20" s="201"/>
      <c r="I20" s="393"/>
      <c r="J20" s="706" t="s">
        <v>1305</v>
      </c>
      <c r="K20" s="704"/>
      <c r="L20" s="705"/>
      <c r="M20" s="196"/>
      <c r="N20" s="192"/>
      <c r="O20" s="193"/>
      <c r="P20" s="193"/>
    </row>
    <row r="21" spans="1:16" s="191" customFormat="1" ht="31.5" customHeight="1">
      <c r="A21" s="205">
        <v>10</v>
      </c>
      <c r="B21" s="204" t="s">
        <v>229</v>
      </c>
      <c r="C21" s="204" t="s">
        <v>220</v>
      </c>
      <c r="D21" s="204" t="s">
        <v>230</v>
      </c>
      <c r="E21" s="203" t="e">
        <v>#N/A</v>
      </c>
      <c r="F21" s="214">
        <v>8</v>
      </c>
      <c r="G21" s="203">
        <f>50*60*8</f>
        <v>24000</v>
      </c>
      <c r="H21" s="201"/>
      <c r="I21" s="393"/>
      <c r="J21" s="706" t="s">
        <v>1305</v>
      </c>
      <c r="K21" s="704"/>
      <c r="L21" s="705"/>
      <c r="M21" s="196"/>
      <c r="N21" s="192"/>
      <c r="O21" s="193"/>
      <c r="P21" s="193"/>
    </row>
    <row r="22" spans="1:16" s="191" customFormat="1" ht="31.5" customHeight="1">
      <c r="A22" s="205">
        <v>10</v>
      </c>
      <c r="B22" s="204" t="s">
        <v>248</v>
      </c>
      <c r="C22" s="204" t="s">
        <v>249</v>
      </c>
      <c r="D22" s="204" t="s">
        <v>105</v>
      </c>
      <c r="E22" s="203">
        <v>300000</v>
      </c>
      <c r="F22" s="214">
        <v>8</v>
      </c>
      <c r="G22" s="203">
        <f>50*60*8</f>
        <v>24000</v>
      </c>
      <c r="H22" s="201"/>
      <c r="I22" s="393"/>
      <c r="J22" s="706" t="s">
        <v>1305</v>
      </c>
      <c r="K22" s="704"/>
      <c r="L22" s="705"/>
      <c r="M22" s="196"/>
      <c r="N22" s="192"/>
      <c r="O22" s="193"/>
      <c r="P22" s="193"/>
    </row>
    <row r="23" spans="1:16" s="191" customFormat="1" ht="31.5" customHeight="1">
      <c r="A23" s="205">
        <v>11</v>
      </c>
      <c r="B23" s="204" t="s">
        <v>232</v>
      </c>
      <c r="C23" s="204" t="s">
        <v>220</v>
      </c>
      <c r="D23" s="204" t="s">
        <v>233</v>
      </c>
      <c r="E23" s="203">
        <v>1000</v>
      </c>
      <c r="F23" s="214">
        <v>8</v>
      </c>
      <c r="G23" s="203">
        <f>110*60*8</f>
        <v>52800</v>
      </c>
      <c r="H23" s="201"/>
      <c r="I23" s="393"/>
      <c r="J23" s="706" t="s">
        <v>1305</v>
      </c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11</v>
      </c>
      <c r="B24" s="204" t="s">
        <v>234</v>
      </c>
      <c r="C24" s="204" t="s">
        <v>235</v>
      </c>
      <c r="D24" s="204" t="s">
        <v>236</v>
      </c>
      <c r="E24" s="203">
        <v>160000</v>
      </c>
      <c r="F24" s="214">
        <v>8</v>
      </c>
      <c r="G24" s="203">
        <f>110*60*8</f>
        <v>52800</v>
      </c>
      <c r="H24" s="201"/>
      <c r="I24" s="393"/>
      <c r="J24" s="706" t="s">
        <v>1305</v>
      </c>
      <c r="K24" s="704"/>
      <c r="L24" s="705"/>
      <c r="M24" s="196"/>
      <c r="N24" s="192"/>
      <c r="O24" s="193"/>
      <c r="P24" s="193"/>
    </row>
    <row r="25" spans="1:16" s="191" customFormat="1" ht="31.5" customHeight="1">
      <c r="A25" s="206">
        <v>12</v>
      </c>
      <c r="B25" s="204" t="s">
        <v>988</v>
      </c>
      <c r="C25" s="204" t="s">
        <v>990</v>
      </c>
      <c r="D25" s="204" t="s">
        <v>54</v>
      </c>
      <c r="E25" s="203">
        <v>690000</v>
      </c>
      <c r="F25" s="214">
        <v>8</v>
      </c>
      <c r="G25" s="203">
        <f>110*60*8</f>
        <v>52800</v>
      </c>
      <c r="H25" s="201">
        <v>10000</v>
      </c>
      <c r="I25" s="393" t="s">
        <v>1334</v>
      </c>
      <c r="J25" s="706" t="s">
        <v>1315</v>
      </c>
      <c r="K25" s="704"/>
      <c r="L25" s="705"/>
      <c r="M25" s="196"/>
      <c r="N25" s="192"/>
      <c r="O25" s="193"/>
      <c r="P25" s="193"/>
    </row>
    <row r="26" spans="1:16" s="191" customFormat="1" ht="31.5" customHeight="1">
      <c r="A26" s="206">
        <v>13</v>
      </c>
      <c r="B26" s="204" t="s">
        <v>87</v>
      </c>
      <c r="C26" s="204" t="s">
        <v>81</v>
      </c>
      <c r="D26" s="204" t="s">
        <v>54</v>
      </c>
      <c r="E26" s="203">
        <v>396000</v>
      </c>
      <c r="F26" s="214">
        <v>8</v>
      </c>
      <c r="G26" s="203">
        <f>120*60*8</f>
        <v>57600</v>
      </c>
      <c r="H26" s="201">
        <v>50000</v>
      </c>
      <c r="I26" s="393" t="s">
        <v>1334</v>
      </c>
      <c r="J26" s="706" t="s">
        <v>1316</v>
      </c>
      <c r="K26" s="704"/>
      <c r="L26" s="705"/>
      <c r="M26" s="196"/>
      <c r="N26" s="192"/>
      <c r="O26" s="193"/>
      <c r="P26" s="193"/>
    </row>
    <row r="27" spans="1:16" s="191" customFormat="1" ht="31.5" customHeight="1">
      <c r="A27" s="206">
        <v>14</v>
      </c>
      <c r="B27" s="204" t="s">
        <v>29</v>
      </c>
      <c r="C27" s="204" t="s">
        <v>42</v>
      </c>
      <c r="D27" s="204" t="s">
        <v>54</v>
      </c>
      <c r="E27" s="203">
        <v>394000</v>
      </c>
      <c r="F27" s="214">
        <v>8</v>
      </c>
      <c r="G27" s="203">
        <f>110*60*8</f>
        <v>52800</v>
      </c>
      <c r="H27" s="201">
        <v>55000</v>
      </c>
      <c r="I27" s="393" t="s">
        <v>1334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5">
        <v>15</v>
      </c>
      <c r="B28" s="204" t="s">
        <v>162</v>
      </c>
      <c r="C28" s="204" t="s">
        <v>163</v>
      </c>
      <c r="D28" s="204" t="s">
        <v>56</v>
      </c>
      <c r="E28" s="203">
        <v>3226400</v>
      </c>
      <c r="F28" s="214">
        <v>9</v>
      </c>
      <c r="G28" s="203">
        <f t="shared" ref="G28:G34" si="0">180*60*9</f>
        <v>97200</v>
      </c>
      <c r="H28" s="201">
        <v>96400</v>
      </c>
      <c r="I28" s="393" t="s">
        <v>1335</v>
      </c>
      <c r="J28" s="706"/>
      <c r="K28" s="704"/>
      <c r="L28" s="705"/>
      <c r="M28" s="196"/>
      <c r="N28" s="192"/>
      <c r="O28" s="193"/>
      <c r="P28" s="193"/>
    </row>
    <row r="29" spans="1:16" s="191" customFormat="1" ht="31.5" customHeight="1">
      <c r="A29" s="206">
        <v>16</v>
      </c>
      <c r="B29" s="204" t="s">
        <v>164</v>
      </c>
      <c r="C29" s="204" t="s">
        <v>165</v>
      </c>
      <c r="D29" s="204" t="s">
        <v>56</v>
      </c>
      <c r="E29" s="203">
        <v>4495100</v>
      </c>
      <c r="F29" s="214">
        <v>9</v>
      </c>
      <c r="G29" s="203">
        <f t="shared" si="0"/>
        <v>97200</v>
      </c>
      <c r="H29" s="201">
        <v>96200</v>
      </c>
      <c r="I29" s="393" t="s">
        <v>1335</v>
      </c>
      <c r="J29" s="706"/>
      <c r="K29" s="704"/>
      <c r="L29" s="705"/>
      <c r="M29" s="196"/>
      <c r="N29" s="192"/>
      <c r="O29" s="193"/>
      <c r="P29" s="193"/>
    </row>
    <row r="30" spans="1:16" s="191" customFormat="1" ht="31.5" customHeight="1">
      <c r="A30" s="206" t="s">
        <v>261</v>
      </c>
      <c r="B30" s="204" t="s">
        <v>149</v>
      </c>
      <c r="C30" s="204" t="s">
        <v>150</v>
      </c>
      <c r="D30" s="204" t="s">
        <v>56</v>
      </c>
      <c r="E30" s="203">
        <v>6072300</v>
      </c>
      <c r="F30" s="214">
        <v>9</v>
      </c>
      <c r="G30" s="203">
        <f t="shared" si="0"/>
        <v>97200</v>
      </c>
      <c r="H30" s="201">
        <v>96000</v>
      </c>
      <c r="I30" s="393" t="s">
        <v>1335</v>
      </c>
      <c r="J30" s="706"/>
      <c r="K30" s="704"/>
      <c r="L30" s="705"/>
      <c r="M30" s="196"/>
      <c r="N30" s="192"/>
      <c r="O30" s="193"/>
      <c r="P30" s="193"/>
    </row>
    <row r="31" spans="1:16" s="191" customFormat="1" ht="31.5" customHeight="1">
      <c r="A31" s="205">
        <v>18</v>
      </c>
      <c r="B31" s="204" t="s">
        <v>149</v>
      </c>
      <c r="C31" s="204" t="s">
        <v>150</v>
      </c>
      <c r="D31" s="204" t="s">
        <v>56</v>
      </c>
      <c r="E31" s="203">
        <v>6072300</v>
      </c>
      <c r="F31" s="214">
        <v>9</v>
      </c>
      <c r="G31" s="203">
        <f t="shared" si="0"/>
        <v>97200</v>
      </c>
      <c r="H31" s="201">
        <v>96200</v>
      </c>
      <c r="I31" s="393" t="s">
        <v>1335</v>
      </c>
      <c r="J31" s="706"/>
      <c r="K31" s="704"/>
      <c r="L31" s="705"/>
      <c r="M31" s="196"/>
      <c r="N31" s="192"/>
      <c r="O31" s="193"/>
      <c r="P31" s="193"/>
    </row>
    <row r="32" spans="1:16" s="191" customFormat="1" ht="31.5" customHeight="1">
      <c r="A32" s="205">
        <v>19</v>
      </c>
      <c r="B32" s="204" t="s">
        <v>176</v>
      </c>
      <c r="C32" s="204" t="s">
        <v>148</v>
      </c>
      <c r="D32" s="204" t="s">
        <v>153</v>
      </c>
      <c r="E32" s="203">
        <v>2308300</v>
      </c>
      <c r="F32" s="214">
        <v>9</v>
      </c>
      <c r="G32" s="203">
        <f t="shared" si="0"/>
        <v>97200</v>
      </c>
      <c r="H32" s="201">
        <v>96400</v>
      </c>
      <c r="I32" s="393" t="s">
        <v>1335</v>
      </c>
      <c r="J32" s="706"/>
      <c r="K32" s="704"/>
      <c r="L32" s="705"/>
      <c r="M32" s="196"/>
      <c r="N32" s="192"/>
      <c r="O32" s="193"/>
      <c r="P32" s="193"/>
    </row>
    <row r="33" spans="1:16" s="191" customFormat="1" ht="31.5" customHeight="1">
      <c r="A33" s="206">
        <v>20</v>
      </c>
      <c r="B33" s="204" t="s">
        <v>214</v>
      </c>
      <c r="C33" s="204" t="s">
        <v>46</v>
      </c>
      <c r="D33" s="204" t="s">
        <v>56</v>
      </c>
      <c r="E33" s="203">
        <v>1063300</v>
      </c>
      <c r="F33" s="214">
        <v>9</v>
      </c>
      <c r="G33" s="203">
        <f t="shared" si="0"/>
        <v>97200</v>
      </c>
      <c r="H33" s="201">
        <v>96000</v>
      </c>
      <c r="I33" s="393" t="s">
        <v>1336</v>
      </c>
      <c r="J33" s="706"/>
      <c r="K33" s="704"/>
      <c r="L33" s="705"/>
      <c r="M33" s="196"/>
      <c r="N33" s="192"/>
      <c r="O33" s="193"/>
      <c r="P33" s="193"/>
    </row>
    <row r="34" spans="1:16" s="191" customFormat="1" ht="31.5" customHeight="1">
      <c r="A34" s="205">
        <v>25</v>
      </c>
      <c r="B34" s="204" t="s">
        <v>80</v>
      </c>
      <c r="C34" s="204" t="s">
        <v>81</v>
      </c>
      <c r="D34" s="204" t="s">
        <v>60</v>
      </c>
      <c r="E34" s="203">
        <v>2638600</v>
      </c>
      <c r="F34" s="214">
        <v>9</v>
      </c>
      <c r="G34" s="203">
        <f t="shared" si="0"/>
        <v>97200</v>
      </c>
      <c r="H34" s="201">
        <v>92200</v>
      </c>
      <c r="I34" s="393" t="s">
        <v>1337</v>
      </c>
      <c r="J34" s="706" t="s">
        <v>1318</v>
      </c>
      <c r="K34" s="704"/>
      <c r="L34" s="705"/>
      <c r="M34" s="196"/>
      <c r="N34" s="192"/>
      <c r="O34" s="193"/>
      <c r="P34" s="193"/>
    </row>
    <row r="35" spans="1:16" s="191" customFormat="1" ht="31.5" customHeight="1">
      <c r="A35" s="205">
        <v>21</v>
      </c>
      <c r="B35" s="204" t="s">
        <v>162</v>
      </c>
      <c r="C35" s="204" t="s">
        <v>163</v>
      </c>
      <c r="D35" s="204" t="s">
        <v>56</v>
      </c>
      <c r="E35" s="203">
        <v>3226400</v>
      </c>
      <c r="F35" s="214">
        <v>8</v>
      </c>
      <c r="G35" s="203">
        <f>150*60*8</f>
        <v>72000</v>
      </c>
      <c r="H35" s="201"/>
      <c r="I35" s="393" t="s">
        <v>1336</v>
      </c>
      <c r="J35" s="706" t="s">
        <v>1304</v>
      </c>
      <c r="K35" s="704"/>
      <c r="L35" s="705"/>
      <c r="M35" s="196"/>
      <c r="N35" s="192"/>
      <c r="O35" s="193"/>
      <c r="P35" s="193"/>
    </row>
    <row r="36" spans="1:16" s="191" customFormat="1" ht="31.5" customHeight="1">
      <c r="A36" s="205">
        <v>22</v>
      </c>
      <c r="B36" s="204" t="s">
        <v>32</v>
      </c>
      <c r="C36" s="204" t="s">
        <v>45</v>
      </c>
      <c r="D36" s="204" t="s">
        <v>58</v>
      </c>
      <c r="E36" s="203">
        <v>48400</v>
      </c>
      <c r="F36" s="214">
        <v>8</v>
      </c>
      <c r="G36" s="203">
        <f>150*60*8</f>
        <v>72000</v>
      </c>
      <c r="H36" s="201">
        <v>51600</v>
      </c>
      <c r="I36" s="393" t="s">
        <v>1336</v>
      </c>
      <c r="J36" s="706" t="s">
        <v>1317</v>
      </c>
      <c r="K36" s="704"/>
      <c r="L36" s="705"/>
      <c r="M36" s="196"/>
      <c r="N36" s="192"/>
      <c r="O36" s="193"/>
      <c r="P36" s="193"/>
    </row>
    <row r="37" spans="1:16" s="191" customFormat="1" ht="31.5" customHeight="1">
      <c r="A37" s="205">
        <v>22</v>
      </c>
      <c r="B37" s="204" t="s">
        <v>637</v>
      </c>
      <c r="C37" s="204" t="s">
        <v>81</v>
      </c>
      <c r="D37" s="204" t="s">
        <v>56</v>
      </c>
      <c r="E37" s="203">
        <v>1200000</v>
      </c>
      <c r="F37" s="214">
        <v>8</v>
      </c>
      <c r="G37" s="203">
        <f t="shared" ref="G37:G45" si="1">180*60*8</f>
        <v>86400</v>
      </c>
      <c r="H37" s="201"/>
      <c r="I37" s="393" t="s">
        <v>1336</v>
      </c>
      <c r="J37" s="706"/>
      <c r="K37" s="704"/>
      <c r="L37" s="705"/>
      <c r="M37" s="196"/>
      <c r="N37" s="192"/>
      <c r="O37" s="193"/>
      <c r="P37" s="193"/>
    </row>
    <row r="38" spans="1:16" s="191" customFormat="1" ht="31.5" customHeight="1">
      <c r="A38" s="206">
        <v>23</v>
      </c>
      <c r="B38" s="204" t="s">
        <v>222</v>
      </c>
      <c r="C38" s="204" t="s">
        <v>201</v>
      </c>
      <c r="D38" s="204" t="s">
        <v>59</v>
      </c>
      <c r="E38" s="203">
        <v>402700</v>
      </c>
      <c r="F38" s="214">
        <v>8</v>
      </c>
      <c r="G38" s="203">
        <f t="shared" si="1"/>
        <v>86400</v>
      </c>
      <c r="H38" s="201">
        <v>87000</v>
      </c>
      <c r="I38" s="393" t="s">
        <v>1337</v>
      </c>
      <c r="J38" s="706" t="s">
        <v>1318</v>
      </c>
      <c r="K38" s="704"/>
      <c r="L38" s="705"/>
      <c r="M38" s="196"/>
      <c r="N38" s="192"/>
      <c r="O38" s="193"/>
      <c r="P38" s="193"/>
    </row>
    <row r="39" spans="1:16" s="191" customFormat="1" ht="31.5" customHeight="1">
      <c r="A39" s="205">
        <v>24</v>
      </c>
      <c r="B39" s="204" t="s">
        <v>149</v>
      </c>
      <c r="C39" s="204" t="s">
        <v>150</v>
      </c>
      <c r="D39" s="204" t="s">
        <v>56</v>
      </c>
      <c r="E39" s="203">
        <v>6072300</v>
      </c>
      <c r="F39" s="214">
        <v>8</v>
      </c>
      <c r="G39" s="203">
        <f t="shared" si="1"/>
        <v>86400</v>
      </c>
      <c r="H39" s="201">
        <v>83700</v>
      </c>
      <c r="I39" s="393" t="s">
        <v>1337</v>
      </c>
      <c r="J39" s="706" t="s">
        <v>1318</v>
      </c>
      <c r="K39" s="704"/>
      <c r="L39" s="705"/>
      <c r="M39" s="196"/>
      <c r="N39" s="192"/>
      <c r="O39" s="193"/>
      <c r="P39" s="193"/>
    </row>
    <row r="40" spans="1:16" s="191" customFormat="1" ht="31.5" customHeight="1">
      <c r="A40" s="205">
        <v>26</v>
      </c>
      <c r="B40" s="204" t="s">
        <v>190</v>
      </c>
      <c r="C40" s="204" t="s">
        <v>191</v>
      </c>
      <c r="D40" s="204" t="s">
        <v>86</v>
      </c>
      <c r="E40" s="203">
        <v>896900</v>
      </c>
      <c r="F40" s="214">
        <v>8</v>
      </c>
      <c r="G40" s="203">
        <f t="shared" si="1"/>
        <v>86400</v>
      </c>
      <c r="H40" s="201">
        <v>86000</v>
      </c>
      <c r="I40" s="393" t="s">
        <v>1337</v>
      </c>
      <c r="J40" s="706" t="s">
        <v>1318</v>
      </c>
      <c r="K40" s="704"/>
      <c r="L40" s="705"/>
      <c r="M40" s="196"/>
      <c r="N40" s="192"/>
      <c r="O40" s="193"/>
      <c r="P40" s="193"/>
    </row>
    <row r="41" spans="1:16" s="191" customFormat="1" ht="31.5" customHeight="1">
      <c r="A41" s="205">
        <v>27</v>
      </c>
      <c r="B41" s="204" t="s">
        <v>176</v>
      </c>
      <c r="C41" s="204" t="s">
        <v>148</v>
      </c>
      <c r="D41" s="204" t="s">
        <v>153</v>
      </c>
      <c r="E41" s="203">
        <v>2308300</v>
      </c>
      <c r="F41" s="214">
        <v>8</v>
      </c>
      <c r="G41" s="203">
        <f t="shared" si="1"/>
        <v>86400</v>
      </c>
      <c r="H41" s="201">
        <v>88000</v>
      </c>
      <c r="I41" s="393" t="s">
        <v>1337</v>
      </c>
      <c r="J41" s="706"/>
      <c r="K41" s="704"/>
      <c r="L41" s="705"/>
      <c r="M41" s="196"/>
      <c r="N41" s="192"/>
      <c r="O41" s="193"/>
      <c r="P41" s="193"/>
    </row>
    <row r="42" spans="1:16" s="191" customFormat="1" ht="31.5" customHeight="1">
      <c r="A42" s="206">
        <v>28</v>
      </c>
      <c r="B42" s="204" t="s">
        <v>219</v>
      </c>
      <c r="C42" s="204" t="s">
        <v>220</v>
      </c>
      <c r="D42" s="204" t="s">
        <v>183</v>
      </c>
      <c r="E42" s="203">
        <v>38600</v>
      </c>
      <c r="F42" s="214">
        <v>8</v>
      </c>
      <c r="G42" s="203">
        <f t="shared" si="1"/>
        <v>86400</v>
      </c>
      <c r="H42" s="201">
        <v>84500</v>
      </c>
      <c r="I42" s="393" t="s">
        <v>1336</v>
      </c>
      <c r="J42" s="706" t="s">
        <v>1319</v>
      </c>
      <c r="K42" s="704"/>
      <c r="L42" s="705"/>
      <c r="M42" s="196"/>
      <c r="N42" s="192"/>
      <c r="O42" s="193"/>
      <c r="P42" s="193"/>
    </row>
    <row r="43" spans="1:16" s="191" customFormat="1" ht="31.5" customHeight="1">
      <c r="A43" s="206">
        <v>29</v>
      </c>
      <c r="B43" s="204" t="s">
        <v>128</v>
      </c>
      <c r="C43" s="204" t="s">
        <v>129</v>
      </c>
      <c r="D43" s="204" t="s">
        <v>59</v>
      </c>
      <c r="E43" s="203">
        <v>1105000</v>
      </c>
      <c r="F43" s="214">
        <v>8</v>
      </c>
      <c r="G43" s="203">
        <f t="shared" si="1"/>
        <v>86400</v>
      </c>
      <c r="H43" s="201">
        <v>84700</v>
      </c>
      <c r="I43" s="393" t="s">
        <v>1336</v>
      </c>
      <c r="J43" s="706"/>
      <c r="K43" s="704"/>
      <c r="L43" s="705"/>
      <c r="M43" s="196"/>
      <c r="N43" s="192"/>
      <c r="O43" s="193"/>
      <c r="P43" s="193"/>
    </row>
    <row r="44" spans="1:16" s="191" customFormat="1" ht="31.5" customHeight="1">
      <c r="A44" s="206">
        <v>30</v>
      </c>
      <c r="B44" s="204" t="s">
        <v>128</v>
      </c>
      <c r="C44" s="204" t="s">
        <v>129</v>
      </c>
      <c r="D44" s="204" t="s">
        <v>59</v>
      </c>
      <c r="E44" s="203">
        <v>1105000</v>
      </c>
      <c r="F44" s="214">
        <v>8</v>
      </c>
      <c r="G44" s="203">
        <f t="shared" si="1"/>
        <v>86400</v>
      </c>
      <c r="H44" s="201">
        <v>68200</v>
      </c>
      <c r="I44" s="393" t="s">
        <v>1338</v>
      </c>
      <c r="J44" s="706" t="s">
        <v>1320</v>
      </c>
      <c r="K44" s="704"/>
      <c r="L44" s="705"/>
      <c r="M44" s="196"/>
      <c r="N44" s="192"/>
      <c r="O44" s="193"/>
      <c r="P44" s="193"/>
    </row>
    <row r="45" spans="1:16" s="191" customFormat="1" ht="31.5" customHeight="1">
      <c r="A45" s="205">
        <v>31</v>
      </c>
      <c r="B45" s="204" t="s">
        <v>203</v>
      </c>
      <c r="C45" s="204" t="s">
        <v>204</v>
      </c>
      <c r="D45" s="204" t="s">
        <v>57</v>
      </c>
      <c r="E45" s="203">
        <v>742700</v>
      </c>
      <c r="F45" s="214">
        <v>8</v>
      </c>
      <c r="G45" s="203">
        <f t="shared" si="1"/>
        <v>86400</v>
      </c>
      <c r="H45" s="201">
        <v>78200</v>
      </c>
      <c r="I45" s="393" t="s">
        <v>1338</v>
      </c>
      <c r="J45" s="706" t="s">
        <v>1321</v>
      </c>
      <c r="K45" s="704"/>
      <c r="L45" s="705"/>
      <c r="M45" s="196"/>
      <c r="N45" s="192"/>
      <c r="O45" s="193"/>
      <c r="P45" s="193"/>
    </row>
    <row r="46" spans="1:16" s="191" customFormat="1" ht="31.5" customHeight="1">
      <c r="A46" s="205">
        <v>50</v>
      </c>
      <c r="B46" s="204" t="s">
        <v>181</v>
      </c>
      <c r="C46" s="208" t="s">
        <v>182</v>
      </c>
      <c r="D46" s="208" t="s">
        <v>183</v>
      </c>
      <c r="E46" s="203">
        <v>789000</v>
      </c>
      <c r="F46" s="214">
        <v>9</v>
      </c>
      <c r="G46" s="203">
        <f>180*60*9</f>
        <v>97200</v>
      </c>
      <c r="H46" s="201">
        <v>90500</v>
      </c>
      <c r="I46" s="393" t="s">
        <v>1338</v>
      </c>
      <c r="J46" s="706" t="s">
        <v>1322</v>
      </c>
      <c r="K46" s="704"/>
      <c r="L46" s="705"/>
      <c r="M46" s="196"/>
      <c r="N46" s="192"/>
      <c r="O46" s="193"/>
      <c r="P46" s="193"/>
    </row>
    <row r="47" spans="1:16" s="191" customFormat="1" ht="31.5" customHeight="1">
      <c r="A47" s="206">
        <v>54</v>
      </c>
      <c r="B47" s="204" t="s">
        <v>35</v>
      </c>
      <c r="C47" s="208" t="s">
        <v>47</v>
      </c>
      <c r="D47" s="208" t="s">
        <v>61</v>
      </c>
      <c r="E47" s="203">
        <v>2000000</v>
      </c>
      <c r="F47" s="214">
        <v>9</v>
      </c>
      <c r="G47" s="203">
        <f>180*60*9</f>
        <v>97200</v>
      </c>
      <c r="H47" s="201">
        <v>95100</v>
      </c>
      <c r="I47" s="393" t="s">
        <v>1338</v>
      </c>
      <c r="J47" s="706" t="s">
        <v>1325</v>
      </c>
      <c r="K47" s="704"/>
      <c r="L47" s="705"/>
      <c r="M47" s="196"/>
      <c r="N47" s="192"/>
      <c r="O47" s="193"/>
      <c r="P47" s="193"/>
    </row>
    <row r="48" spans="1:16" s="191" customFormat="1" ht="31.5" customHeight="1">
      <c r="A48" s="209">
        <v>51</v>
      </c>
      <c r="B48" s="204" t="s">
        <v>176</v>
      </c>
      <c r="C48" s="204" t="s">
        <v>148</v>
      </c>
      <c r="D48" s="204" t="s">
        <v>153</v>
      </c>
      <c r="E48" s="203">
        <v>2308300</v>
      </c>
      <c r="F48" s="214">
        <v>8</v>
      </c>
      <c r="G48" s="203">
        <f>180*60*8</f>
        <v>86400</v>
      </c>
      <c r="H48" s="201"/>
      <c r="I48" s="393"/>
      <c r="J48" s="706" t="s">
        <v>1303</v>
      </c>
      <c r="K48" s="704"/>
      <c r="L48" s="705"/>
      <c r="M48" s="196"/>
      <c r="N48" s="192"/>
      <c r="O48" s="193"/>
      <c r="P48" s="193"/>
    </row>
    <row r="49" spans="1:16" s="191" customFormat="1" ht="31.5" customHeight="1">
      <c r="A49" s="205">
        <v>52</v>
      </c>
      <c r="B49" s="204" t="s">
        <v>181</v>
      </c>
      <c r="C49" s="208" t="s">
        <v>182</v>
      </c>
      <c r="D49" s="208" t="s">
        <v>183</v>
      </c>
      <c r="E49" s="203">
        <v>789000</v>
      </c>
      <c r="F49" s="214">
        <v>8</v>
      </c>
      <c r="G49" s="203">
        <f>180*60*8</f>
        <v>86400</v>
      </c>
      <c r="H49" s="201">
        <v>46100</v>
      </c>
      <c r="I49" s="393" t="s">
        <v>1338</v>
      </c>
      <c r="J49" s="706" t="s">
        <v>1323</v>
      </c>
      <c r="K49" s="704"/>
      <c r="L49" s="705"/>
      <c r="M49" s="196"/>
      <c r="N49" s="192"/>
      <c r="O49" s="193"/>
      <c r="P49" s="193"/>
    </row>
    <row r="50" spans="1:16" s="191" customFormat="1" ht="31.5" customHeight="1">
      <c r="A50" s="209">
        <v>53</v>
      </c>
      <c r="B50" s="204" t="s">
        <v>208</v>
      </c>
      <c r="C50" s="204" t="s">
        <v>209</v>
      </c>
      <c r="D50" s="204" t="s">
        <v>194</v>
      </c>
      <c r="E50" s="203">
        <v>2367800</v>
      </c>
      <c r="F50" s="214">
        <v>8</v>
      </c>
      <c r="G50" s="203">
        <f>180*60*8</f>
        <v>86400</v>
      </c>
      <c r="H50" s="201">
        <v>87400</v>
      </c>
      <c r="I50" s="393" t="s">
        <v>1338</v>
      </c>
      <c r="J50" s="706" t="s">
        <v>1324</v>
      </c>
      <c r="K50" s="704"/>
      <c r="L50" s="705"/>
      <c r="M50" s="196"/>
      <c r="N50" s="192"/>
      <c r="O50" s="193"/>
      <c r="P50" s="193"/>
    </row>
    <row r="51" spans="1:16" s="191" customFormat="1" ht="31.5" customHeight="1">
      <c r="A51" s="205">
        <v>55</v>
      </c>
      <c r="B51" s="204" t="s">
        <v>254</v>
      </c>
      <c r="C51" s="208" t="s">
        <v>255</v>
      </c>
      <c r="D51" s="208" t="s">
        <v>61</v>
      </c>
      <c r="E51" s="203">
        <v>716400</v>
      </c>
      <c r="F51" s="214">
        <v>8</v>
      </c>
      <c r="G51" s="203">
        <f>180*60*8</f>
        <v>86400</v>
      </c>
      <c r="H51" s="201">
        <v>78800</v>
      </c>
      <c r="I51" s="393" t="s">
        <v>1338</v>
      </c>
      <c r="J51" s="706" t="s">
        <v>1326</v>
      </c>
      <c r="K51" s="704"/>
      <c r="L51" s="705"/>
      <c r="M51" s="196"/>
      <c r="N51" s="192"/>
      <c r="O51" s="193"/>
      <c r="P51" s="193"/>
    </row>
    <row r="52" spans="1:16" s="191" customFormat="1" ht="31.5" customHeight="1">
      <c r="A52" s="206" t="s">
        <v>251</v>
      </c>
      <c r="B52" s="210"/>
      <c r="C52" s="210"/>
      <c r="D52" s="210"/>
      <c r="E52" s="210"/>
      <c r="F52" s="210"/>
      <c r="G52" s="210"/>
      <c r="H52" s="207">
        <f>SUM(H25:H51)</f>
        <v>1894200</v>
      </c>
      <c r="I52" s="394"/>
      <c r="J52" s="706"/>
      <c r="K52" s="704"/>
      <c r="L52" s="705"/>
      <c r="M52" s="196"/>
      <c r="N52" s="192"/>
    </row>
    <row r="53" spans="1:16" s="191" customFormat="1" ht="15.75" customHeight="1">
      <c r="A53" s="197"/>
      <c r="B53" s="197"/>
      <c r="C53" s="197"/>
      <c r="D53" s="197"/>
      <c r="E53" s="198"/>
      <c r="F53" s="198"/>
      <c r="G53" s="198"/>
      <c r="H53" s="198"/>
      <c r="I53" s="198"/>
      <c r="J53" s="198"/>
      <c r="K53" s="198"/>
      <c r="O53" s="192"/>
    </row>
    <row r="54" spans="1:16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K54" s="198"/>
      <c r="O54" s="192"/>
    </row>
    <row r="55" spans="1:16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K55" s="198"/>
      <c r="O55" s="192"/>
    </row>
    <row r="56" spans="1:16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K56" s="198"/>
      <c r="O56" s="192"/>
    </row>
    <row r="57" spans="1:16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K57" s="198"/>
      <c r="O57" s="192"/>
    </row>
    <row r="58" spans="1:16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K58" s="198"/>
      <c r="O58" s="192"/>
    </row>
    <row r="59" spans="1:16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K59" s="198"/>
      <c r="O59" s="192"/>
    </row>
    <row r="60" spans="1:16" s="191" customFormat="1" ht="15.75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K60" s="198"/>
      <c r="O60" s="192"/>
    </row>
    <row r="61" spans="1:16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K61" s="198"/>
      <c r="O61" s="192"/>
    </row>
    <row r="62" spans="1:16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K62" s="198"/>
      <c r="O62" s="192"/>
    </row>
    <row r="63" spans="1:16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K63" s="198"/>
      <c r="O63" s="192"/>
    </row>
    <row r="64" spans="1:16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K64" s="198"/>
      <c r="O64" s="192"/>
    </row>
    <row r="65" spans="1:15" s="191" customFormat="1" ht="15.7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O65" s="192"/>
    </row>
    <row r="66" spans="1:15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1:15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</row>
    <row r="68" spans="1:15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</row>
    <row r="69" spans="1:15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</row>
    <row r="70" spans="1:15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</row>
    <row r="71" spans="1:15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</row>
    <row r="72" spans="1:15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</row>
    <row r="73" spans="1:15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</row>
    <row r="74" spans="1:15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</row>
    <row r="75" spans="1:15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</row>
  </sheetData>
  <mergeCells count="56">
    <mergeCell ref="J52:L52"/>
    <mergeCell ref="J50:L50"/>
    <mergeCell ref="J51:L51"/>
    <mergeCell ref="J41:L41"/>
    <mergeCell ref="J42:L42"/>
    <mergeCell ref="J43:L43"/>
    <mergeCell ref="J44:L44"/>
    <mergeCell ref="J45:L45"/>
    <mergeCell ref="J46:L46"/>
    <mergeCell ref="J49:L49"/>
    <mergeCell ref="J47:L47"/>
    <mergeCell ref="J48:L48"/>
    <mergeCell ref="J31:L31"/>
    <mergeCell ref="J28:L28"/>
    <mergeCell ref="J30:L30"/>
    <mergeCell ref="J40:L40"/>
    <mergeCell ref="J34:L34"/>
    <mergeCell ref="J37:L37"/>
    <mergeCell ref="J38:L38"/>
    <mergeCell ref="J39:L39"/>
    <mergeCell ref="J33:L33"/>
    <mergeCell ref="J32:L32"/>
    <mergeCell ref="J35:L35"/>
    <mergeCell ref="J36:L36"/>
    <mergeCell ref="J24:L24"/>
    <mergeCell ref="J25:L25"/>
    <mergeCell ref="J26:L26"/>
    <mergeCell ref="J27:L27"/>
    <mergeCell ref="J29:L29"/>
    <mergeCell ref="J22:L22"/>
    <mergeCell ref="J23:L23"/>
    <mergeCell ref="J19:L19"/>
    <mergeCell ref="J20:L20"/>
    <mergeCell ref="J21:L21"/>
    <mergeCell ref="J9:L9"/>
    <mergeCell ref="J10:L10"/>
    <mergeCell ref="J11:L11"/>
    <mergeCell ref="J17:L17"/>
    <mergeCell ref="J18:L18"/>
    <mergeCell ref="J14:L14"/>
    <mergeCell ref="J13:L13"/>
    <mergeCell ref="J15:L15"/>
    <mergeCell ref="J16:L16"/>
    <mergeCell ref="J12:L12"/>
    <mergeCell ref="A1:I3"/>
    <mergeCell ref="A4:B4"/>
    <mergeCell ref="A5:A6"/>
    <mergeCell ref="B5:B6"/>
    <mergeCell ref="C5:C6"/>
    <mergeCell ref="D5:D6"/>
    <mergeCell ref="J8:L8"/>
    <mergeCell ref="J2:J3"/>
    <mergeCell ref="K2:K3"/>
    <mergeCell ref="L2:L3"/>
    <mergeCell ref="J5:L6"/>
    <mergeCell ref="J7:L7"/>
  </mergeCells>
  <phoneticPr fontId="74" type="noConversion"/>
  <conditionalFormatting sqref="H7:I51">
    <cfRule type="cellIs" dxfId="9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3">
    <pageSetUpPr fitToPage="1"/>
  </sheetPr>
  <dimension ref="A1:O76"/>
  <sheetViews>
    <sheetView view="pageBreakPreview" topLeftCell="A19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10" width="13.42578125" style="189" customWidth="1"/>
    <col min="11" max="11" width="13.42578125" style="190" customWidth="1"/>
    <col min="12" max="12" width="10.42578125" style="190" bestFit="1" customWidth="1"/>
    <col min="13" max="13" width="10.42578125" style="190" customWidth="1"/>
    <col min="14" max="14" width="10.85546875" style="190" bestFit="1" customWidth="1"/>
    <col min="15" max="15" width="17" style="190" customWidth="1"/>
    <col min="16" max="16" width="3.42578125" style="190" customWidth="1"/>
    <col min="17" max="17" width="15.42578125" style="190" customWidth="1"/>
    <col min="18" max="44" width="3.42578125" style="190" customWidth="1"/>
    <col min="45" max="16384" width="9.140625" style="190"/>
  </cols>
  <sheetData>
    <row r="1" spans="1:15" ht="31.5" customHeight="1">
      <c r="A1" s="690" t="s">
        <v>6</v>
      </c>
      <c r="B1" s="691"/>
      <c r="C1" s="691"/>
      <c r="D1" s="691"/>
      <c r="E1" s="691"/>
      <c r="F1" s="691"/>
      <c r="G1" s="691"/>
      <c r="H1" s="692"/>
      <c r="I1" s="387" t="s">
        <v>5</v>
      </c>
      <c r="J1" s="387" t="s">
        <v>17</v>
      </c>
      <c r="K1" s="386" t="s">
        <v>0</v>
      </c>
    </row>
    <row r="2" spans="1:15" ht="31.5" customHeight="1">
      <c r="A2" s="693"/>
      <c r="B2" s="694"/>
      <c r="C2" s="694"/>
      <c r="D2" s="694"/>
      <c r="E2" s="694"/>
      <c r="F2" s="694"/>
      <c r="G2" s="694"/>
      <c r="H2" s="695"/>
      <c r="I2" s="696"/>
      <c r="J2" s="696"/>
      <c r="K2" s="697"/>
    </row>
    <row r="3" spans="1:15" ht="31.5" customHeight="1">
      <c r="A3" s="693"/>
      <c r="B3" s="694"/>
      <c r="C3" s="694"/>
      <c r="D3" s="694"/>
      <c r="E3" s="694"/>
      <c r="F3" s="694"/>
      <c r="G3" s="694"/>
      <c r="H3" s="695"/>
      <c r="I3" s="696"/>
      <c r="J3" s="696"/>
      <c r="K3" s="697"/>
    </row>
    <row r="4" spans="1:15" ht="20.25" customHeight="1">
      <c r="A4" s="698" t="s">
        <v>1291</v>
      </c>
      <c r="B4" s="699"/>
      <c r="C4" s="388"/>
      <c r="D4" s="388"/>
      <c r="E4" s="388"/>
      <c r="F4" s="388"/>
      <c r="G4" s="388"/>
      <c r="H4" s="389"/>
      <c r="I4" s="390"/>
      <c r="J4" s="390"/>
      <c r="K4" s="391"/>
    </row>
    <row r="5" spans="1:15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684" t="s">
        <v>264</v>
      </c>
      <c r="J5" s="685"/>
      <c r="K5" s="686"/>
    </row>
    <row r="6" spans="1:15" s="191" customFormat="1" ht="29.25" customHeight="1">
      <c r="A6" s="683"/>
      <c r="B6" s="683"/>
      <c r="C6" s="683"/>
      <c r="D6" s="683"/>
      <c r="E6" s="211" t="s">
        <v>1300</v>
      </c>
      <c r="F6" s="211" t="s">
        <v>263</v>
      </c>
      <c r="G6" s="211" t="s">
        <v>266</v>
      </c>
      <c r="H6" s="211" t="s">
        <v>265</v>
      </c>
      <c r="I6" s="687"/>
      <c r="J6" s="688"/>
      <c r="K6" s="689"/>
    </row>
    <row r="7" spans="1:15" s="191" customFormat="1" ht="25.5" customHeight="1">
      <c r="A7" s="199">
        <v>1</v>
      </c>
      <c r="B7" s="200" t="s">
        <v>206</v>
      </c>
      <c r="C7" s="200" t="s">
        <v>36</v>
      </c>
      <c r="D7" s="200" t="s">
        <v>207</v>
      </c>
      <c r="E7" s="201">
        <v>17500</v>
      </c>
      <c r="F7" s="213">
        <v>10.5</v>
      </c>
      <c r="G7" s="201">
        <f>42*60*10.5</f>
        <v>26460</v>
      </c>
      <c r="H7" s="201">
        <v>25000</v>
      </c>
      <c r="I7" s="706"/>
      <c r="J7" s="704"/>
      <c r="K7" s="705"/>
      <c r="L7" s="192"/>
      <c r="M7" s="192"/>
      <c r="N7" s="193"/>
      <c r="O7" s="193"/>
    </row>
    <row r="8" spans="1:15" s="191" customFormat="1" ht="25.5" customHeight="1">
      <c r="A8" s="199">
        <v>2</v>
      </c>
      <c r="B8" s="200" t="s">
        <v>215</v>
      </c>
      <c r="C8" s="200" t="s">
        <v>216</v>
      </c>
      <c r="D8" s="200" t="s">
        <v>217</v>
      </c>
      <c r="E8" s="201"/>
      <c r="F8" s="213">
        <v>10</v>
      </c>
      <c r="G8" s="201">
        <f>42*60*10</f>
        <v>25200</v>
      </c>
      <c r="H8" s="201">
        <v>11200</v>
      </c>
      <c r="I8" s="706"/>
      <c r="J8" s="704"/>
      <c r="K8" s="705"/>
      <c r="L8" s="192"/>
      <c r="M8" s="192"/>
      <c r="N8" s="193"/>
      <c r="O8" s="193"/>
    </row>
    <row r="9" spans="1:15" s="191" customFormat="1" ht="25.5" customHeight="1">
      <c r="A9" s="199">
        <v>2</v>
      </c>
      <c r="B9" s="200" t="s">
        <v>92</v>
      </c>
      <c r="C9" s="200" t="s">
        <v>93</v>
      </c>
      <c r="D9" s="200" t="s">
        <v>94</v>
      </c>
      <c r="E9" s="201"/>
      <c r="F9" s="213">
        <v>10</v>
      </c>
      <c r="G9" s="201">
        <f>42*60*10</f>
        <v>25200</v>
      </c>
      <c r="H9" s="201"/>
      <c r="I9" s="706"/>
      <c r="J9" s="704"/>
      <c r="K9" s="705"/>
      <c r="L9" s="192"/>
      <c r="M9" s="192"/>
      <c r="N9" s="193"/>
      <c r="O9" s="193"/>
    </row>
    <row r="10" spans="1:15" s="191" customFormat="1" ht="25.5" customHeight="1">
      <c r="A10" s="199">
        <v>3</v>
      </c>
      <c r="B10" s="200" t="s">
        <v>151</v>
      </c>
      <c r="C10" s="200" t="s">
        <v>152</v>
      </c>
      <c r="D10" s="200" t="s">
        <v>210</v>
      </c>
      <c r="E10" s="201">
        <v>23000</v>
      </c>
      <c r="F10" s="213">
        <v>10.5</v>
      </c>
      <c r="G10" s="201">
        <f>45*60*10.5</f>
        <v>28350</v>
      </c>
      <c r="H10" s="201">
        <v>24500</v>
      </c>
      <c r="I10" s="706" t="s">
        <v>271</v>
      </c>
      <c r="J10" s="704"/>
      <c r="K10" s="705"/>
      <c r="L10" s="192"/>
      <c r="M10" s="192"/>
      <c r="N10" s="193"/>
      <c r="O10" s="193"/>
    </row>
    <row r="11" spans="1:15" s="195" customFormat="1" ht="25.5" customHeight="1">
      <c r="A11" s="202">
        <v>4</v>
      </c>
      <c r="B11" s="203" t="s">
        <v>90</v>
      </c>
      <c r="C11" s="203" t="s">
        <v>91</v>
      </c>
      <c r="D11" s="203" t="s">
        <v>205</v>
      </c>
      <c r="E11" s="203">
        <v>45000</v>
      </c>
      <c r="F11" s="214">
        <v>10.5</v>
      </c>
      <c r="G11" s="203">
        <f>70*60*10.5</f>
        <v>44100</v>
      </c>
      <c r="H11" s="201">
        <v>47000</v>
      </c>
      <c r="I11" s="706"/>
      <c r="J11" s="704"/>
      <c r="K11" s="705"/>
      <c r="L11" s="194"/>
      <c r="M11" s="192"/>
      <c r="N11" s="193"/>
      <c r="O11" s="193"/>
    </row>
    <row r="12" spans="1:15" s="195" customFormat="1" ht="25.5" customHeight="1">
      <c r="A12" s="202">
        <v>5</v>
      </c>
      <c r="B12" s="203" t="s">
        <v>143</v>
      </c>
      <c r="C12" s="204" t="s">
        <v>38</v>
      </c>
      <c r="D12" s="203" t="s">
        <v>50</v>
      </c>
      <c r="E12" s="203"/>
      <c r="F12" s="214">
        <v>8</v>
      </c>
      <c r="G12" s="203">
        <f>45*60*8</f>
        <v>21600</v>
      </c>
      <c r="H12" s="201">
        <v>25000</v>
      </c>
      <c r="I12" s="706" t="s">
        <v>272</v>
      </c>
      <c r="J12" s="704"/>
      <c r="K12" s="705"/>
      <c r="L12" s="194"/>
      <c r="M12" s="192"/>
      <c r="N12" s="193"/>
      <c r="O12" s="193"/>
    </row>
    <row r="13" spans="1:15" s="195" customFormat="1" ht="25.5" customHeight="1">
      <c r="A13" s="202">
        <v>5</v>
      </c>
      <c r="B13" s="203" t="s">
        <v>159</v>
      </c>
      <c r="C13" s="204" t="s">
        <v>160</v>
      </c>
      <c r="D13" s="203" t="s">
        <v>1290</v>
      </c>
      <c r="E13" s="203">
        <v>18700</v>
      </c>
      <c r="F13" s="214"/>
      <c r="G13" s="203"/>
      <c r="H13" s="201">
        <v>1800</v>
      </c>
      <c r="I13" s="706"/>
      <c r="J13" s="704"/>
      <c r="K13" s="705"/>
      <c r="L13" s="194"/>
      <c r="M13" s="192"/>
      <c r="N13" s="193"/>
      <c r="O13" s="193"/>
    </row>
    <row r="14" spans="1:15" s="195" customFormat="1" ht="25.5" customHeight="1">
      <c r="A14" s="199">
        <v>6</v>
      </c>
      <c r="B14" s="200" t="s">
        <v>139</v>
      </c>
      <c r="C14" s="200" t="s">
        <v>140</v>
      </c>
      <c r="D14" s="200" t="s">
        <v>142</v>
      </c>
      <c r="E14" s="201"/>
      <c r="F14" s="213">
        <v>10</v>
      </c>
      <c r="G14" s="201">
        <f>42*60*10</f>
        <v>25200</v>
      </c>
      <c r="H14" s="201">
        <v>21700</v>
      </c>
      <c r="I14" s="706"/>
      <c r="J14" s="704"/>
      <c r="K14" s="705"/>
      <c r="L14" s="194"/>
      <c r="M14" s="192"/>
      <c r="N14" s="193"/>
      <c r="O14" s="193"/>
    </row>
    <row r="15" spans="1:15" s="195" customFormat="1" ht="25.5" customHeight="1">
      <c r="A15" s="199">
        <v>6</v>
      </c>
      <c r="B15" s="200" t="s">
        <v>144</v>
      </c>
      <c r="C15" s="200" t="s">
        <v>145</v>
      </c>
      <c r="D15" s="200" t="s">
        <v>146</v>
      </c>
      <c r="E15" s="201">
        <v>23200</v>
      </c>
      <c r="F15" s="213">
        <v>8</v>
      </c>
      <c r="G15" s="201"/>
      <c r="H15" s="201">
        <v>3000</v>
      </c>
      <c r="I15" s="706"/>
      <c r="J15" s="704"/>
      <c r="K15" s="705"/>
      <c r="L15" s="194"/>
      <c r="M15" s="192"/>
      <c r="N15" s="193"/>
      <c r="O15" s="193"/>
    </row>
    <row r="16" spans="1:15" s="195" customFormat="1" ht="25.5" customHeight="1">
      <c r="A16" s="202">
        <v>7</v>
      </c>
      <c r="B16" s="203" t="s">
        <v>171</v>
      </c>
      <c r="C16" s="204" t="s">
        <v>172</v>
      </c>
      <c r="D16" s="203" t="s">
        <v>177</v>
      </c>
      <c r="E16" s="203">
        <v>60000</v>
      </c>
      <c r="F16" s="214">
        <v>10.5</v>
      </c>
      <c r="G16" s="203">
        <f>100*60*10.5</f>
        <v>63000</v>
      </c>
      <c r="H16" s="201">
        <v>60000</v>
      </c>
      <c r="I16" s="706" t="s">
        <v>280</v>
      </c>
      <c r="J16" s="704"/>
      <c r="K16" s="705"/>
      <c r="L16" s="194"/>
      <c r="M16" s="192"/>
      <c r="N16" s="193"/>
      <c r="O16" s="193"/>
    </row>
    <row r="17" spans="1:15" s="195" customFormat="1" ht="25.5" customHeight="1">
      <c r="A17" s="202" t="s">
        <v>66</v>
      </c>
      <c r="B17" s="203" t="s">
        <v>27</v>
      </c>
      <c r="C17" s="204" t="s">
        <v>40</v>
      </c>
      <c r="D17" s="203" t="s">
        <v>52</v>
      </c>
      <c r="E17" s="203">
        <v>80000</v>
      </c>
      <c r="F17" s="214">
        <v>10.5</v>
      </c>
      <c r="G17" s="203">
        <f>138*60*10.5</f>
        <v>86940</v>
      </c>
      <c r="H17" s="201">
        <v>72000</v>
      </c>
      <c r="I17" s="706"/>
      <c r="J17" s="704"/>
      <c r="K17" s="705"/>
      <c r="L17" s="194"/>
      <c r="M17" s="192"/>
      <c r="N17" s="193"/>
      <c r="O17" s="193"/>
    </row>
    <row r="18" spans="1:15" s="191" customFormat="1" ht="25.5" customHeight="1">
      <c r="A18" s="202" t="s">
        <v>218</v>
      </c>
      <c r="B18" s="203" t="s">
        <v>223</v>
      </c>
      <c r="C18" s="204" t="s">
        <v>224</v>
      </c>
      <c r="D18" s="203" t="s">
        <v>225</v>
      </c>
      <c r="E18" s="203">
        <v>21500</v>
      </c>
      <c r="F18" s="214">
        <v>10.5</v>
      </c>
      <c r="G18" s="203">
        <f>50*60*10.5</f>
        <v>31500</v>
      </c>
      <c r="H18" s="201">
        <v>30300</v>
      </c>
      <c r="I18" s="706" t="s">
        <v>274</v>
      </c>
      <c r="J18" s="704"/>
      <c r="K18" s="705"/>
      <c r="L18" s="192"/>
      <c r="M18" s="192"/>
      <c r="N18" s="193"/>
      <c r="O18" s="193"/>
    </row>
    <row r="19" spans="1:15" s="191" customFormat="1" ht="25.5" customHeight="1">
      <c r="A19" s="205">
        <v>8</v>
      </c>
      <c r="B19" s="204" t="s">
        <v>241</v>
      </c>
      <c r="C19" s="204" t="s">
        <v>242</v>
      </c>
      <c r="D19" s="204" t="s">
        <v>243</v>
      </c>
      <c r="E19" s="203">
        <v>30000</v>
      </c>
      <c r="F19" s="214">
        <v>10.5</v>
      </c>
      <c r="G19" s="203">
        <f>50*60*10.5</f>
        <v>31500</v>
      </c>
      <c r="H19" s="201">
        <v>25700</v>
      </c>
      <c r="I19" s="706" t="s">
        <v>256</v>
      </c>
      <c r="J19" s="704"/>
      <c r="K19" s="705"/>
      <c r="L19" s="196"/>
      <c r="M19" s="192"/>
      <c r="N19" s="193"/>
      <c r="O19" s="193"/>
    </row>
    <row r="20" spans="1:15" s="191" customFormat="1" ht="25.5" customHeight="1">
      <c r="A20" s="205" t="s">
        <v>228</v>
      </c>
      <c r="B20" s="204" t="s">
        <v>968</v>
      </c>
      <c r="C20" s="204" t="s">
        <v>152</v>
      </c>
      <c r="D20" s="204" t="s">
        <v>1299</v>
      </c>
      <c r="E20" s="203"/>
      <c r="F20" s="214">
        <v>8</v>
      </c>
      <c r="G20" s="203">
        <f>45*60*8</f>
        <v>21600</v>
      </c>
      <c r="H20" s="201">
        <v>9000</v>
      </c>
      <c r="I20" s="706" t="s">
        <v>273</v>
      </c>
      <c r="J20" s="704"/>
      <c r="K20" s="705"/>
      <c r="L20" s="196"/>
      <c r="M20" s="192"/>
      <c r="N20" s="193"/>
      <c r="O20" s="193"/>
    </row>
    <row r="21" spans="1:15" s="191" customFormat="1" ht="25.5" customHeight="1">
      <c r="A21" s="205">
        <v>10</v>
      </c>
      <c r="B21" s="204" t="s">
        <v>28</v>
      </c>
      <c r="C21" s="204" t="s">
        <v>41</v>
      </c>
      <c r="D21" s="204" t="s">
        <v>53</v>
      </c>
      <c r="E21" s="203">
        <v>22000</v>
      </c>
      <c r="F21" s="214">
        <v>8</v>
      </c>
      <c r="G21" s="203">
        <f>50*60*8</f>
        <v>24000</v>
      </c>
      <c r="H21" s="201"/>
      <c r="I21" s="706" t="s">
        <v>275</v>
      </c>
      <c r="J21" s="704"/>
      <c r="K21" s="705"/>
      <c r="L21" s="196"/>
      <c r="M21" s="192"/>
      <c r="N21" s="193"/>
      <c r="O21" s="193"/>
    </row>
    <row r="22" spans="1:15" s="191" customFormat="1" ht="25.5" customHeight="1">
      <c r="A22" s="205">
        <v>10</v>
      </c>
      <c r="B22" s="204" t="s">
        <v>229</v>
      </c>
      <c r="C22" s="204" t="s">
        <v>220</v>
      </c>
      <c r="D22" s="204" t="s">
        <v>230</v>
      </c>
      <c r="E22" s="203"/>
      <c r="F22" s="214">
        <v>8</v>
      </c>
      <c r="G22" s="203">
        <f>50*60*8</f>
        <v>24000</v>
      </c>
      <c r="H22" s="201"/>
      <c r="I22" s="706" t="s">
        <v>275</v>
      </c>
      <c r="J22" s="704"/>
      <c r="K22" s="705"/>
      <c r="L22" s="196"/>
      <c r="M22" s="192"/>
      <c r="N22" s="193"/>
      <c r="O22" s="193"/>
    </row>
    <row r="23" spans="1:15" s="191" customFormat="1" ht="25.5" customHeight="1">
      <c r="A23" s="205">
        <v>11</v>
      </c>
      <c r="B23" s="204" t="s">
        <v>248</v>
      </c>
      <c r="C23" s="204" t="s">
        <v>249</v>
      </c>
      <c r="D23" s="204" t="s">
        <v>105</v>
      </c>
      <c r="E23" s="203"/>
      <c r="F23" s="214">
        <v>8</v>
      </c>
      <c r="G23" s="203">
        <f>110*60*8</f>
        <v>52800</v>
      </c>
      <c r="H23" s="201"/>
      <c r="I23" s="706" t="s">
        <v>275</v>
      </c>
      <c r="J23" s="704"/>
      <c r="K23" s="705"/>
      <c r="L23" s="196"/>
      <c r="M23" s="192"/>
      <c r="N23" s="193"/>
      <c r="O23" s="193"/>
    </row>
    <row r="24" spans="1:15" s="191" customFormat="1" ht="25.5" customHeight="1">
      <c r="A24" s="205">
        <v>11</v>
      </c>
      <c r="B24" s="204" t="s">
        <v>232</v>
      </c>
      <c r="C24" s="204" t="s">
        <v>220</v>
      </c>
      <c r="D24" s="204" t="s">
        <v>233</v>
      </c>
      <c r="E24" s="203"/>
      <c r="F24" s="214">
        <v>8</v>
      </c>
      <c r="G24" s="203">
        <f>110*60*8</f>
        <v>52800</v>
      </c>
      <c r="H24" s="201"/>
      <c r="I24" s="706" t="s">
        <v>275</v>
      </c>
      <c r="J24" s="704"/>
      <c r="K24" s="705"/>
      <c r="L24" s="196"/>
      <c r="M24" s="192"/>
      <c r="N24" s="193"/>
      <c r="O24" s="193"/>
    </row>
    <row r="25" spans="1:15" s="191" customFormat="1" ht="25.5" customHeight="1">
      <c r="A25" s="206">
        <v>12</v>
      </c>
      <c r="B25" s="204" t="s">
        <v>234</v>
      </c>
      <c r="C25" s="204" t="s">
        <v>235</v>
      </c>
      <c r="D25" s="204" t="s">
        <v>236</v>
      </c>
      <c r="E25" s="203"/>
      <c r="F25" s="214">
        <v>8</v>
      </c>
      <c r="G25" s="203">
        <f>110*60*8</f>
        <v>52800</v>
      </c>
      <c r="H25" s="201">
        <v>65000</v>
      </c>
      <c r="I25" s="706" t="s">
        <v>275</v>
      </c>
      <c r="J25" s="704"/>
      <c r="K25" s="705"/>
      <c r="L25" s="196"/>
      <c r="M25" s="192"/>
      <c r="N25" s="193"/>
      <c r="O25" s="193"/>
    </row>
    <row r="26" spans="1:15" s="191" customFormat="1" ht="25.5" customHeight="1">
      <c r="A26" s="206">
        <v>13</v>
      </c>
      <c r="B26" s="204" t="s">
        <v>226</v>
      </c>
      <c r="C26" s="204" t="s">
        <v>227</v>
      </c>
      <c r="D26" s="204" t="s">
        <v>54</v>
      </c>
      <c r="E26" s="203">
        <v>65000</v>
      </c>
      <c r="F26" s="214">
        <v>10.5</v>
      </c>
      <c r="G26" s="203">
        <f>120*60*10.5</f>
        <v>75600</v>
      </c>
      <c r="H26" s="201">
        <v>78000</v>
      </c>
      <c r="I26" s="706" t="s">
        <v>275</v>
      </c>
      <c r="J26" s="704"/>
      <c r="K26" s="705"/>
      <c r="L26" s="196"/>
      <c r="M26" s="192"/>
      <c r="N26" s="193"/>
      <c r="O26" s="193"/>
    </row>
    <row r="27" spans="1:15" s="191" customFormat="1" ht="25.5" customHeight="1">
      <c r="A27" s="206">
        <v>14</v>
      </c>
      <c r="B27" s="204" t="s">
        <v>988</v>
      </c>
      <c r="C27" s="204" t="s">
        <v>990</v>
      </c>
      <c r="D27" s="204" t="s">
        <v>54</v>
      </c>
      <c r="E27" s="203"/>
      <c r="F27" s="214">
        <v>10.5</v>
      </c>
      <c r="G27" s="203">
        <f>120*60*10.5</f>
        <v>75600</v>
      </c>
      <c r="H27" s="201">
        <v>73000</v>
      </c>
      <c r="I27" s="706" t="s">
        <v>275</v>
      </c>
      <c r="J27" s="704"/>
      <c r="K27" s="705"/>
      <c r="L27" s="196"/>
      <c r="M27" s="192"/>
      <c r="N27" s="193"/>
      <c r="O27" s="193"/>
    </row>
    <row r="28" spans="1:15" s="191" customFormat="1" ht="25.5" customHeight="1">
      <c r="A28" s="205" t="s">
        <v>261</v>
      </c>
      <c r="B28" s="204" t="s">
        <v>87</v>
      </c>
      <c r="C28" s="204" t="s">
        <v>81</v>
      </c>
      <c r="D28" s="204" t="s">
        <v>54</v>
      </c>
      <c r="E28" s="203">
        <v>78000</v>
      </c>
      <c r="F28" s="214">
        <v>11</v>
      </c>
      <c r="G28" s="203">
        <f>180*60*11</f>
        <v>118800</v>
      </c>
      <c r="H28" s="201">
        <v>214300</v>
      </c>
      <c r="I28" s="706" t="s">
        <v>1292</v>
      </c>
      <c r="J28" s="704"/>
      <c r="K28" s="705"/>
      <c r="L28" s="196"/>
      <c r="M28" s="192"/>
      <c r="N28" s="193"/>
      <c r="O28" s="193"/>
    </row>
    <row r="29" spans="1:15" s="191" customFormat="1" ht="25.5" customHeight="1">
      <c r="A29" s="205" t="s">
        <v>262</v>
      </c>
      <c r="B29" s="204" t="s">
        <v>29</v>
      </c>
      <c r="C29" s="204" t="s">
        <v>42</v>
      </c>
      <c r="D29" s="204" t="s">
        <v>54</v>
      </c>
      <c r="E29" s="203">
        <v>73000</v>
      </c>
      <c r="F29" s="214">
        <v>11</v>
      </c>
      <c r="G29" s="203">
        <f>180*60*11</f>
        <v>118800</v>
      </c>
      <c r="H29" s="201"/>
      <c r="I29" s="706" t="s">
        <v>1292</v>
      </c>
      <c r="J29" s="704"/>
      <c r="K29" s="705"/>
      <c r="L29" s="196"/>
      <c r="M29" s="192"/>
      <c r="N29" s="193"/>
      <c r="O29" s="193"/>
    </row>
    <row r="30" spans="1:15" s="191" customFormat="1" ht="25.5" customHeight="1">
      <c r="A30" s="205">
        <v>24</v>
      </c>
      <c r="B30" s="204" t="s">
        <v>149</v>
      </c>
      <c r="C30" s="204" t="s">
        <v>150</v>
      </c>
      <c r="D30" s="204" t="s">
        <v>56</v>
      </c>
      <c r="E30" s="203">
        <v>152000</v>
      </c>
      <c r="F30" s="214">
        <v>8</v>
      </c>
      <c r="G30" s="203">
        <f>180*60*8</f>
        <v>86400</v>
      </c>
      <c r="H30" s="201"/>
      <c r="I30" s="706" t="s">
        <v>1292</v>
      </c>
      <c r="J30" s="704"/>
      <c r="K30" s="705"/>
      <c r="L30" s="196"/>
      <c r="M30" s="192"/>
      <c r="N30" s="193"/>
      <c r="O30" s="193"/>
    </row>
    <row r="31" spans="1:15" s="191" customFormat="1" ht="25.5" customHeight="1">
      <c r="A31" s="205">
        <v>19</v>
      </c>
      <c r="B31" s="204" t="s">
        <v>149</v>
      </c>
      <c r="C31" s="204" t="s">
        <v>150</v>
      </c>
      <c r="D31" s="204" t="s">
        <v>56</v>
      </c>
      <c r="E31" s="203">
        <v>130800</v>
      </c>
      <c r="F31" s="214">
        <v>10.5</v>
      </c>
      <c r="G31" s="203">
        <f>180*60*10.5</f>
        <v>113400</v>
      </c>
      <c r="H31" s="201">
        <v>65000</v>
      </c>
      <c r="I31" s="706"/>
      <c r="J31" s="704"/>
      <c r="K31" s="705"/>
      <c r="L31" s="196"/>
      <c r="M31" s="192"/>
      <c r="N31" s="193"/>
      <c r="O31" s="193"/>
    </row>
    <row r="32" spans="1:15" s="191" customFormat="1" ht="25.5" customHeight="1">
      <c r="A32" s="205">
        <v>19</v>
      </c>
      <c r="B32" s="204" t="s">
        <v>176</v>
      </c>
      <c r="C32" s="204" t="s">
        <v>148</v>
      </c>
      <c r="D32" s="204" t="s">
        <v>153</v>
      </c>
      <c r="E32" s="203">
        <v>156200</v>
      </c>
      <c r="F32" s="214">
        <v>11</v>
      </c>
      <c r="G32" s="203">
        <f>180*60*11</f>
        <v>118800</v>
      </c>
      <c r="H32" s="201"/>
      <c r="I32" s="706"/>
      <c r="J32" s="704"/>
      <c r="K32" s="705"/>
      <c r="L32" s="196"/>
      <c r="M32" s="192"/>
      <c r="N32" s="193"/>
      <c r="O32" s="193"/>
    </row>
    <row r="33" spans="1:15" s="191" customFormat="1" ht="25.5" customHeight="1">
      <c r="A33" s="205" t="s">
        <v>244</v>
      </c>
      <c r="B33" s="204" t="s">
        <v>80</v>
      </c>
      <c r="C33" s="204" t="s">
        <v>81</v>
      </c>
      <c r="D33" s="204" t="s">
        <v>60</v>
      </c>
      <c r="E33" s="203">
        <v>69200</v>
      </c>
      <c r="F33" s="214">
        <v>11.5</v>
      </c>
      <c r="G33" s="203">
        <f>180*60*11.5</f>
        <v>124200</v>
      </c>
      <c r="H33" s="201">
        <v>126000</v>
      </c>
      <c r="I33" s="706"/>
      <c r="J33" s="704"/>
      <c r="K33" s="705"/>
      <c r="L33" s="196"/>
      <c r="M33" s="192"/>
      <c r="N33" s="193"/>
      <c r="O33" s="193"/>
    </row>
    <row r="34" spans="1:15" s="191" customFormat="1" ht="25.5" customHeight="1">
      <c r="A34" s="205">
        <v>25</v>
      </c>
      <c r="B34" s="204" t="s">
        <v>190</v>
      </c>
      <c r="C34" s="204" t="s">
        <v>191</v>
      </c>
      <c r="D34" s="204" t="s">
        <v>86</v>
      </c>
      <c r="E34" s="203">
        <v>32000</v>
      </c>
      <c r="F34" s="214">
        <v>8</v>
      </c>
      <c r="G34" s="203">
        <f>150*60*8</f>
        <v>72000</v>
      </c>
      <c r="H34" s="201">
        <v>22500</v>
      </c>
      <c r="I34" s="706" t="s">
        <v>1293</v>
      </c>
      <c r="J34" s="704"/>
      <c r="K34" s="705"/>
      <c r="L34" s="196"/>
      <c r="M34" s="192"/>
      <c r="N34" s="193"/>
      <c r="O34" s="193"/>
    </row>
    <row r="35" spans="1:15" s="191" customFormat="1" ht="25.5" customHeight="1">
      <c r="A35" s="205">
        <v>25</v>
      </c>
      <c r="B35" s="204" t="s">
        <v>190</v>
      </c>
      <c r="C35" s="204" t="s">
        <v>191</v>
      </c>
      <c r="D35" s="204" t="s">
        <v>86</v>
      </c>
      <c r="E35" s="203">
        <v>57000</v>
      </c>
      <c r="F35" s="214"/>
      <c r="G35" s="203"/>
      <c r="H35" s="201"/>
      <c r="I35" s="706"/>
      <c r="J35" s="704"/>
      <c r="K35" s="705"/>
      <c r="L35" s="196"/>
      <c r="M35" s="192"/>
      <c r="N35" s="193"/>
      <c r="O35" s="193"/>
    </row>
    <row r="36" spans="1:15" s="191" customFormat="1" ht="25.5" customHeight="1">
      <c r="A36" s="205">
        <v>26</v>
      </c>
      <c r="B36" s="204" t="s">
        <v>203</v>
      </c>
      <c r="C36" s="204" t="s">
        <v>204</v>
      </c>
      <c r="D36" s="204" t="s">
        <v>57</v>
      </c>
      <c r="E36" s="203">
        <v>117100</v>
      </c>
      <c r="F36" s="214">
        <v>9</v>
      </c>
      <c r="G36" s="203">
        <f>150*60*8</f>
        <v>72000</v>
      </c>
      <c r="H36" s="201">
        <v>45000</v>
      </c>
      <c r="I36" s="706" t="s">
        <v>1292</v>
      </c>
      <c r="J36" s="704"/>
      <c r="K36" s="705"/>
      <c r="L36" s="196"/>
      <c r="M36" s="192"/>
      <c r="N36" s="193"/>
      <c r="O36" s="193"/>
    </row>
    <row r="37" spans="1:15" s="191" customFormat="1" ht="25.5" customHeight="1">
      <c r="A37" s="206">
        <v>31</v>
      </c>
      <c r="B37" s="204" t="s">
        <v>122</v>
      </c>
      <c r="C37" s="204" t="s">
        <v>123</v>
      </c>
      <c r="D37" s="204" t="s">
        <v>56</v>
      </c>
      <c r="E37" s="203">
        <v>65000</v>
      </c>
      <c r="F37" s="214"/>
      <c r="G37" s="203"/>
      <c r="H37" s="201">
        <v>62000</v>
      </c>
      <c r="I37" s="706" t="s">
        <v>1294</v>
      </c>
      <c r="J37" s="704"/>
      <c r="K37" s="705"/>
      <c r="L37" s="196"/>
      <c r="M37" s="192"/>
      <c r="N37" s="193"/>
      <c r="O37" s="193"/>
    </row>
    <row r="38" spans="1:15" s="191" customFormat="1" ht="25.5" customHeight="1">
      <c r="A38" s="206">
        <v>22</v>
      </c>
      <c r="B38" s="204" t="s">
        <v>32</v>
      </c>
      <c r="C38" s="204" t="s">
        <v>45</v>
      </c>
      <c r="D38" s="204" t="s">
        <v>58</v>
      </c>
      <c r="E38" s="203"/>
      <c r="F38" s="214">
        <v>8</v>
      </c>
      <c r="G38" s="203">
        <f>150*60*8</f>
        <v>72000</v>
      </c>
      <c r="H38" s="201">
        <v>40000</v>
      </c>
      <c r="I38" s="706" t="s">
        <v>1295</v>
      </c>
      <c r="J38" s="704"/>
      <c r="K38" s="705"/>
      <c r="L38" s="196"/>
      <c r="M38" s="192"/>
      <c r="N38" s="193"/>
      <c r="O38" s="193"/>
    </row>
    <row r="39" spans="1:15" s="191" customFormat="1" ht="25.5" customHeight="1">
      <c r="A39" s="206">
        <v>15</v>
      </c>
      <c r="B39" s="204" t="s">
        <v>162</v>
      </c>
      <c r="C39" s="204" t="s">
        <v>163</v>
      </c>
      <c r="D39" s="204" t="s">
        <v>56</v>
      </c>
      <c r="E39" s="203">
        <v>124000</v>
      </c>
      <c r="F39" s="214">
        <v>8</v>
      </c>
      <c r="G39" s="203"/>
      <c r="H39" s="201">
        <v>76300</v>
      </c>
      <c r="I39" s="706" t="s">
        <v>279</v>
      </c>
      <c r="J39" s="704"/>
      <c r="K39" s="705"/>
      <c r="L39" s="196"/>
      <c r="M39" s="192"/>
      <c r="N39" s="193"/>
      <c r="O39" s="193"/>
    </row>
    <row r="40" spans="1:15" s="191" customFormat="1" ht="25.5" customHeight="1">
      <c r="A40" s="206">
        <v>21</v>
      </c>
      <c r="B40" s="204" t="s">
        <v>219</v>
      </c>
      <c r="C40" s="204" t="s">
        <v>220</v>
      </c>
      <c r="D40" s="204" t="s">
        <v>183</v>
      </c>
      <c r="E40" s="203">
        <v>101000</v>
      </c>
      <c r="F40" s="214">
        <v>8</v>
      </c>
      <c r="G40" s="203"/>
      <c r="H40" s="201"/>
      <c r="I40" s="706" t="s">
        <v>279</v>
      </c>
      <c r="J40" s="704"/>
      <c r="K40" s="705"/>
      <c r="L40" s="196"/>
      <c r="M40" s="192"/>
      <c r="N40" s="193"/>
      <c r="O40" s="193"/>
    </row>
    <row r="41" spans="1:15" s="191" customFormat="1" ht="25.5" customHeight="1">
      <c r="A41" s="206">
        <v>28</v>
      </c>
      <c r="B41" s="204" t="s">
        <v>214</v>
      </c>
      <c r="C41" s="204" t="s">
        <v>46</v>
      </c>
      <c r="D41" s="204" t="s">
        <v>56</v>
      </c>
      <c r="E41" s="203">
        <v>96000</v>
      </c>
      <c r="F41" s="214">
        <v>9</v>
      </c>
      <c r="G41" s="203">
        <f>180*60*9</f>
        <v>97200</v>
      </c>
      <c r="H41" s="201">
        <v>99000</v>
      </c>
      <c r="I41" s="706"/>
      <c r="J41" s="704"/>
      <c r="K41" s="705"/>
      <c r="L41" s="196"/>
      <c r="M41" s="192"/>
      <c r="N41" s="193"/>
      <c r="O41" s="193"/>
    </row>
    <row r="42" spans="1:15" s="191" customFormat="1" ht="25.5" customHeight="1">
      <c r="A42" s="206">
        <v>20</v>
      </c>
      <c r="B42" s="204" t="s">
        <v>164</v>
      </c>
      <c r="C42" s="204" t="s">
        <v>165</v>
      </c>
      <c r="D42" s="204" t="s">
        <v>56</v>
      </c>
      <c r="E42" s="203">
        <v>112900</v>
      </c>
      <c r="F42" s="214">
        <v>9</v>
      </c>
      <c r="G42" s="203">
        <f>180*60*9</f>
        <v>97200</v>
      </c>
      <c r="H42" s="201">
        <v>58000</v>
      </c>
      <c r="I42" s="706" t="s">
        <v>1292</v>
      </c>
      <c r="J42" s="704"/>
      <c r="K42" s="705"/>
      <c r="L42" s="196"/>
      <c r="M42" s="192"/>
      <c r="N42" s="193"/>
      <c r="O42" s="193"/>
    </row>
    <row r="43" spans="1:15" s="191" customFormat="1" ht="25.5" customHeight="1">
      <c r="A43" s="206">
        <v>16</v>
      </c>
      <c r="B43" s="204" t="s">
        <v>222</v>
      </c>
      <c r="C43" s="204" t="s">
        <v>201</v>
      </c>
      <c r="D43" s="204" t="s">
        <v>59</v>
      </c>
      <c r="E43" s="203">
        <v>89000</v>
      </c>
      <c r="F43" s="214">
        <v>12</v>
      </c>
      <c r="G43" s="203">
        <f>180*60*12</f>
        <v>129600</v>
      </c>
      <c r="H43" s="201">
        <v>74000</v>
      </c>
      <c r="I43" s="706"/>
      <c r="J43" s="704"/>
      <c r="K43" s="705"/>
      <c r="L43" s="196"/>
      <c r="M43" s="192"/>
      <c r="N43" s="193"/>
      <c r="O43" s="193"/>
    </row>
    <row r="44" spans="1:15" s="191" customFormat="1" ht="25.5" customHeight="1">
      <c r="A44" s="206">
        <v>23</v>
      </c>
      <c r="B44" s="204" t="s">
        <v>128</v>
      </c>
      <c r="C44" s="208" t="s">
        <v>129</v>
      </c>
      <c r="D44" s="208" t="s">
        <v>59</v>
      </c>
      <c r="E44" s="203">
        <v>110000</v>
      </c>
      <c r="F44" s="214">
        <v>9</v>
      </c>
      <c r="G44" s="203">
        <f>180*60*9</f>
        <v>97200</v>
      </c>
      <c r="H44" s="201">
        <v>76300</v>
      </c>
      <c r="I44" s="706"/>
      <c r="J44" s="704"/>
      <c r="K44" s="705"/>
      <c r="L44" s="196"/>
      <c r="M44" s="192"/>
      <c r="N44" s="193"/>
      <c r="O44" s="193"/>
    </row>
    <row r="45" spans="1:15" s="191" customFormat="1" ht="25.5" customHeight="1">
      <c r="A45" s="205" t="s">
        <v>270</v>
      </c>
      <c r="B45" s="204" t="s">
        <v>128</v>
      </c>
      <c r="C45" s="208" t="s">
        <v>129</v>
      </c>
      <c r="D45" s="208" t="s">
        <v>59</v>
      </c>
      <c r="E45" s="203">
        <v>142000</v>
      </c>
      <c r="F45" s="214">
        <v>10.5</v>
      </c>
      <c r="G45" s="203">
        <f>180*60*10.5</f>
        <v>113400</v>
      </c>
      <c r="H45" s="201">
        <v>140000</v>
      </c>
      <c r="I45" s="706"/>
      <c r="J45" s="704"/>
      <c r="K45" s="705"/>
      <c r="L45" s="196"/>
      <c r="M45" s="192"/>
      <c r="N45" s="193"/>
      <c r="O45" s="193"/>
    </row>
    <row r="46" spans="1:15" s="191" customFormat="1" ht="25.5" customHeight="1">
      <c r="A46" s="205">
        <v>30</v>
      </c>
      <c r="B46" s="204" t="s">
        <v>35</v>
      </c>
      <c r="C46" s="208" t="s">
        <v>47</v>
      </c>
      <c r="D46" s="208" t="s">
        <v>61</v>
      </c>
      <c r="E46" s="203">
        <v>94200</v>
      </c>
      <c r="F46" s="214">
        <v>10.5</v>
      </c>
      <c r="G46" s="203">
        <f>180*60*10.5</f>
        <v>113400</v>
      </c>
      <c r="H46" s="201">
        <v>102000</v>
      </c>
      <c r="I46" s="706"/>
      <c r="J46" s="704"/>
      <c r="K46" s="705"/>
      <c r="L46" s="196"/>
      <c r="M46" s="192"/>
      <c r="N46" s="193"/>
      <c r="O46" s="193"/>
    </row>
    <row r="47" spans="1:15" s="191" customFormat="1" ht="25.5" customHeight="1">
      <c r="A47" s="209">
        <v>51</v>
      </c>
      <c r="B47" s="204" t="s">
        <v>254</v>
      </c>
      <c r="C47" s="204" t="s">
        <v>255</v>
      </c>
      <c r="D47" s="204" t="s">
        <v>61</v>
      </c>
      <c r="E47" s="203">
        <v>86600</v>
      </c>
      <c r="F47" s="214">
        <v>8</v>
      </c>
      <c r="G47" s="203">
        <f>180*60*8</f>
        <v>86400</v>
      </c>
      <c r="H47" s="201"/>
      <c r="I47" s="706" t="s">
        <v>278</v>
      </c>
      <c r="J47" s="704"/>
      <c r="K47" s="705"/>
      <c r="L47" s="196"/>
      <c r="M47" s="192"/>
      <c r="N47" s="193"/>
      <c r="O47" s="193"/>
    </row>
    <row r="48" spans="1:15" s="191" customFormat="1" ht="25.5" customHeight="1">
      <c r="A48" s="209">
        <v>54</v>
      </c>
      <c r="B48" s="204" t="s">
        <v>181</v>
      </c>
      <c r="C48" s="204" t="s">
        <v>182</v>
      </c>
      <c r="D48" s="204" t="s">
        <v>183</v>
      </c>
      <c r="E48" s="203">
        <v>175700</v>
      </c>
      <c r="F48" s="214">
        <v>8</v>
      </c>
      <c r="G48" s="203">
        <f>180*60*8</f>
        <v>86400</v>
      </c>
      <c r="H48" s="201">
        <v>87100</v>
      </c>
      <c r="I48" s="706"/>
      <c r="J48" s="704"/>
      <c r="K48" s="705"/>
      <c r="L48" s="196"/>
      <c r="M48" s="192"/>
      <c r="N48" s="193"/>
      <c r="O48" s="193"/>
    </row>
    <row r="49" spans="1:15" s="191" customFormat="1" ht="25.5" customHeight="1">
      <c r="A49" s="209">
        <v>55</v>
      </c>
      <c r="B49" s="204" t="s">
        <v>208</v>
      </c>
      <c r="C49" s="204" t="s">
        <v>209</v>
      </c>
      <c r="D49" s="204" t="s">
        <v>194</v>
      </c>
      <c r="E49" s="203">
        <v>91300</v>
      </c>
      <c r="F49" s="214">
        <v>8</v>
      </c>
      <c r="G49" s="203">
        <f>180*60*8</f>
        <v>86400</v>
      </c>
      <c r="H49" s="201">
        <v>118000</v>
      </c>
      <c r="I49" s="706" t="s">
        <v>1297</v>
      </c>
      <c r="J49" s="704"/>
      <c r="K49" s="705"/>
      <c r="L49" s="196"/>
      <c r="M49" s="192"/>
      <c r="N49" s="193"/>
      <c r="O49" s="193"/>
    </row>
    <row r="50" spans="1:15" s="191" customFormat="1" ht="25.5" customHeight="1">
      <c r="A50" s="209">
        <v>50</v>
      </c>
      <c r="B50" s="204"/>
      <c r="C50" s="204"/>
      <c r="D50" s="204"/>
      <c r="E50" s="203"/>
      <c r="F50" s="214">
        <v>8</v>
      </c>
      <c r="G50" s="203">
        <f>180*60*8</f>
        <v>86400</v>
      </c>
      <c r="H50" s="201"/>
      <c r="I50" s="706" t="s">
        <v>277</v>
      </c>
      <c r="J50" s="704"/>
      <c r="K50" s="705"/>
      <c r="L50" s="196"/>
      <c r="M50" s="192"/>
      <c r="N50" s="193"/>
      <c r="O50" s="193"/>
    </row>
    <row r="51" spans="1:15" s="191" customFormat="1" ht="25.5" customHeight="1">
      <c r="A51" s="209">
        <v>52</v>
      </c>
      <c r="B51" s="204"/>
      <c r="C51" s="204"/>
      <c r="D51" s="204"/>
      <c r="E51" s="203"/>
      <c r="F51" s="214">
        <v>10.5</v>
      </c>
      <c r="G51" s="203">
        <f>180*60*10.5</f>
        <v>113400</v>
      </c>
      <c r="H51" s="201">
        <v>193000</v>
      </c>
      <c r="I51" s="706"/>
      <c r="J51" s="704"/>
      <c r="K51" s="705"/>
      <c r="L51" s="196"/>
      <c r="M51" s="192"/>
      <c r="N51" s="193"/>
      <c r="O51" s="193"/>
    </row>
    <row r="52" spans="1:15" s="191" customFormat="1" ht="25.5" customHeight="1">
      <c r="A52" s="209">
        <v>53</v>
      </c>
      <c r="B52" s="204"/>
      <c r="C52" s="204"/>
      <c r="D52" s="204"/>
      <c r="E52" s="203"/>
      <c r="F52" s="214">
        <v>10.5</v>
      </c>
      <c r="G52" s="203">
        <f>180*60*10.5</f>
        <v>113400</v>
      </c>
      <c r="H52" s="201">
        <v>116500</v>
      </c>
      <c r="I52" s="706"/>
      <c r="J52" s="704"/>
      <c r="K52" s="705"/>
      <c r="L52" s="196"/>
      <c r="M52" s="192"/>
      <c r="N52" s="193"/>
      <c r="O52" s="193"/>
    </row>
    <row r="53" spans="1:15" s="191" customFormat="1" ht="25.5" customHeight="1">
      <c r="A53" s="206" t="s">
        <v>251</v>
      </c>
      <c r="B53" s="210"/>
      <c r="C53" s="210"/>
      <c r="D53" s="210"/>
      <c r="E53" s="210"/>
      <c r="F53" s="210"/>
      <c r="G53" s="210"/>
      <c r="H53" s="207">
        <f>SUM(H7:H52)</f>
        <v>2287200</v>
      </c>
      <c r="I53" s="706"/>
      <c r="J53" s="704"/>
      <c r="K53" s="705"/>
      <c r="L53" s="196"/>
      <c r="M53" s="192"/>
    </row>
    <row r="54" spans="1:15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N54" s="192"/>
    </row>
    <row r="55" spans="1:15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N55" s="192"/>
    </row>
    <row r="56" spans="1:15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N56" s="192"/>
    </row>
    <row r="57" spans="1:15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N57" s="192"/>
    </row>
    <row r="58" spans="1:15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N58" s="192"/>
    </row>
    <row r="59" spans="1:15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N59" s="192"/>
    </row>
    <row r="60" spans="1:15" s="191" customFormat="1" ht="15.75" customHeight="1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N60" s="192"/>
    </row>
    <row r="61" spans="1:15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N61" s="192"/>
    </row>
    <row r="62" spans="1:15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N62" s="192"/>
    </row>
    <row r="63" spans="1:15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N63" s="192"/>
    </row>
    <row r="64" spans="1:15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N64" s="192"/>
    </row>
    <row r="65" spans="1:14" s="191" customFormat="1" ht="15.75">
      <c r="A65" s="197"/>
      <c r="B65" s="197"/>
      <c r="C65" s="197"/>
      <c r="D65" s="197"/>
      <c r="E65" s="198"/>
      <c r="F65" s="198"/>
      <c r="G65" s="198"/>
      <c r="H65" s="198"/>
      <c r="I65" s="198"/>
      <c r="J65" s="198"/>
      <c r="N65" s="192"/>
    </row>
    <row r="66" spans="1:14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N66" s="192"/>
    </row>
    <row r="67" spans="1:14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</row>
    <row r="68" spans="1:14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</row>
    <row r="69" spans="1:14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</row>
    <row r="70" spans="1:14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</row>
    <row r="71" spans="1:14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</row>
    <row r="72" spans="1:14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</row>
    <row r="73" spans="1:14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</row>
    <row r="74" spans="1:14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</row>
    <row r="75" spans="1:14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</row>
    <row r="76" spans="1:14" s="191" customFormat="1" ht="15.75">
      <c r="A76" s="197"/>
      <c r="B76" s="197"/>
      <c r="C76" s="197"/>
      <c r="D76" s="197"/>
      <c r="E76" s="197"/>
      <c r="F76" s="197"/>
      <c r="G76" s="197"/>
      <c r="H76" s="197"/>
      <c r="I76" s="197"/>
      <c r="J76" s="197"/>
    </row>
  </sheetData>
  <mergeCells count="57">
    <mergeCell ref="I49:K49"/>
    <mergeCell ref="I50:K50"/>
    <mergeCell ref="I51:K51"/>
    <mergeCell ref="I52:K52"/>
    <mergeCell ref="I53:K53"/>
    <mergeCell ref="I48:K48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36:K36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24:K24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12:K12"/>
    <mergeCell ref="A1:H3"/>
    <mergeCell ref="I2:I3"/>
    <mergeCell ref="J2:J3"/>
    <mergeCell ref="K2:K3"/>
    <mergeCell ref="A4:B4"/>
    <mergeCell ref="A5:A6"/>
    <mergeCell ref="B5:B6"/>
    <mergeCell ref="C5:C6"/>
    <mergeCell ref="D5:D6"/>
    <mergeCell ref="I5:K6"/>
    <mergeCell ref="I7:K7"/>
    <mergeCell ref="I8:K8"/>
    <mergeCell ref="I9:K9"/>
    <mergeCell ref="I10:K10"/>
    <mergeCell ref="I11:K11"/>
  </mergeCells>
  <phoneticPr fontId="74" type="noConversion"/>
  <conditionalFormatting sqref="H7:H52">
    <cfRule type="cellIs" dxfId="8" priority="1" operator="lessThan">
      <formula>0</formula>
    </cfRule>
  </conditionalFormatting>
  <printOptions horizontalCentered="1"/>
  <pageMargins left="0" right="0" top="0" bottom="0" header="0" footer="0"/>
  <pageSetup paperSize="9" scale="55" fitToHeight="0" orientation="portrait" r:id="rId1"/>
  <headerFooter>
    <oddFooter>&amp;LQ401-2&amp;CHANSUNGBOLT VINA&amp;RA4 (210 x 297mm)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4">
    <pageSetUpPr fitToPage="1"/>
  </sheetPr>
  <dimension ref="A1:O76"/>
  <sheetViews>
    <sheetView view="pageBreakPreview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10" width="13.42578125" style="189" customWidth="1"/>
    <col min="11" max="11" width="13.42578125" style="190" customWidth="1"/>
    <col min="12" max="12" width="10.42578125" style="190" bestFit="1" customWidth="1"/>
    <col min="13" max="13" width="10.42578125" style="190" customWidth="1"/>
    <col min="14" max="14" width="10.85546875" style="190" bestFit="1" customWidth="1"/>
    <col min="15" max="15" width="17" style="190" customWidth="1"/>
    <col min="16" max="16" width="3.42578125" style="190" customWidth="1"/>
    <col min="17" max="17" width="15.42578125" style="190" customWidth="1"/>
    <col min="18" max="44" width="3.42578125" style="190" customWidth="1"/>
    <col min="45" max="16384" width="9.140625" style="190"/>
  </cols>
  <sheetData>
    <row r="1" spans="1:15" ht="31.5" customHeight="1">
      <c r="A1" s="690" t="s">
        <v>6</v>
      </c>
      <c r="B1" s="691"/>
      <c r="C1" s="691"/>
      <c r="D1" s="691"/>
      <c r="E1" s="691"/>
      <c r="F1" s="691"/>
      <c r="G1" s="691"/>
      <c r="H1" s="692"/>
      <c r="I1" s="387" t="s">
        <v>5</v>
      </c>
      <c r="J1" s="387" t="s">
        <v>17</v>
      </c>
      <c r="K1" s="386" t="s">
        <v>0</v>
      </c>
    </row>
    <row r="2" spans="1:15" ht="31.5" customHeight="1">
      <c r="A2" s="693"/>
      <c r="B2" s="694"/>
      <c r="C2" s="694"/>
      <c r="D2" s="694"/>
      <c r="E2" s="694"/>
      <c r="F2" s="694"/>
      <c r="G2" s="694"/>
      <c r="H2" s="695"/>
      <c r="I2" s="696"/>
      <c r="J2" s="696"/>
      <c r="K2" s="697"/>
    </row>
    <row r="3" spans="1:15" ht="31.5" customHeight="1">
      <c r="A3" s="693"/>
      <c r="B3" s="694"/>
      <c r="C3" s="694"/>
      <c r="D3" s="694"/>
      <c r="E3" s="694"/>
      <c r="F3" s="694"/>
      <c r="G3" s="694"/>
      <c r="H3" s="695"/>
      <c r="I3" s="696"/>
      <c r="J3" s="696"/>
      <c r="K3" s="697"/>
    </row>
    <row r="4" spans="1:15" ht="20.25" customHeight="1">
      <c r="A4" s="698" t="s">
        <v>1291</v>
      </c>
      <c r="B4" s="699"/>
      <c r="C4" s="388"/>
      <c r="D4" s="388"/>
      <c r="E4" s="388"/>
      <c r="F4" s="388"/>
      <c r="G4" s="388"/>
      <c r="H4" s="389"/>
      <c r="I4" s="390"/>
      <c r="J4" s="390"/>
      <c r="K4" s="391"/>
    </row>
    <row r="5" spans="1:15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684" t="s">
        <v>264</v>
      </c>
      <c r="J5" s="685"/>
      <c r="K5" s="686"/>
    </row>
    <row r="6" spans="1:15" s="191" customFormat="1" ht="29.25" customHeight="1">
      <c r="A6" s="683"/>
      <c r="B6" s="683"/>
      <c r="C6" s="683"/>
      <c r="D6" s="683"/>
      <c r="E6" s="211" t="s">
        <v>1300</v>
      </c>
      <c r="F6" s="211" t="s">
        <v>263</v>
      </c>
      <c r="G6" s="211" t="s">
        <v>266</v>
      </c>
      <c r="H6" s="211" t="s">
        <v>265</v>
      </c>
      <c r="I6" s="687"/>
      <c r="J6" s="688"/>
      <c r="K6" s="689"/>
    </row>
    <row r="7" spans="1:15" s="191" customFormat="1" ht="25.5" customHeight="1">
      <c r="A7" s="199">
        <v>1</v>
      </c>
      <c r="B7" s="200" t="s">
        <v>23</v>
      </c>
      <c r="C7" s="200" t="s">
        <v>36</v>
      </c>
      <c r="D7" s="200" t="s">
        <v>48</v>
      </c>
      <c r="E7" s="201"/>
      <c r="F7" s="213">
        <v>10.5</v>
      </c>
      <c r="G7" s="201">
        <f>42*60*10.5</f>
        <v>26460</v>
      </c>
      <c r="H7" s="201">
        <v>25000</v>
      </c>
      <c r="I7" s="706"/>
      <c r="J7" s="704"/>
      <c r="K7" s="705"/>
      <c r="L7" s="192"/>
      <c r="M7" s="192"/>
      <c r="N7" s="193"/>
      <c r="O7" s="193"/>
    </row>
    <row r="8" spans="1:15" s="191" customFormat="1" ht="25.5" customHeight="1">
      <c r="A8" s="199">
        <v>2</v>
      </c>
      <c r="B8" s="200" t="s">
        <v>215</v>
      </c>
      <c r="C8" s="200" t="s">
        <v>216</v>
      </c>
      <c r="D8" s="200" t="s">
        <v>217</v>
      </c>
      <c r="E8" s="201"/>
      <c r="F8" s="213">
        <v>10</v>
      </c>
      <c r="G8" s="201">
        <f>42*60*10</f>
        <v>25200</v>
      </c>
      <c r="H8" s="201">
        <v>11200</v>
      </c>
      <c r="I8" s="706"/>
      <c r="J8" s="704"/>
      <c r="K8" s="705"/>
      <c r="L8" s="192"/>
      <c r="M8" s="192"/>
      <c r="N8" s="193"/>
      <c r="O8" s="193"/>
    </row>
    <row r="9" spans="1:15" s="191" customFormat="1" ht="25.5" customHeight="1">
      <c r="A9" s="199">
        <v>2</v>
      </c>
      <c r="B9" s="200" t="s">
        <v>92</v>
      </c>
      <c r="C9" s="200" t="s">
        <v>93</v>
      </c>
      <c r="D9" s="200" t="s">
        <v>94</v>
      </c>
      <c r="E9" s="201"/>
      <c r="F9" s="213">
        <v>10</v>
      </c>
      <c r="G9" s="201">
        <f>42*60*10</f>
        <v>25200</v>
      </c>
      <c r="H9" s="201"/>
      <c r="I9" s="706"/>
      <c r="J9" s="704"/>
      <c r="K9" s="705"/>
      <c r="L9" s="192"/>
      <c r="M9" s="192"/>
      <c r="N9" s="193"/>
      <c r="O9" s="193"/>
    </row>
    <row r="10" spans="1:15" s="191" customFormat="1" ht="25.5" customHeight="1">
      <c r="A10" s="199">
        <v>3</v>
      </c>
      <c r="B10" s="200" t="s">
        <v>151</v>
      </c>
      <c r="C10" s="200" t="s">
        <v>152</v>
      </c>
      <c r="D10" s="200" t="s">
        <v>210</v>
      </c>
      <c r="E10" s="201"/>
      <c r="F10" s="213">
        <v>10.5</v>
      </c>
      <c r="G10" s="201">
        <f>45*60*10.5</f>
        <v>28350</v>
      </c>
      <c r="H10" s="201">
        <v>24500</v>
      </c>
      <c r="I10" s="706" t="s">
        <v>271</v>
      </c>
      <c r="J10" s="704"/>
      <c r="K10" s="705"/>
      <c r="L10" s="192"/>
      <c r="M10" s="192"/>
      <c r="N10" s="193"/>
      <c r="O10" s="193"/>
    </row>
    <row r="11" spans="1:15" s="195" customFormat="1" ht="25.5" customHeight="1">
      <c r="A11" s="202">
        <v>4</v>
      </c>
      <c r="B11" s="203" t="s">
        <v>90</v>
      </c>
      <c r="C11" s="203" t="s">
        <v>91</v>
      </c>
      <c r="D11" s="203" t="s">
        <v>205</v>
      </c>
      <c r="E11" s="203"/>
      <c r="F11" s="214">
        <v>10.5</v>
      </c>
      <c r="G11" s="203">
        <f>70*60*10.5</f>
        <v>44100</v>
      </c>
      <c r="H11" s="201">
        <v>47000</v>
      </c>
      <c r="I11" s="706"/>
      <c r="J11" s="704"/>
      <c r="K11" s="705"/>
      <c r="L11" s="194"/>
      <c r="M11" s="192"/>
      <c r="N11" s="193"/>
      <c r="O11" s="193"/>
    </row>
    <row r="12" spans="1:15" s="195" customFormat="1" ht="25.5" customHeight="1">
      <c r="A12" s="202">
        <v>5</v>
      </c>
      <c r="B12" s="203" t="s">
        <v>159</v>
      </c>
      <c r="C12" s="204" t="s">
        <v>160</v>
      </c>
      <c r="D12" s="203" t="s">
        <v>161</v>
      </c>
      <c r="E12" s="203"/>
      <c r="F12" s="214">
        <v>8</v>
      </c>
      <c r="G12" s="203">
        <f>45*60*8</f>
        <v>21600</v>
      </c>
      <c r="H12" s="201">
        <v>25000</v>
      </c>
      <c r="I12" s="706" t="s">
        <v>272</v>
      </c>
      <c r="J12" s="704"/>
      <c r="K12" s="705"/>
      <c r="L12" s="194"/>
      <c r="M12" s="192"/>
      <c r="N12" s="193"/>
      <c r="O12" s="193"/>
    </row>
    <row r="13" spans="1:15" s="195" customFormat="1" ht="25.5" customHeight="1">
      <c r="A13" s="202">
        <v>5</v>
      </c>
      <c r="B13" s="203" t="s">
        <v>159</v>
      </c>
      <c r="C13" s="204" t="s">
        <v>160</v>
      </c>
      <c r="D13" s="203" t="s">
        <v>1290</v>
      </c>
      <c r="E13" s="203"/>
      <c r="F13" s="214"/>
      <c r="G13" s="203"/>
      <c r="H13" s="201">
        <v>1800</v>
      </c>
      <c r="I13" s="706"/>
      <c r="J13" s="704"/>
      <c r="K13" s="705"/>
      <c r="L13" s="194"/>
      <c r="M13" s="192"/>
      <c r="N13" s="193"/>
      <c r="O13" s="193"/>
    </row>
    <row r="14" spans="1:15" s="195" customFormat="1" ht="25.5" customHeight="1">
      <c r="A14" s="199">
        <v>6</v>
      </c>
      <c r="B14" s="200" t="s">
        <v>144</v>
      </c>
      <c r="C14" s="200" t="s">
        <v>145</v>
      </c>
      <c r="D14" s="200" t="s">
        <v>146</v>
      </c>
      <c r="E14" s="201"/>
      <c r="F14" s="213">
        <v>10</v>
      </c>
      <c r="G14" s="201">
        <f>42*60*10</f>
        <v>25200</v>
      </c>
      <c r="H14" s="201">
        <v>21700</v>
      </c>
      <c r="I14" s="706"/>
      <c r="J14" s="704"/>
      <c r="K14" s="705"/>
      <c r="L14" s="194"/>
      <c r="M14" s="192"/>
      <c r="N14" s="193"/>
      <c r="O14" s="193"/>
    </row>
    <row r="15" spans="1:15" s="195" customFormat="1" ht="25.5" customHeight="1">
      <c r="A15" s="199">
        <v>6</v>
      </c>
      <c r="B15" s="200" t="s">
        <v>144</v>
      </c>
      <c r="C15" s="200" t="s">
        <v>145</v>
      </c>
      <c r="D15" s="200" t="s">
        <v>146</v>
      </c>
      <c r="E15" s="201"/>
      <c r="F15" s="213">
        <v>8</v>
      </c>
      <c r="G15" s="201"/>
      <c r="H15" s="201">
        <v>3000</v>
      </c>
      <c r="I15" s="706"/>
      <c r="J15" s="704"/>
      <c r="K15" s="705"/>
      <c r="L15" s="194"/>
      <c r="M15" s="192"/>
      <c r="N15" s="193"/>
      <c r="O15" s="193"/>
    </row>
    <row r="16" spans="1:15" s="195" customFormat="1" ht="25.5" customHeight="1">
      <c r="A16" s="202">
        <v>7</v>
      </c>
      <c r="B16" s="203" t="s">
        <v>171</v>
      </c>
      <c r="C16" s="204" t="s">
        <v>172</v>
      </c>
      <c r="D16" s="203" t="s">
        <v>177</v>
      </c>
      <c r="E16" s="203"/>
      <c r="F16" s="214">
        <v>10.5</v>
      </c>
      <c r="G16" s="203">
        <f>100*60*10.5</f>
        <v>63000</v>
      </c>
      <c r="H16" s="201">
        <v>60000</v>
      </c>
      <c r="I16" s="706" t="s">
        <v>280</v>
      </c>
      <c r="J16" s="704"/>
      <c r="K16" s="705"/>
      <c r="L16" s="194"/>
      <c r="M16" s="192"/>
      <c r="N16" s="193"/>
      <c r="O16" s="193"/>
    </row>
    <row r="17" spans="1:15" s="195" customFormat="1" ht="25.5" customHeight="1">
      <c r="A17" s="202" t="s">
        <v>66</v>
      </c>
      <c r="B17" s="203" t="s">
        <v>27</v>
      </c>
      <c r="C17" s="204" t="s">
        <v>40</v>
      </c>
      <c r="D17" s="203" t="s">
        <v>52</v>
      </c>
      <c r="E17" s="203"/>
      <c r="F17" s="214">
        <v>10.5</v>
      </c>
      <c r="G17" s="203">
        <f>138*60*10.5</f>
        <v>86940</v>
      </c>
      <c r="H17" s="201">
        <v>72000</v>
      </c>
      <c r="I17" s="706"/>
      <c r="J17" s="704"/>
      <c r="K17" s="705"/>
      <c r="L17" s="194"/>
      <c r="M17" s="192"/>
      <c r="N17" s="193"/>
      <c r="O17" s="193"/>
    </row>
    <row r="18" spans="1:15" s="191" customFormat="1" ht="25.5" customHeight="1">
      <c r="A18" s="202" t="s">
        <v>218</v>
      </c>
      <c r="B18" s="203" t="s">
        <v>223</v>
      </c>
      <c r="C18" s="204" t="s">
        <v>224</v>
      </c>
      <c r="D18" s="203" t="s">
        <v>225</v>
      </c>
      <c r="E18" s="203"/>
      <c r="F18" s="214">
        <v>10.5</v>
      </c>
      <c r="G18" s="203">
        <f>50*60*10.5</f>
        <v>31500</v>
      </c>
      <c r="H18" s="201">
        <v>30300</v>
      </c>
      <c r="I18" s="706" t="s">
        <v>274</v>
      </c>
      <c r="J18" s="704"/>
      <c r="K18" s="705"/>
      <c r="L18" s="192"/>
      <c r="M18" s="192"/>
      <c r="N18" s="193"/>
      <c r="O18" s="193"/>
    </row>
    <row r="19" spans="1:15" s="191" customFormat="1" ht="25.5" customHeight="1">
      <c r="A19" s="205">
        <v>8</v>
      </c>
      <c r="B19" s="204" t="s">
        <v>241</v>
      </c>
      <c r="C19" s="204" t="s">
        <v>242</v>
      </c>
      <c r="D19" s="204" t="s">
        <v>243</v>
      </c>
      <c r="E19" s="203"/>
      <c r="F19" s="214">
        <v>10.5</v>
      </c>
      <c r="G19" s="203">
        <f>50*60*10.5</f>
        <v>31500</v>
      </c>
      <c r="H19" s="201">
        <v>25700</v>
      </c>
      <c r="I19" s="706" t="s">
        <v>256</v>
      </c>
      <c r="J19" s="704"/>
      <c r="K19" s="705"/>
      <c r="L19" s="196"/>
      <c r="M19" s="192"/>
      <c r="N19" s="193"/>
      <c r="O19" s="193"/>
    </row>
    <row r="20" spans="1:15" s="191" customFormat="1" ht="25.5" customHeight="1">
      <c r="A20" s="205" t="s">
        <v>228</v>
      </c>
      <c r="B20" s="204" t="s">
        <v>28</v>
      </c>
      <c r="C20" s="204" t="s">
        <v>41</v>
      </c>
      <c r="D20" s="204" t="s">
        <v>53</v>
      </c>
      <c r="E20" s="203"/>
      <c r="F20" s="214">
        <v>8</v>
      </c>
      <c r="G20" s="203">
        <f>45*60*8</f>
        <v>21600</v>
      </c>
      <c r="H20" s="201">
        <v>9000</v>
      </c>
      <c r="I20" s="706" t="s">
        <v>273</v>
      </c>
      <c r="J20" s="704"/>
      <c r="K20" s="705"/>
      <c r="L20" s="196"/>
      <c r="M20" s="192"/>
      <c r="N20" s="193"/>
      <c r="O20" s="193"/>
    </row>
    <row r="21" spans="1:15" s="191" customFormat="1" ht="25.5" customHeight="1">
      <c r="A21" s="205">
        <v>10</v>
      </c>
      <c r="B21" s="204" t="s">
        <v>229</v>
      </c>
      <c r="C21" s="204" t="s">
        <v>220</v>
      </c>
      <c r="D21" s="204" t="s">
        <v>230</v>
      </c>
      <c r="E21" s="203"/>
      <c r="F21" s="214">
        <v>8</v>
      </c>
      <c r="G21" s="203">
        <f>50*60*8</f>
        <v>24000</v>
      </c>
      <c r="H21" s="201"/>
      <c r="I21" s="706" t="s">
        <v>275</v>
      </c>
      <c r="J21" s="704"/>
      <c r="K21" s="705"/>
      <c r="L21" s="196"/>
      <c r="M21" s="192"/>
      <c r="N21" s="193"/>
      <c r="O21" s="193"/>
    </row>
    <row r="22" spans="1:15" s="191" customFormat="1" ht="25.5" customHeight="1">
      <c r="A22" s="205">
        <v>10</v>
      </c>
      <c r="B22" s="204" t="s">
        <v>248</v>
      </c>
      <c r="C22" s="204" t="s">
        <v>249</v>
      </c>
      <c r="D22" s="204" t="s">
        <v>105</v>
      </c>
      <c r="E22" s="203"/>
      <c r="F22" s="214">
        <v>8</v>
      </c>
      <c r="G22" s="203">
        <f>50*60*8</f>
        <v>24000</v>
      </c>
      <c r="H22" s="201"/>
      <c r="I22" s="706" t="s">
        <v>275</v>
      </c>
      <c r="J22" s="704"/>
      <c r="K22" s="705"/>
      <c r="L22" s="196"/>
      <c r="M22" s="192"/>
      <c r="N22" s="193"/>
      <c r="O22" s="193"/>
    </row>
    <row r="23" spans="1:15" s="191" customFormat="1" ht="25.5" customHeight="1">
      <c r="A23" s="205">
        <v>11</v>
      </c>
      <c r="B23" s="204" t="s">
        <v>232</v>
      </c>
      <c r="C23" s="204" t="s">
        <v>220</v>
      </c>
      <c r="D23" s="204" t="s">
        <v>233</v>
      </c>
      <c r="E23" s="203"/>
      <c r="F23" s="214">
        <v>8</v>
      </c>
      <c r="G23" s="203">
        <f>110*60*8</f>
        <v>52800</v>
      </c>
      <c r="H23" s="201"/>
      <c r="I23" s="706" t="s">
        <v>275</v>
      </c>
      <c r="J23" s="704"/>
      <c r="K23" s="705"/>
      <c r="L23" s="196"/>
      <c r="M23" s="192"/>
      <c r="N23" s="193"/>
      <c r="O23" s="193"/>
    </row>
    <row r="24" spans="1:15" s="191" customFormat="1" ht="25.5" customHeight="1">
      <c r="A24" s="205">
        <v>11</v>
      </c>
      <c r="B24" s="204" t="s">
        <v>234</v>
      </c>
      <c r="C24" s="204" t="s">
        <v>235</v>
      </c>
      <c r="D24" s="204" t="s">
        <v>236</v>
      </c>
      <c r="E24" s="203"/>
      <c r="F24" s="214">
        <v>8</v>
      </c>
      <c r="G24" s="203">
        <f>110*60*8</f>
        <v>52800</v>
      </c>
      <c r="H24" s="201"/>
      <c r="I24" s="706" t="s">
        <v>275</v>
      </c>
      <c r="J24" s="704"/>
      <c r="K24" s="705"/>
      <c r="L24" s="196"/>
      <c r="M24" s="192"/>
      <c r="N24" s="193"/>
      <c r="O24" s="193"/>
    </row>
    <row r="25" spans="1:15" s="191" customFormat="1" ht="25.5" customHeight="1">
      <c r="A25" s="206">
        <v>12</v>
      </c>
      <c r="B25" s="204" t="s">
        <v>226</v>
      </c>
      <c r="C25" s="204" t="s">
        <v>227</v>
      </c>
      <c r="D25" s="204" t="s">
        <v>54</v>
      </c>
      <c r="E25" s="203"/>
      <c r="F25" s="214">
        <v>8</v>
      </c>
      <c r="G25" s="203">
        <f>110*60*8</f>
        <v>52800</v>
      </c>
      <c r="H25" s="201">
        <v>65000</v>
      </c>
      <c r="I25" s="706" t="s">
        <v>275</v>
      </c>
      <c r="J25" s="704"/>
      <c r="K25" s="705"/>
      <c r="L25" s="196"/>
      <c r="M25" s="192"/>
      <c r="N25" s="193"/>
      <c r="O25" s="193"/>
    </row>
    <row r="26" spans="1:15" s="191" customFormat="1" ht="25.5" customHeight="1">
      <c r="A26" s="206">
        <v>13</v>
      </c>
      <c r="B26" s="204" t="s">
        <v>87</v>
      </c>
      <c r="C26" s="204" t="s">
        <v>81</v>
      </c>
      <c r="D26" s="204" t="s">
        <v>54</v>
      </c>
      <c r="E26" s="203"/>
      <c r="F26" s="214">
        <v>10.5</v>
      </c>
      <c r="G26" s="203">
        <f>120*60*10.5</f>
        <v>75600</v>
      </c>
      <c r="H26" s="201">
        <v>78000</v>
      </c>
      <c r="I26" s="706" t="s">
        <v>275</v>
      </c>
      <c r="J26" s="704"/>
      <c r="K26" s="705"/>
      <c r="L26" s="196"/>
      <c r="M26" s="192"/>
      <c r="N26" s="193"/>
      <c r="O26" s="193"/>
    </row>
    <row r="27" spans="1:15" s="191" customFormat="1" ht="25.5" customHeight="1">
      <c r="A27" s="206">
        <v>14</v>
      </c>
      <c r="B27" s="204" t="s">
        <v>29</v>
      </c>
      <c r="C27" s="204" t="s">
        <v>42</v>
      </c>
      <c r="D27" s="204" t="s">
        <v>54</v>
      </c>
      <c r="E27" s="203"/>
      <c r="F27" s="214">
        <v>10.5</v>
      </c>
      <c r="G27" s="203">
        <f>120*60*10.5</f>
        <v>75600</v>
      </c>
      <c r="H27" s="201">
        <v>73000</v>
      </c>
      <c r="I27" s="706" t="s">
        <v>275</v>
      </c>
      <c r="J27" s="704"/>
      <c r="K27" s="705"/>
      <c r="L27" s="196"/>
      <c r="M27" s="192"/>
      <c r="N27" s="193"/>
      <c r="O27" s="193"/>
    </row>
    <row r="28" spans="1:15" s="191" customFormat="1" ht="25.5" customHeight="1">
      <c r="A28" s="205" t="s">
        <v>261</v>
      </c>
      <c r="B28" s="204" t="s">
        <v>149</v>
      </c>
      <c r="C28" s="204" t="s">
        <v>150</v>
      </c>
      <c r="D28" s="204" t="s">
        <v>56</v>
      </c>
      <c r="E28" s="203"/>
      <c r="F28" s="214">
        <v>11</v>
      </c>
      <c r="G28" s="203">
        <f>180*60*11</f>
        <v>118800</v>
      </c>
      <c r="H28" s="201">
        <v>214300</v>
      </c>
      <c r="I28" s="706" t="s">
        <v>1292</v>
      </c>
      <c r="J28" s="704"/>
      <c r="K28" s="705"/>
      <c r="L28" s="196"/>
      <c r="M28" s="192"/>
      <c r="N28" s="193"/>
      <c r="O28" s="193"/>
    </row>
    <row r="29" spans="1:15" s="191" customFormat="1" ht="25.5" customHeight="1">
      <c r="A29" s="205" t="s">
        <v>262</v>
      </c>
      <c r="B29" s="204" t="s">
        <v>149</v>
      </c>
      <c r="C29" s="204" t="s">
        <v>150</v>
      </c>
      <c r="D29" s="204" t="s">
        <v>56</v>
      </c>
      <c r="E29" s="203"/>
      <c r="F29" s="214">
        <v>11</v>
      </c>
      <c r="G29" s="203">
        <f>180*60*11</f>
        <v>118800</v>
      </c>
      <c r="H29" s="201"/>
      <c r="I29" s="706" t="s">
        <v>1292</v>
      </c>
      <c r="J29" s="704"/>
      <c r="K29" s="705"/>
      <c r="L29" s="196"/>
      <c r="M29" s="192"/>
      <c r="N29" s="193"/>
      <c r="O29" s="193"/>
    </row>
    <row r="30" spans="1:15" s="191" customFormat="1" ht="25.5" customHeight="1">
      <c r="A30" s="205">
        <v>24</v>
      </c>
      <c r="B30" s="204" t="s">
        <v>149</v>
      </c>
      <c r="C30" s="204" t="s">
        <v>150</v>
      </c>
      <c r="D30" s="204" t="s">
        <v>56</v>
      </c>
      <c r="E30" s="203"/>
      <c r="F30" s="214">
        <v>8</v>
      </c>
      <c r="G30" s="203">
        <f>180*60*8</f>
        <v>86400</v>
      </c>
      <c r="H30" s="201"/>
      <c r="I30" s="706" t="s">
        <v>1292</v>
      </c>
      <c r="J30" s="704"/>
      <c r="K30" s="705"/>
      <c r="L30" s="196"/>
      <c r="M30" s="192"/>
      <c r="N30" s="193"/>
      <c r="O30" s="193"/>
    </row>
    <row r="31" spans="1:15" s="191" customFormat="1" ht="25.5" customHeight="1">
      <c r="A31" s="205">
        <v>19</v>
      </c>
      <c r="B31" s="204" t="s">
        <v>252</v>
      </c>
      <c r="C31" s="204" t="s">
        <v>201</v>
      </c>
      <c r="D31" s="204" t="s">
        <v>253</v>
      </c>
      <c r="E31" s="203"/>
      <c r="F31" s="214">
        <v>10.5</v>
      </c>
      <c r="G31" s="203">
        <f>180*60*10.5</f>
        <v>113400</v>
      </c>
      <c r="H31" s="201">
        <v>65000</v>
      </c>
      <c r="I31" s="706"/>
      <c r="J31" s="704"/>
      <c r="K31" s="705"/>
      <c r="L31" s="196"/>
      <c r="M31" s="192"/>
      <c r="N31" s="193"/>
      <c r="O31" s="193"/>
    </row>
    <row r="32" spans="1:15" s="191" customFormat="1" ht="25.5" customHeight="1">
      <c r="A32" s="205">
        <v>19</v>
      </c>
      <c r="B32" s="204" t="s">
        <v>176</v>
      </c>
      <c r="C32" s="204" t="s">
        <v>148</v>
      </c>
      <c r="D32" s="204" t="s">
        <v>153</v>
      </c>
      <c r="E32" s="203"/>
      <c r="F32" s="214">
        <v>11</v>
      </c>
      <c r="G32" s="203">
        <f>180*60*11</f>
        <v>118800</v>
      </c>
      <c r="H32" s="201"/>
      <c r="I32" s="706"/>
      <c r="J32" s="704"/>
      <c r="K32" s="705"/>
      <c r="L32" s="196"/>
      <c r="M32" s="192"/>
      <c r="N32" s="193"/>
      <c r="O32" s="193"/>
    </row>
    <row r="33" spans="1:15" s="191" customFormat="1" ht="25.5" customHeight="1">
      <c r="A33" s="205" t="s">
        <v>244</v>
      </c>
      <c r="B33" s="204" t="s">
        <v>176</v>
      </c>
      <c r="C33" s="204" t="s">
        <v>148</v>
      </c>
      <c r="D33" s="204" t="s">
        <v>153</v>
      </c>
      <c r="E33" s="203"/>
      <c r="F33" s="214">
        <v>11.5</v>
      </c>
      <c r="G33" s="203">
        <f>180*60*11.5</f>
        <v>124200</v>
      </c>
      <c r="H33" s="201">
        <v>126000</v>
      </c>
      <c r="I33" s="706"/>
      <c r="J33" s="704"/>
      <c r="K33" s="705"/>
      <c r="L33" s="196"/>
      <c r="M33" s="192"/>
      <c r="N33" s="193"/>
      <c r="O33" s="193"/>
    </row>
    <row r="34" spans="1:15" s="191" customFormat="1" ht="25.5" customHeight="1">
      <c r="A34" s="205">
        <v>25</v>
      </c>
      <c r="B34" s="204" t="s">
        <v>239</v>
      </c>
      <c r="C34" s="204" t="s">
        <v>240</v>
      </c>
      <c r="D34" s="204" t="s">
        <v>58</v>
      </c>
      <c r="E34" s="203"/>
      <c r="F34" s="214">
        <v>8</v>
      </c>
      <c r="G34" s="203">
        <f>150*60*8</f>
        <v>72000</v>
      </c>
      <c r="H34" s="201">
        <v>22500</v>
      </c>
      <c r="I34" s="706" t="s">
        <v>1293</v>
      </c>
      <c r="J34" s="704"/>
      <c r="K34" s="705"/>
      <c r="L34" s="196"/>
      <c r="M34" s="192"/>
      <c r="N34" s="193"/>
      <c r="O34" s="193"/>
    </row>
    <row r="35" spans="1:15" s="191" customFormat="1" ht="25.5" customHeight="1">
      <c r="A35" s="205">
        <v>25</v>
      </c>
      <c r="B35" s="204" t="s">
        <v>80</v>
      </c>
      <c r="C35" s="204" t="s">
        <v>81</v>
      </c>
      <c r="D35" s="204" t="s">
        <v>60</v>
      </c>
      <c r="E35" s="203"/>
      <c r="F35" s="214"/>
      <c r="G35" s="203"/>
      <c r="H35" s="201"/>
      <c r="I35" s="706"/>
      <c r="J35" s="704"/>
      <c r="K35" s="705"/>
      <c r="L35" s="196"/>
      <c r="M35" s="192"/>
      <c r="N35" s="193"/>
      <c r="O35" s="193"/>
    </row>
    <row r="36" spans="1:15" s="191" customFormat="1" ht="25.5" customHeight="1">
      <c r="A36" s="205">
        <v>26</v>
      </c>
      <c r="B36" s="204" t="s">
        <v>190</v>
      </c>
      <c r="C36" s="204" t="s">
        <v>191</v>
      </c>
      <c r="D36" s="204" t="s">
        <v>86</v>
      </c>
      <c r="E36" s="203"/>
      <c r="F36" s="214">
        <v>9</v>
      </c>
      <c r="G36" s="203">
        <f>150*60*8</f>
        <v>72000</v>
      </c>
      <c r="H36" s="201">
        <v>45000</v>
      </c>
      <c r="I36" s="706" t="s">
        <v>1292</v>
      </c>
      <c r="J36" s="704"/>
      <c r="K36" s="705"/>
      <c r="L36" s="196"/>
      <c r="M36" s="192"/>
      <c r="N36" s="193"/>
      <c r="O36" s="193"/>
    </row>
    <row r="37" spans="1:15" s="191" customFormat="1" ht="25.5" customHeight="1">
      <c r="A37" s="206">
        <v>31</v>
      </c>
      <c r="B37" s="204" t="s">
        <v>203</v>
      </c>
      <c r="C37" s="204" t="s">
        <v>204</v>
      </c>
      <c r="D37" s="204" t="s">
        <v>57</v>
      </c>
      <c r="E37" s="203"/>
      <c r="F37" s="214"/>
      <c r="G37" s="203"/>
      <c r="H37" s="201">
        <v>62000</v>
      </c>
      <c r="I37" s="706" t="s">
        <v>1294</v>
      </c>
      <c r="J37" s="704"/>
      <c r="K37" s="705"/>
      <c r="L37" s="196"/>
      <c r="M37" s="192"/>
      <c r="N37" s="193"/>
      <c r="O37" s="193"/>
    </row>
    <row r="38" spans="1:15" s="191" customFormat="1" ht="25.5" customHeight="1">
      <c r="A38" s="206">
        <v>22</v>
      </c>
      <c r="B38" s="204" t="s">
        <v>122</v>
      </c>
      <c r="C38" s="204" t="s">
        <v>123</v>
      </c>
      <c r="D38" s="204" t="s">
        <v>56</v>
      </c>
      <c r="E38" s="203"/>
      <c r="F38" s="214">
        <v>8</v>
      </c>
      <c r="G38" s="203">
        <f>150*60*8</f>
        <v>72000</v>
      </c>
      <c r="H38" s="201">
        <v>40000</v>
      </c>
      <c r="I38" s="706" t="s">
        <v>1295</v>
      </c>
      <c r="J38" s="704"/>
      <c r="K38" s="705"/>
      <c r="L38" s="196"/>
      <c r="M38" s="192"/>
      <c r="N38" s="193"/>
      <c r="O38" s="193"/>
    </row>
    <row r="39" spans="1:15" s="191" customFormat="1" ht="25.5" customHeight="1">
      <c r="A39" s="206">
        <v>15</v>
      </c>
      <c r="B39" s="204" t="s">
        <v>162</v>
      </c>
      <c r="C39" s="204" t="s">
        <v>163</v>
      </c>
      <c r="D39" s="204" t="s">
        <v>56</v>
      </c>
      <c r="E39" s="203"/>
      <c r="F39" s="214">
        <v>8</v>
      </c>
      <c r="G39" s="203"/>
      <c r="H39" s="201">
        <v>76300</v>
      </c>
      <c r="I39" s="706" t="s">
        <v>279</v>
      </c>
      <c r="J39" s="704"/>
      <c r="K39" s="705"/>
      <c r="L39" s="196"/>
      <c r="M39" s="192"/>
      <c r="N39" s="193"/>
      <c r="O39" s="193"/>
    </row>
    <row r="40" spans="1:15" s="191" customFormat="1" ht="25.5" customHeight="1">
      <c r="A40" s="206">
        <v>21</v>
      </c>
      <c r="B40" s="204" t="s">
        <v>162</v>
      </c>
      <c r="C40" s="204" t="s">
        <v>163</v>
      </c>
      <c r="D40" s="204" t="s">
        <v>56</v>
      </c>
      <c r="E40" s="203"/>
      <c r="F40" s="214">
        <v>8</v>
      </c>
      <c r="G40" s="203"/>
      <c r="H40" s="201"/>
      <c r="I40" s="706" t="s">
        <v>279</v>
      </c>
      <c r="J40" s="704"/>
      <c r="K40" s="705"/>
      <c r="L40" s="196"/>
      <c r="M40" s="192"/>
      <c r="N40" s="193"/>
      <c r="O40" s="193"/>
    </row>
    <row r="41" spans="1:15" s="191" customFormat="1" ht="25.5" customHeight="1">
      <c r="A41" s="206">
        <v>28</v>
      </c>
      <c r="B41" s="204" t="s">
        <v>219</v>
      </c>
      <c r="C41" s="204" t="s">
        <v>220</v>
      </c>
      <c r="D41" s="204" t="s">
        <v>183</v>
      </c>
      <c r="E41" s="203"/>
      <c r="F41" s="214">
        <v>9</v>
      </c>
      <c r="G41" s="203">
        <f>180*60*9</f>
        <v>97200</v>
      </c>
      <c r="H41" s="201">
        <v>99000</v>
      </c>
      <c r="I41" s="706"/>
      <c r="J41" s="704"/>
      <c r="K41" s="705"/>
      <c r="L41" s="196"/>
      <c r="M41" s="192"/>
      <c r="N41" s="193"/>
      <c r="O41" s="193"/>
    </row>
    <row r="42" spans="1:15" s="191" customFormat="1" ht="25.5" customHeight="1">
      <c r="A42" s="206">
        <v>20</v>
      </c>
      <c r="B42" s="204" t="s">
        <v>214</v>
      </c>
      <c r="C42" s="204" t="s">
        <v>46</v>
      </c>
      <c r="D42" s="204" t="s">
        <v>56</v>
      </c>
      <c r="E42" s="203"/>
      <c r="F42" s="214">
        <v>9</v>
      </c>
      <c r="G42" s="203">
        <f>180*60*9</f>
        <v>97200</v>
      </c>
      <c r="H42" s="201">
        <v>58000</v>
      </c>
      <c r="I42" s="706" t="s">
        <v>1292</v>
      </c>
      <c r="J42" s="704"/>
      <c r="K42" s="705"/>
      <c r="L42" s="196"/>
      <c r="M42" s="192"/>
      <c r="N42" s="193"/>
      <c r="O42" s="193"/>
    </row>
    <row r="43" spans="1:15" s="191" customFormat="1" ht="25.5" customHeight="1">
      <c r="A43" s="206">
        <v>16</v>
      </c>
      <c r="B43" s="204" t="s">
        <v>164</v>
      </c>
      <c r="C43" s="204" t="s">
        <v>165</v>
      </c>
      <c r="D43" s="204" t="s">
        <v>56</v>
      </c>
      <c r="E43" s="203"/>
      <c r="F43" s="214">
        <v>12</v>
      </c>
      <c r="G43" s="203">
        <f>180*60*12</f>
        <v>129600</v>
      </c>
      <c r="H43" s="201">
        <v>74000</v>
      </c>
      <c r="I43" s="706"/>
      <c r="J43" s="704"/>
      <c r="K43" s="705"/>
      <c r="L43" s="196"/>
      <c r="M43" s="192"/>
      <c r="N43" s="193"/>
      <c r="O43" s="193"/>
    </row>
    <row r="44" spans="1:15" s="191" customFormat="1" ht="25.5" customHeight="1">
      <c r="A44" s="206">
        <v>23</v>
      </c>
      <c r="B44" s="204" t="s">
        <v>222</v>
      </c>
      <c r="C44" s="208" t="s">
        <v>201</v>
      </c>
      <c r="D44" s="208" t="s">
        <v>59</v>
      </c>
      <c r="E44" s="203"/>
      <c r="F44" s="214">
        <v>9</v>
      </c>
      <c r="G44" s="203">
        <f>180*60*9</f>
        <v>97200</v>
      </c>
      <c r="H44" s="201">
        <v>76300</v>
      </c>
      <c r="I44" s="706"/>
      <c r="J44" s="704"/>
      <c r="K44" s="705"/>
      <c r="L44" s="196"/>
      <c r="M44" s="192"/>
      <c r="N44" s="193"/>
      <c r="O44" s="193"/>
    </row>
    <row r="45" spans="1:15" s="191" customFormat="1" ht="25.5" customHeight="1">
      <c r="A45" s="205" t="s">
        <v>270</v>
      </c>
      <c r="B45" s="204" t="s">
        <v>128</v>
      </c>
      <c r="C45" s="208" t="s">
        <v>129</v>
      </c>
      <c r="D45" s="208" t="s">
        <v>59</v>
      </c>
      <c r="E45" s="203"/>
      <c r="F45" s="214">
        <v>10.5</v>
      </c>
      <c r="G45" s="203">
        <f>180*60*10.5</f>
        <v>113400</v>
      </c>
      <c r="H45" s="201">
        <v>140000</v>
      </c>
      <c r="I45" s="706"/>
      <c r="J45" s="704"/>
      <c r="K45" s="705"/>
      <c r="L45" s="196"/>
      <c r="M45" s="192"/>
      <c r="N45" s="193"/>
      <c r="O45" s="193"/>
    </row>
    <row r="46" spans="1:15" s="191" customFormat="1" ht="25.5" customHeight="1">
      <c r="A46" s="205">
        <v>30</v>
      </c>
      <c r="B46" s="204" t="s">
        <v>128</v>
      </c>
      <c r="C46" s="208" t="s">
        <v>129</v>
      </c>
      <c r="D46" s="208" t="s">
        <v>59</v>
      </c>
      <c r="E46" s="203"/>
      <c r="F46" s="214">
        <v>10.5</v>
      </c>
      <c r="G46" s="203">
        <f>180*60*10.5</f>
        <v>113400</v>
      </c>
      <c r="H46" s="201">
        <v>102000</v>
      </c>
      <c r="I46" s="706"/>
      <c r="J46" s="704"/>
      <c r="K46" s="705"/>
      <c r="L46" s="196"/>
      <c r="M46" s="192"/>
      <c r="N46" s="193"/>
      <c r="O46" s="193"/>
    </row>
    <row r="47" spans="1:15" s="191" customFormat="1" ht="25.5" customHeight="1">
      <c r="A47" s="209">
        <v>51</v>
      </c>
      <c r="B47" s="204" t="s">
        <v>176</v>
      </c>
      <c r="C47" s="204" t="s">
        <v>148</v>
      </c>
      <c r="D47" s="204" t="s">
        <v>153</v>
      </c>
      <c r="E47" s="203"/>
      <c r="F47" s="214">
        <v>8</v>
      </c>
      <c r="G47" s="203">
        <f>180*60*8</f>
        <v>86400</v>
      </c>
      <c r="H47" s="201"/>
      <c r="I47" s="706" t="s">
        <v>278</v>
      </c>
      <c r="J47" s="704"/>
      <c r="K47" s="705"/>
      <c r="L47" s="196"/>
      <c r="M47" s="192"/>
      <c r="N47" s="193"/>
      <c r="O47" s="193"/>
    </row>
    <row r="48" spans="1:15" s="191" customFormat="1" ht="25.5" customHeight="1">
      <c r="A48" s="209">
        <v>54</v>
      </c>
      <c r="B48" s="204" t="s">
        <v>35</v>
      </c>
      <c r="C48" s="204" t="s">
        <v>47</v>
      </c>
      <c r="D48" s="204" t="s">
        <v>61</v>
      </c>
      <c r="E48" s="203"/>
      <c r="F48" s="214">
        <v>8</v>
      </c>
      <c r="G48" s="203">
        <f>180*60*8</f>
        <v>86400</v>
      </c>
      <c r="H48" s="201">
        <v>87100</v>
      </c>
      <c r="I48" s="706"/>
      <c r="J48" s="704"/>
      <c r="K48" s="705"/>
      <c r="L48" s="196"/>
      <c r="M48" s="192"/>
      <c r="N48" s="193"/>
      <c r="O48" s="193"/>
    </row>
    <row r="49" spans="1:15" s="191" customFormat="1" ht="25.5" customHeight="1">
      <c r="A49" s="209">
        <v>55</v>
      </c>
      <c r="B49" s="204" t="s">
        <v>254</v>
      </c>
      <c r="C49" s="204" t="s">
        <v>255</v>
      </c>
      <c r="D49" s="204" t="s">
        <v>61</v>
      </c>
      <c r="E49" s="203"/>
      <c r="F49" s="214">
        <v>8</v>
      </c>
      <c r="G49" s="203">
        <f>180*60*8</f>
        <v>86400</v>
      </c>
      <c r="H49" s="201">
        <v>118000</v>
      </c>
      <c r="I49" s="706" t="s">
        <v>1297</v>
      </c>
      <c r="J49" s="704"/>
      <c r="K49" s="705"/>
      <c r="L49" s="196"/>
      <c r="M49" s="192"/>
      <c r="N49" s="193"/>
      <c r="O49" s="193"/>
    </row>
    <row r="50" spans="1:15" s="191" customFormat="1" ht="25.5" customHeight="1">
      <c r="A50" s="209">
        <v>50</v>
      </c>
      <c r="B50" s="204" t="s">
        <v>181</v>
      </c>
      <c r="C50" s="204" t="s">
        <v>182</v>
      </c>
      <c r="D50" s="204" t="s">
        <v>183</v>
      </c>
      <c r="E50" s="203"/>
      <c r="F50" s="214">
        <v>8</v>
      </c>
      <c r="G50" s="203">
        <f>180*60*8</f>
        <v>86400</v>
      </c>
      <c r="H50" s="201"/>
      <c r="I50" s="706" t="s">
        <v>277</v>
      </c>
      <c r="J50" s="704"/>
      <c r="K50" s="705"/>
      <c r="L50" s="196"/>
      <c r="M50" s="192"/>
      <c r="N50" s="193"/>
      <c r="O50" s="193"/>
    </row>
    <row r="51" spans="1:15" s="191" customFormat="1" ht="25.5" customHeight="1">
      <c r="A51" s="209">
        <v>52</v>
      </c>
      <c r="B51" s="204" t="s">
        <v>181</v>
      </c>
      <c r="C51" s="204" t="s">
        <v>182</v>
      </c>
      <c r="D51" s="204" t="s">
        <v>183</v>
      </c>
      <c r="E51" s="203"/>
      <c r="F51" s="214">
        <v>10.5</v>
      </c>
      <c r="G51" s="203">
        <f>180*60*10.5</f>
        <v>113400</v>
      </c>
      <c r="H51" s="201">
        <v>193000</v>
      </c>
      <c r="I51" s="706"/>
      <c r="J51" s="704"/>
      <c r="K51" s="705"/>
      <c r="L51" s="196"/>
      <c r="M51" s="192"/>
      <c r="N51" s="193"/>
      <c r="O51" s="193"/>
    </row>
    <row r="52" spans="1:15" s="191" customFormat="1" ht="25.5" customHeight="1">
      <c r="A52" s="209">
        <v>53</v>
      </c>
      <c r="B52" s="204" t="s">
        <v>208</v>
      </c>
      <c r="C52" s="204" t="s">
        <v>209</v>
      </c>
      <c r="D52" s="204" t="s">
        <v>194</v>
      </c>
      <c r="E52" s="203"/>
      <c r="F52" s="214">
        <v>10.5</v>
      </c>
      <c r="G52" s="203">
        <f>180*60*10.5</f>
        <v>113400</v>
      </c>
      <c r="H52" s="201">
        <v>116500</v>
      </c>
      <c r="I52" s="706"/>
      <c r="J52" s="704"/>
      <c r="K52" s="705"/>
      <c r="L52" s="196"/>
      <c r="M52" s="192"/>
      <c r="N52" s="193"/>
      <c r="O52" s="193"/>
    </row>
    <row r="53" spans="1:15" s="191" customFormat="1" ht="25.5" customHeight="1">
      <c r="A53" s="206" t="s">
        <v>251</v>
      </c>
      <c r="B53" s="210"/>
      <c r="C53" s="210"/>
      <c r="D53" s="210"/>
      <c r="E53" s="210"/>
      <c r="F53" s="210"/>
      <c r="G53" s="210"/>
      <c r="H53" s="207">
        <f>SUM(H7:H52)</f>
        <v>2287200</v>
      </c>
      <c r="I53" s="706"/>
      <c r="J53" s="704"/>
      <c r="K53" s="705"/>
      <c r="L53" s="196"/>
      <c r="M53" s="192"/>
    </row>
    <row r="54" spans="1:15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N54" s="192"/>
    </row>
    <row r="55" spans="1:15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N55" s="192"/>
    </row>
    <row r="56" spans="1:15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N56" s="192"/>
    </row>
    <row r="57" spans="1:15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N57" s="192"/>
    </row>
    <row r="58" spans="1:15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N58" s="192"/>
    </row>
    <row r="59" spans="1:15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N59" s="192"/>
    </row>
    <row r="60" spans="1:15" s="191" customFormat="1" ht="15.75" customHeight="1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N60" s="192"/>
    </row>
    <row r="61" spans="1:15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N61" s="192"/>
    </row>
    <row r="62" spans="1:15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N62" s="192"/>
    </row>
    <row r="63" spans="1:15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N63" s="192"/>
    </row>
    <row r="64" spans="1:15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N64" s="192"/>
    </row>
    <row r="65" spans="1:14" s="191" customFormat="1" ht="15.75">
      <c r="A65" s="197"/>
      <c r="B65" s="197"/>
      <c r="C65" s="197"/>
      <c r="D65" s="197"/>
      <c r="E65" s="198"/>
      <c r="F65" s="198"/>
      <c r="G65" s="198"/>
      <c r="H65" s="198"/>
      <c r="I65" s="198"/>
      <c r="J65" s="198"/>
      <c r="N65" s="192"/>
    </row>
    <row r="66" spans="1:14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N66" s="192"/>
    </row>
    <row r="67" spans="1:14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</row>
    <row r="68" spans="1:14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</row>
    <row r="69" spans="1:14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</row>
    <row r="70" spans="1:14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</row>
    <row r="71" spans="1:14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</row>
    <row r="72" spans="1:14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</row>
    <row r="73" spans="1:14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</row>
    <row r="74" spans="1:14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</row>
    <row r="75" spans="1:14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</row>
    <row r="76" spans="1:14" s="191" customFormat="1" ht="15.75">
      <c r="A76" s="197"/>
      <c r="B76" s="197"/>
      <c r="C76" s="197"/>
      <c r="D76" s="197"/>
      <c r="E76" s="197"/>
      <c r="F76" s="197"/>
      <c r="G76" s="197"/>
      <c r="H76" s="197"/>
      <c r="I76" s="197"/>
      <c r="J76" s="197"/>
    </row>
  </sheetData>
  <mergeCells count="57">
    <mergeCell ref="A5:A6"/>
    <mergeCell ref="B5:B6"/>
    <mergeCell ref="C5:C6"/>
    <mergeCell ref="D5:D6"/>
    <mergeCell ref="I5:K6"/>
    <mergeCell ref="A1:H3"/>
    <mergeCell ref="I2:I3"/>
    <mergeCell ref="J2:J3"/>
    <mergeCell ref="K2:K3"/>
    <mergeCell ref="A4:B4"/>
    <mergeCell ref="I33:K33"/>
    <mergeCell ref="I34:K34"/>
    <mergeCell ref="I19:K19"/>
    <mergeCell ref="I7:K7"/>
    <mergeCell ref="I8:K8"/>
    <mergeCell ref="I9:K9"/>
    <mergeCell ref="I10:K10"/>
    <mergeCell ref="I11:K11"/>
    <mergeCell ref="I12:K12"/>
    <mergeCell ref="I14:K14"/>
    <mergeCell ref="I15:K15"/>
    <mergeCell ref="I16:K16"/>
    <mergeCell ref="I17:K17"/>
    <mergeCell ref="I18:K18"/>
    <mergeCell ref="I13:K13"/>
    <mergeCell ref="I51:K51"/>
    <mergeCell ref="I52:K52"/>
    <mergeCell ref="I38:K38"/>
    <mergeCell ref="I31:K31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2:K32"/>
    <mergeCell ref="I53:K53"/>
    <mergeCell ref="I35:K35"/>
    <mergeCell ref="I44:K44"/>
    <mergeCell ref="I45:K45"/>
    <mergeCell ref="I46:K46"/>
    <mergeCell ref="I47:K47"/>
    <mergeCell ref="I48:K48"/>
    <mergeCell ref="I49:K49"/>
    <mergeCell ref="I39:K39"/>
    <mergeCell ref="I40:K40"/>
    <mergeCell ref="I41:K41"/>
    <mergeCell ref="I42:K42"/>
    <mergeCell ref="I43:K43"/>
    <mergeCell ref="I36:K36"/>
    <mergeCell ref="I37:K37"/>
    <mergeCell ref="I50:K50"/>
  </mergeCells>
  <phoneticPr fontId="74" type="noConversion"/>
  <conditionalFormatting sqref="H7:H52">
    <cfRule type="cellIs" dxfId="7" priority="1" operator="lessThan">
      <formula>0</formula>
    </cfRule>
  </conditionalFormatting>
  <printOptions horizontalCentered="1"/>
  <pageMargins left="0" right="0" top="0" bottom="0" header="0" footer="0"/>
  <pageSetup paperSize="9" scale="55" fitToHeight="0" orientation="portrait" r:id="rId1"/>
  <headerFooter>
    <oddFooter>&amp;LQ401-2&amp;CHANSUNGBOLT VINA&amp;RA4 (210 x 297mm)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5">
    <pageSetUpPr fitToPage="1"/>
  </sheetPr>
  <dimension ref="A1:P52"/>
  <sheetViews>
    <sheetView view="pageBreakPreview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9" width="12.42578125" style="189" customWidth="1"/>
    <col min="10" max="11" width="13.42578125" style="189" customWidth="1"/>
    <col min="12" max="12" width="13.42578125" style="190" customWidth="1"/>
    <col min="13" max="13" width="10.42578125" style="190" bestFit="1" customWidth="1"/>
    <col min="14" max="14" width="10.42578125" style="190" customWidth="1"/>
    <col min="15" max="15" width="10.85546875" style="190" bestFit="1" customWidth="1"/>
    <col min="16" max="16" width="17" style="190" customWidth="1"/>
    <col min="17" max="17" width="3.42578125" style="190" customWidth="1"/>
    <col min="18" max="18" width="15.42578125" style="190" customWidth="1"/>
    <col min="19" max="45" width="3.42578125" style="190" customWidth="1"/>
    <col min="46" max="16384" width="9.140625" style="190"/>
  </cols>
  <sheetData>
    <row r="1" spans="1:16" ht="31.5" customHeight="1">
      <c r="A1" s="690" t="s">
        <v>6</v>
      </c>
      <c r="B1" s="691"/>
      <c r="C1" s="691"/>
      <c r="D1" s="691"/>
      <c r="E1" s="691"/>
      <c r="F1" s="691"/>
      <c r="G1" s="691"/>
      <c r="H1" s="691"/>
      <c r="I1" s="692"/>
      <c r="J1" s="387" t="s">
        <v>5</v>
      </c>
      <c r="K1" s="387" t="s">
        <v>17</v>
      </c>
      <c r="L1" s="386" t="s">
        <v>0</v>
      </c>
    </row>
    <row r="2" spans="1:16" ht="31.5" customHeight="1">
      <c r="A2" s="693"/>
      <c r="B2" s="694"/>
      <c r="C2" s="694"/>
      <c r="D2" s="694"/>
      <c r="E2" s="694"/>
      <c r="F2" s="694"/>
      <c r="G2" s="694"/>
      <c r="H2" s="694"/>
      <c r="I2" s="695"/>
      <c r="J2" s="696"/>
      <c r="K2" s="696"/>
      <c r="L2" s="697"/>
    </row>
    <row r="3" spans="1:16" ht="31.5" customHeight="1">
      <c r="A3" s="693"/>
      <c r="B3" s="694"/>
      <c r="C3" s="694"/>
      <c r="D3" s="694"/>
      <c r="E3" s="694"/>
      <c r="F3" s="694"/>
      <c r="G3" s="694"/>
      <c r="H3" s="694"/>
      <c r="I3" s="695"/>
      <c r="J3" s="696"/>
      <c r="K3" s="696"/>
      <c r="L3" s="697"/>
    </row>
    <row r="4" spans="1:16" ht="20.25" customHeight="1">
      <c r="A4" s="698" t="s">
        <v>1419</v>
      </c>
      <c r="B4" s="699"/>
      <c r="C4" s="388"/>
      <c r="D4" s="388"/>
      <c r="E4" s="388"/>
      <c r="F4" s="388"/>
      <c r="G4" s="388"/>
      <c r="H4" s="388"/>
      <c r="I4" s="389"/>
      <c r="J4" s="390"/>
      <c r="K4" s="390"/>
      <c r="L4" s="391"/>
    </row>
    <row r="5" spans="1:16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212" t="s">
        <v>1327</v>
      </c>
      <c r="J5" s="684" t="s">
        <v>264</v>
      </c>
      <c r="K5" s="685"/>
      <c r="L5" s="686"/>
    </row>
    <row r="6" spans="1:16" s="191" customFormat="1" ht="29.25" customHeight="1">
      <c r="A6" s="683"/>
      <c r="B6" s="683"/>
      <c r="C6" s="683"/>
      <c r="D6" s="683"/>
      <c r="E6" s="211" t="s">
        <v>1422</v>
      </c>
      <c r="F6" s="211" t="s">
        <v>263</v>
      </c>
      <c r="G6" s="211" t="s">
        <v>266</v>
      </c>
      <c r="H6" s="211" t="s">
        <v>265</v>
      </c>
      <c r="I6" s="392"/>
      <c r="J6" s="687"/>
      <c r="K6" s="688"/>
      <c r="L6" s="689"/>
    </row>
    <row r="7" spans="1:16" s="191" customFormat="1" ht="31.5" customHeight="1">
      <c r="A7" s="199">
        <v>1</v>
      </c>
      <c r="B7" s="200" t="s">
        <v>98</v>
      </c>
      <c r="C7" s="200" t="s">
        <v>36</v>
      </c>
      <c r="D7" s="200" t="s">
        <v>1405</v>
      </c>
      <c r="E7" s="201">
        <v>6500</v>
      </c>
      <c r="F7" s="213">
        <v>8</v>
      </c>
      <c r="G7" s="201">
        <f>50*60*8</f>
        <v>24000</v>
      </c>
      <c r="H7" s="201">
        <v>23000</v>
      </c>
      <c r="I7" s="421" t="s">
        <v>1411</v>
      </c>
      <c r="J7" s="706" t="s">
        <v>1424</v>
      </c>
      <c r="K7" s="704"/>
      <c r="L7" s="705"/>
      <c r="M7" s="192"/>
      <c r="N7" s="192"/>
      <c r="O7" s="193"/>
      <c r="P7" s="193"/>
    </row>
    <row r="8" spans="1:16" s="195" customFormat="1" ht="31.5" customHeight="1">
      <c r="A8" s="202">
        <v>2</v>
      </c>
      <c r="B8" s="203" t="s">
        <v>139</v>
      </c>
      <c r="C8" s="204" t="s">
        <v>140</v>
      </c>
      <c r="D8" s="203" t="s">
        <v>142</v>
      </c>
      <c r="E8" s="203">
        <v>76000</v>
      </c>
      <c r="F8" s="214">
        <v>8</v>
      </c>
      <c r="G8" s="203">
        <f>42*60*8</f>
        <v>20160</v>
      </c>
      <c r="H8" s="201">
        <v>18000</v>
      </c>
      <c r="I8" s="421" t="s">
        <v>1412</v>
      </c>
      <c r="J8" s="703" t="s">
        <v>1423</v>
      </c>
      <c r="K8" s="704"/>
      <c r="L8" s="705"/>
      <c r="M8" s="194"/>
      <c r="N8" s="192"/>
      <c r="O8" s="193"/>
      <c r="P8" s="193"/>
    </row>
    <row r="9" spans="1:16" s="195" customFormat="1" ht="31.5" customHeight="1">
      <c r="A9" s="202">
        <v>3</v>
      </c>
      <c r="B9" s="203" t="s">
        <v>151</v>
      </c>
      <c r="C9" s="204" t="s">
        <v>152</v>
      </c>
      <c r="D9" s="203" t="s">
        <v>210</v>
      </c>
      <c r="E9" s="203">
        <v>674600</v>
      </c>
      <c r="F9" s="214">
        <v>8</v>
      </c>
      <c r="G9" s="203">
        <f>42*60*8</f>
        <v>20160</v>
      </c>
      <c r="H9" s="201">
        <v>20000</v>
      </c>
      <c r="I9" s="421" t="s">
        <v>1413</v>
      </c>
      <c r="J9" s="706" t="s">
        <v>1425</v>
      </c>
      <c r="K9" s="704"/>
      <c r="L9" s="705"/>
      <c r="M9" s="194"/>
      <c r="N9" s="192"/>
      <c r="O9" s="193"/>
      <c r="P9" s="193"/>
    </row>
    <row r="10" spans="1:16" s="195" customFormat="1" ht="31.5" customHeight="1">
      <c r="A10" s="199">
        <v>4</v>
      </c>
      <c r="B10" s="200" t="s">
        <v>90</v>
      </c>
      <c r="C10" s="200" t="s">
        <v>91</v>
      </c>
      <c r="D10" s="200" t="s">
        <v>205</v>
      </c>
      <c r="E10" s="201">
        <v>438000</v>
      </c>
      <c r="F10" s="213">
        <v>5.5</v>
      </c>
      <c r="G10" s="201">
        <f>70*60*5.5</f>
        <v>23100</v>
      </c>
      <c r="H10" s="201">
        <v>23000</v>
      </c>
      <c r="I10" s="421" t="s">
        <v>1413</v>
      </c>
      <c r="J10" s="706" t="s">
        <v>1417</v>
      </c>
      <c r="K10" s="704"/>
      <c r="L10" s="705"/>
      <c r="M10" s="194"/>
      <c r="N10" s="192"/>
      <c r="O10" s="193"/>
      <c r="P10" s="193"/>
    </row>
    <row r="11" spans="1:16" s="191" customFormat="1" ht="31.5" customHeight="1">
      <c r="A11" s="205">
        <v>5</v>
      </c>
      <c r="B11" s="204" t="s">
        <v>168</v>
      </c>
      <c r="C11" s="204" t="s">
        <v>169</v>
      </c>
      <c r="D11" s="204" t="s">
        <v>170</v>
      </c>
      <c r="E11" s="203">
        <v>241100</v>
      </c>
      <c r="F11" s="214">
        <v>8</v>
      </c>
      <c r="G11" s="203">
        <f>50*60*8</f>
        <v>24000</v>
      </c>
      <c r="H11" s="201">
        <v>22500</v>
      </c>
      <c r="I11" s="421" t="s">
        <v>1412</v>
      </c>
      <c r="J11" s="706" t="s">
        <v>1424</v>
      </c>
      <c r="K11" s="704"/>
      <c r="L11" s="705"/>
      <c r="M11" s="196"/>
      <c r="N11" s="192"/>
      <c r="O11" s="193"/>
      <c r="P11" s="193"/>
    </row>
    <row r="12" spans="1:16" s="191" customFormat="1" ht="31.5" customHeight="1">
      <c r="A12" s="205">
        <v>6</v>
      </c>
      <c r="B12" s="204" t="s">
        <v>139</v>
      </c>
      <c r="C12" s="204" t="s">
        <v>140</v>
      </c>
      <c r="D12" s="204" t="s">
        <v>142</v>
      </c>
      <c r="E12" s="203">
        <v>76000</v>
      </c>
      <c r="F12" s="214">
        <v>8</v>
      </c>
      <c r="G12" s="203">
        <f>42*60*8</f>
        <v>20160</v>
      </c>
      <c r="H12" s="201">
        <v>6000</v>
      </c>
      <c r="I12" s="421" t="s">
        <v>1412</v>
      </c>
      <c r="J12" s="706" t="s">
        <v>1418</v>
      </c>
      <c r="K12" s="704"/>
      <c r="L12" s="705"/>
      <c r="M12" s="196"/>
      <c r="N12" s="192"/>
      <c r="O12" s="193"/>
      <c r="P12" s="193"/>
    </row>
    <row r="13" spans="1:16" s="191" customFormat="1" ht="31.5" customHeight="1">
      <c r="A13" s="205">
        <v>6</v>
      </c>
      <c r="B13" s="204" t="s">
        <v>26</v>
      </c>
      <c r="C13" s="204" t="s">
        <v>39</v>
      </c>
      <c r="D13" s="204" t="s">
        <v>51</v>
      </c>
      <c r="E13" s="203">
        <v>1617200</v>
      </c>
      <c r="F13" s="214">
        <v>8</v>
      </c>
      <c r="G13" s="203">
        <f>42*60*8</f>
        <v>20160</v>
      </c>
      <c r="H13" s="201">
        <v>8000</v>
      </c>
      <c r="I13" s="421" t="s">
        <v>1412</v>
      </c>
      <c r="J13" s="706"/>
      <c r="K13" s="704"/>
      <c r="L13" s="705"/>
      <c r="M13" s="196"/>
      <c r="N13" s="192"/>
      <c r="O13" s="193"/>
      <c r="P13" s="193"/>
    </row>
    <row r="14" spans="1:16" s="191" customFormat="1" ht="31.5" customHeight="1">
      <c r="A14" s="205">
        <v>7</v>
      </c>
      <c r="B14" s="204" t="s">
        <v>171</v>
      </c>
      <c r="C14" s="204" t="s">
        <v>172</v>
      </c>
      <c r="D14" s="204" t="s">
        <v>177</v>
      </c>
      <c r="E14" s="203">
        <v>1348000</v>
      </c>
      <c r="F14" s="214">
        <v>8</v>
      </c>
      <c r="G14" s="203">
        <f>90*60*8</f>
        <v>43200</v>
      </c>
      <c r="H14" s="201">
        <v>43000</v>
      </c>
      <c r="I14" s="421" t="s">
        <v>1414</v>
      </c>
      <c r="J14" s="706" t="s">
        <v>1420</v>
      </c>
      <c r="K14" s="704"/>
      <c r="L14" s="705"/>
      <c r="M14" s="196"/>
      <c r="N14" s="192"/>
      <c r="O14" s="193"/>
      <c r="P14" s="193"/>
    </row>
    <row r="15" spans="1:16" s="191" customFormat="1" ht="31.5" customHeight="1">
      <c r="A15" s="206" t="s">
        <v>66</v>
      </c>
      <c r="B15" s="204" t="s">
        <v>27</v>
      </c>
      <c r="C15" s="204" t="s">
        <v>40</v>
      </c>
      <c r="D15" s="204" t="s">
        <v>52</v>
      </c>
      <c r="E15" s="203">
        <v>2969300</v>
      </c>
      <c r="F15" s="214">
        <v>8</v>
      </c>
      <c r="G15" s="203">
        <f>130*60*8</f>
        <v>62400</v>
      </c>
      <c r="H15" s="201">
        <v>60000</v>
      </c>
      <c r="I15" s="421" t="s">
        <v>1414</v>
      </c>
      <c r="J15" s="703" t="s">
        <v>1426</v>
      </c>
      <c r="K15" s="704"/>
      <c r="L15" s="705"/>
      <c r="M15" s="196"/>
      <c r="N15" s="192"/>
      <c r="O15" s="193"/>
      <c r="P15" s="193"/>
    </row>
    <row r="16" spans="1:16" s="191" customFormat="1" ht="31.5" customHeight="1">
      <c r="A16" s="206" t="s">
        <v>218</v>
      </c>
      <c r="B16" s="204" t="s">
        <v>26</v>
      </c>
      <c r="C16" s="204" t="s">
        <v>39</v>
      </c>
      <c r="D16" s="204" t="s">
        <v>51</v>
      </c>
      <c r="E16" s="203">
        <v>1617200</v>
      </c>
      <c r="F16" s="214">
        <v>8</v>
      </c>
      <c r="G16" s="203">
        <f>50*60*8</f>
        <v>24000</v>
      </c>
      <c r="H16" s="201">
        <f>22000</f>
        <v>22000</v>
      </c>
      <c r="I16" s="421" t="s">
        <v>1414</v>
      </c>
      <c r="J16" s="706" t="s">
        <v>1427</v>
      </c>
      <c r="K16" s="704"/>
      <c r="L16" s="705"/>
      <c r="M16" s="196"/>
      <c r="N16" s="192"/>
      <c r="O16" s="193"/>
      <c r="P16" s="193"/>
    </row>
    <row r="17" spans="1:16" s="191" customFormat="1" ht="31.5" customHeight="1">
      <c r="A17" s="205">
        <v>8</v>
      </c>
      <c r="B17" s="204" t="s">
        <v>103</v>
      </c>
      <c r="C17" s="204" t="s">
        <v>104</v>
      </c>
      <c r="D17" s="204" t="s">
        <v>105</v>
      </c>
      <c r="E17" s="203">
        <v>80000</v>
      </c>
      <c r="F17" s="214">
        <v>8</v>
      </c>
      <c r="G17" s="203">
        <f>42*60*8</f>
        <v>20160</v>
      </c>
      <c r="H17" s="201">
        <v>20000</v>
      </c>
      <c r="I17" s="421" t="s">
        <v>1411</v>
      </c>
      <c r="J17" s="706" t="s">
        <v>1426</v>
      </c>
      <c r="K17" s="704"/>
      <c r="L17" s="705"/>
      <c r="M17" s="196"/>
      <c r="N17" s="192"/>
      <c r="O17" s="193"/>
      <c r="P17" s="193"/>
    </row>
    <row r="18" spans="1:16" s="191" customFormat="1" ht="31.5" customHeight="1">
      <c r="A18" s="205">
        <v>19</v>
      </c>
      <c r="B18" s="204" t="s">
        <v>176</v>
      </c>
      <c r="C18" s="204" t="s">
        <v>148</v>
      </c>
      <c r="D18" s="204" t="s">
        <v>194</v>
      </c>
      <c r="E18" s="203">
        <v>994700</v>
      </c>
      <c r="F18" s="214">
        <v>8</v>
      </c>
      <c r="G18" s="203">
        <f>180*60*8</f>
        <v>86400</v>
      </c>
      <c r="H18" s="201">
        <v>38400</v>
      </c>
      <c r="I18" s="421" t="s">
        <v>1415</v>
      </c>
      <c r="J18" s="706"/>
      <c r="K18" s="704"/>
      <c r="L18" s="705"/>
      <c r="M18" s="196"/>
      <c r="N18" s="192"/>
      <c r="O18" s="193"/>
      <c r="P18" s="193"/>
    </row>
    <row r="19" spans="1:16" s="191" customFormat="1" ht="31.5" customHeight="1">
      <c r="A19" s="205">
        <v>19</v>
      </c>
      <c r="B19" s="204" t="s">
        <v>32</v>
      </c>
      <c r="C19" s="204" t="s">
        <v>45</v>
      </c>
      <c r="D19" s="204" t="s">
        <v>58</v>
      </c>
      <c r="E19" s="203">
        <v>200000</v>
      </c>
      <c r="F19" s="214">
        <v>9</v>
      </c>
      <c r="G19" s="203">
        <f>180*60*8</f>
        <v>86400</v>
      </c>
      <c r="H19" s="201"/>
      <c r="I19" s="421" t="s">
        <v>1415</v>
      </c>
      <c r="J19" s="706" t="s">
        <v>1421</v>
      </c>
      <c r="K19" s="704"/>
      <c r="L19" s="705"/>
      <c r="M19" s="196"/>
      <c r="N19" s="192"/>
      <c r="O19" s="193"/>
      <c r="P19" s="193"/>
    </row>
    <row r="20" spans="1:16" s="191" customFormat="1" ht="31.5" customHeight="1">
      <c r="A20" s="206">
        <v>27</v>
      </c>
      <c r="B20" s="204" t="s">
        <v>1399</v>
      </c>
      <c r="C20" s="204" t="s">
        <v>1400</v>
      </c>
      <c r="D20" s="204" t="s">
        <v>253</v>
      </c>
      <c r="E20" s="203">
        <v>550000</v>
      </c>
      <c r="F20" s="214">
        <v>8</v>
      </c>
      <c r="G20" s="203">
        <f>150*60*8</f>
        <v>72000</v>
      </c>
      <c r="H20" s="201">
        <v>61000</v>
      </c>
      <c r="I20" s="421" t="s">
        <v>1416</v>
      </c>
      <c r="J20" s="703" t="s">
        <v>1426</v>
      </c>
      <c r="K20" s="704"/>
      <c r="L20" s="705"/>
      <c r="M20" s="196"/>
      <c r="N20" s="192"/>
      <c r="O20" s="193"/>
      <c r="P20" s="193"/>
    </row>
    <row r="21" spans="1:16" s="191" customFormat="1" ht="31.5" customHeight="1">
      <c r="A21" s="205">
        <v>18</v>
      </c>
      <c r="B21" s="204" t="s">
        <v>80</v>
      </c>
      <c r="C21" s="204" t="s">
        <v>81</v>
      </c>
      <c r="D21" s="204" t="s">
        <v>60</v>
      </c>
      <c r="E21" s="203">
        <v>2252000</v>
      </c>
      <c r="F21" s="214">
        <v>8</v>
      </c>
      <c r="G21" s="203">
        <f t="shared" ref="G21:G28" si="0">180*60*8</f>
        <v>86400</v>
      </c>
      <c r="H21" s="201">
        <f>86300</f>
        <v>86300</v>
      </c>
      <c r="I21" s="421" t="s">
        <v>1415</v>
      </c>
      <c r="J21" s="706"/>
      <c r="K21" s="704"/>
      <c r="L21" s="705"/>
      <c r="M21" s="196"/>
      <c r="N21" s="192"/>
      <c r="O21" s="193"/>
      <c r="P21" s="193"/>
    </row>
    <row r="22" spans="1:16" s="191" customFormat="1" ht="31.5" customHeight="1">
      <c r="A22" s="205">
        <v>24</v>
      </c>
      <c r="B22" s="204" t="s">
        <v>149</v>
      </c>
      <c r="C22" s="204" t="s">
        <v>150</v>
      </c>
      <c r="D22" s="204" t="s">
        <v>56</v>
      </c>
      <c r="E22" s="203">
        <v>5707900</v>
      </c>
      <c r="F22" s="214">
        <v>8</v>
      </c>
      <c r="G22" s="203">
        <f t="shared" si="0"/>
        <v>86400</v>
      </c>
      <c r="H22" s="201">
        <v>86000</v>
      </c>
      <c r="I22" s="421" t="s">
        <v>1416</v>
      </c>
      <c r="J22" s="706"/>
      <c r="K22" s="704"/>
      <c r="L22" s="705"/>
      <c r="M22" s="196"/>
      <c r="N22" s="192"/>
      <c r="O22" s="193"/>
      <c r="P22" s="193"/>
    </row>
    <row r="23" spans="1:16" s="191" customFormat="1" ht="31.5" customHeight="1">
      <c r="A23" s="205">
        <v>25</v>
      </c>
      <c r="B23" s="204" t="s">
        <v>80</v>
      </c>
      <c r="C23" s="204" t="s">
        <v>81</v>
      </c>
      <c r="D23" s="204" t="s">
        <v>60</v>
      </c>
      <c r="E23" s="203">
        <v>2252000</v>
      </c>
      <c r="F23" s="214">
        <v>8</v>
      </c>
      <c r="G23" s="203">
        <f t="shared" si="0"/>
        <v>86400</v>
      </c>
      <c r="H23" s="201">
        <v>85000</v>
      </c>
      <c r="I23" s="421" t="s">
        <v>1416</v>
      </c>
      <c r="J23" s="706"/>
      <c r="K23" s="704"/>
      <c r="L23" s="705"/>
      <c r="M23" s="196"/>
      <c r="N23" s="192"/>
      <c r="O23" s="193"/>
      <c r="P23" s="193"/>
    </row>
    <row r="24" spans="1:16" s="191" customFormat="1" ht="31.5" customHeight="1">
      <c r="A24" s="205">
        <v>16</v>
      </c>
      <c r="B24" s="204" t="s">
        <v>162</v>
      </c>
      <c r="C24" s="204" t="s">
        <v>163</v>
      </c>
      <c r="D24" s="204" t="s">
        <v>56</v>
      </c>
      <c r="E24" s="203">
        <v>1879100</v>
      </c>
      <c r="F24" s="214">
        <v>8</v>
      </c>
      <c r="G24" s="203">
        <f t="shared" si="0"/>
        <v>86400</v>
      </c>
      <c r="H24" s="201">
        <v>86400</v>
      </c>
      <c r="I24" s="421" t="s">
        <v>1415</v>
      </c>
      <c r="J24" s="706"/>
      <c r="K24" s="704"/>
      <c r="L24" s="705"/>
      <c r="M24" s="196"/>
      <c r="N24" s="192"/>
      <c r="O24" s="193"/>
      <c r="P24" s="193"/>
    </row>
    <row r="25" spans="1:16" s="191" customFormat="1" ht="31.5" customHeight="1">
      <c r="A25" s="205">
        <v>17</v>
      </c>
      <c r="B25" s="204" t="s">
        <v>695</v>
      </c>
      <c r="C25" s="204" t="s">
        <v>45</v>
      </c>
      <c r="D25" s="204" t="s">
        <v>57</v>
      </c>
      <c r="E25" s="203">
        <v>1927700</v>
      </c>
      <c r="F25" s="214">
        <v>8</v>
      </c>
      <c r="G25" s="203">
        <f t="shared" si="0"/>
        <v>86400</v>
      </c>
      <c r="H25" s="201">
        <v>85000</v>
      </c>
      <c r="I25" s="421" t="s">
        <v>1415</v>
      </c>
      <c r="J25" s="706" t="s">
        <v>1428</v>
      </c>
      <c r="K25" s="704"/>
      <c r="L25" s="705"/>
      <c r="M25" s="196"/>
      <c r="N25" s="192"/>
      <c r="O25" s="193"/>
      <c r="P25" s="193"/>
    </row>
    <row r="26" spans="1:16" s="191" customFormat="1" ht="31.5" customHeight="1">
      <c r="A26" s="205">
        <v>26</v>
      </c>
      <c r="B26" s="204" t="s">
        <v>214</v>
      </c>
      <c r="C26" s="204" t="s">
        <v>46</v>
      </c>
      <c r="D26" s="204" t="s">
        <v>56</v>
      </c>
      <c r="E26" s="203">
        <v>463100</v>
      </c>
      <c r="F26" s="214">
        <v>8</v>
      </c>
      <c r="G26" s="203">
        <f t="shared" si="0"/>
        <v>86400</v>
      </c>
      <c r="H26" s="201">
        <v>10000</v>
      </c>
      <c r="I26" s="421" t="s">
        <v>1416</v>
      </c>
      <c r="J26" s="706" t="s">
        <v>1418</v>
      </c>
      <c r="K26" s="704"/>
      <c r="L26" s="705"/>
      <c r="M26" s="196"/>
      <c r="N26" s="192"/>
      <c r="O26" s="193"/>
      <c r="P26" s="193"/>
    </row>
    <row r="27" spans="1:16" s="191" customFormat="1" ht="31.5" customHeight="1">
      <c r="A27" s="205">
        <v>26</v>
      </c>
      <c r="B27" s="204" t="s">
        <v>214</v>
      </c>
      <c r="C27" s="204" t="s">
        <v>46</v>
      </c>
      <c r="D27" s="204" t="s">
        <v>56</v>
      </c>
      <c r="E27" s="203">
        <v>463100</v>
      </c>
      <c r="F27" s="214">
        <v>8</v>
      </c>
      <c r="G27" s="203">
        <f t="shared" si="0"/>
        <v>86400</v>
      </c>
      <c r="H27" s="201">
        <v>77000</v>
      </c>
      <c r="I27" s="421" t="s">
        <v>1416</v>
      </c>
      <c r="J27" s="706"/>
      <c r="K27" s="704"/>
      <c r="L27" s="705"/>
      <c r="M27" s="196"/>
      <c r="N27" s="192"/>
      <c r="O27" s="193"/>
      <c r="P27" s="193"/>
    </row>
    <row r="28" spans="1:16" s="191" customFormat="1" ht="31.5" customHeight="1">
      <c r="A28" s="205">
        <v>15</v>
      </c>
      <c r="B28" s="204" t="s">
        <v>164</v>
      </c>
      <c r="C28" s="204" t="s">
        <v>165</v>
      </c>
      <c r="D28" s="204" t="s">
        <v>1403</v>
      </c>
      <c r="E28" s="203">
        <v>3431500</v>
      </c>
      <c r="F28" s="214">
        <v>8</v>
      </c>
      <c r="G28" s="203">
        <f t="shared" si="0"/>
        <v>86400</v>
      </c>
      <c r="H28" s="201">
        <f>86600</f>
        <v>86600</v>
      </c>
      <c r="I28" s="421" t="s">
        <v>1415</v>
      </c>
      <c r="J28" s="706"/>
      <c r="K28" s="704"/>
      <c r="L28" s="705"/>
      <c r="M28" s="196"/>
      <c r="N28" s="192"/>
      <c r="O28" s="193"/>
      <c r="P28" s="193"/>
    </row>
    <row r="29" spans="1:16" s="191" customFormat="1" ht="31.5" customHeight="1">
      <c r="A29" s="206" t="s">
        <v>251</v>
      </c>
      <c r="B29" s="210"/>
      <c r="C29" s="210"/>
      <c r="D29" s="210"/>
      <c r="E29" s="210"/>
      <c r="F29" s="210"/>
      <c r="G29" s="210"/>
      <c r="H29" s="207">
        <f>SUM(H7:H28)</f>
        <v>967200</v>
      </c>
      <c r="I29" s="394"/>
      <c r="J29" s="706"/>
      <c r="K29" s="704"/>
      <c r="L29" s="705"/>
      <c r="M29" s="196"/>
      <c r="N29" s="192"/>
    </row>
    <row r="30" spans="1:16" s="191" customFormat="1" ht="15.75" customHeight="1">
      <c r="A30" s="197"/>
      <c r="B30" s="197"/>
      <c r="C30" s="197"/>
      <c r="D30" s="197"/>
      <c r="E30" s="198"/>
      <c r="F30" s="198"/>
      <c r="G30" s="198"/>
      <c r="H30" s="198"/>
      <c r="I30" s="198"/>
      <c r="J30" s="198"/>
      <c r="K30" s="198"/>
      <c r="O30" s="192"/>
    </row>
    <row r="31" spans="1:16" s="191" customFormat="1" ht="15.75" customHeight="1">
      <c r="A31" s="197"/>
      <c r="B31" s="197"/>
      <c r="C31" s="197"/>
      <c r="D31" s="197"/>
      <c r="E31" s="198"/>
      <c r="F31" s="198"/>
      <c r="G31" s="198"/>
      <c r="H31" s="198"/>
      <c r="I31" s="198"/>
      <c r="J31" s="198"/>
      <c r="K31" s="198"/>
      <c r="O31" s="192"/>
    </row>
    <row r="32" spans="1:16" s="191" customFormat="1" ht="15.75" customHeight="1">
      <c r="A32" s="197"/>
      <c r="B32" s="197"/>
      <c r="C32" s="197"/>
      <c r="D32" s="197"/>
      <c r="E32" s="198"/>
      <c r="F32" s="198"/>
      <c r="G32" s="198"/>
      <c r="H32" s="198"/>
      <c r="I32" s="198"/>
      <c r="J32" s="198"/>
      <c r="K32" s="198"/>
      <c r="O32" s="192"/>
    </row>
    <row r="33" spans="1:15" s="191" customFormat="1" ht="15.75" customHeight="1">
      <c r="A33" s="197"/>
      <c r="B33" s="197"/>
      <c r="C33" s="197"/>
      <c r="D33" s="197"/>
      <c r="E33" s="198"/>
      <c r="F33" s="198"/>
      <c r="G33" s="198"/>
      <c r="H33" s="198"/>
      <c r="I33" s="198"/>
      <c r="J33" s="198"/>
      <c r="K33" s="198"/>
      <c r="O33" s="192"/>
    </row>
    <row r="34" spans="1:15" s="191" customFormat="1" ht="15.75" customHeight="1">
      <c r="A34" s="197"/>
      <c r="B34" s="197"/>
      <c r="C34" s="197"/>
      <c r="D34" s="197"/>
      <c r="E34" s="198"/>
      <c r="F34" s="198"/>
      <c r="G34" s="198"/>
      <c r="H34" s="198"/>
      <c r="I34" s="198"/>
      <c r="J34" s="198"/>
      <c r="K34" s="198"/>
      <c r="O34" s="192"/>
    </row>
    <row r="35" spans="1:15" s="191" customFormat="1" ht="15.75" customHeight="1">
      <c r="A35" s="197"/>
      <c r="B35" s="197"/>
      <c r="C35" s="197"/>
      <c r="D35" s="197"/>
      <c r="E35" s="198"/>
      <c r="F35" s="198"/>
      <c r="G35" s="198"/>
      <c r="H35" s="198"/>
      <c r="I35" s="198"/>
      <c r="J35" s="198"/>
      <c r="K35" s="198"/>
      <c r="O35" s="192"/>
    </row>
    <row r="36" spans="1:15" s="191" customFormat="1" ht="15.75" customHeight="1">
      <c r="A36" s="197"/>
      <c r="B36" s="197"/>
      <c r="C36" s="197"/>
      <c r="D36" s="197"/>
      <c r="E36" s="198"/>
      <c r="F36" s="198"/>
      <c r="G36" s="198"/>
      <c r="H36" s="198"/>
      <c r="I36" s="198"/>
      <c r="J36" s="198"/>
      <c r="K36" s="198"/>
      <c r="O36" s="192"/>
    </row>
    <row r="37" spans="1:15" s="191" customFormat="1" ht="15.75">
      <c r="A37" s="197"/>
      <c r="B37" s="197"/>
      <c r="C37" s="197"/>
      <c r="D37" s="197"/>
      <c r="E37" s="198"/>
      <c r="F37" s="198"/>
      <c r="G37" s="198"/>
      <c r="H37" s="198"/>
      <c r="I37" s="198"/>
      <c r="J37" s="198"/>
      <c r="K37" s="198"/>
      <c r="O37" s="192"/>
    </row>
    <row r="38" spans="1:15" s="191" customFormat="1" ht="15.75">
      <c r="A38" s="197"/>
      <c r="B38" s="197"/>
      <c r="C38" s="197"/>
      <c r="D38" s="197"/>
      <c r="E38" s="198"/>
      <c r="F38" s="198"/>
      <c r="G38" s="198"/>
      <c r="H38" s="198"/>
      <c r="I38" s="198"/>
      <c r="J38" s="198"/>
      <c r="K38" s="198"/>
      <c r="O38" s="192"/>
    </row>
    <row r="39" spans="1:15" s="191" customFormat="1" ht="15.75">
      <c r="A39" s="197"/>
      <c r="B39" s="197"/>
      <c r="C39" s="197"/>
      <c r="D39" s="197"/>
      <c r="E39" s="198"/>
      <c r="F39" s="198"/>
      <c r="G39" s="198"/>
      <c r="H39" s="198"/>
      <c r="I39" s="198"/>
      <c r="J39" s="198"/>
      <c r="K39" s="198"/>
      <c r="O39" s="192"/>
    </row>
    <row r="40" spans="1:15" s="191" customFormat="1" ht="15.75">
      <c r="A40" s="197"/>
      <c r="B40" s="197"/>
      <c r="C40" s="197"/>
      <c r="D40" s="197"/>
      <c r="E40" s="198"/>
      <c r="F40" s="198"/>
      <c r="G40" s="198"/>
      <c r="H40" s="198"/>
      <c r="I40" s="198"/>
      <c r="J40" s="198"/>
      <c r="K40" s="198"/>
      <c r="O40" s="192"/>
    </row>
    <row r="41" spans="1:15" s="191" customFormat="1" ht="15.75">
      <c r="A41" s="197"/>
      <c r="B41" s="197"/>
      <c r="C41" s="197"/>
      <c r="D41" s="197"/>
      <c r="E41" s="198"/>
      <c r="F41" s="198"/>
      <c r="G41" s="198"/>
      <c r="H41" s="198"/>
      <c r="I41" s="198"/>
      <c r="J41" s="198"/>
      <c r="K41" s="198"/>
      <c r="O41" s="192"/>
    </row>
    <row r="42" spans="1:15" s="191" customFormat="1" ht="15.75">
      <c r="A42" s="19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O42" s="192"/>
    </row>
    <row r="43" spans="1:15" s="191" customFormat="1" ht="15.75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</row>
    <row r="44" spans="1:15" s="191" customFormat="1" ht="15.75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</row>
    <row r="45" spans="1:15" s="191" customFormat="1" ht="15.75">
      <c r="A45" s="197"/>
      <c r="B45" s="197"/>
      <c r="C45" s="197"/>
      <c r="D45" s="197"/>
      <c r="E45" s="197"/>
      <c r="F45" s="197"/>
      <c r="G45" s="197"/>
      <c r="H45" s="197"/>
      <c r="I45" s="197"/>
      <c r="J45" s="197"/>
      <c r="K45" s="197"/>
    </row>
    <row r="46" spans="1:15" s="191" customFormat="1" ht="15.75">
      <c r="A46" s="197"/>
      <c r="B46" s="197"/>
      <c r="C46" s="197"/>
      <c r="D46" s="197"/>
      <c r="E46" s="197"/>
      <c r="F46" s="197"/>
      <c r="G46" s="197"/>
      <c r="H46" s="197"/>
      <c r="I46" s="197"/>
      <c r="J46" s="197"/>
      <c r="K46" s="197"/>
    </row>
    <row r="47" spans="1:15" s="191" customFormat="1" ht="15.75">
      <c r="A47" s="197"/>
      <c r="B47" s="197"/>
      <c r="C47" s="197"/>
      <c r="D47" s="197"/>
      <c r="E47" s="197"/>
      <c r="F47" s="197"/>
      <c r="G47" s="197"/>
      <c r="H47" s="197"/>
      <c r="I47" s="197"/>
      <c r="J47" s="197"/>
      <c r="K47" s="197"/>
    </row>
    <row r="48" spans="1:15" s="191" customFormat="1" ht="15.75">
      <c r="A48" s="197"/>
      <c r="B48" s="197"/>
      <c r="C48" s="197"/>
      <c r="D48" s="197"/>
      <c r="E48" s="197"/>
      <c r="F48" s="197"/>
      <c r="G48" s="197"/>
      <c r="H48" s="197"/>
      <c r="I48" s="197"/>
      <c r="J48" s="197"/>
      <c r="K48" s="197"/>
    </row>
    <row r="49" spans="1:11" s="191" customFormat="1" ht="15.75">
      <c r="A49" s="197"/>
      <c r="B49" s="197"/>
      <c r="C49" s="197"/>
      <c r="D49" s="197"/>
      <c r="E49" s="197"/>
      <c r="F49" s="197"/>
      <c r="G49" s="197"/>
      <c r="H49" s="197"/>
      <c r="I49" s="197"/>
      <c r="J49" s="197"/>
      <c r="K49" s="197"/>
    </row>
    <row r="50" spans="1:11" s="191" customFormat="1" ht="15.75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</row>
    <row r="51" spans="1:11" s="191" customFormat="1" ht="15.75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</row>
    <row r="52" spans="1:11" s="191" customFormat="1" ht="15.75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</row>
  </sheetData>
  <mergeCells count="33">
    <mergeCell ref="J25:L25"/>
    <mergeCell ref="J26:L26"/>
    <mergeCell ref="J27:L27"/>
    <mergeCell ref="J28:L28"/>
    <mergeCell ref="J29:L29"/>
    <mergeCell ref="J24:L24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12:L12"/>
    <mergeCell ref="A1:I3"/>
    <mergeCell ref="J2:J3"/>
    <mergeCell ref="K2:K3"/>
    <mergeCell ref="L2:L3"/>
    <mergeCell ref="A4:B4"/>
    <mergeCell ref="A5:A6"/>
    <mergeCell ref="B5:B6"/>
    <mergeCell ref="C5:C6"/>
    <mergeCell ref="D5:D6"/>
    <mergeCell ref="J5:L6"/>
    <mergeCell ref="J7:L7"/>
    <mergeCell ref="J8:L8"/>
    <mergeCell ref="J9:L9"/>
    <mergeCell ref="J10:L10"/>
    <mergeCell ref="J11:L11"/>
  </mergeCells>
  <phoneticPr fontId="74" type="noConversion"/>
  <conditionalFormatting sqref="H7:I28">
    <cfRule type="cellIs" dxfId="6" priority="1" operator="lessThan">
      <formula>0</formula>
    </cfRule>
  </conditionalFormatting>
  <printOptions horizontalCentered="1"/>
  <pageMargins left="0" right="0" top="0" bottom="0" header="0" footer="0"/>
  <pageSetup paperSize="9" scale="51" fitToHeight="0" orientation="portrait" r:id="rId1"/>
  <headerFooter>
    <oddFooter>&amp;LQ401-2&amp;CHANSUNGBOLT VINA&amp;RA4 (210 x 297mm)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6">
    <pageSetUpPr fitToPage="1"/>
  </sheetPr>
  <dimension ref="A1:O76"/>
  <sheetViews>
    <sheetView view="pageBreakPreview" zoomScale="60" zoomScaleNormal="85" workbookViewId="0">
      <selection activeCell="J43" sqref="A43:L43"/>
    </sheetView>
  </sheetViews>
  <sheetFormatPr defaultColWidth="9.140625" defaultRowHeight="12.75"/>
  <cols>
    <col min="1" max="1" width="12" style="189" customWidth="1"/>
    <col min="2" max="2" width="24" style="189" bestFit="1" customWidth="1"/>
    <col min="3" max="3" width="28.42578125" style="189" bestFit="1" customWidth="1"/>
    <col min="4" max="4" width="10.85546875" style="189" bestFit="1" customWidth="1"/>
    <col min="5" max="5" width="15.140625" style="189" customWidth="1"/>
    <col min="6" max="8" width="18.42578125" style="189" customWidth="1"/>
    <col min="9" max="10" width="13.42578125" style="189" customWidth="1"/>
    <col min="11" max="11" width="13.42578125" style="190" customWidth="1"/>
    <col min="12" max="12" width="10.42578125" style="190" bestFit="1" customWidth="1"/>
    <col min="13" max="13" width="10.42578125" style="190" customWidth="1"/>
    <col min="14" max="14" width="10.85546875" style="190" bestFit="1" customWidth="1"/>
    <col min="15" max="15" width="17" style="190" customWidth="1"/>
    <col min="16" max="16" width="3.42578125" style="190" customWidth="1"/>
    <col min="17" max="17" width="15.42578125" style="190" customWidth="1"/>
    <col min="18" max="44" width="3.42578125" style="190" customWidth="1"/>
    <col min="45" max="16384" width="9.140625" style="190"/>
  </cols>
  <sheetData>
    <row r="1" spans="1:15" ht="31.5" customHeight="1">
      <c r="A1" s="690" t="s">
        <v>6</v>
      </c>
      <c r="B1" s="691"/>
      <c r="C1" s="691"/>
      <c r="D1" s="691"/>
      <c r="E1" s="691"/>
      <c r="F1" s="691"/>
      <c r="G1" s="691"/>
      <c r="H1" s="692"/>
      <c r="I1" s="387" t="s">
        <v>5</v>
      </c>
      <c r="J1" s="387" t="s">
        <v>17</v>
      </c>
      <c r="K1" s="386" t="s">
        <v>0</v>
      </c>
    </row>
    <row r="2" spans="1:15" ht="31.5" customHeight="1">
      <c r="A2" s="693"/>
      <c r="B2" s="694"/>
      <c r="C2" s="694"/>
      <c r="D2" s="694"/>
      <c r="E2" s="694"/>
      <c r="F2" s="694"/>
      <c r="G2" s="694"/>
      <c r="H2" s="695"/>
      <c r="I2" s="696"/>
      <c r="J2" s="696"/>
      <c r="K2" s="697"/>
    </row>
    <row r="3" spans="1:15" ht="31.5" customHeight="1">
      <c r="A3" s="693"/>
      <c r="B3" s="694"/>
      <c r="C3" s="694"/>
      <c r="D3" s="694"/>
      <c r="E3" s="694"/>
      <c r="F3" s="694"/>
      <c r="G3" s="694"/>
      <c r="H3" s="695"/>
      <c r="I3" s="696"/>
      <c r="J3" s="696"/>
      <c r="K3" s="697"/>
    </row>
    <row r="4" spans="1:15" ht="20.25" customHeight="1">
      <c r="A4" s="698" t="s">
        <v>1291</v>
      </c>
      <c r="B4" s="699"/>
      <c r="C4" s="388"/>
      <c r="D4" s="388"/>
      <c r="E4" s="388"/>
      <c r="F4" s="388"/>
      <c r="G4" s="388"/>
      <c r="H4" s="389"/>
      <c r="I4" s="390"/>
      <c r="J4" s="390"/>
      <c r="K4" s="391"/>
    </row>
    <row r="5" spans="1:15" ht="40.5" customHeight="1">
      <c r="A5" s="682" t="s">
        <v>260</v>
      </c>
      <c r="B5" s="682" t="s">
        <v>257</v>
      </c>
      <c r="C5" s="682" t="s">
        <v>258</v>
      </c>
      <c r="D5" s="682" t="s">
        <v>259</v>
      </c>
      <c r="E5" s="212" t="s">
        <v>267</v>
      </c>
      <c r="F5" s="212" t="s">
        <v>268</v>
      </c>
      <c r="G5" s="212" t="s">
        <v>269</v>
      </c>
      <c r="H5" s="212" t="s">
        <v>276</v>
      </c>
      <c r="I5" s="684" t="s">
        <v>264</v>
      </c>
      <c r="J5" s="685"/>
      <c r="K5" s="686"/>
    </row>
    <row r="6" spans="1:15" s="191" customFormat="1" ht="29.25" customHeight="1">
      <c r="A6" s="683"/>
      <c r="B6" s="683"/>
      <c r="C6" s="683"/>
      <c r="D6" s="683"/>
      <c r="E6" s="211" t="s">
        <v>1296</v>
      </c>
      <c r="F6" s="211" t="s">
        <v>263</v>
      </c>
      <c r="G6" s="211" t="s">
        <v>266</v>
      </c>
      <c r="H6" s="211" t="s">
        <v>265</v>
      </c>
      <c r="I6" s="687"/>
      <c r="J6" s="688"/>
      <c r="K6" s="689"/>
    </row>
    <row r="7" spans="1:15" s="191" customFormat="1" ht="25.5" customHeight="1">
      <c r="A7" s="199">
        <v>1</v>
      </c>
      <c r="B7" s="200" t="s">
        <v>23</v>
      </c>
      <c r="C7" s="200" t="s">
        <v>36</v>
      </c>
      <c r="D7" s="200" t="s">
        <v>48</v>
      </c>
      <c r="E7" s="201">
        <v>338000</v>
      </c>
      <c r="F7" s="213">
        <v>10.5</v>
      </c>
      <c r="G7" s="201">
        <f>42*60*10.5</f>
        <v>26460</v>
      </c>
      <c r="H7" s="201"/>
      <c r="I7" s="706"/>
      <c r="J7" s="704"/>
      <c r="K7" s="705"/>
      <c r="L7" s="192"/>
      <c r="M7" s="192"/>
      <c r="N7" s="193"/>
      <c r="O7" s="193"/>
    </row>
    <row r="8" spans="1:15" s="191" customFormat="1" ht="25.5" customHeight="1">
      <c r="A8" s="199">
        <v>2</v>
      </c>
      <c r="B8" s="200" t="s">
        <v>215</v>
      </c>
      <c r="C8" s="200" t="s">
        <v>216</v>
      </c>
      <c r="D8" s="200" t="s">
        <v>217</v>
      </c>
      <c r="E8" s="201">
        <v>26600</v>
      </c>
      <c r="F8" s="213">
        <v>10</v>
      </c>
      <c r="G8" s="201">
        <f>42*60*10</f>
        <v>25200</v>
      </c>
      <c r="H8" s="201">
        <v>21800</v>
      </c>
      <c r="I8" s="706"/>
      <c r="J8" s="704"/>
      <c r="K8" s="705"/>
      <c r="L8" s="192"/>
      <c r="M8" s="192"/>
      <c r="N8" s="193"/>
      <c r="O8" s="193"/>
    </row>
    <row r="9" spans="1:15" s="191" customFormat="1" ht="25.5" customHeight="1">
      <c r="A9" s="199">
        <v>2</v>
      </c>
      <c r="B9" s="200" t="s">
        <v>92</v>
      </c>
      <c r="C9" s="200" t="s">
        <v>93</v>
      </c>
      <c r="D9" s="200" t="s">
        <v>94</v>
      </c>
      <c r="E9" s="201">
        <v>50000</v>
      </c>
      <c r="F9" s="213">
        <v>10</v>
      </c>
      <c r="G9" s="201">
        <f>42*60*10</f>
        <v>25200</v>
      </c>
      <c r="H9" s="201"/>
      <c r="I9" s="706"/>
      <c r="J9" s="704"/>
      <c r="K9" s="705"/>
      <c r="L9" s="192"/>
      <c r="M9" s="192"/>
      <c r="N9" s="193"/>
      <c r="O9" s="193"/>
    </row>
    <row r="10" spans="1:15" s="191" customFormat="1" ht="25.5" customHeight="1">
      <c r="A10" s="199">
        <v>3</v>
      </c>
      <c r="B10" s="200" t="s">
        <v>151</v>
      </c>
      <c r="C10" s="200" t="s">
        <v>152</v>
      </c>
      <c r="D10" s="200" t="s">
        <v>210</v>
      </c>
      <c r="E10" s="201">
        <v>1185700</v>
      </c>
      <c r="F10" s="213">
        <v>10.5</v>
      </c>
      <c r="G10" s="201">
        <f>45*60*10.5</f>
        <v>28350</v>
      </c>
      <c r="H10" s="201">
        <v>31000</v>
      </c>
      <c r="I10" s="706" t="s">
        <v>271</v>
      </c>
      <c r="J10" s="704"/>
      <c r="K10" s="705"/>
      <c r="L10" s="192"/>
      <c r="M10" s="192"/>
      <c r="N10" s="193"/>
      <c r="O10" s="193"/>
    </row>
    <row r="11" spans="1:15" s="195" customFormat="1" ht="25.5" customHeight="1">
      <c r="A11" s="202">
        <v>4</v>
      </c>
      <c r="B11" s="203" t="s">
        <v>90</v>
      </c>
      <c r="C11" s="203" t="s">
        <v>91</v>
      </c>
      <c r="D11" s="203" t="s">
        <v>205</v>
      </c>
      <c r="E11" s="203">
        <v>897300</v>
      </c>
      <c r="F11" s="214">
        <v>10.5</v>
      </c>
      <c r="G11" s="203">
        <f>70*60*10.5</f>
        <v>44100</v>
      </c>
      <c r="H11" s="201">
        <v>46000</v>
      </c>
      <c r="I11" s="706"/>
      <c r="J11" s="704"/>
      <c r="K11" s="705"/>
      <c r="L11" s="194"/>
      <c r="M11" s="192"/>
      <c r="N11" s="193"/>
      <c r="O11" s="193"/>
    </row>
    <row r="12" spans="1:15" s="195" customFormat="1" ht="25.5" customHeight="1">
      <c r="A12" s="202">
        <v>5</v>
      </c>
      <c r="B12" s="203" t="s">
        <v>159</v>
      </c>
      <c r="C12" s="204" t="s">
        <v>160</v>
      </c>
      <c r="D12" s="203" t="s">
        <v>161</v>
      </c>
      <c r="E12" s="203">
        <v>124600</v>
      </c>
      <c r="F12" s="214">
        <v>8</v>
      </c>
      <c r="G12" s="203">
        <f>45*60*8</f>
        <v>21600</v>
      </c>
      <c r="H12" s="201">
        <v>19200</v>
      </c>
      <c r="I12" s="706" t="s">
        <v>272</v>
      </c>
      <c r="J12" s="704"/>
      <c r="K12" s="705"/>
      <c r="L12" s="194"/>
      <c r="M12" s="192"/>
      <c r="N12" s="193"/>
      <c r="O12" s="193"/>
    </row>
    <row r="13" spans="1:15" s="195" customFormat="1" ht="25.5" customHeight="1">
      <c r="A13" s="199">
        <v>6</v>
      </c>
      <c r="B13" s="200" t="s">
        <v>144</v>
      </c>
      <c r="C13" s="200" t="s">
        <v>145</v>
      </c>
      <c r="D13" s="200" t="s">
        <v>146</v>
      </c>
      <c r="E13" s="201">
        <v>252500</v>
      </c>
      <c r="F13" s="213">
        <v>10</v>
      </c>
      <c r="G13" s="201">
        <f>42*60*10</f>
        <v>25200</v>
      </c>
      <c r="H13" s="201">
        <v>23500</v>
      </c>
      <c r="I13" s="706"/>
      <c r="J13" s="704"/>
      <c r="K13" s="705"/>
      <c r="L13" s="194"/>
      <c r="M13" s="192"/>
      <c r="N13" s="193"/>
      <c r="O13" s="193"/>
    </row>
    <row r="14" spans="1:15" s="195" customFormat="1" ht="25.5" customHeight="1">
      <c r="A14" s="199">
        <v>6</v>
      </c>
      <c r="B14" s="200" t="s">
        <v>144</v>
      </c>
      <c r="C14" s="200" t="s">
        <v>145</v>
      </c>
      <c r="D14" s="200" t="s">
        <v>146</v>
      </c>
      <c r="E14" s="201">
        <v>252500</v>
      </c>
      <c r="F14" s="213">
        <v>8</v>
      </c>
      <c r="G14" s="201"/>
      <c r="H14" s="201"/>
      <c r="I14" s="706"/>
      <c r="J14" s="704"/>
      <c r="K14" s="705"/>
      <c r="L14" s="194"/>
      <c r="M14" s="192"/>
      <c r="N14" s="193"/>
      <c r="O14" s="193"/>
    </row>
    <row r="15" spans="1:15" s="195" customFormat="1" ht="25.5" customHeight="1">
      <c r="A15" s="202">
        <v>7</v>
      </c>
      <c r="B15" s="203" t="s">
        <v>171</v>
      </c>
      <c r="C15" s="204" t="s">
        <v>172</v>
      </c>
      <c r="D15" s="203" t="s">
        <v>177</v>
      </c>
      <c r="E15" s="203">
        <v>1458000</v>
      </c>
      <c r="F15" s="214">
        <v>10.5</v>
      </c>
      <c r="G15" s="203">
        <f>100*60*10.5</f>
        <v>63000</v>
      </c>
      <c r="H15" s="201">
        <v>60000</v>
      </c>
      <c r="I15" s="706" t="s">
        <v>280</v>
      </c>
      <c r="J15" s="704"/>
      <c r="K15" s="705"/>
      <c r="L15" s="194"/>
      <c r="M15" s="192"/>
      <c r="N15" s="193"/>
      <c r="O15" s="193"/>
    </row>
    <row r="16" spans="1:15" s="195" customFormat="1" ht="25.5" customHeight="1">
      <c r="A16" s="202" t="s">
        <v>66</v>
      </c>
      <c r="B16" s="203" t="s">
        <v>27</v>
      </c>
      <c r="C16" s="204" t="s">
        <v>40</v>
      </c>
      <c r="D16" s="203" t="s">
        <v>52</v>
      </c>
      <c r="E16" s="203">
        <v>4688000</v>
      </c>
      <c r="F16" s="214">
        <v>10.5</v>
      </c>
      <c r="G16" s="203">
        <f>138*60*10.5</f>
        <v>86940</v>
      </c>
      <c r="H16" s="201">
        <v>82000</v>
      </c>
      <c r="I16" s="706"/>
      <c r="J16" s="704"/>
      <c r="K16" s="705"/>
      <c r="L16" s="194"/>
      <c r="M16" s="192"/>
      <c r="N16" s="193"/>
      <c r="O16" s="193"/>
    </row>
    <row r="17" spans="1:15" s="191" customFormat="1" ht="25.5" customHeight="1">
      <c r="A17" s="202" t="s">
        <v>218</v>
      </c>
      <c r="B17" s="203" t="s">
        <v>223</v>
      </c>
      <c r="C17" s="204" t="s">
        <v>224</v>
      </c>
      <c r="D17" s="203" t="s">
        <v>225</v>
      </c>
      <c r="E17" s="203">
        <v>159000</v>
      </c>
      <c r="F17" s="214">
        <v>10.5</v>
      </c>
      <c r="G17" s="203">
        <f>50*60*10.5</f>
        <v>31500</v>
      </c>
      <c r="H17" s="201">
        <v>12000</v>
      </c>
      <c r="I17" s="706" t="s">
        <v>274</v>
      </c>
      <c r="J17" s="704"/>
      <c r="K17" s="705"/>
      <c r="L17" s="192"/>
      <c r="M17" s="192"/>
      <c r="N17" s="193"/>
      <c r="O17" s="193"/>
    </row>
    <row r="18" spans="1:15" s="191" customFormat="1" ht="25.5" customHeight="1">
      <c r="A18" s="205">
        <v>8</v>
      </c>
      <c r="B18" s="204" t="s">
        <v>241</v>
      </c>
      <c r="C18" s="204" t="s">
        <v>242</v>
      </c>
      <c r="D18" s="204" t="s">
        <v>243</v>
      </c>
      <c r="E18" s="203">
        <v>171500</v>
      </c>
      <c r="F18" s="214">
        <v>10.5</v>
      </c>
      <c r="G18" s="203">
        <f>50*60*10.5</f>
        <v>31500</v>
      </c>
      <c r="H18" s="201">
        <v>28500</v>
      </c>
      <c r="I18" s="706" t="s">
        <v>256</v>
      </c>
      <c r="J18" s="704"/>
      <c r="K18" s="705"/>
      <c r="L18" s="196"/>
      <c r="M18" s="192"/>
      <c r="N18" s="193"/>
      <c r="O18" s="193"/>
    </row>
    <row r="19" spans="1:15" s="191" customFormat="1" ht="25.5" customHeight="1">
      <c r="A19" s="205" t="s">
        <v>228</v>
      </c>
      <c r="B19" s="204" t="s">
        <v>28</v>
      </c>
      <c r="C19" s="204" t="s">
        <v>41</v>
      </c>
      <c r="D19" s="204" t="s">
        <v>53</v>
      </c>
      <c r="E19" s="203">
        <v>2550000</v>
      </c>
      <c r="F19" s="214">
        <v>8</v>
      </c>
      <c r="G19" s="203">
        <f>45*60*8</f>
        <v>21600</v>
      </c>
      <c r="H19" s="201">
        <v>15000</v>
      </c>
      <c r="I19" s="706" t="s">
        <v>273</v>
      </c>
      <c r="J19" s="704"/>
      <c r="K19" s="705"/>
      <c r="L19" s="196"/>
      <c r="M19" s="192"/>
      <c r="N19" s="193"/>
      <c r="O19" s="193"/>
    </row>
    <row r="20" spans="1:15" s="191" customFormat="1" ht="25.5" customHeight="1">
      <c r="A20" s="205">
        <v>10</v>
      </c>
      <c r="B20" s="204" t="s">
        <v>229</v>
      </c>
      <c r="C20" s="204" t="s">
        <v>220</v>
      </c>
      <c r="D20" s="204" t="s">
        <v>230</v>
      </c>
      <c r="E20" s="203">
        <v>1000</v>
      </c>
      <c r="F20" s="214">
        <v>8</v>
      </c>
      <c r="G20" s="203">
        <f>50*60*8</f>
        <v>24000</v>
      </c>
      <c r="H20" s="201"/>
      <c r="I20" s="706" t="s">
        <v>275</v>
      </c>
      <c r="J20" s="704"/>
      <c r="K20" s="705"/>
      <c r="L20" s="196"/>
      <c r="M20" s="192"/>
      <c r="N20" s="193"/>
      <c r="O20" s="193"/>
    </row>
    <row r="21" spans="1:15" s="191" customFormat="1" ht="25.5" customHeight="1">
      <c r="A21" s="205">
        <v>10</v>
      </c>
      <c r="B21" s="204" t="s">
        <v>248</v>
      </c>
      <c r="C21" s="204" t="s">
        <v>249</v>
      </c>
      <c r="D21" s="204" t="s">
        <v>105</v>
      </c>
      <c r="E21" s="203">
        <v>300000</v>
      </c>
      <c r="F21" s="214">
        <v>8</v>
      </c>
      <c r="G21" s="203">
        <f>50*60*8</f>
        <v>24000</v>
      </c>
      <c r="H21" s="201"/>
      <c r="I21" s="706" t="s">
        <v>275</v>
      </c>
      <c r="J21" s="704"/>
      <c r="K21" s="705"/>
      <c r="L21" s="196"/>
      <c r="M21" s="192"/>
      <c r="N21" s="193"/>
      <c r="O21" s="193"/>
    </row>
    <row r="22" spans="1:15" s="191" customFormat="1" ht="25.5" customHeight="1">
      <c r="A22" s="205">
        <v>11</v>
      </c>
      <c r="B22" s="204" t="s">
        <v>232</v>
      </c>
      <c r="C22" s="204" t="s">
        <v>220</v>
      </c>
      <c r="D22" s="204" t="s">
        <v>233</v>
      </c>
      <c r="E22" s="203">
        <v>1000</v>
      </c>
      <c r="F22" s="214">
        <v>8</v>
      </c>
      <c r="G22" s="203">
        <f>110*60*8</f>
        <v>52800</v>
      </c>
      <c r="H22" s="201"/>
      <c r="I22" s="706" t="s">
        <v>275</v>
      </c>
      <c r="J22" s="704"/>
      <c r="K22" s="705"/>
      <c r="L22" s="196"/>
      <c r="M22" s="192"/>
      <c r="N22" s="193"/>
      <c r="O22" s="193"/>
    </row>
    <row r="23" spans="1:15" s="191" customFormat="1" ht="25.5" customHeight="1">
      <c r="A23" s="205">
        <v>11</v>
      </c>
      <c r="B23" s="204" t="s">
        <v>234</v>
      </c>
      <c r="C23" s="204" t="s">
        <v>235</v>
      </c>
      <c r="D23" s="204" t="s">
        <v>236</v>
      </c>
      <c r="E23" s="203">
        <v>160000</v>
      </c>
      <c r="F23" s="214">
        <v>8</v>
      </c>
      <c r="G23" s="203">
        <f>110*60*8</f>
        <v>52800</v>
      </c>
      <c r="H23" s="201"/>
      <c r="I23" s="706" t="s">
        <v>275</v>
      </c>
      <c r="J23" s="704"/>
      <c r="K23" s="705"/>
      <c r="L23" s="196"/>
      <c r="M23" s="192"/>
      <c r="N23" s="193"/>
      <c r="O23" s="193"/>
    </row>
    <row r="24" spans="1:15" s="191" customFormat="1" ht="25.5" customHeight="1">
      <c r="A24" s="206">
        <v>12</v>
      </c>
      <c r="B24" s="204" t="s">
        <v>226</v>
      </c>
      <c r="C24" s="204" t="s">
        <v>227</v>
      </c>
      <c r="D24" s="204" t="s">
        <v>54</v>
      </c>
      <c r="E24" s="203">
        <v>529000</v>
      </c>
      <c r="F24" s="214">
        <v>8</v>
      </c>
      <c r="G24" s="203">
        <f>110*60*8</f>
        <v>52800</v>
      </c>
      <c r="H24" s="201">
        <v>58000</v>
      </c>
      <c r="I24" s="706" t="s">
        <v>275</v>
      </c>
      <c r="J24" s="704"/>
      <c r="K24" s="705"/>
      <c r="L24" s="196"/>
      <c r="M24" s="192"/>
      <c r="N24" s="193"/>
      <c r="O24" s="193"/>
    </row>
    <row r="25" spans="1:15" s="191" customFormat="1" ht="25.5" customHeight="1">
      <c r="A25" s="206">
        <v>13</v>
      </c>
      <c r="B25" s="204" t="s">
        <v>87</v>
      </c>
      <c r="C25" s="204" t="s">
        <v>81</v>
      </c>
      <c r="D25" s="204" t="s">
        <v>54</v>
      </c>
      <c r="E25" s="203">
        <v>602000</v>
      </c>
      <c r="F25" s="214">
        <v>10.5</v>
      </c>
      <c r="G25" s="203">
        <f>120*60*10.5</f>
        <v>75600</v>
      </c>
      <c r="H25" s="201">
        <v>78000</v>
      </c>
      <c r="I25" s="706" t="s">
        <v>275</v>
      </c>
      <c r="J25" s="704"/>
      <c r="K25" s="705"/>
      <c r="L25" s="196"/>
      <c r="M25" s="192"/>
      <c r="N25" s="193"/>
      <c r="O25" s="193"/>
    </row>
    <row r="26" spans="1:15" s="191" customFormat="1" ht="25.5" customHeight="1">
      <c r="A26" s="206">
        <v>14</v>
      </c>
      <c r="B26" s="204" t="s">
        <v>29</v>
      </c>
      <c r="C26" s="204" t="s">
        <v>42</v>
      </c>
      <c r="D26" s="204" t="s">
        <v>54</v>
      </c>
      <c r="E26" s="203">
        <v>595000</v>
      </c>
      <c r="F26" s="214">
        <v>10.5</v>
      </c>
      <c r="G26" s="203">
        <f>120*60*10.5</f>
        <v>75600</v>
      </c>
      <c r="H26" s="201">
        <v>72000</v>
      </c>
      <c r="I26" s="706" t="s">
        <v>275</v>
      </c>
      <c r="J26" s="704"/>
      <c r="K26" s="705"/>
      <c r="L26" s="196"/>
      <c r="M26" s="192"/>
      <c r="N26" s="193"/>
      <c r="O26" s="193"/>
    </row>
    <row r="27" spans="1:15" s="191" customFormat="1" ht="25.5" customHeight="1">
      <c r="A27" s="205" t="s">
        <v>261</v>
      </c>
      <c r="B27" s="204" t="s">
        <v>149</v>
      </c>
      <c r="C27" s="204" t="s">
        <v>150</v>
      </c>
      <c r="D27" s="204" t="s">
        <v>56</v>
      </c>
      <c r="E27" s="203">
        <v>6845300</v>
      </c>
      <c r="F27" s="214">
        <v>11</v>
      </c>
      <c r="G27" s="203">
        <f>180*60*11</f>
        <v>118800</v>
      </c>
      <c r="H27" s="201">
        <v>33100</v>
      </c>
      <c r="I27" s="706" t="s">
        <v>1292</v>
      </c>
      <c r="J27" s="704"/>
      <c r="K27" s="705"/>
      <c r="L27" s="196"/>
      <c r="M27" s="192"/>
      <c r="N27" s="193"/>
      <c r="O27" s="193"/>
    </row>
    <row r="28" spans="1:15" s="191" customFormat="1" ht="25.5" customHeight="1">
      <c r="A28" s="205" t="s">
        <v>262</v>
      </c>
      <c r="B28" s="204" t="s">
        <v>149</v>
      </c>
      <c r="C28" s="204" t="s">
        <v>150</v>
      </c>
      <c r="D28" s="204" t="s">
        <v>56</v>
      </c>
      <c r="E28" s="203">
        <v>6845300</v>
      </c>
      <c r="F28" s="214">
        <v>11</v>
      </c>
      <c r="G28" s="203">
        <f>180*60*11</f>
        <v>118800</v>
      </c>
      <c r="H28" s="201">
        <v>50000</v>
      </c>
      <c r="I28" s="706" t="s">
        <v>1292</v>
      </c>
      <c r="J28" s="704"/>
      <c r="K28" s="705"/>
      <c r="L28" s="196"/>
      <c r="M28" s="192"/>
      <c r="N28" s="193"/>
      <c r="O28" s="193"/>
    </row>
    <row r="29" spans="1:15" s="191" customFormat="1" ht="25.5" customHeight="1">
      <c r="A29" s="205">
        <v>24</v>
      </c>
      <c r="B29" s="204" t="s">
        <v>149</v>
      </c>
      <c r="C29" s="204" t="s">
        <v>150</v>
      </c>
      <c r="D29" s="204" t="s">
        <v>56</v>
      </c>
      <c r="E29" s="203">
        <v>6845300</v>
      </c>
      <c r="F29" s="214">
        <v>8</v>
      </c>
      <c r="G29" s="203">
        <f>180*60*8</f>
        <v>86400</v>
      </c>
      <c r="H29" s="201">
        <v>50000</v>
      </c>
      <c r="I29" s="706" t="s">
        <v>1292</v>
      </c>
      <c r="J29" s="704"/>
      <c r="K29" s="705"/>
      <c r="L29" s="196"/>
      <c r="M29" s="192"/>
      <c r="N29" s="193"/>
      <c r="O29" s="193"/>
    </row>
    <row r="30" spans="1:15" s="191" customFormat="1" ht="25.5" customHeight="1">
      <c r="A30" s="205">
        <v>19</v>
      </c>
      <c r="B30" s="204" t="s">
        <v>252</v>
      </c>
      <c r="C30" s="204" t="s">
        <v>201</v>
      </c>
      <c r="D30" s="204" t="s">
        <v>253</v>
      </c>
      <c r="E30" s="203">
        <v>42400</v>
      </c>
      <c r="F30" s="214">
        <v>10.5</v>
      </c>
      <c r="G30" s="203">
        <f>180*60*10.5</f>
        <v>113400</v>
      </c>
      <c r="H30" s="201">
        <v>103400</v>
      </c>
      <c r="I30" s="706"/>
      <c r="J30" s="704"/>
      <c r="K30" s="705"/>
      <c r="L30" s="196"/>
      <c r="M30" s="192"/>
      <c r="N30" s="193"/>
      <c r="O30" s="193"/>
    </row>
    <row r="31" spans="1:15" s="191" customFormat="1" ht="25.5" customHeight="1">
      <c r="A31" s="205">
        <v>19</v>
      </c>
      <c r="B31" s="204" t="s">
        <v>176</v>
      </c>
      <c r="C31" s="204" t="s">
        <v>148</v>
      </c>
      <c r="D31" s="204" t="s">
        <v>153</v>
      </c>
      <c r="E31" s="203">
        <v>2774900</v>
      </c>
      <c r="F31" s="214">
        <v>11</v>
      </c>
      <c r="G31" s="203">
        <f>180*60*11</f>
        <v>118800</v>
      </c>
      <c r="H31" s="201"/>
      <c r="I31" s="706"/>
      <c r="J31" s="704"/>
      <c r="K31" s="705"/>
      <c r="L31" s="196"/>
      <c r="M31" s="192"/>
      <c r="N31" s="193"/>
      <c r="O31" s="193"/>
    </row>
    <row r="32" spans="1:15" s="191" customFormat="1" ht="25.5" customHeight="1">
      <c r="A32" s="205" t="s">
        <v>244</v>
      </c>
      <c r="B32" s="204" t="s">
        <v>176</v>
      </c>
      <c r="C32" s="204" t="s">
        <v>148</v>
      </c>
      <c r="D32" s="204" t="s">
        <v>153</v>
      </c>
      <c r="E32" s="203">
        <v>2774900</v>
      </c>
      <c r="F32" s="214">
        <v>11.5</v>
      </c>
      <c r="G32" s="203">
        <f>180*60*11.5</f>
        <v>124200</v>
      </c>
      <c r="H32" s="201">
        <v>124000</v>
      </c>
      <c r="I32" s="706"/>
      <c r="J32" s="704"/>
      <c r="K32" s="705"/>
      <c r="L32" s="196"/>
      <c r="M32" s="192"/>
      <c r="N32" s="193"/>
      <c r="O32" s="193"/>
    </row>
    <row r="33" spans="1:15" s="191" customFormat="1" ht="25.5" customHeight="1">
      <c r="A33" s="205">
        <v>25</v>
      </c>
      <c r="B33" s="204" t="s">
        <v>239</v>
      </c>
      <c r="C33" s="204" t="s">
        <v>240</v>
      </c>
      <c r="D33" s="204" t="s">
        <v>58</v>
      </c>
      <c r="E33" s="203">
        <v>130800</v>
      </c>
      <c r="F33" s="214">
        <v>8</v>
      </c>
      <c r="G33" s="203">
        <f>150*60*8</f>
        <v>72000</v>
      </c>
      <c r="H33" s="201">
        <v>53700</v>
      </c>
      <c r="I33" s="706" t="s">
        <v>1293</v>
      </c>
      <c r="J33" s="704"/>
      <c r="K33" s="705"/>
      <c r="L33" s="196"/>
      <c r="M33" s="192"/>
      <c r="N33" s="193"/>
      <c r="O33" s="193"/>
    </row>
    <row r="34" spans="1:15" s="191" customFormat="1" ht="25.5" customHeight="1">
      <c r="A34" s="205">
        <v>26</v>
      </c>
      <c r="B34" s="204" t="s">
        <v>190</v>
      </c>
      <c r="C34" s="204" t="s">
        <v>191</v>
      </c>
      <c r="D34" s="204" t="s">
        <v>86</v>
      </c>
      <c r="E34" s="203">
        <v>1117300</v>
      </c>
      <c r="F34" s="214">
        <v>9</v>
      </c>
      <c r="G34" s="203">
        <f>150*60*8</f>
        <v>72000</v>
      </c>
      <c r="H34" s="201">
        <v>52400</v>
      </c>
      <c r="I34" s="706" t="s">
        <v>1292</v>
      </c>
      <c r="J34" s="704"/>
      <c r="K34" s="705"/>
      <c r="L34" s="196"/>
      <c r="M34" s="192"/>
      <c r="N34" s="193"/>
      <c r="O34" s="193"/>
    </row>
    <row r="35" spans="1:15" s="191" customFormat="1" ht="25.5" customHeight="1">
      <c r="A35" s="206">
        <v>31</v>
      </c>
      <c r="B35" s="204" t="s">
        <v>221</v>
      </c>
      <c r="C35" s="204" t="s">
        <v>204</v>
      </c>
      <c r="D35" s="204" t="s">
        <v>56</v>
      </c>
      <c r="E35" s="203" t="s">
        <v>1287</v>
      </c>
      <c r="F35" s="214"/>
      <c r="G35" s="203"/>
      <c r="H35" s="201">
        <v>26000</v>
      </c>
      <c r="I35" s="706" t="s">
        <v>1294</v>
      </c>
      <c r="J35" s="704"/>
      <c r="K35" s="705"/>
      <c r="L35" s="196"/>
      <c r="M35" s="192"/>
      <c r="N35" s="193"/>
      <c r="O35" s="193"/>
    </row>
    <row r="36" spans="1:15" s="191" customFormat="1" ht="25.5" customHeight="1">
      <c r="A36" s="206">
        <v>22</v>
      </c>
      <c r="B36" s="204" t="s">
        <v>118</v>
      </c>
      <c r="C36" s="204" t="s">
        <v>213</v>
      </c>
      <c r="D36" s="204" t="s">
        <v>56</v>
      </c>
      <c r="E36" s="203">
        <v>332200</v>
      </c>
      <c r="F36" s="214">
        <v>8</v>
      </c>
      <c r="G36" s="203">
        <f>150*60*8</f>
        <v>72000</v>
      </c>
      <c r="H36" s="201">
        <v>31000</v>
      </c>
      <c r="I36" s="706" t="s">
        <v>1295</v>
      </c>
      <c r="J36" s="704"/>
      <c r="K36" s="705"/>
      <c r="L36" s="196"/>
      <c r="M36" s="192"/>
      <c r="N36" s="193"/>
      <c r="O36" s="193"/>
    </row>
    <row r="37" spans="1:15" s="191" customFormat="1" ht="25.5" customHeight="1">
      <c r="A37" s="206">
        <v>15</v>
      </c>
      <c r="B37" s="204" t="s">
        <v>162</v>
      </c>
      <c r="C37" s="204" t="s">
        <v>163</v>
      </c>
      <c r="D37" s="204" t="s">
        <v>56</v>
      </c>
      <c r="E37" s="203">
        <v>3523100</v>
      </c>
      <c r="F37" s="214">
        <v>8</v>
      </c>
      <c r="G37" s="203"/>
      <c r="H37" s="201"/>
      <c r="I37" s="706" t="s">
        <v>279</v>
      </c>
      <c r="J37" s="704"/>
      <c r="K37" s="705"/>
      <c r="L37" s="196"/>
      <c r="M37" s="192"/>
      <c r="N37" s="193"/>
      <c r="O37" s="193"/>
    </row>
    <row r="38" spans="1:15" s="191" customFormat="1" ht="25.5" customHeight="1">
      <c r="A38" s="206">
        <v>21</v>
      </c>
      <c r="B38" s="204" t="s">
        <v>162</v>
      </c>
      <c r="C38" s="204" t="s">
        <v>163</v>
      </c>
      <c r="D38" s="204" t="s">
        <v>56</v>
      </c>
      <c r="E38" s="203">
        <v>3523100</v>
      </c>
      <c r="F38" s="214">
        <v>8</v>
      </c>
      <c r="G38" s="203"/>
      <c r="H38" s="201"/>
      <c r="I38" s="706" t="s">
        <v>279</v>
      </c>
      <c r="J38" s="704"/>
      <c r="K38" s="705"/>
      <c r="L38" s="196"/>
      <c r="M38" s="192"/>
      <c r="N38" s="193"/>
      <c r="O38" s="193"/>
    </row>
    <row r="39" spans="1:15" s="191" customFormat="1" ht="25.5" customHeight="1">
      <c r="A39" s="206">
        <v>28</v>
      </c>
      <c r="B39" s="204" t="s">
        <v>219</v>
      </c>
      <c r="C39" s="204" t="s">
        <v>220</v>
      </c>
      <c r="D39" s="204" t="s">
        <v>183</v>
      </c>
      <c r="E39" s="203">
        <v>323100</v>
      </c>
      <c r="F39" s="214">
        <v>9</v>
      </c>
      <c r="G39" s="203">
        <f>180*60*9</f>
        <v>97200</v>
      </c>
      <c r="H39" s="201">
        <v>102400</v>
      </c>
      <c r="I39" s="706"/>
      <c r="J39" s="704"/>
      <c r="K39" s="705"/>
      <c r="L39" s="196"/>
      <c r="M39" s="192"/>
      <c r="N39" s="193"/>
      <c r="O39" s="193"/>
    </row>
    <row r="40" spans="1:15" s="191" customFormat="1" ht="25.5" customHeight="1">
      <c r="A40" s="206">
        <v>20</v>
      </c>
      <c r="B40" s="204" t="s">
        <v>214</v>
      </c>
      <c r="C40" s="204" t="s">
        <v>46</v>
      </c>
      <c r="D40" s="204" t="s">
        <v>56</v>
      </c>
      <c r="E40" s="203">
        <v>1313300</v>
      </c>
      <c r="F40" s="214">
        <v>9</v>
      </c>
      <c r="G40" s="203">
        <f>180*60*9</f>
        <v>97200</v>
      </c>
      <c r="H40" s="201">
        <v>43500</v>
      </c>
      <c r="I40" s="706" t="s">
        <v>1292</v>
      </c>
      <c r="J40" s="704"/>
      <c r="K40" s="705"/>
      <c r="L40" s="196"/>
      <c r="M40" s="192"/>
      <c r="N40" s="193"/>
      <c r="O40" s="193"/>
    </row>
    <row r="41" spans="1:15" s="191" customFormat="1" ht="25.5" customHeight="1">
      <c r="A41" s="206">
        <v>20</v>
      </c>
      <c r="B41" s="204" t="s">
        <v>214</v>
      </c>
      <c r="C41" s="204" t="s">
        <v>46</v>
      </c>
      <c r="D41" s="204" t="s">
        <v>56</v>
      </c>
      <c r="E41" s="203">
        <v>1313300</v>
      </c>
      <c r="F41" s="214"/>
      <c r="G41" s="203"/>
      <c r="H41" s="201"/>
      <c r="I41" s="706"/>
      <c r="J41" s="704"/>
      <c r="K41" s="705"/>
      <c r="L41" s="196"/>
      <c r="M41" s="192"/>
      <c r="N41" s="193"/>
      <c r="O41" s="193"/>
    </row>
    <row r="42" spans="1:15" s="191" customFormat="1" ht="25.5" customHeight="1">
      <c r="A42" s="206">
        <v>16</v>
      </c>
      <c r="B42" s="204" t="s">
        <v>164</v>
      </c>
      <c r="C42" s="204" t="s">
        <v>165</v>
      </c>
      <c r="D42" s="204" t="s">
        <v>56</v>
      </c>
      <c r="E42" s="203">
        <v>4778200</v>
      </c>
      <c r="F42" s="214">
        <v>12</v>
      </c>
      <c r="G42" s="203">
        <f>180*60*12</f>
        <v>129600</v>
      </c>
      <c r="H42" s="201">
        <v>128300</v>
      </c>
      <c r="I42" s="706"/>
      <c r="J42" s="704"/>
      <c r="K42" s="705"/>
      <c r="L42" s="196"/>
      <c r="M42" s="192"/>
      <c r="N42" s="193"/>
      <c r="O42" s="193"/>
    </row>
    <row r="43" spans="1:15" s="191" customFormat="1" ht="25.5" customHeight="1">
      <c r="A43" s="206">
        <v>23</v>
      </c>
      <c r="B43" s="204" t="s">
        <v>222</v>
      </c>
      <c r="C43" s="208" t="s">
        <v>201</v>
      </c>
      <c r="D43" s="208" t="s">
        <v>59</v>
      </c>
      <c r="E43" s="203">
        <v>1000000</v>
      </c>
      <c r="F43" s="214">
        <v>9</v>
      </c>
      <c r="G43" s="203">
        <f>180*60*9</f>
        <v>97200</v>
      </c>
      <c r="H43" s="201">
        <v>89000</v>
      </c>
      <c r="I43" s="706"/>
      <c r="J43" s="704"/>
      <c r="K43" s="705"/>
      <c r="L43" s="196"/>
      <c r="M43" s="192"/>
      <c r="N43" s="193"/>
      <c r="O43" s="193"/>
    </row>
    <row r="44" spans="1:15" s="191" customFormat="1" ht="25.5" customHeight="1">
      <c r="A44" s="205" t="s">
        <v>270</v>
      </c>
      <c r="B44" s="204" t="s">
        <v>128</v>
      </c>
      <c r="C44" s="208" t="s">
        <v>129</v>
      </c>
      <c r="D44" s="208" t="s">
        <v>59</v>
      </c>
      <c r="E44" s="203">
        <v>1729600</v>
      </c>
      <c r="F44" s="214">
        <v>10.5</v>
      </c>
      <c r="G44" s="203">
        <f>180*60*10.5</f>
        <v>113400</v>
      </c>
      <c r="H44" s="201">
        <v>110400</v>
      </c>
      <c r="I44" s="706"/>
      <c r="J44" s="704"/>
      <c r="K44" s="705"/>
      <c r="L44" s="196"/>
      <c r="M44" s="192"/>
      <c r="N44" s="193"/>
      <c r="O44" s="193"/>
    </row>
    <row r="45" spans="1:15" s="191" customFormat="1" ht="25.5" customHeight="1">
      <c r="A45" s="205">
        <v>30</v>
      </c>
      <c r="B45" s="204" t="s">
        <v>128</v>
      </c>
      <c r="C45" s="208" t="s">
        <v>129</v>
      </c>
      <c r="D45" s="208" t="s">
        <v>59</v>
      </c>
      <c r="E45" s="203">
        <v>1729600</v>
      </c>
      <c r="F45" s="214">
        <v>10.5</v>
      </c>
      <c r="G45" s="203">
        <f>180*60*10.5</f>
        <v>113400</v>
      </c>
      <c r="H45" s="201">
        <v>100000</v>
      </c>
      <c r="I45" s="706"/>
      <c r="J45" s="704"/>
      <c r="K45" s="705"/>
      <c r="L45" s="196"/>
      <c r="M45" s="192"/>
      <c r="N45" s="193"/>
      <c r="O45" s="193"/>
    </row>
    <row r="46" spans="1:15" s="191" customFormat="1" ht="25.5" customHeight="1">
      <c r="A46" s="209">
        <v>51</v>
      </c>
      <c r="B46" s="204" t="s">
        <v>176</v>
      </c>
      <c r="C46" s="204" t="s">
        <v>148</v>
      </c>
      <c r="D46" s="204" t="s">
        <v>153</v>
      </c>
      <c r="E46" s="203">
        <v>2774900</v>
      </c>
      <c r="F46" s="214">
        <v>8</v>
      </c>
      <c r="G46" s="203">
        <f>180*60*8</f>
        <v>86400</v>
      </c>
      <c r="H46" s="201"/>
      <c r="I46" s="706" t="s">
        <v>278</v>
      </c>
      <c r="J46" s="704"/>
      <c r="K46" s="705"/>
      <c r="L46" s="196"/>
      <c r="M46" s="192"/>
      <c r="N46" s="193"/>
      <c r="O46" s="193"/>
    </row>
    <row r="47" spans="1:15" s="191" customFormat="1" ht="25.5" customHeight="1">
      <c r="A47" s="209">
        <v>54</v>
      </c>
      <c r="B47" s="204" t="s">
        <v>35</v>
      </c>
      <c r="C47" s="204" t="s">
        <v>47</v>
      </c>
      <c r="D47" s="204" t="s">
        <v>61</v>
      </c>
      <c r="E47" s="203">
        <v>2218800</v>
      </c>
      <c r="F47" s="214">
        <v>8</v>
      </c>
      <c r="G47" s="203">
        <f>180*60*8</f>
        <v>86400</v>
      </c>
      <c r="H47" s="201">
        <v>86500</v>
      </c>
      <c r="I47" s="706"/>
      <c r="J47" s="704"/>
      <c r="K47" s="705"/>
      <c r="L47" s="196"/>
      <c r="M47" s="192"/>
      <c r="N47" s="193"/>
      <c r="O47" s="193"/>
    </row>
    <row r="48" spans="1:15" s="191" customFormat="1" ht="25.5" customHeight="1">
      <c r="A48" s="209">
        <v>55</v>
      </c>
      <c r="B48" s="204" t="s">
        <v>231</v>
      </c>
      <c r="C48" s="204" t="s">
        <v>204</v>
      </c>
      <c r="D48" s="204" t="s">
        <v>183</v>
      </c>
      <c r="E48" s="203" t="s">
        <v>1287</v>
      </c>
      <c r="F48" s="214">
        <v>8</v>
      </c>
      <c r="G48" s="203">
        <f>180*60*8</f>
        <v>86400</v>
      </c>
      <c r="H48" s="201"/>
      <c r="I48" s="706" t="s">
        <v>1297</v>
      </c>
      <c r="J48" s="704"/>
      <c r="K48" s="705"/>
      <c r="L48" s="196"/>
      <c r="M48" s="192"/>
      <c r="N48" s="193"/>
      <c r="O48" s="193"/>
    </row>
    <row r="49" spans="1:15" s="191" customFormat="1" ht="25.5" customHeight="1">
      <c r="A49" s="209">
        <v>55</v>
      </c>
      <c r="B49" s="204" t="s">
        <v>254</v>
      </c>
      <c r="C49" s="204" t="s">
        <v>255</v>
      </c>
      <c r="D49" s="204" t="s">
        <v>61</v>
      </c>
      <c r="E49" s="203">
        <v>1000000</v>
      </c>
      <c r="F49" s="214"/>
      <c r="G49" s="203"/>
      <c r="H49" s="201"/>
      <c r="I49" s="706"/>
      <c r="J49" s="704"/>
      <c r="K49" s="705"/>
      <c r="L49" s="196"/>
      <c r="M49" s="192"/>
      <c r="N49" s="193"/>
      <c r="O49" s="193"/>
    </row>
    <row r="50" spans="1:15" s="191" customFormat="1" ht="25.5" customHeight="1">
      <c r="A50" s="209">
        <v>50</v>
      </c>
      <c r="B50" s="204" t="s">
        <v>181</v>
      </c>
      <c r="C50" s="204" t="s">
        <v>182</v>
      </c>
      <c r="D50" s="204" t="s">
        <v>183</v>
      </c>
      <c r="E50" s="203">
        <v>1294300</v>
      </c>
      <c r="F50" s="214">
        <v>8</v>
      </c>
      <c r="G50" s="203">
        <f>180*60*8</f>
        <v>86400</v>
      </c>
      <c r="H50" s="201">
        <v>42000</v>
      </c>
      <c r="I50" s="706" t="s">
        <v>277</v>
      </c>
      <c r="J50" s="704"/>
      <c r="K50" s="705"/>
      <c r="L50" s="196"/>
      <c r="M50" s="192"/>
      <c r="N50" s="193"/>
      <c r="O50" s="193"/>
    </row>
    <row r="51" spans="1:15" s="191" customFormat="1" ht="25.5" customHeight="1">
      <c r="A51" s="209">
        <v>52</v>
      </c>
      <c r="B51" s="204" t="s">
        <v>181</v>
      </c>
      <c r="C51" s="204" t="s">
        <v>182</v>
      </c>
      <c r="D51" s="204" t="s">
        <v>183</v>
      </c>
      <c r="E51" s="203">
        <v>1294300</v>
      </c>
      <c r="F51" s="214">
        <v>10.5</v>
      </c>
      <c r="G51" s="203">
        <f>180*60*10.5</f>
        <v>113400</v>
      </c>
      <c r="H51" s="201">
        <v>109700</v>
      </c>
      <c r="I51" s="706"/>
      <c r="J51" s="704"/>
      <c r="K51" s="705"/>
      <c r="L51" s="196"/>
      <c r="M51" s="192"/>
      <c r="N51" s="193"/>
      <c r="O51" s="193"/>
    </row>
    <row r="52" spans="1:15" s="191" customFormat="1" ht="25.5" customHeight="1">
      <c r="A52" s="209">
        <v>53</v>
      </c>
      <c r="B52" s="204" t="s">
        <v>208</v>
      </c>
      <c r="C52" s="204" t="s">
        <v>209</v>
      </c>
      <c r="D52" s="204" t="s">
        <v>194</v>
      </c>
      <c r="E52" s="203">
        <v>2663000</v>
      </c>
      <c r="F52" s="214">
        <v>10.5</v>
      </c>
      <c r="G52" s="203">
        <f>180*60*10.5</f>
        <v>113400</v>
      </c>
      <c r="H52" s="201">
        <v>91100</v>
      </c>
      <c r="I52" s="706"/>
      <c r="J52" s="704"/>
      <c r="K52" s="705"/>
      <c r="L52" s="196"/>
      <c r="M52" s="192"/>
      <c r="N52" s="193"/>
      <c r="O52" s="193"/>
    </row>
    <row r="53" spans="1:15" s="191" customFormat="1" ht="25.5" customHeight="1">
      <c r="A53" s="206" t="s">
        <v>251</v>
      </c>
      <c r="B53" s="210"/>
      <c r="C53" s="210"/>
      <c r="D53" s="210"/>
      <c r="E53" s="210"/>
      <c r="F53" s="210"/>
      <c r="G53" s="210"/>
      <c r="H53" s="207">
        <f>SUM(H7:H52)</f>
        <v>1973500</v>
      </c>
      <c r="I53" s="706"/>
      <c r="J53" s="704"/>
      <c r="K53" s="705"/>
      <c r="L53" s="196"/>
      <c r="M53" s="192"/>
    </row>
    <row r="54" spans="1:15" s="191" customFormat="1" ht="15.75" customHeight="1">
      <c r="A54" s="197"/>
      <c r="B54" s="197"/>
      <c r="C54" s="197"/>
      <c r="D54" s="197"/>
      <c r="E54" s="198"/>
      <c r="F54" s="198"/>
      <c r="G54" s="198"/>
      <c r="H54" s="198"/>
      <c r="I54" s="198"/>
      <c r="J54" s="198"/>
      <c r="N54" s="192"/>
    </row>
    <row r="55" spans="1:15" s="191" customFormat="1" ht="15.75" customHeight="1">
      <c r="A55" s="197"/>
      <c r="B55" s="197"/>
      <c r="C55" s="197"/>
      <c r="D55" s="197"/>
      <c r="E55" s="198"/>
      <c r="F55" s="198"/>
      <c r="G55" s="198"/>
      <c r="H55" s="198"/>
      <c r="I55" s="198"/>
      <c r="J55" s="198"/>
      <c r="N55" s="192"/>
    </row>
    <row r="56" spans="1:15" s="191" customFormat="1" ht="15.75" customHeight="1">
      <c r="A56" s="197"/>
      <c r="B56" s="197"/>
      <c r="C56" s="197"/>
      <c r="D56" s="197"/>
      <c r="E56" s="198"/>
      <c r="F56" s="198"/>
      <c r="G56" s="198"/>
      <c r="H56" s="198"/>
      <c r="I56" s="198"/>
      <c r="J56" s="198"/>
      <c r="N56" s="192"/>
    </row>
    <row r="57" spans="1:15" s="191" customFormat="1" ht="15.75" customHeight="1">
      <c r="A57" s="197"/>
      <c r="B57" s="197"/>
      <c r="C57" s="197"/>
      <c r="D57" s="197"/>
      <c r="E57" s="198"/>
      <c r="F57" s="198"/>
      <c r="G57" s="198"/>
      <c r="H57" s="198"/>
      <c r="I57" s="198"/>
      <c r="J57" s="198"/>
      <c r="N57" s="192"/>
    </row>
    <row r="58" spans="1:15" s="191" customFormat="1" ht="15.75" customHeight="1">
      <c r="A58" s="197"/>
      <c r="B58" s="197"/>
      <c r="C58" s="197"/>
      <c r="D58" s="197"/>
      <c r="E58" s="198"/>
      <c r="F58" s="198"/>
      <c r="G58" s="198"/>
      <c r="H58" s="198"/>
      <c r="I58" s="198"/>
      <c r="J58" s="198"/>
      <c r="N58" s="192"/>
    </row>
    <row r="59" spans="1:15" s="191" customFormat="1" ht="15.75" customHeight="1">
      <c r="A59" s="197"/>
      <c r="B59" s="197"/>
      <c r="C59" s="197"/>
      <c r="D59" s="197"/>
      <c r="E59" s="198"/>
      <c r="F59" s="198"/>
      <c r="G59" s="198"/>
      <c r="H59" s="198"/>
      <c r="I59" s="198"/>
      <c r="J59" s="198"/>
      <c r="N59" s="192"/>
    </row>
    <row r="60" spans="1:15" s="191" customFormat="1" ht="15.75" customHeight="1">
      <c r="A60" s="197"/>
      <c r="B60" s="197"/>
      <c r="C60" s="197"/>
      <c r="D60" s="197"/>
      <c r="E60" s="198"/>
      <c r="F60" s="198"/>
      <c r="G60" s="198"/>
      <c r="H60" s="198"/>
      <c r="I60" s="198"/>
      <c r="J60" s="198"/>
      <c r="N60" s="192"/>
    </row>
    <row r="61" spans="1:15" s="191" customFormat="1" ht="15.75">
      <c r="A61" s="197"/>
      <c r="B61" s="197"/>
      <c r="C61" s="197"/>
      <c r="D61" s="197"/>
      <c r="E61" s="198"/>
      <c r="F61" s="198"/>
      <c r="G61" s="198"/>
      <c r="H61" s="198"/>
      <c r="I61" s="198"/>
      <c r="J61" s="198"/>
      <c r="N61" s="192"/>
    </row>
    <row r="62" spans="1:15" s="191" customFormat="1" ht="15.75">
      <c r="A62" s="197"/>
      <c r="B62" s="197"/>
      <c r="C62" s="197"/>
      <c r="D62" s="197"/>
      <c r="E62" s="198"/>
      <c r="F62" s="198"/>
      <c r="G62" s="198"/>
      <c r="H62" s="198"/>
      <c r="I62" s="198"/>
      <c r="J62" s="198"/>
      <c r="N62" s="192"/>
    </row>
    <row r="63" spans="1:15" s="191" customFormat="1" ht="15.75">
      <c r="A63" s="197"/>
      <c r="B63" s="197"/>
      <c r="C63" s="197"/>
      <c r="D63" s="197"/>
      <c r="E63" s="198"/>
      <c r="F63" s="198"/>
      <c r="G63" s="198"/>
      <c r="H63" s="198"/>
      <c r="I63" s="198"/>
      <c r="J63" s="198"/>
      <c r="N63" s="192"/>
    </row>
    <row r="64" spans="1:15" s="191" customFormat="1" ht="15.75">
      <c r="A64" s="197"/>
      <c r="B64" s="197"/>
      <c r="C64" s="197"/>
      <c r="D64" s="197"/>
      <c r="E64" s="198"/>
      <c r="F64" s="198"/>
      <c r="G64" s="198"/>
      <c r="H64" s="198"/>
      <c r="I64" s="198"/>
      <c r="J64" s="198"/>
      <c r="N64" s="192"/>
    </row>
    <row r="65" spans="1:14" s="191" customFormat="1" ht="15.75">
      <c r="A65" s="197"/>
      <c r="B65" s="197"/>
      <c r="C65" s="197"/>
      <c r="D65" s="197"/>
      <c r="E65" s="198"/>
      <c r="F65" s="198"/>
      <c r="G65" s="198"/>
      <c r="H65" s="198"/>
      <c r="I65" s="198"/>
      <c r="J65" s="198"/>
      <c r="N65" s="192"/>
    </row>
    <row r="66" spans="1:14" s="191" customFormat="1" ht="15.75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N66" s="192"/>
    </row>
    <row r="67" spans="1:14" s="191" customFormat="1" ht="15.75">
      <c r="A67" s="197"/>
      <c r="B67" s="197"/>
      <c r="C67" s="197"/>
      <c r="D67" s="197"/>
      <c r="E67" s="197"/>
      <c r="F67" s="197"/>
      <c r="G67" s="197"/>
      <c r="H67" s="197"/>
      <c r="I67" s="197"/>
      <c r="J67" s="197"/>
    </row>
    <row r="68" spans="1:14" s="191" customFormat="1" ht="15.75">
      <c r="A68" s="197"/>
      <c r="B68" s="197"/>
      <c r="C68" s="197"/>
      <c r="D68" s="197"/>
      <c r="E68" s="197"/>
      <c r="F68" s="197"/>
      <c r="G68" s="197"/>
      <c r="H68" s="197"/>
      <c r="I68" s="197"/>
      <c r="J68" s="197"/>
    </row>
    <row r="69" spans="1:14" s="191" customFormat="1" ht="15.75">
      <c r="A69" s="197"/>
      <c r="B69" s="197"/>
      <c r="C69" s="197"/>
      <c r="D69" s="197"/>
      <c r="E69" s="197"/>
      <c r="F69" s="197"/>
      <c r="G69" s="197"/>
      <c r="H69" s="197"/>
      <c r="I69" s="197"/>
      <c r="J69" s="197"/>
    </row>
    <row r="70" spans="1:14" s="191" customFormat="1" ht="15.75">
      <c r="A70" s="197"/>
      <c r="B70" s="197"/>
      <c r="C70" s="197"/>
      <c r="D70" s="197"/>
      <c r="E70" s="197"/>
      <c r="F70" s="197"/>
      <c r="G70" s="197"/>
      <c r="H70" s="197"/>
      <c r="I70" s="197"/>
      <c r="J70" s="197"/>
    </row>
    <row r="71" spans="1:14" s="191" customFormat="1" ht="15.75">
      <c r="A71" s="197"/>
      <c r="B71" s="197"/>
      <c r="C71" s="197"/>
      <c r="D71" s="197"/>
      <c r="E71" s="197"/>
      <c r="F71" s="197"/>
      <c r="G71" s="197"/>
      <c r="H71" s="197"/>
      <c r="I71" s="197"/>
      <c r="J71" s="197"/>
    </row>
    <row r="72" spans="1:14" s="191" customFormat="1" ht="15.75">
      <c r="A72" s="197"/>
      <c r="B72" s="197"/>
      <c r="C72" s="197"/>
      <c r="D72" s="197"/>
      <c r="E72" s="197"/>
      <c r="F72" s="197"/>
      <c r="G72" s="197"/>
      <c r="H72" s="197"/>
      <c r="I72" s="197"/>
      <c r="J72" s="197"/>
    </row>
    <row r="73" spans="1:14" s="191" customFormat="1" ht="15.75">
      <c r="A73" s="197"/>
      <c r="B73" s="197"/>
      <c r="C73" s="197"/>
      <c r="D73" s="197"/>
      <c r="E73" s="197"/>
      <c r="F73" s="197"/>
      <c r="G73" s="197"/>
      <c r="H73" s="197"/>
      <c r="I73" s="197"/>
      <c r="J73" s="197"/>
    </row>
    <row r="74" spans="1:14" s="191" customFormat="1" ht="15.75">
      <c r="A74" s="197"/>
      <c r="B74" s="197"/>
      <c r="C74" s="197"/>
      <c r="D74" s="197"/>
      <c r="E74" s="197"/>
      <c r="F74" s="197"/>
      <c r="G74" s="197"/>
      <c r="H74" s="197"/>
      <c r="I74" s="197"/>
      <c r="J74" s="197"/>
    </row>
    <row r="75" spans="1:14" s="191" customFormat="1" ht="15.75">
      <c r="A75" s="197"/>
      <c r="B75" s="197"/>
      <c r="C75" s="197"/>
      <c r="D75" s="197"/>
      <c r="E75" s="197"/>
      <c r="F75" s="197"/>
      <c r="G75" s="197"/>
      <c r="H75" s="197"/>
      <c r="I75" s="197"/>
      <c r="J75" s="197"/>
    </row>
    <row r="76" spans="1:14" s="191" customFormat="1" ht="15.75">
      <c r="A76" s="197"/>
      <c r="B76" s="197"/>
      <c r="C76" s="197"/>
      <c r="D76" s="197"/>
      <c r="E76" s="197"/>
      <c r="F76" s="197"/>
      <c r="G76" s="197"/>
      <c r="H76" s="197"/>
      <c r="I76" s="197"/>
      <c r="J76" s="197"/>
    </row>
  </sheetData>
  <mergeCells count="57">
    <mergeCell ref="I50:K50"/>
    <mergeCell ref="I51:K51"/>
    <mergeCell ref="I52:K52"/>
    <mergeCell ref="I38:K38"/>
    <mergeCell ref="I44:K44"/>
    <mergeCell ref="I45:K45"/>
    <mergeCell ref="I46:K46"/>
    <mergeCell ref="I47:K47"/>
    <mergeCell ref="I48:K48"/>
    <mergeCell ref="I49:K49"/>
    <mergeCell ref="I40:K40"/>
    <mergeCell ref="I41:K41"/>
    <mergeCell ref="I42:K42"/>
    <mergeCell ref="I32:K32"/>
    <mergeCell ref="I33:K33"/>
    <mergeCell ref="I34:K34"/>
    <mergeCell ref="I35:K35"/>
    <mergeCell ref="I43:K43"/>
    <mergeCell ref="I36:K36"/>
    <mergeCell ref="I37:K37"/>
    <mergeCell ref="I39:K39"/>
    <mergeCell ref="I30:K30"/>
    <mergeCell ref="I24:K24"/>
    <mergeCell ref="I25:K25"/>
    <mergeCell ref="I26:K26"/>
    <mergeCell ref="I31:K31"/>
    <mergeCell ref="I22:K22"/>
    <mergeCell ref="I23:K23"/>
    <mergeCell ref="I27:K27"/>
    <mergeCell ref="I28:K28"/>
    <mergeCell ref="I29:K29"/>
    <mergeCell ref="I53:K53"/>
    <mergeCell ref="I7:K7"/>
    <mergeCell ref="I8:K8"/>
    <mergeCell ref="I9:K9"/>
    <mergeCell ref="I10:K10"/>
    <mergeCell ref="I11:K11"/>
    <mergeCell ref="I12:K12"/>
    <mergeCell ref="I13:K13"/>
    <mergeCell ref="I17:K17"/>
    <mergeCell ref="I18:K18"/>
    <mergeCell ref="I14:K14"/>
    <mergeCell ref="I15:K15"/>
    <mergeCell ref="I16:K16"/>
    <mergeCell ref="I19:K19"/>
    <mergeCell ref="I20:K20"/>
    <mergeCell ref="I21:K21"/>
    <mergeCell ref="I5:K6"/>
    <mergeCell ref="A1:H3"/>
    <mergeCell ref="D5:D6"/>
    <mergeCell ref="C5:C6"/>
    <mergeCell ref="A5:A6"/>
    <mergeCell ref="B5:B6"/>
    <mergeCell ref="I2:I3"/>
    <mergeCell ref="J2:J3"/>
    <mergeCell ref="K2:K3"/>
    <mergeCell ref="A4:B4"/>
  </mergeCells>
  <phoneticPr fontId="74" type="noConversion"/>
  <conditionalFormatting sqref="H7:H52">
    <cfRule type="cellIs" dxfId="5" priority="1" operator="lessThan">
      <formula>0</formula>
    </cfRule>
  </conditionalFormatting>
  <printOptions horizontalCentered="1"/>
  <pageMargins left="0" right="0" top="0" bottom="0" header="0" footer="0"/>
  <pageSetup paperSize="9" scale="55" fitToHeight="0" orientation="portrait" r:id="rId1"/>
  <headerFooter>
    <oddFooter>&amp;LQ401-2&amp;CHANSUNGBOLT VINA&amp;RA4 (210 x 297mm)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7">
    <pageSetUpPr fitToPage="1"/>
  </sheetPr>
  <dimension ref="A1:O64"/>
  <sheetViews>
    <sheetView zoomScale="85" zoomScaleNormal="85" workbookViewId="0">
      <selection activeCell="J43" sqref="A43:L43"/>
    </sheetView>
  </sheetViews>
  <sheetFormatPr defaultColWidth="9.140625" defaultRowHeight="15.75"/>
  <cols>
    <col min="1" max="1" width="4.85546875" style="14" customWidth="1"/>
    <col min="2" max="2" width="16.140625" style="14" customWidth="1"/>
    <col min="3" max="4" width="25.140625" style="14" customWidth="1"/>
    <col min="5" max="5" width="10" style="14" customWidth="1"/>
    <col min="6" max="6" width="11.42578125" style="14" customWidth="1"/>
    <col min="7" max="7" width="14.85546875" style="14" customWidth="1"/>
    <col min="8" max="9" width="14.42578125" style="14" customWidth="1"/>
    <col min="10" max="10" width="18.42578125" style="14" customWidth="1"/>
    <col min="11" max="12" width="18.42578125" style="3" customWidth="1"/>
    <col min="13" max="13" width="9.140625" style="3"/>
    <col min="14" max="14" width="14.42578125" style="3" bestFit="1" customWidth="1"/>
    <col min="15" max="15" width="16.42578125" style="3" bestFit="1" customWidth="1"/>
    <col min="16" max="16384" width="9.140625" style="3"/>
  </cols>
  <sheetData>
    <row r="1" spans="1:15" ht="21" customHeight="1" thickBot="1">
      <c r="J1" s="4" t="s">
        <v>5</v>
      </c>
      <c r="K1" s="9" t="s">
        <v>17</v>
      </c>
      <c r="L1" s="4" t="s">
        <v>0</v>
      </c>
    </row>
    <row r="2" spans="1:15" ht="26.25" customHeight="1">
      <c r="J2" s="672"/>
      <c r="K2" s="667"/>
      <c r="L2" s="669"/>
    </row>
    <row r="3" spans="1:15" ht="26.25" customHeight="1" thickBot="1">
      <c r="B3" s="13">
        <v>43655</v>
      </c>
      <c r="J3" s="673"/>
      <c r="K3" s="668"/>
      <c r="L3" s="668"/>
    </row>
    <row r="4" spans="1:15" ht="5.25" customHeight="1" thickBot="1"/>
    <row r="5" spans="1:15" ht="22.5" customHeight="1">
      <c r="A5" s="627"/>
      <c r="B5" s="628"/>
      <c r="C5" s="633" t="s">
        <v>6</v>
      </c>
      <c r="D5" s="634"/>
      <c r="E5" s="634"/>
      <c r="F5" s="634"/>
      <c r="G5" s="634"/>
      <c r="H5" s="634"/>
      <c r="I5" s="634"/>
      <c r="J5" s="634"/>
      <c r="K5" s="1" t="s">
        <v>1</v>
      </c>
      <c r="L5" s="10" t="s">
        <v>18</v>
      </c>
    </row>
    <row r="6" spans="1:15" ht="22.5" customHeight="1">
      <c r="A6" s="629"/>
      <c r="B6" s="630"/>
      <c r="C6" s="635"/>
      <c r="D6" s="636"/>
      <c r="E6" s="636"/>
      <c r="F6" s="636"/>
      <c r="G6" s="636"/>
      <c r="H6" s="636"/>
      <c r="I6" s="636"/>
      <c r="J6" s="636"/>
      <c r="K6" s="2" t="s">
        <v>2</v>
      </c>
      <c r="L6" s="11" t="s">
        <v>19</v>
      </c>
    </row>
    <row r="7" spans="1:15" ht="27" customHeight="1" thickBot="1">
      <c r="A7" s="631"/>
      <c r="B7" s="632"/>
      <c r="C7" s="637"/>
      <c r="D7" s="638"/>
      <c r="E7" s="638"/>
      <c r="F7" s="638"/>
      <c r="G7" s="638"/>
      <c r="H7" s="638"/>
      <c r="I7" s="638"/>
      <c r="J7" s="638"/>
      <c r="K7" s="5" t="s">
        <v>3</v>
      </c>
      <c r="L7" s="12" t="s">
        <v>20</v>
      </c>
    </row>
    <row r="8" spans="1:15" ht="19.5" customHeight="1">
      <c r="A8" s="639" t="s">
        <v>4</v>
      </c>
      <c r="B8" s="641" t="s">
        <v>8</v>
      </c>
      <c r="C8" s="643" t="s">
        <v>70</v>
      </c>
      <c r="D8" s="641" t="s">
        <v>9</v>
      </c>
      <c r="E8" s="641" t="s">
        <v>10</v>
      </c>
      <c r="F8" s="680" t="s">
        <v>7</v>
      </c>
      <c r="G8" s="641" t="s">
        <v>11</v>
      </c>
      <c r="H8" s="641" t="s">
        <v>12</v>
      </c>
      <c r="I8" s="641" t="s">
        <v>13</v>
      </c>
      <c r="J8" s="641" t="s">
        <v>14</v>
      </c>
      <c r="K8" s="641" t="s">
        <v>15</v>
      </c>
      <c r="L8" s="670" t="s">
        <v>16</v>
      </c>
    </row>
    <row r="9" spans="1:15" s="6" customFormat="1" ht="18.75" customHeight="1">
      <c r="A9" s="640"/>
      <c r="B9" s="642"/>
      <c r="C9" s="644"/>
      <c r="D9" s="642"/>
      <c r="E9" s="642"/>
      <c r="F9" s="681"/>
      <c r="G9" s="642"/>
      <c r="H9" s="642"/>
      <c r="I9" s="642"/>
      <c r="J9" s="642"/>
      <c r="K9" s="642"/>
      <c r="L9" s="671"/>
    </row>
    <row r="10" spans="1:15" s="6" customFormat="1" ht="17.25" customHeight="1">
      <c r="A10" s="724">
        <v>1</v>
      </c>
      <c r="B10" s="31" t="s">
        <v>21</v>
      </c>
      <c r="C10" s="32" t="s">
        <v>23</v>
      </c>
      <c r="D10" s="31" t="s">
        <v>36</v>
      </c>
      <c r="E10" s="31" t="s">
        <v>48</v>
      </c>
      <c r="F10" s="726" t="s">
        <v>62</v>
      </c>
      <c r="G10" s="48">
        <v>300000</v>
      </c>
      <c r="H10" s="33">
        <v>0</v>
      </c>
      <c r="I10" s="33">
        <f t="shared" ref="I10:I40" si="0">G10-H10</f>
        <v>300000</v>
      </c>
      <c r="J10" s="34"/>
      <c r="K10" s="35"/>
      <c r="L10" s="36"/>
      <c r="O10" s="25"/>
    </row>
    <row r="11" spans="1:15" s="6" customFormat="1" ht="17.25" customHeight="1">
      <c r="A11" s="725"/>
      <c r="B11" s="37" t="s">
        <v>22</v>
      </c>
      <c r="C11" s="38" t="s">
        <v>24</v>
      </c>
      <c r="D11" s="37" t="s">
        <v>37</v>
      </c>
      <c r="E11" s="37" t="s">
        <v>49</v>
      </c>
      <c r="F11" s="727"/>
      <c r="G11" s="49">
        <v>400000</v>
      </c>
      <c r="H11" s="39">
        <v>61300</v>
      </c>
      <c r="I11" s="39">
        <f t="shared" si="0"/>
        <v>338700</v>
      </c>
      <c r="J11" s="40"/>
      <c r="K11" s="41"/>
      <c r="L11" s="42"/>
      <c r="O11" s="25"/>
    </row>
    <row r="12" spans="1:15" s="6" customFormat="1" ht="17.25" customHeight="1">
      <c r="A12" s="7">
        <v>2</v>
      </c>
      <c r="B12" s="97"/>
      <c r="C12" s="32" t="s">
        <v>92</v>
      </c>
      <c r="D12" s="97" t="s">
        <v>93</v>
      </c>
      <c r="E12" s="97" t="s">
        <v>94</v>
      </c>
      <c r="F12" s="79" t="s">
        <v>20</v>
      </c>
      <c r="G12" s="98"/>
      <c r="H12" s="99"/>
      <c r="I12" s="99">
        <f t="shared" si="0"/>
        <v>0</v>
      </c>
      <c r="J12" s="100"/>
      <c r="K12" s="101"/>
      <c r="L12" s="36" t="s">
        <v>79</v>
      </c>
      <c r="O12" s="25"/>
    </row>
    <row r="13" spans="1:15" s="6" customFormat="1" ht="17.25" customHeight="1">
      <c r="A13" s="7">
        <v>3</v>
      </c>
      <c r="B13" s="102" t="s">
        <v>95</v>
      </c>
      <c r="C13" s="103" t="s">
        <v>25</v>
      </c>
      <c r="D13" s="104" t="s">
        <v>38</v>
      </c>
      <c r="E13" s="102" t="s">
        <v>50</v>
      </c>
      <c r="F13" s="65" t="s">
        <v>63</v>
      </c>
      <c r="G13" s="105">
        <v>200000</v>
      </c>
      <c r="H13" s="106">
        <v>121200</v>
      </c>
      <c r="I13" s="106">
        <f t="shared" si="0"/>
        <v>78800</v>
      </c>
      <c r="J13" s="107"/>
      <c r="K13" s="108"/>
      <c r="L13" s="109"/>
      <c r="O13" s="25"/>
    </row>
    <row r="14" spans="1:15" s="8" customFormat="1" ht="17.25" customHeight="1">
      <c r="A14" s="7">
        <v>4</v>
      </c>
      <c r="B14" s="90" t="s">
        <v>96</v>
      </c>
      <c r="C14" s="91" t="s">
        <v>90</v>
      </c>
      <c r="D14" s="92" t="s">
        <v>91</v>
      </c>
      <c r="E14" s="90">
        <v>10.35</v>
      </c>
      <c r="F14" s="62" t="s">
        <v>64</v>
      </c>
      <c r="G14" s="93">
        <v>300000</v>
      </c>
      <c r="H14" s="90">
        <v>244000</v>
      </c>
      <c r="I14" s="90">
        <f t="shared" si="0"/>
        <v>56000</v>
      </c>
      <c r="J14" s="94"/>
      <c r="K14" s="95"/>
      <c r="L14" s="96"/>
      <c r="O14" s="25"/>
    </row>
    <row r="15" spans="1:15" s="8" customFormat="1" ht="17.25" customHeight="1">
      <c r="A15" s="7">
        <v>5</v>
      </c>
      <c r="B15" s="59" t="s">
        <v>97</v>
      </c>
      <c r="C15" s="63" t="s">
        <v>98</v>
      </c>
      <c r="D15" s="60" t="s">
        <v>36</v>
      </c>
      <c r="E15" s="59" t="s">
        <v>99</v>
      </c>
      <c r="F15" s="62" t="s">
        <v>65</v>
      </c>
      <c r="G15" s="61">
        <v>300000</v>
      </c>
      <c r="H15" s="43">
        <v>136600</v>
      </c>
      <c r="I15" s="43">
        <f>G15-H15</f>
        <v>163400</v>
      </c>
      <c r="J15" s="81"/>
      <c r="K15" s="82"/>
      <c r="L15" s="64"/>
      <c r="O15" s="25"/>
    </row>
    <row r="16" spans="1:15" s="8" customFormat="1" ht="17.25" customHeight="1">
      <c r="A16" s="7">
        <v>6</v>
      </c>
      <c r="B16" s="83" t="s">
        <v>101</v>
      </c>
      <c r="C16" s="84" t="s">
        <v>26</v>
      </c>
      <c r="D16" s="85" t="s">
        <v>39</v>
      </c>
      <c r="E16" s="83" t="s">
        <v>51</v>
      </c>
      <c r="F16" s="62" t="s">
        <v>100</v>
      </c>
      <c r="G16" s="86">
        <v>800000</v>
      </c>
      <c r="H16" s="83">
        <v>292300</v>
      </c>
      <c r="I16" s="83">
        <f>G16-H16</f>
        <v>507700</v>
      </c>
      <c r="J16" s="87"/>
      <c r="K16" s="88"/>
      <c r="L16" s="89"/>
      <c r="O16" s="25"/>
    </row>
    <row r="17" spans="1:15" s="6" customFormat="1" ht="17.25" customHeight="1">
      <c r="A17" s="7">
        <v>8</v>
      </c>
      <c r="B17" s="68"/>
      <c r="C17" s="45" t="s">
        <v>27</v>
      </c>
      <c r="D17" s="68" t="s">
        <v>40</v>
      </c>
      <c r="E17" s="68" t="s">
        <v>52</v>
      </c>
      <c r="F17" s="52" t="s">
        <v>66</v>
      </c>
      <c r="G17" s="69"/>
      <c r="H17" s="67">
        <v>0</v>
      </c>
      <c r="I17" s="67">
        <f t="shared" si="0"/>
        <v>0</v>
      </c>
      <c r="J17" s="46"/>
      <c r="K17" s="70"/>
      <c r="L17" s="71" t="s">
        <v>79</v>
      </c>
      <c r="O17" s="25"/>
    </row>
    <row r="18" spans="1:15" s="6" customFormat="1" ht="17.25" customHeight="1">
      <c r="A18" s="7">
        <v>9</v>
      </c>
      <c r="B18" s="44"/>
      <c r="C18" s="45" t="s">
        <v>74</v>
      </c>
      <c r="D18" s="44" t="s">
        <v>75</v>
      </c>
      <c r="E18" s="44" t="s">
        <v>73</v>
      </c>
      <c r="F18" s="53">
        <v>7</v>
      </c>
      <c r="G18" s="50"/>
      <c r="H18" s="110"/>
      <c r="I18" s="46">
        <f>G18-H18</f>
        <v>0</v>
      </c>
      <c r="J18" s="110"/>
      <c r="K18" s="111"/>
      <c r="L18" s="71" t="s">
        <v>79</v>
      </c>
      <c r="O18" s="25"/>
    </row>
    <row r="19" spans="1:15" s="6" customFormat="1" ht="17.25" customHeight="1">
      <c r="A19" s="7">
        <v>10</v>
      </c>
      <c r="B19" s="20" t="s">
        <v>102</v>
      </c>
      <c r="C19" s="19" t="s">
        <v>103</v>
      </c>
      <c r="D19" s="20" t="s">
        <v>104</v>
      </c>
      <c r="E19" s="20" t="s">
        <v>105</v>
      </c>
      <c r="F19" s="66" t="s">
        <v>67</v>
      </c>
      <c r="G19" s="18">
        <v>100000</v>
      </c>
      <c r="H19" s="17"/>
      <c r="I19" s="17">
        <f>G19-H19</f>
        <v>100000</v>
      </c>
      <c r="J19" s="17" t="s">
        <v>106</v>
      </c>
      <c r="K19" s="21"/>
      <c r="L19" s="72"/>
      <c r="O19" s="25"/>
    </row>
    <row r="20" spans="1:15" s="6" customFormat="1" ht="17.25" customHeight="1">
      <c r="A20" s="7">
        <v>11</v>
      </c>
      <c r="B20" s="27" t="s">
        <v>107</v>
      </c>
      <c r="C20" s="28" t="s">
        <v>28</v>
      </c>
      <c r="D20" s="27" t="s">
        <v>41</v>
      </c>
      <c r="E20" s="27" t="s">
        <v>53</v>
      </c>
      <c r="F20" s="53" t="s">
        <v>108</v>
      </c>
      <c r="G20" s="26">
        <v>700000</v>
      </c>
      <c r="H20" s="29">
        <v>485600</v>
      </c>
      <c r="I20" s="29">
        <f t="shared" si="0"/>
        <v>214400</v>
      </c>
      <c r="J20" s="29"/>
      <c r="K20" s="30"/>
      <c r="L20" s="73"/>
      <c r="O20" s="25"/>
    </row>
    <row r="21" spans="1:15" s="6" customFormat="1" ht="17.25" customHeight="1">
      <c r="A21" s="7">
        <v>12</v>
      </c>
      <c r="B21" s="20" t="s">
        <v>109</v>
      </c>
      <c r="C21" s="19" t="s">
        <v>29</v>
      </c>
      <c r="D21" s="20" t="s">
        <v>42</v>
      </c>
      <c r="E21" s="20" t="s">
        <v>54</v>
      </c>
      <c r="F21" s="53">
        <v>10</v>
      </c>
      <c r="G21" s="18">
        <v>400000</v>
      </c>
      <c r="H21" s="17">
        <v>210000</v>
      </c>
      <c r="I21" s="17">
        <f t="shared" si="0"/>
        <v>190000</v>
      </c>
      <c r="J21" s="17"/>
      <c r="K21" s="21"/>
      <c r="L21" s="72"/>
      <c r="O21" s="25"/>
    </row>
    <row r="22" spans="1:15" s="6" customFormat="1" ht="17.25" customHeight="1">
      <c r="A22" s="7">
        <v>13</v>
      </c>
      <c r="B22" s="44"/>
      <c r="C22" s="45" t="s">
        <v>30</v>
      </c>
      <c r="D22" s="44" t="s">
        <v>43</v>
      </c>
      <c r="E22" s="44" t="s">
        <v>55</v>
      </c>
      <c r="F22" s="53">
        <v>11</v>
      </c>
      <c r="G22" s="50"/>
      <c r="H22" s="46">
        <v>0</v>
      </c>
      <c r="I22" s="46">
        <f t="shared" si="0"/>
        <v>0</v>
      </c>
      <c r="J22" s="46"/>
      <c r="K22" s="47"/>
      <c r="L22" s="71" t="s">
        <v>79</v>
      </c>
      <c r="O22" s="25"/>
    </row>
    <row r="23" spans="1:15" s="6" customFormat="1" ht="17.25" customHeight="1">
      <c r="A23" s="7">
        <v>14</v>
      </c>
      <c r="B23" s="112" t="s">
        <v>111</v>
      </c>
      <c r="C23" s="113" t="s">
        <v>112</v>
      </c>
      <c r="D23" s="112" t="s">
        <v>113</v>
      </c>
      <c r="E23" s="112" t="s">
        <v>114</v>
      </c>
      <c r="F23" s="721">
        <v>13</v>
      </c>
      <c r="G23" s="114">
        <v>5000</v>
      </c>
      <c r="H23" s="115"/>
      <c r="I23" s="115">
        <f t="shared" si="0"/>
        <v>5000</v>
      </c>
      <c r="J23" s="115" t="s">
        <v>147</v>
      </c>
      <c r="K23" s="116"/>
      <c r="L23" s="117" t="s">
        <v>115</v>
      </c>
      <c r="O23" s="25"/>
    </row>
    <row r="24" spans="1:15" s="6" customFormat="1" ht="17.25" customHeight="1">
      <c r="A24" s="7">
        <v>15</v>
      </c>
      <c r="B24" s="20" t="s">
        <v>116</v>
      </c>
      <c r="C24" s="19" t="s">
        <v>87</v>
      </c>
      <c r="D24" s="20" t="s">
        <v>81</v>
      </c>
      <c r="E24" s="20" t="s">
        <v>54</v>
      </c>
      <c r="F24" s="661"/>
      <c r="G24" s="18">
        <v>300000</v>
      </c>
      <c r="H24" s="17">
        <v>61000</v>
      </c>
      <c r="I24" s="17">
        <f t="shared" si="0"/>
        <v>239000</v>
      </c>
      <c r="J24" s="17"/>
      <c r="K24" s="21"/>
      <c r="L24" s="72"/>
      <c r="O24" s="25"/>
    </row>
    <row r="25" spans="1:15" s="6" customFormat="1" ht="17.25" customHeight="1">
      <c r="A25" s="7">
        <v>16</v>
      </c>
      <c r="B25" s="20" t="s">
        <v>117</v>
      </c>
      <c r="C25" s="19" t="s">
        <v>118</v>
      </c>
      <c r="D25" s="20" t="s">
        <v>119</v>
      </c>
      <c r="E25" s="20" t="s">
        <v>120</v>
      </c>
      <c r="F25" s="52">
        <v>15</v>
      </c>
      <c r="G25" s="18">
        <v>400000</v>
      </c>
      <c r="H25" s="17"/>
      <c r="I25" s="17">
        <f t="shared" si="0"/>
        <v>400000</v>
      </c>
      <c r="J25" s="17"/>
      <c r="K25" s="21"/>
      <c r="L25" s="72"/>
      <c r="O25" s="25"/>
    </row>
    <row r="26" spans="1:15" s="6" customFormat="1" ht="17.25" customHeight="1">
      <c r="A26" s="7">
        <v>17</v>
      </c>
      <c r="B26" s="20" t="s">
        <v>121</v>
      </c>
      <c r="C26" s="19" t="s">
        <v>122</v>
      </c>
      <c r="D26" s="20" t="s">
        <v>123</v>
      </c>
      <c r="E26" s="20" t="s">
        <v>56</v>
      </c>
      <c r="F26" s="52">
        <v>16</v>
      </c>
      <c r="G26" s="18">
        <v>200000</v>
      </c>
      <c r="H26" s="17"/>
      <c r="I26" s="17">
        <f t="shared" si="0"/>
        <v>200000</v>
      </c>
      <c r="J26" s="17"/>
      <c r="K26" s="21"/>
      <c r="L26" s="72"/>
      <c r="O26" s="25"/>
    </row>
    <row r="27" spans="1:15" s="6" customFormat="1" ht="17.25" customHeight="1">
      <c r="A27" s="7">
        <v>18</v>
      </c>
      <c r="B27" s="27" t="s">
        <v>124</v>
      </c>
      <c r="C27" s="28" t="s">
        <v>31</v>
      </c>
      <c r="D27" s="27" t="s">
        <v>44</v>
      </c>
      <c r="E27" s="27" t="s">
        <v>56</v>
      </c>
      <c r="F27" s="66">
        <v>17</v>
      </c>
      <c r="G27" s="26">
        <v>600000</v>
      </c>
      <c r="H27" s="29"/>
      <c r="I27" s="29">
        <f t="shared" si="0"/>
        <v>600000</v>
      </c>
      <c r="J27" s="29"/>
      <c r="K27" s="30"/>
      <c r="L27" s="73"/>
      <c r="O27" s="25"/>
    </row>
    <row r="28" spans="1:15" s="6" customFormat="1" ht="17.25" customHeight="1">
      <c r="A28" s="7">
        <v>19</v>
      </c>
      <c r="B28" s="27" t="s">
        <v>126</v>
      </c>
      <c r="C28" s="28" t="s">
        <v>125</v>
      </c>
      <c r="D28" s="27" t="s">
        <v>44</v>
      </c>
      <c r="E28" s="27" t="s">
        <v>57</v>
      </c>
      <c r="F28" s="76">
        <v>18</v>
      </c>
      <c r="G28" s="26">
        <v>900000</v>
      </c>
      <c r="H28" s="29"/>
      <c r="I28" s="29">
        <f t="shared" si="0"/>
        <v>900000</v>
      </c>
      <c r="J28" s="29"/>
      <c r="K28" s="30"/>
      <c r="L28" s="73"/>
      <c r="O28" s="25"/>
    </row>
    <row r="29" spans="1:15" s="6" customFormat="1" ht="17.25" customHeight="1">
      <c r="A29" s="7">
        <v>20</v>
      </c>
      <c r="B29" s="27" t="s">
        <v>84</v>
      </c>
      <c r="C29" s="28" t="s">
        <v>85</v>
      </c>
      <c r="D29" s="27" t="s">
        <v>41</v>
      </c>
      <c r="E29" s="27" t="s">
        <v>86</v>
      </c>
      <c r="F29" s="76">
        <v>21</v>
      </c>
      <c r="G29" s="26">
        <v>200000</v>
      </c>
      <c r="H29" s="29">
        <v>88689</v>
      </c>
      <c r="I29" s="29">
        <f t="shared" si="0"/>
        <v>111311</v>
      </c>
      <c r="J29" s="29"/>
      <c r="K29" s="30"/>
      <c r="L29" s="73"/>
      <c r="O29" s="25"/>
    </row>
    <row r="30" spans="1:15" s="6" customFormat="1" ht="17.25" customHeight="1">
      <c r="A30" s="7">
        <v>21</v>
      </c>
      <c r="B30" s="20" t="s">
        <v>127</v>
      </c>
      <c r="C30" s="19" t="s">
        <v>32</v>
      </c>
      <c r="D30" s="20" t="s">
        <v>45</v>
      </c>
      <c r="E30" s="20" t="s">
        <v>58</v>
      </c>
      <c r="F30" s="66" t="s">
        <v>68</v>
      </c>
      <c r="G30" s="18">
        <v>100000</v>
      </c>
      <c r="H30" s="17">
        <v>0</v>
      </c>
      <c r="I30" s="17">
        <f t="shared" si="0"/>
        <v>100000</v>
      </c>
      <c r="J30" s="17"/>
      <c r="K30" s="21"/>
      <c r="L30" s="72"/>
      <c r="O30" s="25"/>
    </row>
    <row r="31" spans="1:15" s="6" customFormat="1" ht="17.25" customHeight="1">
      <c r="A31" s="7">
        <v>22</v>
      </c>
      <c r="B31" s="20" t="s">
        <v>110</v>
      </c>
      <c r="C31" s="19" t="s">
        <v>128</v>
      </c>
      <c r="D31" s="20" t="s">
        <v>129</v>
      </c>
      <c r="E31" s="20" t="s">
        <v>59</v>
      </c>
      <c r="F31" s="80" t="s">
        <v>69</v>
      </c>
      <c r="G31" s="18">
        <v>900000</v>
      </c>
      <c r="H31" s="17">
        <v>645100</v>
      </c>
      <c r="I31" s="17">
        <f t="shared" si="0"/>
        <v>254900</v>
      </c>
      <c r="J31" s="17"/>
      <c r="K31" s="21"/>
      <c r="L31" s="72"/>
      <c r="O31" s="25"/>
    </row>
    <row r="32" spans="1:15" s="6" customFormat="1" ht="17.25" customHeight="1">
      <c r="A32" s="7">
        <v>23</v>
      </c>
      <c r="B32" s="54"/>
      <c r="C32" s="55" t="s">
        <v>33</v>
      </c>
      <c r="D32" s="54" t="s">
        <v>45</v>
      </c>
      <c r="E32" s="54" t="s">
        <v>58</v>
      </c>
      <c r="F32" s="66">
        <v>23</v>
      </c>
      <c r="G32" s="56"/>
      <c r="H32" s="57"/>
      <c r="I32" s="57">
        <f t="shared" si="0"/>
        <v>0</v>
      </c>
      <c r="J32" s="57"/>
      <c r="K32" s="58"/>
      <c r="L32" s="74" t="s">
        <v>79</v>
      </c>
      <c r="O32" s="25"/>
    </row>
    <row r="33" spans="1:15" s="6" customFormat="1" ht="17.25" customHeight="1">
      <c r="A33" s="7">
        <v>24</v>
      </c>
      <c r="B33" s="54"/>
      <c r="C33" s="55" t="s">
        <v>34</v>
      </c>
      <c r="D33" s="54" t="s">
        <v>46</v>
      </c>
      <c r="E33" s="54" t="s">
        <v>58</v>
      </c>
      <c r="F33" s="66" t="s">
        <v>78</v>
      </c>
      <c r="G33" s="56"/>
      <c r="H33" s="57"/>
      <c r="I33" s="57">
        <f>G33-H33</f>
        <v>0</v>
      </c>
      <c r="J33" s="57"/>
      <c r="K33" s="58"/>
      <c r="L33" s="74" t="s">
        <v>79</v>
      </c>
      <c r="O33" s="25"/>
    </row>
    <row r="34" spans="1:15" s="6" customFormat="1" ht="17.25" customHeight="1">
      <c r="A34" s="7">
        <v>25</v>
      </c>
      <c r="B34" s="44"/>
      <c r="C34" s="45" t="s">
        <v>76</v>
      </c>
      <c r="D34" s="44" t="s">
        <v>77</v>
      </c>
      <c r="E34" s="44" t="s">
        <v>56</v>
      </c>
      <c r="F34" s="66">
        <v>15</v>
      </c>
      <c r="G34" s="50"/>
      <c r="H34" s="46"/>
      <c r="I34" s="46">
        <f t="shared" si="0"/>
        <v>0</v>
      </c>
      <c r="J34" s="46"/>
      <c r="K34" s="47"/>
      <c r="L34" s="71" t="s">
        <v>79</v>
      </c>
      <c r="O34" s="25"/>
    </row>
    <row r="35" spans="1:15" s="6" customFormat="1" ht="17.25" customHeight="1">
      <c r="A35" s="7">
        <v>26</v>
      </c>
      <c r="B35" s="44"/>
      <c r="C35" s="45" t="s">
        <v>82</v>
      </c>
      <c r="D35" s="44" t="s">
        <v>83</v>
      </c>
      <c r="E35" s="44" t="s">
        <v>59</v>
      </c>
      <c r="F35" s="66">
        <v>25</v>
      </c>
      <c r="G35" s="50"/>
      <c r="H35" s="46"/>
      <c r="I35" s="46">
        <f>G35-H35</f>
        <v>0</v>
      </c>
      <c r="J35" s="46"/>
      <c r="K35" s="47"/>
      <c r="L35" s="71" t="s">
        <v>79</v>
      </c>
      <c r="O35" s="25"/>
    </row>
    <row r="36" spans="1:15" s="6" customFormat="1" ht="17.25" customHeight="1">
      <c r="A36" s="7">
        <v>27</v>
      </c>
      <c r="B36" s="44"/>
      <c r="C36" s="45" t="s">
        <v>71</v>
      </c>
      <c r="D36" s="44" t="s">
        <v>72</v>
      </c>
      <c r="E36" s="44" t="s">
        <v>56</v>
      </c>
      <c r="F36" s="66">
        <v>28</v>
      </c>
      <c r="G36" s="50"/>
      <c r="H36" s="46"/>
      <c r="I36" s="46">
        <f t="shared" si="0"/>
        <v>0</v>
      </c>
      <c r="J36" s="46"/>
      <c r="K36" s="47"/>
      <c r="L36" s="71" t="s">
        <v>79</v>
      </c>
      <c r="O36" s="25"/>
    </row>
    <row r="37" spans="1:15" s="6" customFormat="1" ht="17.25" customHeight="1">
      <c r="A37" s="7">
        <v>28</v>
      </c>
      <c r="B37" s="44"/>
      <c r="C37" s="45" t="s">
        <v>80</v>
      </c>
      <c r="D37" s="44" t="s">
        <v>81</v>
      </c>
      <c r="E37" s="44" t="s">
        <v>60</v>
      </c>
      <c r="F37" s="66">
        <v>29</v>
      </c>
      <c r="G37" s="50"/>
      <c r="H37" s="46"/>
      <c r="I37" s="46">
        <f t="shared" si="0"/>
        <v>0</v>
      </c>
      <c r="J37" s="46"/>
      <c r="K37" s="47"/>
      <c r="L37" s="71" t="s">
        <v>79</v>
      </c>
      <c r="O37" s="25"/>
    </row>
    <row r="38" spans="1:15" s="6" customFormat="1" ht="17.25" customHeight="1">
      <c r="A38" s="7">
        <v>29</v>
      </c>
      <c r="B38" s="44"/>
      <c r="C38" s="45" t="s">
        <v>35</v>
      </c>
      <c r="D38" s="44" t="s">
        <v>47</v>
      </c>
      <c r="E38" s="44" t="s">
        <v>61</v>
      </c>
      <c r="F38" s="66">
        <v>30</v>
      </c>
      <c r="G38" s="50"/>
      <c r="H38" s="46"/>
      <c r="I38" s="46">
        <f t="shared" si="0"/>
        <v>0</v>
      </c>
      <c r="J38" s="46"/>
      <c r="K38" s="47"/>
      <c r="L38" s="71" t="s">
        <v>79</v>
      </c>
      <c r="O38" s="25"/>
    </row>
    <row r="39" spans="1:15" s="6" customFormat="1" ht="17.25" customHeight="1">
      <c r="A39" s="7">
        <v>30</v>
      </c>
      <c r="B39" s="44"/>
      <c r="C39" s="44" t="s">
        <v>88</v>
      </c>
      <c r="D39" s="44" t="s">
        <v>89</v>
      </c>
      <c r="E39" s="44" t="s">
        <v>57</v>
      </c>
      <c r="F39" s="66">
        <v>31</v>
      </c>
      <c r="G39" s="50"/>
      <c r="H39" s="46"/>
      <c r="I39" s="46">
        <f t="shared" si="0"/>
        <v>0</v>
      </c>
      <c r="J39" s="46"/>
      <c r="K39" s="47"/>
      <c r="L39" s="71" t="s">
        <v>79</v>
      </c>
      <c r="O39" s="25"/>
    </row>
    <row r="40" spans="1:15" s="6" customFormat="1" ht="17.25" customHeight="1" thickBot="1">
      <c r="A40" s="78">
        <v>31</v>
      </c>
      <c r="B40" s="22">
        <v>0</v>
      </c>
      <c r="C40" s="22">
        <v>0</v>
      </c>
      <c r="D40" s="22">
        <v>0</v>
      </c>
      <c r="E40" s="22">
        <v>0</v>
      </c>
      <c r="F40" s="77" t="s">
        <v>130</v>
      </c>
      <c r="G40" s="51"/>
      <c r="H40" s="23"/>
      <c r="I40" s="118">
        <f t="shared" si="0"/>
        <v>0</v>
      </c>
      <c r="J40" s="23"/>
      <c r="K40" s="24"/>
      <c r="L40" s="75" t="s">
        <v>79</v>
      </c>
      <c r="O40" s="25"/>
    </row>
    <row r="41" spans="1:15" s="6" customFormat="1" ht="18.75" customHeight="1">
      <c r="A41" s="722"/>
      <c r="B41" s="722"/>
      <c r="C41" s="15"/>
      <c r="D41" s="723"/>
      <c r="E41" s="723"/>
      <c r="F41" s="723"/>
      <c r="G41" s="723"/>
      <c r="H41" s="723"/>
      <c r="I41" s="16"/>
      <c r="J41" s="16"/>
      <c r="K41" s="722"/>
      <c r="L41" s="722"/>
    </row>
    <row r="42" spans="1:15" s="6" customFormat="1" ht="18.75">
      <c r="A42" s="15"/>
      <c r="B42" s="15"/>
      <c r="C42" s="15"/>
      <c r="D42" s="15"/>
      <c r="E42" s="15"/>
      <c r="F42" s="15"/>
      <c r="G42" s="16"/>
      <c r="H42" s="16"/>
      <c r="I42" s="16"/>
      <c r="J42" s="16"/>
    </row>
    <row r="43" spans="1:15" s="6" customFormat="1" ht="18.75">
      <c r="A43" s="15"/>
      <c r="B43" s="15"/>
      <c r="C43" s="15"/>
      <c r="D43" s="15"/>
      <c r="E43" s="15"/>
      <c r="F43" s="15"/>
      <c r="G43" s="16"/>
      <c r="H43" s="16"/>
      <c r="I43" s="16"/>
      <c r="J43" s="16"/>
    </row>
    <row r="44" spans="1:15" s="6" customFormat="1" ht="18.75">
      <c r="A44" s="15"/>
      <c r="B44" s="15"/>
      <c r="C44" s="15"/>
      <c r="D44" s="15"/>
      <c r="E44" s="15"/>
      <c r="F44" s="15"/>
      <c r="G44" s="16"/>
      <c r="H44" s="16"/>
      <c r="I44" s="16"/>
      <c r="J44" s="16"/>
    </row>
    <row r="45" spans="1:15" s="6" customFormat="1" ht="18.75">
      <c r="A45" s="15"/>
      <c r="B45" s="15"/>
      <c r="C45" s="15"/>
      <c r="D45" s="15"/>
      <c r="E45" s="15"/>
      <c r="F45" s="15"/>
      <c r="G45" s="16"/>
      <c r="H45" s="16"/>
      <c r="I45" s="16"/>
      <c r="J45" s="16"/>
    </row>
    <row r="46" spans="1:15" s="6" customFormat="1" ht="18.75">
      <c r="A46" s="15"/>
      <c r="B46" s="15"/>
      <c r="C46" s="15"/>
      <c r="D46" s="15"/>
      <c r="E46" s="15"/>
      <c r="F46" s="15"/>
      <c r="G46" s="16"/>
      <c r="H46" s="16"/>
      <c r="I46" s="16"/>
      <c r="J46" s="16"/>
    </row>
    <row r="47" spans="1:15" s="6" customFormat="1" ht="18.75">
      <c r="A47" s="15"/>
      <c r="B47" s="15"/>
      <c r="C47" s="15"/>
      <c r="D47" s="15"/>
      <c r="E47" s="15"/>
      <c r="F47" s="15"/>
      <c r="G47" s="16"/>
      <c r="H47" s="16"/>
      <c r="I47" s="16"/>
      <c r="J47" s="16"/>
    </row>
    <row r="48" spans="1:15" s="6" customFormat="1" ht="18.75">
      <c r="A48" s="15"/>
      <c r="B48" s="15"/>
      <c r="C48" s="15"/>
      <c r="D48" s="15"/>
      <c r="E48" s="15"/>
      <c r="F48" s="15"/>
      <c r="G48" s="16"/>
      <c r="H48" s="16"/>
      <c r="I48" s="16"/>
      <c r="J48" s="16"/>
    </row>
    <row r="49" spans="1:10" s="6" customFormat="1" ht="18.75">
      <c r="A49" s="15"/>
      <c r="B49" s="15"/>
      <c r="C49" s="15"/>
      <c r="D49" s="15"/>
      <c r="E49" s="15"/>
      <c r="F49" s="15"/>
      <c r="G49" s="16"/>
      <c r="H49" s="16"/>
      <c r="I49" s="16"/>
      <c r="J49" s="16"/>
    </row>
    <row r="50" spans="1:10" s="6" customFormat="1" ht="18.75">
      <c r="A50" s="15"/>
      <c r="B50" s="15"/>
      <c r="C50" s="15"/>
      <c r="D50" s="15"/>
      <c r="E50" s="15"/>
      <c r="F50" s="15"/>
      <c r="G50" s="16"/>
      <c r="H50" s="16"/>
      <c r="I50" s="16"/>
      <c r="J50" s="16"/>
    </row>
    <row r="51" spans="1:10" s="6" customFormat="1" ht="18.75">
      <c r="A51" s="15"/>
      <c r="B51" s="15"/>
      <c r="C51" s="15"/>
      <c r="D51" s="15"/>
      <c r="E51" s="15"/>
      <c r="F51" s="15"/>
      <c r="G51" s="16"/>
      <c r="H51" s="16"/>
      <c r="I51" s="16"/>
      <c r="J51" s="16"/>
    </row>
    <row r="52" spans="1:10" s="6" customFormat="1" ht="18.75">
      <c r="A52" s="15"/>
      <c r="B52" s="15"/>
      <c r="C52" s="15"/>
      <c r="D52" s="15"/>
      <c r="E52" s="15"/>
      <c r="F52" s="15"/>
      <c r="G52" s="16"/>
      <c r="H52" s="16"/>
      <c r="I52" s="16"/>
      <c r="J52" s="16"/>
    </row>
    <row r="53" spans="1:10" s="6" customFormat="1" ht="18.75">
      <c r="A53" s="15"/>
      <c r="B53" s="15"/>
      <c r="C53" s="15"/>
      <c r="D53" s="15"/>
      <c r="E53" s="15"/>
      <c r="F53" s="15"/>
      <c r="G53" s="16"/>
      <c r="H53" s="16"/>
      <c r="I53" s="16"/>
      <c r="J53" s="16"/>
    </row>
    <row r="54" spans="1:10" s="6" customFormat="1" ht="18.75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0" s="6" customFormat="1" ht="18.75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0" s="6" customFormat="1" ht="18.75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spans="1:10" s="6" customFormat="1" ht="18.75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 s="6" customFormat="1" ht="18.75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spans="1:10" s="6" customFormat="1" ht="18.75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spans="1:10" s="6" customFormat="1" ht="18.75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spans="1:10" s="6" customFormat="1" ht="18.75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spans="1:10" s="6" customFormat="1" ht="18.75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spans="1:10" s="6" customFormat="1" ht="18.75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spans="1:10" s="6" customFormat="1" ht="18.75">
      <c r="A64" s="15"/>
      <c r="B64" s="15"/>
      <c r="C64" s="15"/>
      <c r="D64" s="15"/>
      <c r="E64" s="15"/>
      <c r="F64" s="15"/>
      <c r="G64" s="15"/>
      <c r="H64" s="15"/>
      <c r="I64" s="15"/>
      <c r="J64" s="15"/>
    </row>
  </sheetData>
  <mergeCells count="23">
    <mergeCell ref="F23:F24"/>
    <mergeCell ref="A5:B7"/>
    <mergeCell ref="C5:J7"/>
    <mergeCell ref="J2:J3"/>
    <mergeCell ref="K41:L41"/>
    <mergeCell ref="A41:B41"/>
    <mergeCell ref="D41:H41"/>
    <mergeCell ref="I8:I9"/>
    <mergeCell ref="J8:J9"/>
    <mergeCell ref="K8:K9"/>
    <mergeCell ref="A10:A11"/>
    <mergeCell ref="A8:A9"/>
    <mergeCell ref="B8:B9"/>
    <mergeCell ref="F8:F9"/>
    <mergeCell ref="F10:F11"/>
    <mergeCell ref="C8:C9"/>
    <mergeCell ref="K2:K3"/>
    <mergeCell ref="L2:L3"/>
    <mergeCell ref="D8:D9"/>
    <mergeCell ref="L8:L9"/>
    <mergeCell ref="E8:E9"/>
    <mergeCell ref="G8:G9"/>
    <mergeCell ref="H8:H9"/>
  </mergeCells>
  <phoneticPr fontId="74" type="noConversion"/>
  <printOptions horizontalCentered="1"/>
  <pageMargins left="0" right="0" top="0.31" bottom="0.3" header="0.26" footer="0.27"/>
  <pageSetup paperSize="9" scale="75" fitToHeight="0" orientation="landscape" r:id="rId1"/>
  <headerFooter>
    <oddFooter>&amp;LQ401-2&amp;CHANSUNGBOLT VINA&amp;RA4 (210 x 297mm)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8"/>
  <dimension ref="A1:T346"/>
  <sheetViews>
    <sheetView workbookViewId="0">
      <selection activeCell="C23" sqref="C23:E23"/>
    </sheetView>
  </sheetViews>
  <sheetFormatPr defaultRowHeight="15"/>
  <cols>
    <col min="1" max="1" width="13.85546875" style="384" customWidth="1"/>
    <col min="2" max="2" width="15.85546875" style="384" bestFit="1" customWidth="1"/>
    <col min="3" max="4" width="8.140625" style="384" bestFit="1" customWidth="1"/>
    <col min="5" max="5" width="6" style="384" bestFit="1" customWidth="1"/>
    <col min="6" max="6" width="3.42578125" style="385" bestFit="1" customWidth="1"/>
    <col min="7" max="7" width="17.42578125" style="384" bestFit="1" customWidth="1"/>
    <col min="8" max="8" width="19.42578125" style="384" bestFit="1" customWidth="1"/>
    <col min="9" max="9" width="11.42578125" style="384" bestFit="1" customWidth="1"/>
    <col min="10" max="10" width="3" style="384" bestFit="1" customWidth="1"/>
    <col min="11" max="11" width="4" style="384" bestFit="1" customWidth="1"/>
    <col min="12" max="12" width="15.42578125" style="384" bestFit="1" customWidth="1"/>
    <col min="13" max="13" width="5.42578125" style="384" bestFit="1" customWidth="1"/>
    <col min="14" max="14" width="10.42578125" style="384" bestFit="1" customWidth="1"/>
    <col min="15" max="16" width="8.42578125" style="384" bestFit="1" customWidth="1"/>
    <col min="17" max="18" width="15.85546875" style="384" bestFit="1" customWidth="1"/>
    <col min="19" max="19" width="8.42578125" style="384" customWidth="1"/>
    <col min="20" max="20" width="8.42578125" style="384" bestFit="1" customWidth="1"/>
  </cols>
  <sheetData>
    <row r="1" spans="1:20" ht="15.75" thickBot="1">
      <c r="A1"/>
      <c r="B1"/>
      <c r="C1" s="735"/>
      <c r="D1" s="735"/>
      <c r="E1" s="735"/>
      <c r="F1" s="215"/>
      <c r="G1" s="215"/>
      <c r="H1" s="215"/>
      <c r="I1" s="215"/>
      <c r="J1" s="215"/>
      <c r="K1" s="215"/>
      <c r="L1" s="215"/>
      <c r="M1" s="215"/>
      <c r="N1" s="215"/>
      <c r="O1" s="216"/>
      <c r="P1" s="216"/>
      <c r="Q1" s="216"/>
      <c r="R1" s="216"/>
      <c r="S1" s="215"/>
      <c r="T1"/>
    </row>
    <row r="2" spans="1:20" ht="15.75" thickBot="1">
      <c r="A2" s="217"/>
      <c r="B2" s="218"/>
      <c r="C2" s="736"/>
      <c r="D2" s="737"/>
      <c r="E2" s="737"/>
      <c r="F2" s="737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/>
      <c r="T2"/>
    </row>
    <row r="3" spans="1:20" ht="15.75" thickBot="1">
      <c r="A3" s="219"/>
      <c r="B3" s="219"/>
      <c r="C3" s="738" t="s">
        <v>281</v>
      </c>
      <c r="D3" s="739"/>
      <c r="E3" s="739"/>
      <c r="F3" s="739"/>
      <c r="G3" s="739"/>
      <c r="H3" s="739"/>
      <c r="I3" s="740"/>
      <c r="J3" s="738" t="s">
        <v>282</v>
      </c>
      <c r="K3" s="739"/>
      <c r="L3" s="739"/>
      <c r="M3" s="739"/>
      <c r="N3" s="740"/>
      <c r="O3" s="741" t="s">
        <v>283</v>
      </c>
      <c r="P3" s="742"/>
      <c r="Q3" s="742"/>
      <c r="R3" s="742"/>
      <c r="S3"/>
      <c r="T3"/>
    </row>
    <row r="4" spans="1:20" ht="33.75">
      <c r="A4" s="728" t="s">
        <v>257</v>
      </c>
      <c r="B4" s="730" t="s">
        <v>284</v>
      </c>
      <c r="C4" s="732" t="s">
        <v>285</v>
      </c>
      <c r="D4" s="728" t="s">
        <v>286</v>
      </c>
      <c r="E4" s="728" t="s">
        <v>287</v>
      </c>
      <c r="F4" s="728" t="s">
        <v>288</v>
      </c>
      <c r="G4" s="745" t="s">
        <v>289</v>
      </c>
      <c r="H4" s="745" t="s">
        <v>290</v>
      </c>
      <c r="I4" s="745" t="s">
        <v>259</v>
      </c>
      <c r="J4" s="746" t="s">
        <v>291</v>
      </c>
      <c r="K4" s="747"/>
      <c r="L4" s="748" t="s">
        <v>292</v>
      </c>
      <c r="M4" s="728" t="s">
        <v>293</v>
      </c>
      <c r="N4" s="728" t="s">
        <v>294</v>
      </c>
      <c r="O4" s="750" t="s">
        <v>295</v>
      </c>
      <c r="P4" s="752" t="s">
        <v>296</v>
      </c>
      <c r="Q4" s="754" t="s">
        <v>297</v>
      </c>
      <c r="R4" s="743" t="s">
        <v>298</v>
      </c>
      <c r="S4" s="220" t="s">
        <v>299</v>
      </c>
      <c r="T4" s="221" t="s">
        <v>300</v>
      </c>
    </row>
    <row r="5" spans="1:20" ht="50.25" thickBot="1">
      <c r="A5" s="729"/>
      <c r="B5" s="731"/>
      <c r="C5" s="733"/>
      <c r="D5" s="734"/>
      <c r="E5" s="734"/>
      <c r="F5" s="734"/>
      <c r="G5" s="729"/>
      <c r="H5" s="729"/>
      <c r="I5" s="729"/>
      <c r="J5" s="222" t="s">
        <v>301</v>
      </c>
      <c r="K5" s="223" t="s">
        <v>302</v>
      </c>
      <c r="L5" s="749"/>
      <c r="M5" s="734"/>
      <c r="N5" s="734"/>
      <c r="O5" s="751"/>
      <c r="P5" s="753"/>
      <c r="Q5" s="755"/>
      <c r="R5" s="744"/>
      <c r="S5" s="224" t="s">
        <v>303</v>
      </c>
      <c r="T5" s="225" t="s">
        <v>304</v>
      </c>
    </row>
    <row r="6" spans="1:20">
      <c r="A6" s="226"/>
      <c r="B6" s="227"/>
      <c r="C6" s="228"/>
      <c r="D6" s="226"/>
      <c r="E6" s="226"/>
      <c r="F6" s="229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27"/>
      <c r="S6" s="228"/>
      <c r="T6" s="226">
        <v>0</v>
      </c>
    </row>
    <row r="7" spans="1:20">
      <c r="A7" s="231" t="s">
        <v>305</v>
      </c>
      <c r="B7" s="232"/>
      <c r="C7" s="231">
        <v>0</v>
      </c>
      <c r="D7" s="231">
        <v>1</v>
      </c>
      <c r="E7" s="231" t="s">
        <v>306</v>
      </c>
      <c r="F7" s="231"/>
      <c r="G7" s="233" t="s">
        <v>307</v>
      </c>
      <c r="H7" s="234" t="s">
        <v>220</v>
      </c>
      <c r="I7" s="235" t="s">
        <v>308</v>
      </c>
      <c r="J7" s="236"/>
      <c r="K7" s="236"/>
      <c r="L7" s="231" t="s">
        <v>133</v>
      </c>
      <c r="M7" s="237">
        <v>2.6</v>
      </c>
      <c r="N7" s="238">
        <v>0.35</v>
      </c>
      <c r="O7" s="239"/>
      <c r="P7" s="240">
        <v>0</v>
      </c>
      <c r="Q7" s="241">
        <v>0</v>
      </c>
      <c r="R7" s="242"/>
      <c r="S7" s="243">
        <v>0</v>
      </c>
      <c r="T7" s="244">
        <v>0</v>
      </c>
    </row>
    <row r="8" spans="1:20">
      <c r="A8" s="245" t="s">
        <v>309</v>
      </c>
      <c r="B8" s="246">
        <v>0</v>
      </c>
      <c r="C8" s="245">
        <v>0</v>
      </c>
      <c r="D8" s="245">
        <v>1</v>
      </c>
      <c r="E8" s="245" t="s">
        <v>306</v>
      </c>
      <c r="F8" s="245"/>
      <c r="G8" s="247" t="s">
        <v>310</v>
      </c>
      <c r="H8" s="248" t="s">
        <v>311</v>
      </c>
      <c r="I8" s="249" t="s">
        <v>312</v>
      </c>
      <c r="J8" s="250"/>
      <c r="K8" s="250"/>
      <c r="L8" s="245" t="s">
        <v>133</v>
      </c>
      <c r="M8" s="251">
        <v>2.6</v>
      </c>
      <c r="N8" s="252">
        <v>0.39</v>
      </c>
      <c r="O8" s="253"/>
      <c r="P8" s="254">
        <v>0</v>
      </c>
      <c r="Q8" s="255">
        <v>0</v>
      </c>
      <c r="R8" s="256"/>
      <c r="S8" s="257">
        <v>0</v>
      </c>
      <c r="T8" s="258">
        <v>0</v>
      </c>
    </row>
    <row r="9" spans="1:20">
      <c r="A9" s="231" t="s">
        <v>313</v>
      </c>
      <c r="B9" s="259">
        <v>0</v>
      </c>
      <c r="C9" s="260">
        <v>0</v>
      </c>
      <c r="D9" s="234">
        <v>1</v>
      </c>
      <c r="E9" s="234" t="s">
        <v>306</v>
      </c>
      <c r="F9" s="234"/>
      <c r="G9" s="231" t="s">
        <v>314</v>
      </c>
      <c r="H9" s="231" t="s">
        <v>220</v>
      </c>
      <c r="I9" s="235" t="s">
        <v>315</v>
      </c>
      <c r="J9" s="236"/>
      <c r="K9" s="236"/>
      <c r="L9" s="231" t="s">
        <v>133</v>
      </c>
      <c r="M9" s="237">
        <v>2.6</v>
      </c>
      <c r="N9" s="238">
        <v>0.41</v>
      </c>
      <c r="O9" s="239"/>
      <c r="P9" s="261">
        <v>0</v>
      </c>
      <c r="Q9" s="262">
        <v>0</v>
      </c>
      <c r="R9" s="263"/>
      <c r="S9" s="264">
        <v>0</v>
      </c>
      <c r="T9" s="265">
        <v>0</v>
      </c>
    </row>
    <row r="10" spans="1:20">
      <c r="A10" s="245" t="s">
        <v>316</v>
      </c>
      <c r="B10" s="266">
        <v>0</v>
      </c>
      <c r="C10" s="267">
        <v>0</v>
      </c>
      <c r="D10" s="248">
        <v>1</v>
      </c>
      <c r="E10" s="248" t="s">
        <v>306</v>
      </c>
      <c r="F10" s="248"/>
      <c r="G10" s="245" t="s">
        <v>317</v>
      </c>
      <c r="H10" s="245" t="s">
        <v>318</v>
      </c>
      <c r="I10" s="249" t="s">
        <v>315</v>
      </c>
      <c r="J10" s="250"/>
      <c r="K10" s="250"/>
      <c r="L10" s="245" t="s">
        <v>133</v>
      </c>
      <c r="M10" s="251">
        <v>2.6</v>
      </c>
      <c r="N10" s="252">
        <v>0.45</v>
      </c>
      <c r="O10" s="253"/>
      <c r="P10" s="254">
        <v>0</v>
      </c>
      <c r="Q10" s="255">
        <v>0</v>
      </c>
      <c r="R10" s="268"/>
      <c r="S10" s="269">
        <v>0</v>
      </c>
      <c r="T10" s="270">
        <v>0</v>
      </c>
    </row>
    <row r="11" spans="1:20">
      <c r="A11" s="245" t="s">
        <v>319</v>
      </c>
      <c r="B11" s="266"/>
      <c r="C11" s="267" t="e">
        <v>#N/A</v>
      </c>
      <c r="D11" s="248">
        <v>1</v>
      </c>
      <c r="E11" s="248" t="s">
        <v>306</v>
      </c>
      <c r="F11" s="248"/>
      <c r="G11" s="245" t="s">
        <v>320</v>
      </c>
      <c r="H11" s="245" t="s">
        <v>220</v>
      </c>
      <c r="I11" s="249" t="s">
        <v>321</v>
      </c>
      <c r="J11" s="250"/>
      <c r="K11" s="250"/>
      <c r="L11" s="245" t="s">
        <v>133</v>
      </c>
      <c r="M11" s="251">
        <v>2.6</v>
      </c>
      <c r="N11" s="252">
        <v>0.45</v>
      </c>
      <c r="O11" s="253"/>
      <c r="P11" s="254"/>
      <c r="Q11" s="255"/>
      <c r="R11" s="268"/>
      <c r="S11" s="269">
        <v>0</v>
      </c>
      <c r="T11" s="270">
        <v>0</v>
      </c>
    </row>
    <row r="12" spans="1:20">
      <c r="A12" s="245" t="s">
        <v>322</v>
      </c>
      <c r="B12" s="266">
        <v>0</v>
      </c>
      <c r="C12" s="267">
        <v>0</v>
      </c>
      <c r="D12" s="248">
        <v>1</v>
      </c>
      <c r="E12" s="248" t="s">
        <v>306</v>
      </c>
      <c r="F12" s="248"/>
      <c r="G12" s="245" t="s">
        <v>323</v>
      </c>
      <c r="H12" s="245" t="s">
        <v>324</v>
      </c>
      <c r="I12" s="249" t="s">
        <v>312</v>
      </c>
      <c r="J12" s="250" t="s">
        <v>325</v>
      </c>
      <c r="K12" s="250" t="s">
        <v>326</v>
      </c>
      <c r="L12" s="245" t="s">
        <v>133</v>
      </c>
      <c r="M12" s="251">
        <v>2.6</v>
      </c>
      <c r="N12" s="252">
        <v>0.47</v>
      </c>
      <c r="O12" s="253"/>
      <c r="P12" s="254">
        <v>0</v>
      </c>
      <c r="Q12" s="255">
        <v>0</v>
      </c>
      <c r="R12" s="268"/>
      <c r="S12" s="269">
        <v>0</v>
      </c>
      <c r="T12" s="270">
        <v>0</v>
      </c>
    </row>
    <row r="13" spans="1:20">
      <c r="A13" s="245" t="s">
        <v>327</v>
      </c>
      <c r="B13" s="266">
        <v>0</v>
      </c>
      <c r="C13" s="267">
        <v>0</v>
      </c>
      <c r="D13" s="248">
        <v>1</v>
      </c>
      <c r="E13" s="248" t="s">
        <v>306</v>
      </c>
      <c r="F13" s="248"/>
      <c r="G13" s="245" t="s">
        <v>328</v>
      </c>
      <c r="H13" s="245" t="s">
        <v>220</v>
      </c>
      <c r="I13" s="249" t="s">
        <v>312</v>
      </c>
      <c r="J13" s="250"/>
      <c r="K13" s="250"/>
      <c r="L13" s="245" t="s">
        <v>133</v>
      </c>
      <c r="M13" s="251">
        <v>2.6</v>
      </c>
      <c r="N13" s="252">
        <v>0.48</v>
      </c>
      <c r="O13" s="253"/>
      <c r="P13" s="254">
        <v>0</v>
      </c>
      <c r="Q13" s="255">
        <v>0</v>
      </c>
      <c r="R13" s="268"/>
      <c r="S13" s="269">
        <v>0</v>
      </c>
      <c r="T13" s="270">
        <v>0</v>
      </c>
    </row>
    <row r="14" spans="1:20">
      <c r="A14" s="245" t="s">
        <v>329</v>
      </c>
      <c r="B14" s="266">
        <v>79302</v>
      </c>
      <c r="C14" s="267" t="e">
        <v>#N/A</v>
      </c>
      <c r="D14" s="248">
        <v>1</v>
      </c>
      <c r="E14" s="248" t="s">
        <v>306</v>
      </c>
      <c r="F14" s="248"/>
      <c r="G14" s="245" t="s">
        <v>330</v>
      </c>
      <c r="H14" s="245" t="s">
        <v>113</v>
      </c>
      <c r="I14" s="249" t="s">
        <v>331</v>
      </c>
      <c r="J14" s="250" t="s">
        <v>325</v>
      </c>
      <c r="K14" s="250" t="s">
        <v>326</v>
      </c>
      <c r="L14" s="245" t="s">
        <v>133</v>
      </c>
      <c r="M14" s="251">
        <v>2.6</v>
      </c>
      <c r="N14" s="252">
        <v>0.52</v>
      </c>
      <c r="O14" s="253"/>
      <c r="P14" s="254"/>
      <c r="Q14" s="255"/>
      <c r="R14" s="268"/>
      <c r="S14" s="269">
        <v>0</v>
      </c>
      <c r="T14" s="270">
        <v>0</v>
      </c>
    </row>
    <row r="15" spans="1:20">
      <c r="A15" s="245" t="s">
        <v>332</v>
      </c>
      <c r="B15" s="266">
        <v>0</v>
      </c>
      <c r="C15" s="267">
        <v>0</v>
      </c>
      <c r="D15" s="248">
        <v>1</v>
      </c>
      <c r="E15" s="248" t="s">
        <v>306</v>
      </c>
      <c r="F15" s="248"/>
      <c r="G15" s="245" t="s">
        <v>333</v>
      </c>
      <c r="H15" s="245" t="s">
        <v>334</v>
      </c>
      <c r="I15" s="249" t="s">
        <v>315</v>
      </c>
      <c r="J15" s="250"/>
      <c r="K15" s="250"/>
      <c r="L15" s="245" t="s">
        <v>133</v>
      </c>
      <c r="M15" s="251">
        <v>2.6</v>
      </c>
      <c r="N15" s="252">
        <v>0.54</v>
      </c>
      <c r="O15" s="253"/>
      <c r="P15" s="254">
        <v>0</v>
      </c>
      <c r="Q15" s="255">
        <v>0</v>
      </c>
      <c r="R15" s="268"/>
      <c r="S15" s="269">
        <v>0</v>
      </c>
      <c r="T15" s="270">
        <v>0</v>
      </c>
    </row>
    <row r="16" spans="1:20">
      <c r="A16" s="245" t="s">
        <v>335</v>
      </c>
      <c r="B16" s="266">
        <v>0</v>
      </c>
      <c r="C16" s="267">
        <v>0</v>
      </c>
      <c r="D16" s="248">
        <v>1</v>
      </c>
      <c r="E16" s="248" t="s">
        <v>306</v>
      </c>
      <c r="F16" s="248"/>
      <c r="G16" s="245" t="s">
        <v>336</v>
      </c>
      <c r="H16" s="245" t="s">
        <v>324</v>
      </c>
      <c r="I16" s="249" t="s">
        <v>331</v>
      </c>
      <c r="J16" s="250" t="s">
        <v>325</v>
      </c>
      <c r="K16" s="250" t="s">
        <v>326</v>
      </c>
      <c r="L16" s="245" t="s">
        <v>133</v>
      </c>
      <c r="M16" s="251">
        <v>2.6</v>
      </c>
      <c r="N16" s="252">
        <v>0.54</v>
      </c>
      <c r="O16" s="253"/>
      <c r="P16" s="254">
        <v>0</v>
      </c>
      <c r="Q16" s="255">
        <v>0</v>
      </c>
      <c r="R16" s="268"/>
      <c r="S16" s="269">
        <v>0</v>
      </c>
      <c r="T16" s="270">
        <v>0</v>
      </c>
    </row>
    <row r="17" spans="1:20">
      <c r="A17" s="245" t="s">
        <v>337</v>
      </c>
      <c r="B17" s="266">
        <v>0</v>
      </c>
      <c r="C17" s="267">
        <v>0</v>
      </c>
      <c r="D17" s="248">
        <v>1</v>
      </c>
      <c r="E17" s="248" t="s">
        <v>306</v>
      </c>
      <c r="F17" s="248"/>
      <c r="G17" s="245" t="s">
        <v>338</v>
      </c>
      <c r="H17" s="245" t="s">
        <v>334</v>
      </c>
      <c r="I17" s="249" t="s">
        <v>312</v>
      </c>
      <c r="J17" s="250"/>
      <c r="K17" s="250"/>
      <c r="L17" s="245" t="s">
        <v>133</v>
      </c>
      <c r="M17" s="251">
        <v>2.6</v>
      </c>
      <c r="N17" s="252">
        <v>0.61</v>
      </c>
      <c r="O17" s="271">
        <v>1</v>
      </c>
      <c r="P17" s="254">
        <v>0</v>
      </c>
      <c r="Q17" s="272">
        <v>0</v>
      </c>
      <c r="R17" s="273"/>
      <c r="S17" s="269">
        <v>0</v>
      </c>
      <c r="T17" s="274">
        <v>0</v>
      </c>
    </row>
    <row r="18" spans="1:20">
      <c r="A18" s="245" t="s">
        <v>339</v>
      </c>
      <c r="B18" s="266"/>
      <c r="C18" s="267">
        <v>0</v>
      </c>
      <c r="D18" s="248">
        <v>1</v>
      </c>
      <c r="E18" s="248" t="s">
        <v>306</v>
      </c>
      <c r="F18" s="248"/>
      <c r="G18" s="245" t="s">
        <v>340</v>
      </c>
      <c r="H18" s="245" t="s">
        <v>182</v>
      </c>
      <c r="I18" s="249" t="s">
        <v>341</v>
      </c>
      <c r="J18" s="250"/>
      <c r="K18" s="250"/>
      <c r="L18" s="245" t="s">
        <v>133</v>
      </c>
      <c r="M18" s="251">
        <v>2.6</v>
      </c>
      <c r="N18" s="252">
        <v>0.62</v>
      </c>
      <c r="O18" s="253"/>
      <c r="P18" s="254">
        <v>0</v>
      </c>
      <c r="Q18" s="255">
        <v>0</v>
      </c>
      <c r="R18" s="268"/>
      <c r="S18" s="269">
        <v>0</v>
      </c>
      <c r="T18" s="270">
        <v>0</v>
      </c>
    </row>
    <row r="19" spans="1:20">
      <c r="A19" s="245" t="s">
        <v>342</v>
      </c>
      <c r="B19" s="266">
        <v>0</v>
      </c>
      <c r="C19" s="267">
        <v>0</v>
      </c>
      <c r="D19" s="248">
        <v>1</v>
      </c>
      <c r="E19" s="248" t="s">
        <v>306</v>
      </c>
      <c r="F19" s="248"/>
      <c r="G19" s="245" t="s">
        <v>343</v>
      </c>
      <c r="H19" s="245" t="s">
        <v>324</v>
      </c>
      <c r="I19" s="249" t="s">
        <v>344</v>
      </c>
      <c r="J19" s="250" t="s">
        <v>325</v>
      </c>
      <c r="K19" s="250" t="s">
        <v>326</v>
      </c>
      <c r="L19" s="245" t="s">
        <v>133</v>
      </c>
      <c r="M19" s="251">
        <v>2.6</v>
      </c>
      <c r="N19" s="252">
        <v>0.62</v>
      </c>
      <c r="O19" s="253"/>
      <c r="P19" s="254">
        <v>0</v>
      </c>
      <c r="Q19" s="255">
        <v>0</v>
      </c>
      <c r="R19" s="268"/>
      <c r="S19" s="269">
        <v>0</v>
      </c>
      <c r="T19" s="270">
        <v>500000</v>
      </c>
    </row>
    <row r="20" spans="1:20">
      <c r="A20" s="245" t="s">
        <v>219</v>
      </c>
      <c r="B20" s="266">
        <v>82488</v>
      </c>
      <c r="C20" s="267">
        <v>20601</v>
      </c>
      <c r="D20" s="248">
        <v>1</v>
      </c>
      <c r="E20" s="248" t="s">
        <v>306</v>
      </c>
      <c r="F20" s="248"/>
      <c r="G20" s="245" t="s">
        <v>345</v>
      </c>
      <c r="H20" s="245" t="s">
        <v>220</v>
      </c>
      <c r="I20" s="249" t="s">
        <v>183</v>
      </c>
      <c r="J20" s="250"/>
      <c r="K20" s="250"/>
      <c r="L20" s="245" t="s">
        <v>133</v>
      </c>
      <c r="M20" s="251">
        <v>2.6</v>
      </c>
      <c r="N20" s="252">
        <v>0.66</v>
      </c>
      <c r="O20" s="253"/>
      <c r="P20" s="254">
        <v>0</v>
      </c>
      <c r="Q20" s="255">
        <v>172926</v>
      </c>
      <c r="R20" s="268">
        <v>172926</v>
      </c>
      <c r="S20" s="269">
        <v>500000</v>
      </c>
      <c r="T20" s="270">
        <v>0</v>
      </c>
    </row>
    <row r="21" spans="1:20">
      <c r="A21" s="245" t="s">
        <v>346</v>
      </c>
      <c r="B21" s="266">
        <v>0</v>
      </c>
      <c r="C21" s="267">
        <v>0</v>
      </c>
      <c r="D21" s="248">
        <v>1</v>
      </c>
      <c r="E21" s="248" t="s">
        <v>306</v>
      </c>
      <c r="F21" s="248"/>
      <c r="G21" s="245" t="s">
        <v>347</v>
      </c>
      <c r="H21" s="245" t="s">
        <v>324</v>
      </c>
      <c r="I21" s="249" t="s">
        <v>348</v>
      </c>
      <c r="J21" s="250" t="s">
        <v>325</v>
      </c>
      <c r="K21" s="250" t="s">
        <v>326</v>
      </c>
      <c r="L21" s="245" t="s">
        <v>133</v>
      </c>
      <c r="M21" s="251">
        <v>2.6</v>
      </c>
      <c r="N21" s="252">
        <v>0.7</v>
      </c>
      <c r="O21" s="253"/>
      <c r="P21" s="254">
        <v>0</v>
      </c>
      <c r="Q21" s="255">
        <v>0</v>
      </c>
      <c r="R21" s="268"/>
      <c r="S21" s="269">
        <v>100000</v>
      </c>
      <c r="T21" s="270">
        <v>1539600</v>
      </c>
    </row>
    <row r="22" spans="1:20">
      <c r="A22" s="245" t="s">
        <v>181</v>
      </c>
      <c r="B22" s="266">
        <v>1126834</v>
      </c>
      <c r="C22" s="267">
        <v>20027</v>
      </c>
      <c r="D22" s="248">
        <v>1</v>
      </c>
      <c r="E22" s="248" t="s">
        <v>306</v>
      </c>
      <c r="F22" s="248"/>
      <c r="G22" s="245" t="s">
        <v>349</v>
      </c>
      <c r="H22" s="245" t="s">
        <v>182</v>
      </c>
      <c r="I22" s="249" t="s">
        <v>183</v>
      </c>
      <c r="J22" s="250"/>
      <c r="K22" s="250"/>
      <c r="L22" s="245" t="s">
        <v>133</v>
      </c>
      <c r="M22" s="251">
        <v>2.6</v>
      </c>
      <c r="N22" s="252">
        <v>0.77</v>
      </c>
      <c r="O22" s="253"/>
      <c r="P22" s="254">
        <v>0</v>
      </c>
      <c r="Q22" s="255">
        <v>533301</v>
      </c>
      <c r="R22" s="268">
        <v>533301</v>
      </c>
      <c r="S22" s="269">
        <v>4200000</v>
      </c>
      <c r="T22" s="270">
        <v>0</v>
      </c>
    </row>
    <row r="23" spans="1:20">
      <c r="A23" s="245" t="s">
        <v>350</v>
      </c>
      <c r="B23" s="266">
        <v>0</v>
      </c>
      <c r="C23" s="267">
        <v>0</v>
      </c>
      <c r="D23" s="248">
        <v>1</v>
      </c>
      <c r="E23" s="248"/>
      <c r="F23" s="248"/>
      <c r="G23" s="245" t="s">
        <v>351</v>
      </c>
      <c r="H23" s="245" t="s">
        <v>324</v>
      </c>
      <c r="I23" s="249" t="s">
        <v>352</v>
      </c>
      <c r="J23" s="250" t="s">
        <v>325</v>
      </c>
      <c r="K23" s="250" t="s">
        <v>326</v>
      </c>
      <c r="L23" s="245" t="s">
        <v>133</v>
      </c>
      <c r="M23" s="251">
        <v>2.6</v>
      </c>
      <c r="N23" s="252">
        <v>0.78</v>
      </c>
      <c r="O23" s="271"/>
      <c r="P23" s="254">
        <v>0</v>
      </c>
      <c r="Q23" s="272">
        <v>0</v>
      </c>
      <c r="R23" s="273"/>
      <c r="S23" s="269">
        <v>0</v>
      </c>
      <c r="T23" s="274">
        <v>0</v>
      </c>
    </row>
    <row r="24" spans="1:20">
      <c r="A24" s="245" t="s">
        <v>353</v>
      </c>
      <c r="B24" s="266">
        <v>0</v>
      </c>
      <c r="C24" s="267"/>
      <c r="D24" s="248">
        <v>1</v>
      </c>
      <c r="E24" s="248"/>
      <c r="F24" s="248"/>
      <c r="G24" s="245" t="s">
        <v>354</v>
      </c>
      <c r="H24" s="245" t="s">
        <v>324</v>
      </c>
      <c r="I24" s="249" t="s">
        <v>355</v>
      </c>
      <c r="J24" s="250" t="s">
        <v>325</v>
      </c>
      <c r="K24" s="250" t="s">
        <v>326</v>
      </c>
      <c r="L24" s="245" t="s">
        <v>133</v>
      </c>
      <c r="M24" s="275">
        <v>2.6</v>
      </c>
      <c r="N24" s="252">
        <v>0.43</v>
      </c>
      <c r="O24" s="271"/>
      <c r="P24" s="254"/>
      <c r="Q24" s="272"/>
      <c r="R24" s="273"/>
      <c r="S24" s="269">
        <v>0</v>
      </c>
      <c r="T24" s="274">
        <v>380000</v>
      </c>
    </row>
    <row r="25" spans="1:20">
      <c r="A25" s="245" t="s">
        <v>192</v>
      </c>
      <c r="B25" s="266">
        <v>150000</v>
      </c>
      <c r="C25" s="267"/>
      <c r="D25" s="248">
        <v>1</v>
      </c>
      <c r="E25" s="248"/>
      <c r="F25" s="248"/>
      <c r="G25" s="245">
        <v>60300612</v>
      </c>
      <c r="H25" s="245" t="s">
        <v>193</v>
      </c>
      <c r="I25" s="249" t="s">
        <v>312</v>
      </c>
      <c r="J25" s="250"/>
      <c r="K25" s="250"/>
      <c r="L25" s="245" t="s">
        <v>133</v>
      </c>
      <c r="M25" s="275">
        <v>2.6</v>
      </c>
      <c r="N25" s="252">
        <v>0.49</v>
      </c>
      <c r="O25" s="271"/>
      <c r="P25" s="254"/>
      <c r="Q25" s="272"/>
      <c r="R25" s="273"/>
      <c r="S25" s="269">
        <v>500000</v>
      </c>
      <c r="T25" s="274">
        <v>0</v>
      </c>
    </row>
    <row r="26" spans="1:20">
      <c r="A26" s="245" t="s">
        <v>356</v>
      </c>
      <c r="B26" s="266">
        <v>10000</v>
      </c>
      <c r="C26" s="267"/>
      <c r="D26" s="248">
        <v>1</v>
      </c>
      <c r="E26" s="248"/>
      <c r="F26" s="248"/>
      <c r="G26" s="245">
        <v>60301006</v>
      </c>
      <c r="H26" s="245" t="s">
        <v>193</v>
      </c>
      <c r="I26" s="249" t="s">
        <v>183</v>
      </c>
      <c r="J26" s="250"/>
      <c r="K26" s="250"/>
      <c r="L26" s="245" t="s">
        <v>133</v>
      </c>
      <c r="M26" s="251">
        <v>2.6</v>
      </c>
      <c r="N26" s="252">
        <v>0.7</v>
      </c>
      <c r="O26" s="271"/>
      <c r="P26" s="254"/>
      <c r="Q26" s="272"/>
      <c r="R26" s="273"/>
      <c r="S26" s="269">
        <v>0</v>
      </c>
      <c r="T26" s="274">
        <v>0</v>
      </c>
    </row>
    <row r="27" spans="1:20">
      <c r="A27" s="276" t="s">
        <v>357</v>
      </c>
      <c r="B27" s="277"/>
      <c r="C27" s="278">
        <v>20002</v>
      </c>
      <c r="D27" s="279">
        <v>2</v>
      </c>
      <c r="E27" s="279" t="s">
        <v>358</v>
      </c>
      <c r="F27" s="279"/>
      <c r="G27" s="276" t="s">
        <v>359</v>
      </c>
      <c r="H27" s="276" t="s">
        <v>360</v>
      </c>
      <c r="I27" s="280" t="s">
        <v>361</v>
      </c>
      <c r="J27" s="281" t="s">
        <v>362</v>
      </c>
      <c r="K27" s="281" t="s">
        <v>363</v>
      </c>
      <c r="L27" s="276" t="s">
        <v>133</v>
      </c>
      <c r="M27" s="282" t="s">
        <v>364</v>
      </c>
      <c r="N27" s="283">
        <v>37.5</v>
      </c>
      <c r="O27" s="284">
        <v>1</v>
      </c>
      <c r="P27" s="285">
        <v>8313.1666666666697</v>
      </c>
      <c r="Q27" s="286">
        <v>8313.1666666666697</v>
      </c>
      <c r="R27" s="287">
        <v>0</v>
      </c>
      <c r="S27" s="288">
        <v>0</v>
      </c>
      <c r="T27" s="289">
        <v>300400</v>
      </c>
    </row>
    <row r="28" spans="1:20">
      <c r="A28" s="276" t="s">
        <v>144</v>
      </c>
      <c r="B28" s="277">
        <v>211464</v>
      </c>
      <c r="C28" s="278">
        <v>20045</v>
      </c>
      <c r="D28" s="279">
        <v>2</v>
      </c>
      <c r="E28" s="279" t="s">
        <v>306</v>
      </c>
      <c r="F28" s="290" t="s">
        <v>365</v>
      </c>
      <c r="G28" s="276" t="s">
        <v>366</v>
      </c>
      <c r="H28" s="276" t="s">
        <v>145</v>
      </c>
      <c r="I28" s="280" t="s">
        <v>367</v>
      </c>
      <c r="J28" s="281" t="s">
        <v>325</v>
      </c>
      <c r="K28" s="281" t="s">
        <v>326</v>
      </c>
      <c r="L28" s="276" t="s">
        <v>133</v>
      </c>
      <c r="M28" s="282" t="s">
        <v>364</v>
      </c>
      <c r="N28" s="283">
        <v>37.5</v>
      </c>
      <c r="O28" s="291"/>
      <c r="P28" s="285">
        <v>0</v>
      </c>
      <c r="Q28" s="292">
        <v>79617</v>
      </c>
      <c r="R28" s="293">
        <v>110409</v>
      </c>
      <c r="S28" s="288">
        <v>550000</v>
      </c>
      <c r="T28" s="289">
        <v>0</v>
      </c>
    </row>
    <row r="29" spans="1:20">
      <c r="A29" s="245" t="s">
        <v>368</v>
      </c>
      <c r="B29" s="266">
        <v>0</v>
      </c>
      <c r="C29" s="267">
        <v>0</v>
      </c>
      <c r="D29" s="248">
        <v>3</v>
      </c>
      <c r="E29" s="248" t="s">
        <v>369</v>
      </c>
      <c r="F29" s="248"/>
      <c r="G29" s="245" t="s">
        <v>370</v>
      </c>
      <c r="H29" s="245" t="s">
        <v>43</v>
      </c>
      <c r="I29" s="249" t="s">
        <v>371</v>
      </c>
      <c r="J29" s="250" t="s">
        <v>362</v>
      </c>
      <c r="K29" s="250" t="s">
        <v>363</v>
      </c>
      <c r="L29" s="245" t="s">
        <v>133</v>
      </c>
      <c r="M29" s="251" t="s">
        <v>372</v>
      </c>
      <c r="N29" s="252">
        <v>57.9</v>
      </c>
      <c r="O29" s="253"/>
      <c r="P29" s="254">
        <v>0</v>
      </c>
      <c r="Q29" s="255">
        <v>0</v>
      </c>
      <c r="R29" s="268"/>
      <c r="S29" s="269">
        <v>10000</v>
      </c>
      <c r="T29" s="270">
        <v>0</v>
      </c>
    </row>
    <row r="30" spans="1:20">
      <c r="A30" s="231" t="s">
        <v>373</v>
      </c>
      <c r="B30" s="259"/>
      <c r="C30" s="260" t="e">
        <v>#N/A</v>
      </c>
      <c r="D30" s="234">
        <v>4</v>
      </c>
      <c r="E30" s="234"/>
      <c r="F30" s="234"/>
      <c r="G30" s="231" t="s">
        <v>374</v>
      </c>
      <c r="H30" s="231" t="s">
        <v>37</v>
      </c>
      <c r="I30" s="235" t="s">
        <v>375</v>
      </c>
      <c r="J30" s="236"/>
      <c r="K30" s="236"/>
      <c r="L30" s="231" t="s">
        <v>133</v>
      </c>
      <c r="M30" s="237" t="s">
        <v>376</v>
      </c>
      <c r="N30" s="238">
        <v>29.5</v>
      </c>
      <c r="O30" s="294">
        <v>1</v>
      </c>
      <c r="P30" s="261"/>
      <c r="Q30" s="295"/>
      <c r="R30" s="296"/>
      <c r="S30" s="264">
        <v>0</v>
      </c>
      <c r="T30" s="297">
        <v>0</v>
      </c>
    </row>
    <row r="31" spans="1:20">
      <c r="A31" s="231" t="s">
        <v>377</v>
      </c>
      <c r="B31" s="259"/>
      <c r="C31" s="260" t="e">
        <v>#N/A</v>
      </c>
      <c r="D31" s="234">
        <v>4</v>
      </c>
      <c r="E31" s="234"/>
      <c r="F31" s="234"/>
      <c r="G31" s="231" t="s">
        <v>378</v>
      </c>
      <c r="H31" s="231" t="s">
        <v>37</v>
      </c>
      <c r="I31" s="235" t="s">
        <v>379</v>
      </c>
      <c r="J31" s="236"/>
      <c r="K31" s="236"/>
      <c r="L31" s="231" t="s">
        <v>133</v>
      </c>
      <c r="M31" s="237" t="s">
        <v>376</v>
      </c>
      <c r="N31" s="238">
        <v>33.1</v>
      </c>
      <c r="O31" s="294"/>
      <c r="P31" s="261"/>
      <c r="Q31" s="295"/>
      <c r="R31" s="296"/>
      <c r="S31" s="264">
        <v>0</v>
      </c>
      <c r="T31" s="297" t="s">
        <v>1287</v>
      </c>
    </row>
    <row r="32" spans="1:20">
      <c r="A32" s="231" t="s">
        <v>24</v>
      </c>
      <c r="B32" s="259">
        <v>125000</v>
      </c>
      <c r="C32" s="260">
        <v>20203</v>
      </c>
      <c r="D32" s="234">
        <v>4</v>
      </c>
      <c r="E32" s="234" t="s">
        <v>380</v>
      </c>
      <c r="F32" s="298" t="s">
        <v>365</v>
      </c>
      <c r="G32" s="231" t="s">
        <v>381</v>
      </c>
      <c r="H32" s="231" t="s">
        <v>37</v>
      </c>
      <c r="I32" s="235" t="s">
        <v>49</v>
      </c>
      <c r="J32" s="236"/>
      <c r="K32" s="236"/>
      <c r="L32" s="231" t="s">
        <v>133</v>
      </c>
      <c r="M32" s="237" t="s">
        <v>376</v>
      </c>
      <c r="N32" s="238">
        <v>54.8</v>
      </c>
      <c r="O32" s="299"/>
      <c r="P32" s="261">
        <v>0</v>
      </c>
      <c r="Q32" s="300">
        <v>300000</v>
      </c>
      <c r="R32" s="301">
        <v>300000</v>
      </c>
      <c r="S32" s="264">
        <v>350000</v>
      </c>
      <c r="T32" s="297">
        <v>0</v>
      </c>
    </row>
    <row r="33" spans="1:20">
      <c r="A33" s="231" t="s">
        <v>382</v>
      </c>
      <c r="B33" s="259">
        <v>0</v>
      </c>
      <c r="C33" s="260" t="e">
        <v>#N/A</v>
      </c>
      <c r="D33" s="234">
        <v>5</v>
      </c>
      <c r="E33" s="234" t="s">
        <v>306</v>
      </c>
      <c r="F33" s="234"/>
      <c r="G33" s="231" t="s">
        <v>383</v>
      </c>
      <c r="H33" s="231" t="s">
        <v>201</v>
      </c>
      <c r="I33" s="235" t="s">
        <v>331</v>
      </c>
      <c r="J33" s="236"/>
      <c r="K33" s="236"/>
      <c r="L33" s="231" t="s">
        <v>133</v>
      </c>
      <c r="M33" s="237" t="s">
        <v>384</v>
      </c>
      <c r="N33" s="238">
        <v>0.51</v>
      </c>
      <c r="O33" s="239"/>
      <c r="P33" s="261"/>
      <c r="Q33" s="262"/>
      <c r="R33" s="263"/>
      <c r="S33" s="264">
        <v>0</v>
      </c>
      <c r="T33" s="265">
        <v>0</v>
      </c>
    </row>
    <row r="34" spans="1:20">
      <c r="A34" s="231" t="s">
        <v>385</v>
      </c>
      <c r="B34" s="259">
        <v>189360</v>
      </c>
      <c r="C34" s="260" t="e">
        <v>#N/A</v>
      </c>
      <c r="D34" s="234">
        <v>5</v>
      </c>
      <c r="E34" s="234" t="s">
        <v>306</v>
      </c>
      <c r="F34" s="234"/>
      <c r="G34" s="231" t="s">
        <v>386</v>
      </c>
      <c r="H34" s="231" t="s">
        <v>201</v>
      </c>
      <c r="I34" s="235" t="s">
        <v>344</v>
      </c>
      <c r="J34" s="236"/>
      <c r="K34" s="236"/>
      <c r="L34" s="231" t="s">
        <v>133</v>
      </c>
      <c r="M34" s="237" t="s">
        <v>384</v>
      </c>
      <c r="N34" s="238">
        <v>0.55000000000000004</v>
      </c>
      <c r="O34" s="294">
        <v>1</v>
      </c>
      <c r="P34" s="261"/>
      <c r="Q34" s="295"/>
      <c r="R34" s="296"/>
      <c r="S34" s="264">
        <v>0</v>
      </c>
      <c r="T34" s="297">
        <v>200000</v>
      </c>
    </row>
    <row r="35" spans="1:20">
      <c r="A35" s="231" t="s">
        <v>252</v>
      </c>
      <c r="B35" s="259">
        <v>189720</v>
      </c>
      <c r="C35" s="260" t="e">
        <v>#N/A</v>
      </c>
      <c r="D35" s="234">
        <v>5</v>
      </c>
      <c r="E35" s="234" t="s">
        <v>306</v>
      </c>
      <c r="F35" s="234"/>
      <c r="G35" s="231" t="s">
        <v>387</v>
      </c>
      <c r="H35" s="231" t="s">
        <v>201</v>
      </c>
      <c r="I35" s="235" t="s">
        <v>348</v>
      </c>
      <c r="J35" s="236"/>
      <c r="K35" s="236"/>
      <c r="L35" s="231" t="s">
        <v>133</v>
      </c>
      <c r="M35" s="237" t="s">
        <v>384</v>
      </c>
      <c r="N35" s="238">
        <v>0.62</v>
      </c>
      <c r="O35" s="239"/>
      <c r="P35" s="261"/>
      <c r="Q35" s="262"/>
      <c r="R35" s="263"/>
      <c r="S35" s="264">
        <v>400000</v>
      </c>
      <c r="T35" s="265">
        <v>55000</v>
      </c>
    </row>
    <row r="36" spans="1:20">
      <c r="A36" s="231" t="s">
        <v>237</v>
      </c>
      <c r="B36" s="259">
        <v>118934</v>
      </c>
      <c r="C36" s="260" t="e">
        <v>#N/A</v>
      </c>
      <c r="D36" s="234">
        <v>5</v>
      </c>
      <c r="E36" s="234"/>
      <c r="F36" s="234"/>
      <c r="G36" s="231" t="s">
        <v>388</v>
      </c>
      <c r="H36" s="231" t="s">
        <v>238</v>
      </c>
      <c r="I36" s="235" t="s">
        <v>389</v>
      </c>
      <c r="J36" s="236"/>
      <c r="K36" s="236"/>
      <c r="L36" s="231" t="s">
        <v>133</v>
      </c>
      <c r="M36" s="237" t="s">
        <v>384</v>
      </c>
      <c r="N36" s="238">
        <v>0.84</v>
      </c>
      <c r="O36" s="294"/>
      <c r="P36" s="261"/>
      <c r="Q36" s="295"/>
      <c r="R36" s="296"/>
      <c r="S36" s="264">
        <v>100000</v>
      </c>
      <c r="T36" s="297">
        <v>0</v>
      </c>
    </row>
    <row r="37" spans="1:20">
      <c r="A37" s="231" t="s">
        <v>390</v>
      </c>
      <c r="B37" s="259"/>
      <c r="C37" s="260" t="e">
        <v>#N/A</v>
      </c>
      <c r="D37" s="234">
        <v>6</v>
      </c>
      <c r="E37" s="234"/>
      <c r="F37" s="234"/>
      <c r="G37" s="231" t="s">
        <v>391</v>
      </c>
      <c r="H37" s="231" t="s">
        <v>47</v>
      </c>
      <c r="I37" s="235" t="s">
        <v>392</v>
      </c>
      <c r="J37" s="236"/>
      <c r="K37" s="236"/>
      <c r="L37" s="231" t="s">
        <v>133</v>
      </c>
      <c r="M37" s="237" t="s">
        <v>393</v>
      </c>
      <c r="N37" s="238">
        <v>0.99</v>
      </c>
      <c r="O37" s="294"/>
      <c r="P37" s="261"/>
      <c r="Q37" s="295"/>
      <c r="R37" s="296"/>
      <c r="S37" s="264">
        <v>0</v>
      </c>
      <c r="T37" s="297">
        <v>0</v>
      </c>
    </row>
    <row r="38" spans="1:20">
      <c r="A38" s="231" t="s">
        <v>394</v>
      </c>
      <c r="B38" s="259">
        <v>0</v>
      </c>
      <c r="C38" s="260">
        <v>0</v>
      </c>
      <c r="D38" s="234">
        <v>7</v>
      </c>
      <c r="E38" s="234" t="s">
        <v>306</v>
      </c>
      <c r="F38" s="234"/>
      <c r="G38" s="231" t="s">
        <v>395</v>
      </c>
      <c r="H38" s="231" t="s">
        <v>220</v>
      </c>
      <c r="I38" s="235" t="s">
        <v>396</v>
      </c>
      <c r="J38" s="236"/>
      <c r="K38" s="236"/>
      <c r="L38" s="231" t="s">
        <v>133</v>
      </c>
      <c r="M38" s="237" t="s">
        <v>397</v>
      </c>
      <c r="N38" s="238">
        <v>0.74</v>
      </c>
      <c r="O38" s="239"/>
      <c r="P38" s="261">
        <v>0</v>
      </c>
      <c r="Q38" s="262">
        <v>0</v>
      </c>
      <c r="R38" s="263"/>
      <c r="S38" s="264">
        <v>100000</v>
      </c>
      <c r="T38" s="265">
        <v>0</v>
      </c>
    </row>
    <row r="39" spans="1:20">
      <c r="A39" s="231" t="s">
        <v>398</v>
      </c>
      <c r="B39" s="259"/>
      <c r="C39" s="260">
        <v>0</v>
      </c>
      <c r="D39" s="234">
        <v>7</v>
      </c>
      <c r="E39" s="234" t="s">
        <v>306</v>
      </c>
      <c r="F39" s="234"/>
      <c r="G39" s="231" t="s">
        <v>399</v>
      </c>
      <c r="H39" s="231" t="s">
        <v>311</v>
      </c>
      <c r="I39" s="235" t="s">
        <v>400</v>
      </c>
      <c r="J39" s="236"/>
      <c r="K39" s="236"/>
      <c r="L39" s="231" t="s">
        <v>133</v>
      </c>
      <c r="M39" s="237" t="s">
        <v>397</v>
      </c>
      <c r="N39" s="238">
        <v>0.76</v>
      </c>
      <c r="O39" s="239"/>
      <c r="P39" s="261">
        <v>0</v>
      </c>
      <c r="Q39" s="262">
        <v>0</v>
      </c>
      <c r="R39" s="263"/>
      <c r="S39" s="264">
        <v>0</v>
      </c>
      <c r="T39" s="265">
        <v>0</v>
      </c>
    </row>
    <row r="40" spans="1:20">
      <c r="A40" s="231" t="s">
        <v>401</v>
      </c>
      <c r="B40" s="259"/>
      <c r="C40" s="260">
        <v>0</v>
      </c>
      <c r="D40" s="234">
        <v>7</v>
      </c>
      <c r="E40" s="234"/>
      <c r="F40" s="234"/>
      <c r="G40" s="231" t="s">
        <v>402</v>
      </c>
      <c r="H40" s="231" t="s">
        <v>220</v>
      </c>
      <c r="I40" s="235" t="s">
        <v>403</v>
      </c>
      <c r="J40" s="236"/>
      <c r="K40" s="236"/>
      <c r="L40" s="231" t="s">
        <v>133</v>
      </c>
      <c r="M40" s="237" t="s">
        <v>397</v>
      </c>
      <c r="N40" s="238">
        <v>0.8</v>
      </c>
      <c r="O40" s="294"/>
      <c r="P40" s="261">
        <v>0</v>
      </c>
      <c r="Q40" s="295">
        <v>0</v>
      </c>
      <c r="R40" s="296"/>
      <c r="S40" s="264">
        <v>0</v>
      </c>
      <c r="T40" s="297">
        <v>0</v>
      </c>
    </row>
    <row r="41" spans="1:20">
      <c r="A41" s="231" t="s">
        <v>404</v>
      </c>
      <c r="B41" s="259">
        <v>0</v>
      </c>
      <c r="C41" s="260">
        <v>0</v>
      </c>
      <c r="D41" s="234">
        <v>7</v>
      </c>
      <c r="E41" s="234"/>
      <c r="F41" s="234"/>
      <c r="G41" s="231" t="s">
        <v>405</v>
      </c>
      <c r="H41" s="231" t="s">
        <v>324</v>
      </c>
      <c r="I41" s="235" t="s">
        <v>400</v>
      </c>
      <c r="J41" s="236" t="s">
        <v>325</v>
      </c>
      <c r="K41" s="236" t="s">
        <v>326</v>
      </c>
      <c r="L41" s="231" t="s">
        <v>133</v>
      </c>
      <c r="M41" s="237" t="s">
        <v>397</v>
      </c>
      <c r="N41" s="238">
        <v>0.89</v>
      </c>
      <c r="O41" s="294"/>
      <c r="P41" s="261">
        <v>0</v>
      </c>
      <c r="Q41" s="295">
        <v>0</v>
      </c>
      <c r="R41" s="296"/>
      <c r="S41" s="264">
        <v>0</v>
      </c>
      <c r="T41" s="297">
        <v>0</v>
      </c>
    </row>
    <row r="42" spans="1:20">
      <c r="A42" s="231" t="s">
        <v>406</v>
      </c>
      <c r="B42" s="259"/>
      <c r="C42" s="260">
        <v>0</v>
      </c>
      <c r="D42" s="234">
        <v>7</v>
      </c>
      <c r="E42" s="234"/>
      <c r="F42" s="234"/>
      <c r="G42" s="231" t="s">
        <v>407</v>
      </c>
      <c r="H42" s="231" t="s">
        <v>318</v>
      </c>
      <c r="I42" s="235" t="s">
        <v>403</v>
      </c>
      <c r="J42" s="236"/>
      <c r="K42" s="236"/>
      <c r="L42" s="231" t="s">
        <v>133</v>
      </c>
      <c r="M42" s="237" t="s">
        <v>397</v>
      </c>
      <c r="N42" s="238">
        <v>1</v>
      </c>
      <c r="O42" s="294"/>
      <c r="P42" s="261">
        <v>0</v>
      </c>
      <c r="Q42" s="295">
        <v>0</v>
      </c>
      <c r="R42" s="296"/>
      <c r="S42" s="264">
        <v>0</v>
      </c>
      <c r="T42" s="297">
        <v>0</v>
      </c>
    </row>
    <row r="43" spans="1:20">
      <c r="A43" s="231" t="s">
        <v>408</v>
      </c>
      <c r="B43" s="259"/>
      <c r="C43" s="260">
        <v>0</v>
      </c>
      <c r="D43" s="234">
        <v>7</v>
      </c>
      <c r="E43" s="234"/>
      <c r="F43" s="234"/>
      <c r="G43" s="231" t="s">
        <v>409</v>
      </c>
      <c r="H43" s="231" t="s">
        <v>220</v>
      </c>
      <c r="I43" s="235" t="s">
        <v>392</v>
      </c>
      <c r="J43" s="236"/>
      <c r="K43" s="236"/>
      <c r="L43" s="231" t="s">
        <v>133</v>
      </c>
      <c r="M43" s="237" t="s">
        <v>397</v>
      </c>
      <c r="N43" s="238">
        <v>1.02</v>
      </c>
      <c r="O43" s="294"/>
      <c r="P43" s="261">
        <v>0</v>
      </c>
      <c r="Q43" s="295">
        <v>0</v>
      </c>
      <c r="R43" s="296"/>
      <c r="S43" s="264">
        <v>0</v>
      </c>
      <c r="T43" s="297">
        <v>0</v>
      </c>
    </row>
    <row r="44" spans="1:20">
      <c r="A44" s="231" t="s">
        <v>410</v>
      </c>
      <c r="B44" s="259">
        <v>0</v>
      </c>
      <c r="C44" s="260">
        <v>0</v>
      </c>
      <c r="D44" s="234">
        <v>7</v>
      </c>
      <c r="E44" s="234" t="s">
        <v>306</v>
      </c>
      <c r="F44" s="234"/>
      <c r="G44" s="231" t="s">
        <v>411</v>
      </c>
      <c r="H44" s="231" t="s">
        <v>324</v>
      </c>
      <c r="I44" s="235" t="s">
        <v>392</v>
      </c>
      <c r="J44" s="236" t="s">
        <v>325</v>
      </c>
      <c r="K44" s="236" t="s">
        <v>326</v>
      </c>
      <c r="L44" s="231" t="s">
        <v>133</v>
      </c>
      <c r="M44" s="237" t="s">
        <v>397</v>
      </c>
      <c r="N44" s="238">
        <v>1.04</v>
      </c>
      <c r="O44" s="294">
        <v>1</v>
      </c>
      <c r="P44" s="261">
        <v>0</v>
      </c>
      <c r="Q44" s="295">
        <v>0</v>
      </c>
      <c r="R44" s="296"/>
      <c r="S44" s="264">
        <v>200000</v>
      </c>
      <c r="T44" s="297">
        <v>0</v>
      </c>
    </row>
    <row r="45" spans="1:20">
      <c r="A45" s="231" t="s">
        <v>412</v>
      </c>
      <c r="B45" s="259"/>
      <c r="C45" s="260">
        <v>0</v>
      </c>
      <c r="D45" s="234">
        <v>7</v>
      </c>
      <c r="E45" s="234"/>
      <c r="F45" s="234"/>
      <c r="G45" s="231" t="s">
        <v>413</v>
      </c>
      <c r="H45" s="231" t="s">
        <v>324</v>
      </c>
      <c r="I45" s="235" t="s">
        <v>414</v>
      </c>
      <c r="J45" s="236" t="s">
        <v>325</v>
      </c>
      <c r="K45" s="236" t="s">
        <v>326</v>
      </c>
      <c r="L45" s="231" t="s">
        <v>133</v>
      </c>
      <c r="M45" s="237" t="s">
        <v>397</v>
      </c>
      <c r="N45" s="238">
        <v>1.1599999999999999</v>
      </c>
      <c r="O45" s="294"/>
      <c r="P45" s="261">
        <v>0</v>
      </c>
      <c r="Q45" s="295">
        <v>0</v>
      </c>
      <c r="R45" s="296"/>
      <c r="S45" s="264">
        <v>0</v>
      </c>
      <c r="T45" s="297" t="s">
        <v>1287</v>
      </c>
    </row>
    <row r="46" spans="1:20">
      <c r="A46" s="231" t="s">
        <v>415</v>
      </c>
      <c r="B46" s="259">
        <v>86666.666666666672</v>
      </c>
      <c r="C46" s="260">
        <v>50105</v>
      </c>
      <c r="D46" s="234">
        <v>7</v>
      </c>
      <c r="E46" s="234" t="s">
        <v>306</v>
      </c>
      <c r="F46" s="234"/>
      <c r="G46" s="231" t="s">
        <v>416</v>
      </c>
      <c r="H46" s="231" t="s">
        <v>113</v>
      </c>
      <c r="I46" s="235" t="s">
        <v>417</v>
      </c>
      <c r="J46" s="236" t="s">
        <v>325</v>
      </c>
      <c r="K46" s="236" t="s">
        <v>326</v>
      </c>
      <c r="L46" s="231" t="s">
        <v>133</v>
      </c>
      <c r="M46" s="237" t="s">
        <v>397</v>
      </c>
      <c r="N46" s="238">
        <v>1.21</v>
      </c>
      <c r="O46" s="294"/>
      <c r="P46" s="261">
        <v>0</v>
      </c>
      <c r="Q46" s="295">
        <v>180000</v>
      </c>
      <c r="R46" s="296">
        <v>180000</v>
      </c>
      <c r="S46" s="264">
        <v>200000</v>
      </c>
      <c r="T46" s="297">
        <v>0</v>
      </c>
    </row>
    <row r="47" spans="1:20">
      <c r="A47" s="231" t="s">
        <v>418</v>
      </c>
      <c r="B47" s="259">
        <v>0</v>
      </c>
      <c r="C47" s="260">
        <v>0</v>
      </c>
      <c r="D47" s="234">
        <v>7</v>
      </c>
      <c r="E47" s="234"/>
      <c r="F47" s="234"/>
      <c r="G47" s="231" t="s">
        <v>419</v>
      </c>
      <c r="H47" s="231" t="s">
        <v>324</v>
      </c>
      <c r="I47" s="235" t="s">
        <v>420</v>
      </c>
      <c r="J47" s="236" t="s">
        <v>325</v>
      </c>
      <c r="K47" s="236" t="s">
        <v>326</v>
      </c>
      <c r="L47" s="231" t="s">
        <v>133</v>
      </c>
      <c r="M47" s="237" t="s">
        <v>397</v>
      </c>
      <c r="N47" s="238">
        <v>1.3</v>
      </c>
      <c r="O47" s="294"/>
      <c r="P47" s="261">
        <v>0</v>
      </c>
      <c r="Q47" s="295">
        <v>0</v>
      </c>
      <c r="R47" s="296"/>
      <c r="S47" s="264">
        <v>100000</v>
      </c>
      <c r="T47" s="297" t="s">
        <v>1287</v>
      </c>
    </row>
    <row r="48" spans="1:20">
      <c r="A48" s="231" t="s">
        <v>421</v>
      </c>
      <c r="B48" s="259">
        <v>110000</v>
      </c>
      <c r="C48" s="260">
        <v>20706</v>
      </c>
      <c r="D48" s="234">
        <v>7</v>
      </c>
      <c r="E48" s="234" t="s">
        <v>306</v>
      </c>
      <c r="F48" s="234"/>
      <c r="G48" s="231" t="s">
        <v>422</v>
      </c>
      <c r="H48" s="231" t="s">
        <v>423</v>
      </c>
      <c r="I48" s="235" t="s">
        <v>424</v>
      </c>
      <c r="J48" s="236"/>
      <c r="K48" s="236"/>
      <c r="L48" s="231" t="s">
        <v>133</v>
      </c>
      <c r="M48" s="237" t="s">
        <v>397</v>
      </c>
      <c r="N48" s="238">
        <v>5.18</v>
      </c>
      <c r="O48" s="294"/>
      <c r="P48" s="261">
        <v>0</v>
      </c>
      <c r="Q48" s="302">
        <v>100000</v>
      </c>
      <c r="R48" s="303">
        <v>100000</v>
      </c>
      <c r="S48" s="264">
        <v>300000</v>
      </c>
      <c r="T48" s="297">
        <v>0</v>
      </c>
    </row>
    <row r="49" spans="1:20">
      <c r="A49" s="231" t="s">
        <v>425</v>
      </c>
      <c r="B49" s="259"/>
      <c r="C49" s="260">
        <v>0</v>
      </c>
      <c r="D49" s="234">
        <v>8</v>
      </c>
      <c r="E49" s="234" t="s">
        <v>369</v>
      </c>
      <c r="F49" s="234"/>
      <c r="G49" s="231" t="s">
        <v>426</v>
      </c>
      <c r="H49" s="231" t="s">
        <v>427</v>
      </c>
      <c r="I49" s="235" t="s">
        <v>428</v>
      </c>
      <c r="J49" s="236"/>
      <c r="K49" s="236"/>
      <c r="L49" s="231" t="s">
        <v>133</v>
      </c>
      <c r="M49" s="237" t="s">
        <v>429</v>
      </c>
      <c r="N49" s="238">
        <v>4.4400000000000004</v>
      </c>
      <c r="O49" s="239"/>
      <c r="P49" s="261">
        <v>0</v>
      </c>
      <c r="Q49" s="262">
        <v>0</v>
      </c>
      <c r="R49" s="263"/>
      <c r="S49" s="264">
        <v>0</v>
      </c>
      <c r="T49" s="265">
        <v>0</v>
      </c>
    </row>
    <row r="50" spans="1:20">
      <c r="A50" s="231" t="s">
        <v>430</v>
      </c>
      <c r="B50" s="259">
        <v>0</v>
      </c>
      <c r="C50" s="260">
        <v>0</v>
      </c>
      <c r="D50" s="234">
        <v>8</v>
      </c>
      <c r="E50" s="234" t="s">
        <v>306</v>
      </c>
      <c r="F50" s="234"/>
      <c r="G50" s="231">
        <v>7005501012</v>
      </c>
      <c r="H50" s="231" t="s">
        <v>311</v>
      </c>
      <c r="I50" s="235" t="s">
        <v>431</v>
      </c>
      <c r="J50" s="236"/>
      <c r="K50" s="236"/>
      <c r="L50" s="231" t="s">
        <v>133</v>
      </c>
      <c r="M50" s="237" t="s">
        <v>429</v>
      </c>
      <c r="N50" s="238">
        <v>1.6</v>
      </c>
      <c r="O50" s="294">
        <v>1</v>
      </c>
      <c r="P50" s="261">
        <v>0</v>
      </c>
      <c r="Q50" s="295">
        <v>0</v>
      </c>
      <c r="R50" s="296">
        <v>0</v>
      </c>
      <c r="S50" s="264">
        <v>0</v>
      </c>
      <c r="T50" s="297">
        <v>0</v>
      </c>
    </row>
    <row r="51" spans="1:20">
      <c r="A51" s="231" t="s">
        <v>432</v>
      </c>
      <c r="B51" s="259">
        <v>1240</v>
      </c>
      <c r="C51" s="260">
        <v>0</v>
      </c>
      <c r="D51" s="234">
        <v>8</v>
      </c>
      <c r="E51" s="234"/>
      <c r="F51" s="234"/>
      <c r="G51" s="231">
        <v>7127501411</v>
      </c>
      <c r="H51" s="231" t="s">
        <v>311</v>
      </c>
      <c r="I51" s="235" t="s">
        <v>431</v>
      </c>
      <c r="J51" s="236"/>
      <c r="K51" s="236"/>
      <c r="L51" s="231" t="s">
        <v>133</v>
      </c>
      <c r="M51" s="237" t="s">
        <v>429</v>
      </c>
      <c r="N51" s="238">
        <v>1.64</v>
      </c>
      <c r="O51" s="294">
        <v>1</v>
      </c>
      <c r="P51" s="261">
        <v>0</v>
      </c>
      <c r="Q51" s="302">
        <v>1860</v>
      </c>
      <c r="R51" s="303">
        <v>1860</v>
      </c>
      <c r="S51" s="264">
        <v>0</v>
      </c>
      <c r="T51" s="297">
        <v>0</v>
      </c>
    </row>
    <row r="52" spans="1:20">
      <c r="A52" s="231" t="s">
        <v>433</v>
      </c>
      <c r="B52" s="259">
        <v>0</v>
      </c>
      <c r="C52" s="260">
        <v>0</v>
      </c>
      <c r="D52" s="234">
        <v>8</v>
      </c>
      <c r="E52" s="234"/>
      <c r="F52" s="234"/>
      <c r="G52" s="231">
        <v>7005501611</v>
      </c>
      <c r="H52" s="231" t="s">
        <v>311</v>
      </c>
      <c r="I52" s="235" t="s">
        <v>434</v>
      </c>
      <c r="J52" s="236"/>
      <c r="K52" s="236"/>
      <c r="L52" s="231" t="s">
        <v>133</v>
      </c>
      <c r="M52" s="237" t="s">
        <v>429</v>
      </c>
      <c r="N52" s="238">
        <v>2.44</v>
      </c>
      <c r="O52" s="304">
        <v>1</v>
      </c>
      <c r="P52" s="261">
        <v>0</v>
      </c>
      <c r="Q52" s="305">
        <v>0</v>
      </c>
      <c r="R52" s="306">
        <v>0</v>
      </c>
      <c r="S52" s="264">
        <v>0</v>
      </c>
      <c r="T52" s="297">
        <v>0</v>
      </c>
    </row>
    <row r="53" spans="1:20">
      <c r="A53" s="231" t="s">
        <v>435</v>
      </c>
      <c r="B53" s="259">
        <v>0</v>
      </c>
      <c r="C53" s="260">
        <v>0</v>
      </c>
      <c r="D53" s="234">
        <v>8</v>
      </c>
      <c r="E53" s="234"/>
      <c r="F53" s="234"/>
      <c r="G53" s="231">
        <v>7002511611</v>
      </c>
      <c r="H53" s="231" t="s">
        <v>427</v>
      </c>
      <c r="I53" s="235" t="s">
        <v>434</v>
      </c>
      <c r="J53" s="236"/>
      <c r="K53" s="236"/>
      <c r="L53" s="231" t="s">
        <v>133</v>
      </c>
      <c r="M53" s="237" t="s">
        <v>429</v>
      </c>
      <c r="N53" s="238">
        <v>3.47</v>
      </c>
      <c r="O53" s="294">
        <v>1</v>
      </c>
      <c r="P53" s="261">
        <v>0</v>
      </c>
      <c r="Q53" s="302">
        <v>0</v>
      </c>
      <c r="R53" s="303">
        <v>0</v>
      </c>
      <c r="S53" s="264">
        <v>0</v>
      </c>
      <c r="T53" s="297">
        <v>160000</v>
      </c>
    </row>
    <row r="54" spans="1:20">
      <c r="A54" s="231" t="s">
        <v>436</v>
      </c>
      <c r="B54" s="259">
        <v>250000</v>
      </c>
      <c r="C54" s="260">
        <v>20701</v>
      </c>
      <c r="D54" s="234">
        <v>9</v>
      </c>
      <c r="E54" s="234"/>
      <c r="F54" s="234"/>
      <c r="G54" s="231" t="s">
        <v>437</v>
      </c>
      <c r="H54" s="231" t="s">
        <v>438</v>
      </c>
      <c r="I54" s="235" t="s">
        <v>439</v>
      </c>
      <c r="J54" s="236"/>
      <c r="K54" s="236"/>
      <c r="L54" s="231" t="s">
        <v>133</v>
      </c>
      <c r="M54" s="237" t="s">
        <v>440</v>
      </c>
      <c r="N54" s="238">
        <v>7.88</v>
      </c>
      <c r="O54" s="304">
        <v>1</v>
      </c>
      <c r="P54" s="261">
        <v>0</v>
      </c>
      <c r="Q54" s="305">
        <v>0</v>
      </c>
      <c r="R54" s="306">
        <v>0</v>
      </c>
      <c r="S54" s="264">
        <v>600000</v>
      </c>
      <c r="T54" s="297">
        <v>0</v>
      </c>
    </row>
    <row r="55" spans="1:20">
      <c r="A55" s="231" t="s">
        <v>441</v>
      </c>
      <c r="B55" s="259">
        <v>320</v>
      </c>
      <c r="C55" s="260">
        <v>0</v>
      </c>
      <c r="D55" s="234">
        <v>9</v>
      </c>
      <c r="E55" s="234"/>
      <c r="F55" s="234"/>
      <c r="G55" s="231">
        <v>7640603511</v>
      </c>
      <c r="H55" s="231" t="s">
        <v>442</v>
      </c>
      <c r="I55" s="235" t="s">
        <v>443</v>
      </c>
      <c r="J55" s="236" t="s">
        <v>325</v>
      </c>
      <c r="K55" s="236" t="s">
        <v>326</v>
      </c>
      <c r="L55" s="231" t="s">
        <v>133</v>
      </c>
      <c r="M55" s="237" t="s">
        <v>440</v>
      </c>
      <c r="N55" s="238">
        <v>8.25</v>
      </c>
      <c r="O55" s="304">
        <v>1</v>
      </c>
      <c r="P55" s="261">
        <v>0</v>
      </c>
      <c r="Q55" s="305">
        <v>960</v>
      </c>
      <c r="R55" s="306">
        <v>960</v>
      </c>
      <c r="S55" s="264">
        <v>0</v>
      </c>
      <c r="T55" s="297">
        <v>479000</v>
      </c>
    </row>
    <row r="56" spans="1:20">
      <c r="A56" s="231" t="s">
        <v>178</v>
      </c>
      <c r="B56" s="259">
        <v>50000</v>
      </c>
      <c r="C56" s="260">
        <v>20707</v>
      </c>
      <c r="D56" s="234">
        <v>9</v>
      </c>
      <c r="E56" s="234"/>
      <c r="F56" s="234"/>
      <c r="G56" s="231" t="s">
        <v>444</v>
      </c>
      <c r="H56" s="231" t="s">
        <v>179</v>
      </c>
      <c r="I56" s="235" t="s">
        <v>445</v>
      </c>
      <c r="J56" s="236"/>
      <c r="K56" s="236"/>
      <c r="L56" s="231" t="s">
        <v>133</v>
      </c>
      <c r="M56" s="237" t="s">
        <v>440</v>
      </c>
      <c r="N56" s="238">
        <v>8.8800000000000008</v>
      </c>
      <c r="O56" s="304">
        <v>1</v>
      </c>
      <c r="P56" s="261">
        <v>0</v>
      </c>
      <c r="Q56" s="305">
        <v>50000</v>
      </c>
      <c r="R56" s="306">
        <v>50000</v>
      </c>
      <c r="S56" s="264">
        <v>600000</v>
      </c>
      <c r="T56" s="297">
        <v>0</v>
      </c>
    </row>
    <row r="57" spans="1:20">
      <c r="A57" s="231" t="s">
        <v>446</v>
      </c>
      <c r="B57" s="259">
        <v>0</v>
      </c>
      <c r="C57" s="260">
        <v>0</v>
      </c>
      <c r="D57" s="234">
        <v>9</v>
      </c>
      <c r="E57" s="234"/>
      <c r="F57" s="234"/>
      <c r="G57" s="231">
        <v>7605604511</v>
      </c>
      <c r="H57" s="231" t="s">
        <v>43</v>
      </c>
      <c r="I57" s="235" t="s">
        <v>445</v>
      </c>
      <c r="J57" s="236" t="s">
        <v>325</v>
      </c>
      <c r="K57" s="236" t="s">
        <v>326</v>
      </c>
      <c r="L57" s="231" t="s">
        <v>133</v>
      </c>
      <c r="M57" s="237" t="s">
        <v>440</v>
      </c>
      <c r="N57" s="238">
        <v>9.84</v>
      </c>
      <c r="O57" s="294">
        <v>1</v>
      </c>
      <c r="P57" s="261">
        <v>0</v>
      </c>
      <c r="Q57" s="295">
        <v>0</v>
      </c>
      <c r="R57" s="296"/>
      <c r="S57" s="264">
        <v>0</v>
      </c>
      <c r="T57" s="297">
        <v>19000</v>
      </c>
    </row>
    <row r="58" spans="1:20">
      <c r="A58" s="231" t="s">
        <v>187</v>
      </c>
      <c r="B58" s="259">
        <v>50000</v>
      </c>
      <c r="C58" s="260">
        <v>20700</v>
      </c>
      <c r="D58" s="234">
        <v>10</v>
      </c>
      <c r="E58" s="234" t="s">
        <v>369</v>
      </c>
      <c r="F58" s="298" t="s">
        <v>365</v>
      </c>
      <c r="G58" s="231" t="s">
        <v>447</v>
      </c>
      <c r="H58" s="231" t="s">
        <v>188</v>
      </c>
      <c r="I58" s="235" t="s">
        <v>448</v>
      </c>
      <c r="J58" s="236"/>
      <c r="K58" s="236"/>
      <c r="L58" s="231" t="s">
        <v>133</v>
      </c>
      <c r="M58" s="237" t="s">
        <v>449</v>
      </c>
      <c r="N58" s="238">
        <v>6</v>
      </c>
      <c r="O58" s="294"/>
      <c r="P58" s="261">
        <v>0</v>
      </c>
      <c r="Q58" s="302">
        <v>70000</v>
      </c>
      <c r="R58" s="303">
        <v>70000</v>
      </c>
      <c r="S58" s="264">
        <v>200000</v>
      </c>
      <c r="T58" s="297">
        <v>0</v>
      </c>
    </row>
    <row r="59" spans="1:20">
      <c r="A59" s="231" t="s">
        <v>450</v>
      </c>
      <c r="B59" s="259"/>
      <c r="C59" s="260" t="e">
        <v>#N/A</v>
      </c>
      <c r="D59" s="234">
        <v>10</v>
      </c>
      <c r="E59" s="234" t="s">
        <v>306</v>
      </c>
      <c r="F59" s="298" t="s">
        <v>365</v>
      </c>
      <c r="G59" s="231" t="s">
        <v>451</v>
      </c>
      <c r="H59" s="231" t="s">
        <v>188</v>
      </c>
      <c r="I59" s="235" t="s">
        <v>452</v>
      </c>
      <c r="J59" s="236"/>
      <c r="K59" s="236"/>
      <c r="L59" s="231" t="s">
        <v>133</v>
      </c>
      <c r="M59" s="237" t="s">
        <v>449</v>
      </c>
      <c r="N59" s="238">
        <v>6.92</v>
      </c>
      <c r="O59" s="294"/>
      <c r="P59" s="261"/>
      <c r="Q59" s="302"/>
      <c r="R59" s="303"/>
      <c r="S59" s="264">
        <v>0</v>
      </c>
      <c r="T59" s="297">
        <v>0</v>
      </c>
    </row>
    <row r="60" spans="1:20">
      <c r="A60" s="231" t="s">
        <v>453</v>
      </c>
      <c r="B60" s="259">
        <v>40792</v>
      </c>
      <c r="C60" s="260">
        <v>20400</v>
      </c>
      <c r="D60" s="234">
        <v>11</v>
      </c>
      <c r="E60" s="234"/>
      <c r="F60" s="234"/>
      <c r="G60" s="231" t="s">
        <v>454</v>
      </c>
      <c r="H60" s="231" t="s">
        <v>455</v>
      </c>
      <c r="I60" s="235" t="s">
        <v>456</v>
      </c>
      <c r="J60" s="236"/>
      <c r="K60" s="236"/>
      <c r="L60" s="231" t="s">
        <v>133</v>
      </c>
      <c r="M60" s="237" t="s">
        <v>457</v>
      </c>
      <c r="N60" s="238">
        <v>9.8000000000000007</v>
      </c>
      <c r="O60" s="294"/>
      <c r="P60" s="261">
        <v>0</v>
      </c>
      <c r="Q60" s="295">
        <v>60000</v>
      </c>
      <c r="R60" s="296">
        <v>60000</v>
      </c>
      <c r="S60" s="264">
        <v>0</v>
      </c>
      <c r="T60" s="297">
        <v>0</v>
      </c>
    </row>
    <row r="61" spans="1:20">
      <c r="A61" s="231" t="s">
        <v>458</v>
      </c>
      <c r="B61" s="259">
        <v>125668</v>
      </c>
      <c r="C61" s="260">
        <v>40003</v>
      </c>
      <c r="D61" s="234">
        <v>12</v>
      </c>
      <c r="E61" s="234" t="s">
        <v>306</v>
      </c>
      <c r="F61" s="298" t="s">
        <v>365</v>
      </c>
      <c r="G61" s="231" t="s">
        <v>459</v>
      </c>
      <c r="H61" s="231" t="s">
        <v>460</v>
      </c>
      <c r="I61" s="235" t="s">
        <v>461</v>
      </c>
      <c r="J61" s="236" t="s">
        <v>325</v>
      </c>
      <c r="K61" s="236" t="s">
        <v>326</v>
      </c>
      <c r="L61" s="231" t="s">
        <v>133</v>
      </c>
      <c r="M61" s="237" t="s">
        <v>462</v>
      </c>
      <c r="N61" s="238">
        <v>17.5</v>
      </c>
      <c r="O61" s="239"/>
      <c r="P61" s="261">
        <v>0</v>
      </c>
      <c r="Q61" s="262">
        <v>307200</v>
      </c>
      <c r="R61" s="263">
        <v>307200</v>
      </c>
      <c r="S61" s="264">
        <v>0</v>
      </c>
      <c r="T61" s="265">
        <v>1740600</v>
      </c>
    </row>
    <row r="62" spans="1:20">
      <c r="A62" s="307" t="s">
        <v>143</v>
      </c>
      <c r="B62" s="308">
        <v>1048178</v>
      </c>
      <c r="C62" s="309">
        <v>20006</v>
      </c>
      <c r="D62" s="310">
        <v>12</v>
      </c>
      <c r="E62" s="310" t="s">
        <v>306</v>
      </c>
      <c r="F62" s="311" t="s">
        <v>365</v>
      </c>
      <c r="G62" s="307" t="s">
        <v>463</v>
      </c>
      <c r="H62" s="307" t="s">
        <v>38</v>
      </c>
      <c r="I62" s="312" t="s">
        <v>50</v>
      </c>
      <c r="J62" s="313"/>
      <c r="K62" s="313" t="s">
        <v>326</v>
      </c>
      <c r="L62" s="307" t="s">
        <v>133</v>
      </c>
      <c r="M62" s="314" t="s">
        <v>462</v>
      </c>
      <c r="N62" s="315">
        <v>23.6</v>
      </c>
      <c r="O62" s="316">
        <v>1</v>
      </c>
      <c r="P62" s="317">
        <v>27106.5</v>
      </c>
      <c r="Q62" s="318">
        <v>273938.5</v>
      </c>
      <c r="R62" s="319">
        <v>431584</v>
      </c>
      <c r="S62" s="320">
        <v>2900000</v>
      </c>
      <c r="T62" s="321">
        <v>200000</v>
      </c>
    </row>
    <row r="63" spans="1:20">
      <c r="A63" s="231" t="s">
        <v>241</v>
      </c>
      <c r="B63" s="259">
        <v>89766</v>
      </c>
      <c r="C63" s="260">
        <v>20500</v>
      </c>
      <c r="D63" s="234">
        <v>13</v>
      </c>
      <c r="E63" s="234" t="s">
        <v>306</v>
      </c>
      <c r="F63" s="234"/>
      <c r="G63" s="231" t="s">
        <v>464</v>
      </c>
      <c r="H63" s="231" t="s">
        <v>242</v>
      </c>
      <c r="I63" s="235" t="s">
        <v>465</v>
      </c>
      <c r="J63" s="236"/>
      <c r="K63" s="236"/>
      <c r="L63" s="231" t="s">
        <v>133</v>
      </c>
      <c r="M63" s="237" t="s">
        <v>466</v>
      </c>
      <c r="N63" s="238">
        <v>12.6</v>
      </c>
      <c r="O63" s="239"/>
      <c r="P63" s="261">
        <v>0</v>
      </c>
      <c r="Q63" s="262">
        <v>100000</v>
      </c>
      <c r="R63" s="263">
        <v>100000</v>
      </c>
      <c r="S63" s="264">
        <v>200000</v>
      </c>
      <c r="T63" s="265">
        <v>0</v>
      </c>
    </row>
    <row r="64" spans="1:20">
      <c r="A64" s="231" t="s">
        <v>467</v>
      </c>
      <c r="B64" s="259">
        <v>0</v>
      </c>
      <c r="C64" s="260">
        <v>20503</v>
      </c>
      <c r="D64" s="234">
        <v>13</v>
      </c>
      <c r="E64" s="234" t="s">
        <v>306</v>
      </c>
      <c r="F64" s="234"/>
      <c r="G64" s="231" t="s">
        <v>468</v>
      </c>
      <c r="H64" s="231" t="s">
        <v>469</v>
      </c>
      <c r="I64" s="235" t="s">
        <v>470</v>
      </c>
      <c r="J64" s="236"/>
      <c r="K64" s="236"/>
      <c r="L64" s="231" t="s">
        <v>133</v>
      </c>
      <c r="M64" s="237" t="s">
        <v>466</v>
      </c>
      <c r="N64" s="238">
        <v>17.3</v>
      </c>
      <c r="O64" s="239"/>
      <c r="P64" s="261">
        <v>0</v>
      </c>
      <c r="Q64" s="262">
        <v>0</v>
      </c>
      <c r="R64" s="263">
        <v>0</v>
      </c>
      <c r="S64" s="264">
        <v>0</v>
      </c>
      <c r="T64" s="265">
        <v>20000</v>
      </c>
    </row>
    <row r="65" spans="1:20">
      <c r="A65" s="231" t="s">
        <v>471</v>
      </c>
      <c r="B65" s="259">
        <v>12407</v>
      </c>
      <c r="C65" s="260">
        <v>20059</v>
      </c>
      <c r="D65" s="234">
        <v>13</v>
      </c>
      <c r="E65" s="234"/>
      <c r="F65" s="234"/>
      <c r="G65" s="231" t="s">
        <v>472</v>
      </c>
      <c r="H65" s="231" t="s">
        <v>473</v>
      </c>
      <c r="I65" s="235" t="s">
        <v>474</v>
      </c>
      <c r="J65" s="236"/>
      <c r="K65" s="236"/>
      <c r="L65" s="231" t="s">
        <v>133</v>
      </c>
      <c r="M65" s="237" t="s">
        <v>466</v>
      </c>
      <c r="N65" s="238">
        <v>20.3</v>
      </c>
      <c r="O65" s="239">
        <v>1</v>
      </c>
      <c r="P65" s="261">
        <v>0</v>
      </c>
      <c r="Q65" s="262">
        <v>20000</v>
      </c>
      <c r="R65" s="263">
        <v>20000</v>
      </c>
      <c r="S65" s="264">
        <v>70000</v>
      </c>
      <c r="T65" s="297">
        <v>0</v>
      </c>
    </row>
    <row r="66" spans="1:20">
      <c r="A66" s="231" t="s">
        <v>475</v>
      </c>
      <c r="B66" s="259"/>
      <c r="C66" s="260" t="e">
        <v>#N/A</v>
      </c>
      <c r="D66" s="234">
        <v>13</v>
      </c>
      <c r="E66" s="234"/>
      <c r="F66" s="234"/>
      <c r="G66" s="231" t="s">
        <v>476</v>
      </c>
      <c r="H66" s="231" t="s">
        <v>477</v>
      </c>
      <c r="I66" s="235" t="s">
        <v>478</v>
      </c>
      <c r="J66" s="236"/>
      <c r="K66" s="236"/>
      <c r="L66" s="231" t="s">
        <v>133</v>
      </c>
      <c r="M66" s="237" t="s">
        <v>466</v>
      </c>
      <c r="N66" s="238">
        <v>46.1</v>
      </c>
      <c r="O66" s="294"/>
      <c r="P66" s="261"/>
      <c r="Q66" s="295"/>
      <c r="R66" s="296"/>
      <c r="S66" s="264">
        <v>0</v>
      </c>
      <c r="T66" s="297">
        <v>0</v>
      </c>
    </row>
    <row r="67" spans="1:20">
      <c r="A67" s="231" t="s">
        <v>479</v>
      </c>
      <c r="B67" s="259"/>
      <c r="C67" s="260" t="e">
        <v>#N/A</v>
      </c>
      <c r="D67" s="234">
        <v>14</v>
      </c>
      <c r="E67" s="234" t="s">
        <v>480</v>
      </c>
      <c r="F67" s="234"/>
      <c r="G67" s="231" t="s">
        <v>481</v>
      </c>
      <c r="H67" s="231" t="s">
        <v>482</v>
      </c>
      <c r="I67" s="235" t="s">
        <v>483</v>
      </c>
      <c r="J67" s="236" t="s">
        <v>325</v>
      </c>
      <c r="K67" s="236" t="s">
        <v>326</v>
      </c>
      <c r="L67" s="231" t="s">
        <v>133</v>
      </c>
      <c r="M67" s="237" t="s">
        <v>484</v>
      </c>
      <c r="N67" s="238">
        <v>23.7</v>
      </c>
      <c r="O67" s="294">
        <v>1</v>
      </c>
      <c r="P67" s="261"/>
      <c r="Q67" s="295"/>
      <c r="R67" s="296"/>
      <c r="S67" s="264">
        <v>0</v>
      </c>
      <c r="T67" s="297">
        <v>50000</v>
      </c>
    </row>
    <row r="68" spans="1:20">
      <c r="A68" s="231" t="s">
        <v>92</v>
      </c>
      <c r="B68" s="259">
        <v>9257</v>
      </c>
      <c r="C68" s="260">
        <v>0</v>
      </c>
      <c r="D68" s="234">
        <v>15</v>
      </c>
      <c r="E68" s="234" t="s">
        <v>306</v>
      </c>
      <c r="F68" s="234"/>
      <c r="G68" s="231">
        <v>60126595</v>
      </c>
      <c r="H68" s="231" t="s">
        <v>93</v>
      </c>
      <c r="I68" s="235" t="s">
        <v>94</v>
      </c>
      <c r="J68" s="236"/>
      <c r="K68" s="236"/>
      <c r="L68" s="231" t="s">
        <v>133</v>
      </c>
      <c r="M68" s="237" t="s">
        <v>485</v>
      </c>
      <c r="N68" s="238">
        <v>17.579999999999998</v>
      </c>
      <c r="O68" s="239"/>
      <c r="P68" s="261">
        <v>0</v>
      </c>
      <c r="Q68" s="262">
        <v>5825</v>
      </c>
      <c r="R68" s="263">
        <v>5825</v>
      </c>
      <c r="S68" s="264">
        <v>50000</v>
      </c>
      <c r="T68" s="265">
        <v>50000</v>
      </c>
    </row>
    <row r="69" spans="1:20">
      <c r="A69" s="231" t="s">
        <v>486</v>
      </c>
      <c r="B69" s="259">
        <v>12442</v>
      </c>
      <c r="C69" s="260">
        <v>31014</v>
      </c>
      <c r="D69" s="234">
        <v>15</v>
      </c>
      <c r="E69" s="234" t="s">
        <v>306</v>
      </c>
      <c r="F69" s="234"/>
      <c r="G69" s="231">
        <v>60126596</v>
      </c>
      <c r="H69" s="231" t="s">
        <v>487</v>
      </c>
      <c r="I69" s="235" t="s">
        <v>488</v>
      </c>
      <c r="J69" s="236"/>
      <c r="K69" s="236"/>
      <c r="L69" s="231" t="s">
        <v>133</v>
      </c>
      <c r="M69" s="237" t="s">
        <v>485</v>
      </c>
      <c r="N69" s="238">
        <v>20.09</v>
      </c>
      <c r="O69" s="239"/>
      <c r="P69" s="261">
        <v>0</v>
      </c>
      <c r="Q69" s="262">
        <v>5825</v>
      </c>
      <c r="R69" s="263">
        <v>5825</v>
      </c>
      <c r="S69" s="264">
        <v>50000</v>
      </c>
      <c r="T69" s="265">
        <v>0</v>
      </c>
    </row>
    <row r="70" spans="1:20">
      <c r="A70" s="231" t="s">
        <v>489</v>
      </c>
      <c r="B70" s="259">
        <v>12407</v>
      </c>
      <c r="C70" s="260">
        <v>20058</v>
      </c>
      <c r="D70" s="234">
        <v>16</v>
      </c>
      <c r="E70" s="234" t="s">
        <v>306</v>
      </c>
      <c r="F70" s="234"/>
      <c r="G70" s="231" t="s">
        <v>490</v>
      </c>
      <c r="H70" s="231" t="s">
        <v>491</v>
      </c>
      <c r="I70" s="235" t="s">
        <v>492</v>
      </c>
      <c r="J70" s="236"/>
      <c r="K70" s="236"/>
      <c r="L70" s="231" t="s">
        <v>133</v>
      </c>
      <c r="M70" s="237" t="s">
        <v>493</v>
      </c>
      <c r="N70" s="238">
        <v>12.13</v>
      </c>
      <c r="O70" s="239"/>
      <c r="P70" s="261">
        <v>0</v>
      </c>
      <c r="Q70" s="262">
        <v>20000</v>
      </c>
      <c r="R70" s="263">
        <v>20000</v>
      </c>
      <c r="S70" s="264">
        <v>0</v>
      </c>
      <c r="T70" s="265">
        <v>983300</v>
      </c>
    </row>
    <row r="71" spans="1:20">
      <c r="A71" s="307" t="s">
        <v>90</v>
      </c>
      <c r="B71" s="308">
        <v>507194</v>
      </c>
      <c r="C71" s="309">
        <v>20000</v>
      </c>
      <c r="D71" s="310">
        <v>17</v>
      </c>
      <c r="E71" s="310"/>
      <c r="F71" s="311" t="s">
        <v>365</v>
      </c>
      <c r="G71" s="307" t="s">
        <v>494</v>
      </c>
      <c r="H71" s="307" t="s">
        <v>91</v>
      </c>
      <c r="I71" s="312" t="s">
        <v>205</v>
      </c>
      <c r="J71" s="313"/>
      <c r="K71" s="313"/>
      <c r="L71" s="307" t="s">
        <v>133</v>
      </c>
      <c r="M71" s="314" t="s">
        <v>495</v>
      </c>
      <c r="N71" s="315">
        <v>28.82</v>
      </c>
      <c r="O71" s="316"/>
      <c r="P71" s="317">
        <v>0</v>
      </c>
      <c r="Q71" s="318">
        <v>238792</v>
      </c>
      <c r="R71" s="319">
        <v>238792</v>
      </c>
      <c r="S71" s="320">
        <v>1600000</v>
      </c>
      <c r="T71" s="321" t="s">
        <v>1287</v>
      </c>
    </row>
    <row r="72" spans="1:20">
      <c r="A72" s="307" t="s">
        <v>496</v>
      </c>
      <c r="B72" s="308">
        <v>160340</v>
      </c>
      <c r="C72" s="309">
        <v>20001</v>
      </c>
      <c r="D72" s="310">
        <v>17</v>
      </c>
      <c r="E72" s="310" t="s">
        <v>306</v>
      </c>
      <c r="F72" s="311" t="s">
        <v>365</v>
      </c>
      <c r="G72" s="307" t="s">
        <v>497</v>
      </c>
      <c r="H72" s="307" t="s">
        <v>498</v>
      </c>
      <c r="I72" s="312" t="s">
        <v>499</v>
      </c>
      <c r="J72" s="313"/>
      <c r="K72" s="313" t="s">
        <v>326</v>
      </c>
      <c r="L72" s="307" t="s">
        <v>133</v>
      </c>
      <c r="M72" s="314" t="s">
        <v>495</v>
      </c>
      <c r="N72" s="315">
        <v>42.9</v>
      </c>
      <c r="O72" s="316"/>
      <c r="P72" s="317">
        <v>20157.416666666701</v>
      </c>
      <c r="Q72" s="318">
        <v>165621.41666666701</v>
      </c>
      <c r="R72" s="319">
        <v>145464</v>
      </c>
      <c r="S72" s="320">
        <v>650000</v>
      </c>
      <c r="T72" s="321">
        <v>0</v>
      </c>
    </row>
    <row r="73" spans="1:20">
      <c r="A73" s="231" t="s">
        <v>500</v>
      </c>
      <c r="B73" s="259"/>
      <c r="C73" s="260"/>
      <c r="D73" s="234">
        <v>18</v>
      </c>
      <c r="E73" s="234"/>
      <c r="F73" s="234"/>
      <c r="G73" s="231" t="s">
        <v>501</v>
      </c>
      <c r="H73" s="231" t="s">
        <v>167</v>
      </c>
      <c r="I73" s="235" t="s">
        <v>502</v>
      </c>
      <c r="J73" s="236"/>
      <c r="K73" s="236"/>
      <c r="L73" s="231" t="s">
        <v>136</v>
      </c>
      <c r="M73" s="322">
        <v>1.71</v>
      </c>
      <c r="N73" s="238">
        <v>0.17</v>
      </c>
      <c r="O73" s="294"/>
      <c r="P73" s="261"/>
      <c r="Q73" s="295"/>
      <c r="R73" s="296"/>
      <c r="S73" s="264">
        <v>2000</v>
      </c>
      <c r="T73" s="297" t="s">
        <v>1287</v>
      </c>
    </row>
    <row r="74" spans="1:20">
      <c r="A74" s="231" t="s">
        <v>503</v>
      </c>
      <c r="B74" s="259">
        <v>7797</v>
      </c>
      <c r="C74" s="260">
        <v>40207</v>
      </c>
      <c r="D74" s="234"/>
      <c r="E74" s="234"/>
      <c r="F74" s="234"/>
      <c r="G74" s="231" t="s">
        <v>504</v>
      </c>
      <c r="H74" s="231" t="s">
        <v>204</v>
      </c>
      <c r="I74" s="235" t="s">
        <v>505</v>
      </c>
      <c r="J74" s="236"/>
      <c r="K74" s="236"/>
      <c r="L74" s="231" t="s">
        <v>136</v>
      </c>
      <c r="M74" s="322">
        <v>1.65</v>
      </c>
      <c r="N74" s="238">
        <v>0.18</v>
      </c>
      <c r="O74" s="294"/>
      <c r="P74" s="261"/>
      <c r="Q74" s="295"/>
      <c r="R74" s="296"/>
      <c r="S74" s="264">
        <v>5000</v>
      </c>
      <c r="T74" s="297" t="s">
        <v>1287</v>
      </c>
    </row>
    <row r="75" spans="1:20">
      <c r="A75" s="231" t="s">
        <v>506</v>
      </c>
      <c r="B75" s="263">
        <v>377940</v>
      </c>
      <c r="C75" s="260" t="e">
        <v>#N/A</v>
      </c>
      <c r="D75" s="234">
        <v>19</v>
      </c>
      <c r="E75" s="234" t="s">
        <v>358</v>
      </c>
      <c r="F75" s="234"/>
      <c r="G75" s="231" t="s">
        <v>507</v>
      </c>
      <c r="H75" s="231" t="s">
        <v>508</v>
      </c>
      <c r="I75" s="235" t="s">
        <v>331</v>
      </c>
      <c r="J75" s="236"/>
      <c r="K75" s="236"/>
      <c r="L75" s="231" t="s">
        <v>136</v>
      </c>
      <c r="M75" s="237">
        <v>2.46</v>
      </c>
      <c r="N75" s="238">
        <v>0.42</v>
      </c>
      <c r="O75" s="323">
        <v>1</v>
      </c>
      <c r="P75" s="261"/>
      <c r="Q75" s="324"/>
      <c r="R75" s="325"/>
      <c r="S75" s="264">
        <v>700000</v>
      </c>
      <c r="T75" s="297">
        <v>0</v>
      </c>
    </row>
    <row r="76" spans="1:20">
      <c r="A76" s="231" t="s">
        <v>509</v>
      </c>
      <c r="B76" s="259"/>
      <c r="C76" s="260">
        <v>0</v>
      </c>
      <c r="D76" s="234">
        <v>19</v>
      </c>
      <c r="E76" s="234" t="s">
        <v>358</v>
      </c>
      <c r="F76" s="234"/>
      <c r="G76" s="231" t="s">
        <v>510</v>
      </c>
      <c r="H76" s="231" t="s">
        <v>167</v>
      </c>
      <c r="I76" s="235" t="s">
        <v>312</v>
      </c>
      <c r="J76" s="236"/>
      <c r="K76" s="236"/>
      <c r="L76" s="231" t="s">
        <v>136</v>
      </c>
      <c r="M76" s="237">
        <v>2.46</v>
      </c>
      <c r="N76" s="238">
        <v>0.44</v>
      </c>
      <c r="O76" s="326">
        <v>1</v>
      </c>
      <c r="P76" s="261">
        <v>0</v>
      </c>
      <c r="Q76" s="295">
        <v>0</v>
      </c>
      <c r="R76" s="296"/>
      <c r="S76" s="264">
        <v>0</v>
      </c>
      <c r="T76" s="297">
        <v>0</v>
      </c>
    </row>
    <row r="77" spans="1:20">
      <c r="A77" s="231" t="s">
        <v>511</v>
      </c>
      <c r="B77" s="259">
        <v>0</v>
      </c>
      <c r="C77" s="260">
        <v>0</v>
      </c>
      <c r="D77" s="234">
        <v>19</v>
      </c>
      <c r="E77" s="234" t="s">
        <v>358</v>
      </c>
      <c r="F77" s="234"/>
      <c r="G77" s="231" t="s">
        <v>512</v>
      </c>
      <c r="H77" s="231" t="s">
        <v>513</v>
      </c>
      <c r="I77" s="235" t="s">
        <v>344</v>
      </c>
      <c r="J77" s="236"/>
      <c r="K77" s="236"/>
      <c r="L77" s="231" t="s">
        <v>136</v>
      </c>
      <c r="M77" s="237">
        <v>2.46</v>
      </c>
      <c r="N77" s="238">
        <v>0.5</v>
      </c>
      <c r="O77" s="327">
        <v>1</v>
      </c>
      <c r="P77" s="261">
        <v>0</v>
      </c>
      <c r="Q77" s="324">
        <v>0</v>
      </c>
      <c r="R77" s="325"/>
      <c r="S77" s="264">
        <v>0</v>
      </c>
      <c r="T77" s="297">
        <v>0</v>
      </c>
    </row>
    <row r="78" spans="1:20">
      <c r="A78" s="231" t="s">
        <v>514</v>
      </c>
      <c r="B78" s="259">
        <v>0</v>
      </c>
      <c r="C78" s="260">
        <v>0</v>
      </c>
      <c r="D78" s="234">
        <v>19</v>
      </c>
      <c r="E78" s="234"/>
      <c r="F78" s="234"/>
      <c r="G78" s="231" t="s">
        <v>515</v>
      </c>
      <c r="H78" s="231" t="s">
        <v>148</v>
      </c>
      <c r="I78" s="235" t="s">
        <v>312</v>
      </c>
      <c r="J78" s="236"/>
      <c r="K78" s="236"/>
      <c r="L78" s="231" t="s">
        <v>136</v>
      </c>
      <c r="M78" s="237">
        <v>2.46</v>
      </c>
      <c r="N78" s="238">
        <v>0.51</v>
      </c>
      <c r="O78" s="294"/>
      <c r="P78" s="261">
        <v>0</v>
      </c>
      <c r="Q78" s="295">
        <v>0</v>
      </c>
      <c r="R78" s="296"/>
      <c r="S78" s="264">
        <v>0</v>
      </c>
      <c r="T78" s="297">
        <v>100000</v>
      </c>
    </row>
    <row r="79" spans="1:20">
      <c r="A79" s="231" t="s">
        <v>166</v>
      </c>
      <c r="B79" s="259">
        <v>37500</v>
      </c>
      <c r="C79" s="260">
        <v>20055</v>
      </c>
      <c r="D79" s="234">
        <v>19</v>
      </c>
      <c r="E79" s="234"/>
      <c r="F79" s="234"/>
      <c r="G79" s="231" t="s">
        <v>516</v>
      </c>
      <c r="H79" s="231" t="s">
        <v>167</v>
      </c>
      <c r="I79" s="235" t="s">
        <v>331</v>
      </c>
      <c r="J79" s="236"/>
      <c r="K79" s="236"/>
      <c r="L79" s="231" t="s">
        <v>136</v>
      </c>
      <c r="M79" s="237">
        <v>2.46</v>
      </c>
      <c r="N79" s="238">
        <v>0.51</v>
      </c>
      <c r="O79" s="294">
        <v>1</v>
      </c>
      <c r="P79" s="261">
        <v>0</v>
      </c>
      <c r="Q79" s="302">
        <v>0</v>
      </c>
      <c r="R79" s="303">
        <v>0</v>
      </c>
      <c r="S79" s="264">
        <v>100000</v>
      </c>
      <c r="T79" s="297">
        <v>2315900</v>
      </c>
    </row>
    <row r="80" spans="1:20">
      <c r="A80" s="231" t="s">
        <v>35</v>
      </c>
      <c r="B80" s="259">
        <v>2094375</v>
      </c>
      <c r="C80" s="260">
        <v>20034</v>
      </c>
      <c r="D80" s="234">
        <v>19</v>
      </c>
      <c r="E80" s="234" t="s">
        <v>358</v>
      </c>
      <c r="F80" s="234"/>
      <c r="G80" s="231" t="s">
        <v>517</v>
      </c>
      <c r="H80" s="231" t="s">
        <v>47</v>
      </c>
      <c r="I80" s="231" t="s">
        <v>61</v>
      </c>
      <c r="J80" s="328"/>
      <c r="K80" s="328"/>
      <c r="L80" s="231" t="s">
        <v>136</v>
      </c>
      <c r="M80" s="231">
        <v>2.46</v>
      </c>
      <c r="N80" s="238">
        <v>0.52</v>
      </c>
      <c r="O80" s="327">
        <v>1</v>
      </c>
      <c r="P80" s="261">
        <v>223500</v>
      </c>
      <c r="Q80" s="324">
        <v>2028973</v>
      </c>
      <c r="R80" s="325">
        <v>1805473</v>
      </c>
      <c r="S80" s="264">
        <v>7500000</v>
      </c>
      <c r="T80" s="297">
        <v>2995900</v>
      </c>
    </row>
    <row r="81" spans="1:20">
      <c r="A81" s="231" t="s">
        <v>176</v>
      </c>
      <c r="B81" s="259">
        <v>1550000</v>
      </c>
      <c r="C81" s="260">
        <v>51809</v>
      </c>
      <c r="D81" s="234">
        <v>19</v>
      </c>
      <c r="E81" s="234"/>
      <c r="F81" s="234"/>
      <c r="G81" s="231" t="s">
        <v>518</v>
      </c>
      <c r="H81" s="231" t="s">
        <v>148</v>
      </c>
      <c r="I81" s="231" t="s">
        <v>519</v>
      </c>
      <c r="J81" s="328"/>
      <c r="K81" s="328"/>
      <c r="L81" s="231" t="s">
        <v>136</v>
      </c>
      <c r="M81" s="231">
        <v>2.46</v>
      </c>
      <c r="N81" s="238">
        <v>0.56000000000000005</v>
      </c>
      <c r="O81" s="327"/>
      <c r="P81" s="261"/>
      <c r="Q81" s="324"/>
      <c r="R81" s="325"/>
      <c r="S81" s="264">
        <v>5700000</v>
      </c>
      <c r="T81" s="297">
        <v>1000000</v>
      </c>
    </row>
    <row r="82" spans="1:20">
      <c r="A82" s="231" t="s">
        <v>254</v>
      </c>
      <c r="B82" s="259">
        <v>484719</v>
      </c>
      <c r="C82" s="260">
        <v>20800</v>
      </c>
      <c r="D82" s="234">
        <v>19</v>
      </c>
      <c r="E82" s="234"/>
      <c r="F82" s="234"/>
      <c r="G82" s="231" t="s">
        <v>520</v>
      </c>
      <c r="H82" s="231" t="s">
        <v>255</v>
      </c>
      <c r="I82" s="235" t="s">
        <v>331</v>
      </c>
      <c r="J82" s="236"/>
      <c r="K82" s="236"/>
      <c r="L82" s="237" t="s">
        <v>136</v>
      </c>
      <c r="M82" s="237">
        <v>2.46</v>
      </c>
      <c r="N82" s="238">
        <v>0.52</v>
      </c>
      <c r="O82" s="294">
        <v>1</v>
      </c>
      <c r="P82" s="261">
        <v>0</v>
      </c>
      <c r="Q82" s="295">
        <v>0</v>
      </c>
      <c r="R82" s="296">
        <v>0</v>
      </c>
      <c r="S82" s="264">
        <v>1000000</v>
      </c>
      <c r="T82" s="297">
        <v>0</v>
      </c>
    </row>
    <row r="83" spans="1:20">
      <c r="A83" s="231" t="s">
        <v>521</v>
      </c>
      <c r="B83" s="259">
        <v>0</v>
      </c>
      <c r="C83" s="260">
        <v>0</v>
      </c>
      <c r="D83" s="234">
        <v>19</v>
      </c>
      <c r="E83" s="234"/>
      <c r="F83" s="234"/>
      <c r="G83" s="231" t="s">
        <v>522</v>
      </c>
      <c r="H83" s="231" t="s">
        <v>167</v>
      </c>
      <c r="I83" s="235" t="s">
        <v>331</v>
      </c>
      <c r="J83" s="236"/>
      <c r="K83" s="236"/>
      <c r="L83" s="231" t="s">
        <v>136</v>
      </c>
      <c r="M83" s="237">
        <v>2.46</v>
      </c>
      <c r="N83" s="238">
        <v>0.52</v>
      </c>
      <c r="O83" s="294"/>
      <c r="P83" s="261">
        <v>0</v>
      </c>
      <c r="Q83" s="295">
        <v>0</v>
      </c>
      <c r="R83" s="296"/>
      <c r="S83" s="264">
        <v>0</v>
      </c>
      <c r="T83" s="297">
        <v>0</v>
      </c>
    </row>
    <row r="84" spans="1:20">
      <c r="A84" s="231" t="s">
        <v>523</v>
      </c>
      <c r="B84" s="259">
        <v>0</v>
      </c>
      <c r="C84" s="260" t="e">
        <v>#N/A</v>
      </c>
      <c r="D84" s="234">
        <v>19</v>
      </c>
      <c r="E84" s="234" t="s">
        <v>358</v>
      </c>
      <c r="F84" s="234"/>
      <c r="G84" s="231">
        <v>10105680</v>
      </c>
      <c r="H84" s="231" t="s">
        <v>524</v>
      </c>
      <c r="I84" s="235" t="s">
        <v>331</v>
      </c>
      <c r="J84" s="236"/>
      <c r="K84" s="236"/>
      <c r="L84" s="231" t="s">
        <v>136</v>
      </c>
      <c r="M84" s="237">
        <v>2.46</v>
      </c>
      <c r="N84" s="238">
        <v>0.56000000000000005</v>
      </c>
      <c r="O84" s="329"/>
      <c r="P84" s="261"/>
      <c r="Q84" s="262"/>
      <c r="R84" s="263"/>
      <c r="S84" s="264">
        <v>0</v>
      </c>
      <c r="T84" s="265">
        <v>0</v>
      </c>
    </row>
    <row r="85" spans="1:20">
      <c r="A85" s="231" t="s">
        <v>525</v>
      </c>
      <c r="B85" s="259">
        <v>0</v>
      </c>
      <c r="C85" s="260">
        <v>0</v>
      </c>
      <c r="D85" s="234">
        <v>19</v>
      </c>
      <c r="E85" s="234"/>
      <c r="F85" s="234"/>
      <c r="G85" s="231" t="s">
        <v>526</v>
      </c>
      <c r="H85" s="231" t="s">
        <v>167</v>
      </c>
      <c r="I85" s="235" t="s">
        <v>344</v>
      </c>
      <c r="J85" s="236"/>
      <c r="K85" s="236"/>
      <c r="L85" s="231" t="s">
        <v>136</v>
      </c>
      <c r="M85" s="237">
        <v>2.46</v>
      </c>
      <c r="N85" s="238">
        <v>0.56000000000000005</v>
      </c>
      <c r="O85" s="239"/>
      <c r="P85" s="261">
        <v>0</v>
      </c>
      <c r="Q85" s="262">
        <v>0</v>
      </c>
      <c r="R85" s="263"/>
      <c r="S85" s="264">
        <v>0</v>
      </c>
      <c r="T85" s="265">
        <v>0</v>
      </c>
    </row>
    <row r="86" spans="1:20">
      <c r="A86" s="231" t="s">
        <v>527</v>
      </c>
      <c r="B86" s="259">
        <v>0</v>
      </c>
      <c r="C86" s="260">
        <v>0</v>
      </c>
      <c r="D86" s="234">
        <v>19</v>
      </c>
      <c r="E86" s="234"/>
      <c r="F86" s="234"/>
      <c r="G86" s="231" t="s">
        <v>528</v>
      </c>
      <c r="H86" s="231" t="s">
        <v>148</v>
      </c>
      <c r="I86" s="235" t="s">
        <v>331</v>
      </c>
      <c r="J86" s="236"/>
      <c r="K86" s="236"/>
      <c r="L86" s="231" t="s">
        <v>136</v>
      </c>
      <c r="M86" s="237">
        <v>2.46</v>
      </c>
      <c r="N86" s="238">
        <v>0.56999999999999995</v>
      </c>
      <c r="O86" s="239"/>
      <c r="P86" s="261">
        <v>0</v>
      </c>
      <c r="Q86" s="262">
        <v>0</v>
      </c>
      <c r="R86" s="263"/>
      <c r="S86" s="264">
        <v>0</v>
      </c>
      <c r="T86" s="265">
        <v>0</v>
      </c>
    </row>
    <row r="87" spans="1:20">
      <c r="A87" s="231" t="s">
        <v>529</v>
      </c>
      <c r="B87" s="259">
        <v>0</v>
      </c>
      <c r="C87" s="260" t="e">
        <v>#N/A</v>
      </c>
      <c r="D87" s="234">
        <v>19</v>
      </c>
      <c r="E87" s="234"/>
      <c r="F87" s="234"/>
      <c r="G87" s="231" t="s">
        <v>530</v>
      </c>
      <c r="H87" s="231" t="s">
        <v>531</v>
      </c>
      <c r="I87" s="235" t="s">
        <v>532</v>
      </c>
      <c r="J87" s="236"/>
      <c r="K87" s="236"/>
      <c r="L87" s="231" t="s">
        <v>136</v>
      </c>
      <c r="M87" s="237">
        <v>2.46</v>
      </c>
      <c r="N87" s="238">
        <v>0.59</v>
      </c>
      <c r="O87" s="294">
        <v>1</v>
      </c>
      <c r="P87" s="261"/>
      <c r="Q87" s="295"/>
      <c r="R87" s="296"/>
      <c r="S87" s="264">
        <v>0</v>
      </c>
      <c r="T87" s="297">
        <v>0</v>
      </c>
    </row>
    <row r="88" spans="1:20">
      <c r="A88" s="231" t="s">
        <v>533</v>
      </c>
      <c r="B88" s="259">
        <v>0</v>
      </c>
      <c r="C88" s="260" t="e">
        <v>#N/A</v>
      </c>
      <c r="D88" s="234">
        <v>19</v>
      </c>
      <c r="E88" s="234"/>
      <c r="F88" s="234"/>
      <c r="G88" s="231" t="s">
        <v>534</v>
      </c>
      <c r="H88" s="231" t="s">
        <v>535</v>
      </c>
      <c r="I88" s="235" t="s">
        <v>61</v>
      </c>
      <c r="J88" s="236"/>
      <c r="K88" s="236"/>
      <c r="L88" s="231" t="s">
        <v>136</v>
      </c>
      <c r="M88" s="237">
        <v>2.46</v>
      </c>
      <c r="N88" s="238">
        <v>0.59</v>
      </c>
      <c r="O88" s="239"/>
      <c r="P88" s="261"/>
      <c r="Q88" s="262"/>
      <c r="R88" s="263"/>
      <c r="S88" s="264">
        <v>0</v>
      </c>
      <c r="T88" s="265">
        <v>0</v>
      </c>
    </row>
    <row r="89" spans="1:20">
      <c r="A89" s="231" t="s">
        <v>536</v>
      </c>
      <c r="B89" s="259">
        <v>37944</v>
      </c>
      <c r="C89" s="260" t="e">
        <v>#N/A</v>
      </c>
      <c r="D89" s="234">
        <v>19</v>
      </c>
      <c r="E89" s="234" t="s">
        <v>369</v>
      </c>
      <c r="F89" s="234"/>
      <c r="G89" s="231" t="s">
        <v>537</v>
      </c>
      <c r="H89" s="231" t="s">
        <v>201</v>
      </c>
      <c r="I89" s="235" t="s">
        <v>348</v>
      </c>
      <c r="J89" s="236"/>
      <c r="K89" s="236"/>
      <c r="L89" s="231" t="s">
        <v>136</v>
      </c>
      <c r="M89" s="237">
        <v>2.46</v>
      </c>
      <c r="N89" s="238">
        <v>0.62</v>
      </c>
      <c r="O89" s="294"/>
      <c r="P89" s="261"/>
      <c r="Q89" s="295"/>
      <c r="R89" s="296"/>
      <c r="S89" s="264">
        <v>0</v>
      </c>
      <c r="T89" s="297">
        <v>1383000</v>
      </c>
    </row>
    <row r="90" spans="1:20">
      <c r="A90" s="231" t="s">
        <v>200</v>
      </c>
      <c r="B90" s="259">
        <v>625000</v>
      </c>
      <c r="C90" s="260">
        <v>51804</v>
      </c>
      <c r="D90" s="234">
        <v>19</v>
      </c>
      <c r="E90" s="234" t="s">
        <v>306</v>
      </c>
      <c r="F90" s="234"/>
      <c r="G90" s="231" t="s">
        <v>538</v>
      </c>
      <c r="H90" s="231" t="s">
        <v>539</v>
      </c>
      <c r="I90" s="235" t="s">
        <v>532</v>
      </c>
      <c r="J90" s="236"/>
      <c r="K90" s="236"/>
      <c r="L90" s="231" t="s">
        <v>136</v>
      </c>
      <c r="M90" s="231">
        <v>2.46</v>
      </c>
      <c r="N90" s="238">
        <v>0.55000000000000004</v>
      </c>
      <c r="O90" s="294"/>
      <c r="P90" s="261"/>
      <c r="Q90" s="295"/>
      <c r="R90" s="296"/>
      <c r="S90" s="264">
        <v>1900000</v>
      </c>
      <c r="T90" s="297">
        <v>0</v>
      </c>
    </row>
    <row r="91" spans="1:20">
      <c r="A91" s="231" t="s">
        <v>540</v>
      </c>
      <c r="B91" s="259">
        <v>0</v>
      </c>
      <c r="C91" s="260">
        <v>51802</v>
      </c>
      <c r="D91" s="234">
        <v>19</v>
      </c>
      <c r="E91" s="234" t="s">
        <v>306</v>
      </c>
      <c r="F91" s="234"/>
      <c r="G91" s="231" t="s">
        <v>541</v>
      </c>
      <c r="H91" s="231" t="s">
        <v>542</v>
      </c>
      <c r="I91" s="235" t="s">
        <v>543</v>
      </c>
      <c r="J91" s="236"/>
      <c r="K91" s="236"/>
      <c r="L91" s="231" t="s">
        <v>136</v>
      </c>
      <c r="M91" s="231">
        <v>2.46</v>
      </c>
      <c r="N91" s="238">
        <v>0.49</v>
      </c>
      <c r="O91" s="294"/>
      <c r="P91" s="261"/>
      <c r="Q91" s="295"/>
      <c r="R91" s="296"/>
      <c r="S91" s="264">
        <v>0</v>
      </c>
      <c r="T91" s="297">
        <v>0</v>
      </c>
    </row>
    <row r="92" spans="1:20">
      <c r="A92" s="231" t="s">
        <v>544</v>
      </c>
      <c r="B92" s="259"/>
      <c r="C92" s="260"/>
      <c r="D92" s="234">
        <v>19</v>
      </c>
      <c r="E92" s="234"/>
      <c r="F92" s="234"/>
      <c r="G92" s="231" t="s">
        <v>545</v>
      </c>
      <c r="H92" s="231" t="s">
        <v>546</v>
      </c>
      <c r="I92" s="235" t="s">
        <v>543</v>
      </c>
      <c r="J92" s="236"/>
      <c r="K92" s="236"/>
      <c r="L92" s="231" t="s">
        <v>136</v>
      </c>
      <c r="M92" s="231">
        <v>2.46</v>
      </c>
      <c r="N92" s="238">
        <v>0.66</v>
      </c>
      <c r="O92" s="294"/>
      <c r="P92" s="261"/>
      <c r="Q92" s="295"/>
      <c r="R92" s="296"/>
      <c r="S92" s="264">
        <v>0</v>
      </c>
      <c r="T92" s="297">
        <v>0</v>
      </c>
    </row>
    <row r="93" spans="1:20">
      <c r="A93" s="231" t="s">
        <v>547</v>
      </c>
      <c r="B93" s="259">
        <v>0</v>
      </c>
      <c r="C93" s="260"/>
      <c r="D93" s="234">
        <v>19</v>
      </c>
      <c r="E93" s="234"/>
      <c r="F93" s="234"/>
      <c r="G93" s="231" t="s">
        <v>548</v>
      </c>
      <c r="H93" s="231" t="s">
        <v>204</v>
      </c>
      <c r="I93" s="235" t="s">
        <v>549</v>
      </c>
      <c r="J93" s="236"/>
      <c r="K93" s="236"/>
      <c r="L93" s="231" t="s">
        <v>136</v>
      </c>
      <c r="M93" s="231">
        <v>2.46</v>
      </c>
      <c r="N93" s="238">
        <v>0.5</v>
      </c>
      <c r="O93" s="294"/>
      <c r="P93" s="261"/>
      <c r="Q93" s="295"/>
      <c r="R93" s="296"/>
      <c r="S93" s="264">
        <v>0</v>
      </c>
      <c r="T93" s="297" t="s">
        <v>1287</v>
      </c>
    </row>
    <row r="94" spans="1:20">
      <c r="A94" s="231" t="s">
        <v>550</v>
      </c>
      <c r="B94" s="259"/>
      <c r="C94" s="260"/>
      <c r="D94" s="234">
        <v>19</v>
      </c>
      <c r="E94" s="234"/>
      <c r="F94" s="234"/>
      <c r="G94" s="231" t="s">
        <v>551</v>
      </c>
      <c r="H94" s="231" t="s">
        <v>148</v>
      </c>
      <c r="I94" s="235" t="s">
        <v>312</v>
      </c>
      <c r="J94" s="236"/>
      <c r="K94" s="236"/>
      <c r="L94" s="231" t="s">
        <v>136</v>
      </c>
      <c r="M94" s="231">
        <v>2.46</v>
      </c>
      <c r="N94" s="238">
        <v>0.51</v>
      </c>
      <c r="O94" s="294"/>
      <c r="P94" s="261"/>
      <c r="Q94" s="295"/>
      <c r="R94" s="296"/>
      <c r="S94" s="264">
        <v>200000</v>
      </c>
      <c r="T94" s="297" t="s">
        <v>1287</v>
      </c>
    </row>
    <row r="95" spans="1:20">
      <c r="A95" s="231" t="s">
        <v>552</v>
      </c>
      <c r="B95" s="259"/>
      <c r="C95" s="260"/>
      <c r="D95" s="234">
        <v>19</v>
      </c>
      <c r="E95" s="234"/>
      <c r="F95" s="234"/>
      <c r="G95" s="231" t="s">
        <v>553</v>
      </c>
      <c r="H95" s="231" t="s">
        <v>554</v>
      </c>
      <c r="I95" s="235" t="s">
        <v>312</v>
      </c>
      <c r="J95" s="236"/>
      <c r="K95" s="236"/>
      <c r="L95" s="231" t="s">
        <v>136</v>
      </c>
      <c r="M95" s="231">
        <v>2.46</v>
      </c>
      <c r="N95" s="238">
        <v>0.45</v>
      </c>
      <c r="O95" s="294"/>
      <c r="P95" s="261"/>
      <c r="Q95" s="295"/>
      <c r="R95" s="296"/>
      <c r="S95" s="264">
        <v>1000</v>
      </c>
      <c r="T95" s="297">
        <v>0</v>
      </c>
    </row>
    <row r="96" spans="1:20">
      <c r="A96" s="231" t="s">
        <v>555</v>
      </c>
      <c r="B96" s="259"/>
      <c r="C96" s="260"/>
      <c r="D96" s="234">
        <v>19</v>
      </c>
      <c r="E96" s="234"/>
      <c r="F96" s="234"/>
      <c r="G96" s="231" t="s">
        <v>556</v>
      </c>
      <c r="H96" s="231" t="s">
        <v>508</v>
      </c>
      <c r="I96" s="235" t="s">
        <v>331</v>
      </c>
      <c r="J96" s="236"/>
      <c r="K96" s="236"/>
      <c r="L96" s="231" t="s">
        <v>136</v>
      </c>
      <c r="M96" s="231">
        <v>2.46</v>
      </c>
      <c r="N96" s="238">
        <v>0.42</v>
      </c>
      <c r="O96" s="294"/>
      <c r="P96" s="261"/>
      <c r="Q96" s="295"/>
      <c r="R96" s="296"/>
      <c r="S96" s="264">
        <v>0</v>
      </c>
      <c r="T96" s="297">
        <v>0</v>
      </c>
    </row>
    <row r="97" spans="1:20">
      <c r="A97" s="231" t="s">
        <v>557</v>
      </c>
      <c r="B97" s="259"/>
      <c r="C97" s="260"/>
      <c r="D97" s="234">
        <v>19</v>
      </c>
      <c r="E97" s="234"/>
      <c r="F97" s="234"/>
      <c r="G97" s="231" t="s">
        <v>558</v>
      </c>
      <c r="H97" s="231" t="s">
        <v>508</v>
      </c>
      <c r="I97" s="235" t="s">
        <v>331</v>
      </c>
      <c r="J97" s="236"/>
      <c r="K97" s="236"/>
      <c r="L97" s="231" t="s">
        <v>136</v>
      </c>
      <c r="M97" s="231">
        <v>2.46</v>
      </c>
      <c r="N97" s="238">
        <v>0.42</v>
      </c>
      <c r="O97" s="294"/>
      <c r="P97" s="261"/>
      <c r="Q97" s="295"/>
      <c r="R97" s="296"/>
      <c r="S97" s="264">
        <v>1000</v>
      </c>
      <c r="T97" s="297">
        <v>0</v>
      </c>
    </row>
    <row r="98" spans="1:20">
      <c r="A98" s="231" t="s">
        <v>559</v>
      </c>
      <c r="B98" s="259"/>
      <c r="C98" s="260"/>
      <c r="D98" s="234">
        <v>19</v>
      </c>
      <c r="E98" s="234"/>
      <c r="F98" s="234"/>
      <c r="G98" s="231" t="s">
        <v>560</v>
      </c>
      <c r="H98" s="231" t="s">
        <v>561</v>
      </c>
      <c r="I98" s="235" t="s">
        <v>352</v>
      </c>
      <c r="J98" s="236"/>
      <c r="K98" s="236"/>
      <c r="L98" s="231" t="s">
        <v>136</v>
      </c>
      <c r="M98" s="231">
        <v>2.46</v>
      </c>
      <c r="N98" s="238">
        <v>0.8</v>
      </c>
      <c r="O98" s="294"/>
      <c r="P98" s="261"/>
      <c r="Q98" s="295"/>
      <c r="R98" s="296"/>
      <c r="S98" s="264">
        <v>0</v>
      </c>
      <c r="T98" s="297">
        <v>200000</v>
      </c>
    </row>
    <row r="99" spans="1:20">
      <c r="A99" s="231" t="s">
        <v>562</v>
      </c>
      <c r="B99" s="259">
        <v>50000</v>
      </c>
      <c r="C99" s="260"/>
      <c r="D99" s="234"/>
      <c r="E99" s="234"/>
      <c r="F99" s="234"/>
      <c r="G99" s="231" t="s">
        <v>563</v>
      </c>
      <c r="H99" s="231" t="s">
        <v>564</v>
      </c>
      <c r="I99" s="235" t="s">
        <v>565</v>
      </c>
      <c r="J99" s="236"/>
      <c r="K99" s="236"/>
      <c r="L99" s="231" t="s">
        <v>136</v>
      </c>
      <c r="M99" s="231">
        <v>3.82</v>
      </c>
      <c r="N99" s="238">
        <v>1.63</v>
      </c>
      <c r="O99" s="294"/>
      <c r="P99" s="261"/>
      <c r="Q99" s="295"/>
      <c r="R99" s="296"/>
      <c r="S99" s="264">
        <v>200000</v>
      </c>
      <c r="T99" s="297">
        <v>0</v>
      </c>
    </row>
    <row r="100" spans="1:20">
      <c r="A100" s="231" t="s">
        <v>566</v>
      </c>
      <c r="B100" s="259"/>
      <c r="C100" s="260"/>
      <c r="D100" s="234">
        <v>19</v>
      </c>
      <c r="E100" s="234"/>
      <c r="F100" s="234"/>
      <c r="G100" s="231" t="s">
        <v>567</v>
      </c>
      <c r="H100" s="231" t="s">
        <v>568</v>
      </c>
      <c r="I100" s="235" t="s">
        <v>569</v>
      </c>
      <c r="J100" s="236"/>
      <c r="K100" s="236"/>
      <c r="L100" s="231" t="s">
        <v>136</v>
      </c>
      <c r="M100" s="231">
        <v>2.46</v>
      </c>
      <c r="N100" s="238">
        <v>0.69</v>
      </c>
      <c r="O100" s="294"/>
      <c r="P100" s="261"/>
      <c r="Q100" s="295"/>
      <c r="R100" s="296"/>
      <c r="S100" s="264">
        <v>0</v>
      </c>
      <c r="T100" s="297">
        <v>0</v>
      </c>
    </row>
    <row r="101" spans="1:20">
      <c r="A101" s="231" t="s">
        <v>570</v>
      </c>
      <c r="B101" s="259"/>
      <c r="C101" s="260"/>
      <c r="D101" s="234">
        <v>19</v>
      </c>
      <c r="E101" s="234"/>
      <c r="F101" s="234"/>
      <c r="G101" s="231" t="s">
        <v>571</v>
      </c>
      <c r="H101" s="231" t="s">
        <v>167</v>
      </c>
      <c r="I101" s="235" t="s">
        <v>572</v>
      </c>
      <c r="J101" s="236"/>
      <c r="K101" s="236"/>
      <c r="L101" s="231" t="s">
        <v>136</v>
      </c>
      <c r="M101" s="231">
        <v>2.46</v>
      </c>
      <c r="N101" s="238">
        <v>0.72</v>
      </c>
      <c r="O101" s="294"/>
      <c r="P101" s="261"/>
      <c r="Q101" s="295"/>
      <c r="R101" s="296"/>
      <c r="S101" s="264">
        <v>0</v>
      </c>
      <c r="T101" s="297">
        <v>750</v>
      </c>
    </row>
    <row r="102" spans="1:20">
      <c r="A102" s="231" t="s">
        <v>573</v>
      </c>
      <c r="B102" s="259"/>
      <c r="C102" s="260"/>
      <c r="D102" s="234"/>
      <c r="E102" s="234"/>
      <c r="F102" s="234"/>
      <c r="G102" s="231" t="s">
        <v>574</v>
      </c>
      <c r="H102" s="231" t="s">
        <v>575</v>
      </c>
      <c r="I102" s="235" t="s">
        <v>576</v>
      </c>
      <c r="J102" s="236"/>
      <c r="K102" s="236"/>
      <c r="L102" s="231" t="s">
        <v>136</v>
      </c>
      <c r="M102" s="231">
        <v>6.75</v>
      </c>
      <c r="N102" s="238">
        <v>3.16</v>
      </c>
      <c r="O102" s="294"/>
      <c r="P102" s="261"/>
      <c r="Q102" s="295"/>
      <c r="R102" s="296"/>
      <c r="S102" s="264">
        <v>1000</v>
      </c>
      <c r="T102" s="297" t="s">
        <v>1287</v>
      </c>
    </row>
    <row r="103" spans="1:20">
      <c r="A103" s="231" t="s">
        <v>577</v>
      </c>
      <c r="B103" s="259">
        <v>500000</v>
      </c>
      <c r="C103" s="260">
        <v>51803</v>
      </c>
      <c r="D103" s="234">
        <v>19</v>
      </c>
      <c r="E103" s="234" t="s">
        <v>306</v>
      </c>
      <c r="F103" s="234"/>
      <c r="G103" s="231" t="s">
        <v>578</v>
      </c>
      <c r="H103" s="231" t="s">
        <v>579</v>
      </c>
      <c r="I103" s="235" t="s">
        <v>312</v>
      </c>
      <c r="J103" s="236"/>
      <c r="K103" s="236"/>
      <c r="L103" s="231" t="s">
        <v>136</v>
      </c>
      <c r="M103" s="231">
        <v>2.46</v>
      </c>
      <c r="N103" s="238">
        <v>0.59</v>
      </c>
      <c r="O103" s="294"/>
      <c r="P103" s="261"/>
      <c r="Q103" s="295"/>
      <c r="R103" s="296"/>
      <c r="S103" s="264">
        <v>1300000</v>
      </c>
      <c r="T103" s="297">
        <v>2875800</v>
      </c>
    </row>
    <row r="104" spans="1:20">
      <c r="A104" s="231" t="s">
        <v>208</v>
      </c>
      <c r="B104" s="259">
        <v>1500000</v>
      </c>
      <c r="C104" s="260">
        <v>51800</v>
      </c>
      <c r="D104" s="234">
        <v>19</v>
      </c>
      <c r="E104" s="234" t="s">
        <v>306</v>
      </c>
      <c r="F104" s="234"/>
      <c r="G104" s="231" t="s">
        <v>580</v>
      </c>
      <c r="H104" s="231" t="s">
        <v>581</v>
      </c>
      <c r="I104" s="235" t="s">
        <v>312</v>
      </c>
      <c r="J104" s="236"/>
      <c r="K104" s="236"/>
      <c r="L104" s="231" t="s">
        <v>136</v>
      </c>
      <c r="M104" s="231">
        <v>2.46</v>
      </c>
      <c r="N104" s="238">
        <v>0.5</v>
      </c>
      <c r="O104" s="294"/>
      <c r="P104" s="261"/>
      <c r="Q104" s="295"/>
      <c r="R104" s="296"/>
      <c r="S104" s="264">
        <v>4000000</v>
      </c>
      <c r="T104" s="297">
        <v>0</v>
      </c>
    </row>
    <row r="105" spans="1:20">
      <c r="A105" s="231" t="s">
        <v>582</v>
      </c>
      <c r="B105" s="259"/>
      <c r="C105" s="260">
        <v>51805</v>
      </c>
      <c r="D105" s="234">
        <v>19</v>
      </c>
      <c r="E105" s="234" t="s">
        <v>306</v>
      </c>
      <c r="F105" s="234"/>
      <c r="G105" s="231" t="s">
        <v>583</v>
      </c>
      <c r="H105" s="231" t="s">
        <v>584</v>
      </c>
      <c r="I105" s="235" t="s">
        <v>532</v>
      </c>
      <c r="J105" s="236"/>
      <c r="K105" s="236"/>
      <c r="L105" s="231" t="s">
        <v>136</v>
      </c>
      <c r="M105" s="231">
        <v>2.46</v>
      </c>
      <c r="N105" s="238">
        <v>0.55000000000000004</v>
      </c>
      <c r="O105" s="294"/>
      <c r="P105" s="261"/>
      <c r="Q105" s="295"/>
      <c r="R105" s="296"/>
      <c r="S105" s="264">
        <v>0</v>
      </c>
      <c r="T105" s="297">
        <v>87500</v>
      </c>
    </row>
    <row r="106" spans="1:20">
      <c r="A106" s="231" t="s">
        <v>231</v>
      </c>
      <c r="B106" s="259">
        <v>150000</v>
      </c>
      <c r="C106" s="260">
        <v>40200</v>
      </c>
      <c r="D106" s="234">
        <v>19</v>
      </c>
      <c r="E106" s="234" t="s">
        <v>306</v>
      </c>
      <c r="F106" s="234"/>
      <c r="G106" s="231" t="s">
        <v>585</v>
      </c>
      <c r="H106" s="231" t="s">
        <v>586</v>
      </c>
      <c r="I106" s="235" t="s">
        <v>344</v>
      </c>
      <c r="J106" s="236"/>
      <c r="K106" s="236"/>
      <c r="L106" s="231" t="s">
        <v>136</v>
      </c>
      <c r="M106" s="231">
        <v>2.46</v>
      </c>
      <c r="N106" s="238">
        <v>0.6</v>
      </c>
      <c r="O106" s="294"/>
      <c r="P106" s="261"/>
      <c r="Q106" s="295"/>
      <c r="R106" s="296"/>
      <c r="S106" s="264">
        <v>200000</v>
      </c>
      <c r="T106" s="297">
        <v>0</v>
      </c>
    </row>
    <row r="107" spans="1:20">
      <c r="A107" s="231" t="s">
        <v>587</v>
      </c>
      <c r="B107" s="259"/>
      <c r="C107" s="260"/>
      <c r="D107" s="234">
        <v>19</v>
      </c>
      <c r="E107" s="234"/>
      <c r="F107" s="234"/>
      <c r="G107" s="231" t="s">
        <v>588</v>
      </c>
      <c r="H107" s="231" t="s">
        <v>167</v>
      </c>
      <c r="I107" s="235" t="s">
        <v>331</v>
      </c>
      <c r="J107" s="236"/>
      <c r="K107" s="236"/>
      <c r="L107" s="231" t="s">
        <v>136</v>
      </c>
      <c r="M107" s="237">
        <v>2.46</v>
      </c>
      <c r="N107" s="238">
        <v>0.52</v>
      </c>
      <c r="O107" s="294"/>
      <c r="P107" s="261"/>
      <c r="Q107" s="295"/>
      <c r="R107" s="296"/>
      <c r="S107" s="264">
        <v>0</v>
      </c>
      <c r="T107" s="297">
        <v>0</v>
      </c>
    </row>
    <row r="108" spans="1:20">
      <c r="A108" s="231" t="s">
        <v>589</v>
      </c>
      <c r="B108" s="259"/>
      <c r="C108" s="260">
        <v>0</v>
      </c>
      <c r="D108" s="234">
        <v>20</v>
      </c>
      <c r="E108" s="234" t="s">
        <v>306</v>
      </c>
      <c r="F108" s="234"/>
      <c r="G108" s="231" t="s">
        <v>590</v>
      </c>
      <c r="H108" s="231" t="s">
        <v>220</v>
      </c>
      <c r="I108" s="235" t="s">
        <v>194</v>
      </c>
      <c r="J108" s="236"/>
      <c r="K108" s="236"/>
      <c r="L108" s="231" t="s">
        <v>136</v>
      </c>
      <c r="M108" s="237">
        <v>2.6</v>
      </c>
      <c r="N108" s="238">
        <v>0.53</v>
      </c>
      <c r="O108" s="294"/>
      <c r="P108" s="261">
        <v>0</v>
      </c>
      <c r="Q108" s="295">
        <v>0</v>
      </c>
      <c r="R108" s="296"/>
      <c r="S108" s="264">
        <v>0</v>
      </c>
      <c r="T108" s="297">
        <v>0</v>
      </c>
    </row>
    <row r="109" spans="1:20">
      <c r="A109" s="231" t="s">
        <v>591</v>
      </c>
      <c r="B109" s="259">
        <v>30000</v>
      </c>
      <c r="C109" s="260"/>
      <c r="D109" s="234">
        <v>20</v>
      </c>
      <c r="E109" s="234"/>
      <c r="F109" s="234"/>
      <c r="G109" s="231" t="s">
        <v>592</v>
      </c>
      <c r="H109" s="231" t="s">
        <v>334</v>
      </c>
      <c r="I109" s="235" t="s">
        <v>312</v>
      </c>
      <c r="J109" s="236"/>
      <c r="K109" s="236"/>
      <c r="L109" s="231" t="s">
        <v>136</v>
      </c>
      <c r="M109" s="322">
        <v>2.6</v>
      </c>
      <c r="N109" s="238">
        <v>0.51</v>
      </c>
      <c r="O109" s="294"/>
      <c r="P109" s="261"/>
      <c r="Q109" s="295"/>
      <c r="R109" s="296"/>
      <c r="S109" s="264">
        <v>0</v>
      </c>
      <c r="T109" s="297">
        <v>0</v>
      </c>
    </row>
    <row r="110" spans="1:20">
      <c r="A110" s="231" t="s">
        <v>593</v>
      </c>
      <c r="B110" s="259">
        <v>60000</v>
      </c>
      <c r="C110" s="260"/>
      <c r="D110" s="234">
        <v>21</v>
      </c>
      <c r="E110" s="234"/>
      <c r="F110" s="234"/>
      <c r="G110" s="231">
        <v>85310800</v>
      </c>
      <c r="H110" s="231" t="s">
        <v>594</v>
      </c>
      <c r="I110" s="235" t="s">
        <v>331</v>
      </c>
      <c r="J110" s="236"/>
      <c r="K110" s="236"/>
      <c r="L110" s="231" t="s">
        <v>136</v>
      </c>
      <c r="M110" s="322">
        <v>2.68</v>
      </c>
      <c r="N110" s="238">
        <v>0.63</v>
      </c>
      <c r="O110" s="294"/>
      <c r="P110" s="261"/>
      <c r="Q110" s="295"/>
      <c r="R110" s="296"/>
      <c r="S110" s="264">
        <v>0</v>
      </c>
      <c r="T110" s="297">
        <v>0</v>
      </c>
    </row>
    <row r="111" spans="1:20">
      <c r="A111" s="231" t="s">
        <v>595</v>
      </c>
      <c r="B111" s="259"/>
      <c r="C111" s="260"/>
      <c r="D111" s="234">
        <v>22</v>
      </c>
      <c r="E111" s="234"/>
      <c r="F111" s="234"/>
      <c r="G111" s="231" t="s">
        <v>596</v>
      </c>
      <c r="H111" s="231" t="s">
        <v>597</v>
      </c>
      <c r="I111" s="235" t="s">
        <v>598</v>
      </c>
      <c r="J111" s="236"/>
      <c r="K111" s="236"/>
      <c r="L111" s="231" t="s">
        <v>136</v>
      </c>
      <c r="M111" s="322">
        <v>2.9</v>
      </c>
      <c r="N111" s="238">
        <v>2.5099999999999998</v>
      </c>
      <c r="O111" s="294"/>
      <c r="P111" s="261"/>
      <c r="Q111" s="295"/>
      <c r="R111" s="296"/>
      <c r="S111" s="264">
        <v>2000</v>
      </c>
      <c r="T111" s="297">
        <v>0</v>
      </c>
    </row>
    <row r="112" spans="1:20">
      <c r="A112" s="231" t="s">
        <v>599</v>
      </c>
      <c r="B112" s="259">
        <v>0</v>
      </c>
      <c r="C112" s="260">
        <v>40017</v>
      </c>
      <c r="D112" s="234">
        <v>23</v>
      </c>
      <c r="E112" s="234" t="s">
        <v>306</v>
      </c>
      <c r="F112" s="234"/>
      <c r="G112" s="231" t="s">
        <v>600</v>
      </c>
      <c r="H112" s="231" t="s">
        <v>601</v>
      </c>
      <c r="I112" s="235" t="s">
        <v>414</v>
      </c>
      <c r="J112" s="236"/>
      <c r="K112" s="236"/>
      <c r="L112" s="231" t="s">
        <v>136</v>
      </c>
      <c r="M112" s="231">
        <v>3.2</v>
      </c>
      <c r="N112" s="238">
        <v>1.1200000000000001</v>
      </c>
      <c r="O112" s="294"/>
      <c r="P112" s="261"/>
      <c r="Q112" s="295"/>
      <c r="R112" s="296"/>
      <c r="S112" s="264">
        <v>0</v>
      </c>
      <c r="T112" s="297">
        <v>1000000</v>
      </c>
    </row>
    <row r="113" spans="1:20">
      <c r="A113" s="231" t="s">
        <v>203</v>
      </c>
      <c r="B113" s="259">
        <v>940000</v>
      </c>
      <c r="C113" s="260">
        <v>40201</v>
      </c>
      <c r="D113" s="234">
        <v>23</v>
      </c>
      <c r="E113" s="234" t="s">
        <v>306</v>
      </c>
      <c r="F113" s="234"/>
      <c r="G113" s="231" t="s">
        <v>602</v>
      </c>
      <c r="H113" s="231" t="s">
        <v>204</v>
      </c>
      <c r="I113" s="235" t="s">
        <v>603</v>
      </c>
      <c r="J113" s="236"/>
      <c r="K113" s="236"/>
      <c r="L113" s="231" t="s">
        <v>136</v>
      </c>
      <c r="M113" s="231">
        <v>3.2</v>
      </c>
      <c r="N113" s="238">
        <v>1.39</v>
      </c>
      <c r="O113" s="294"/>
      <c r="P113" s="261"/>
      <c r="Q113" s="295"/>
      <c r="R113" s="296"/>
      <c r="S113" s="264">
        <v>2000000</v>
      </c>
      <c r="T113" s="297">
        <v>0</v>
      </c>
    </row>
    <row r="114" spans="1:20">
      <c r="A114" s="231" t="s">
        <v>604</v>
      </c>
      <c r="B114" s="259"/>
      <c r="C114" s="260">
        <v>0</v>
      </c>
      <c r="D114" s="234">
        <v>23</v>
      </c>
      <c r="E114" s="234"/>
      <c r="F114" s="234"/>
      <c r="G114" s="231" t="s">
        <v>605</v>
      </c>
      <c r="H114" s="231" t="s">
        <v>606</v>
      </c>
      <c r="I114" s="235" t="s">
        <v>400</v>
      </c>
      <c r="J114" s="236"/>
      <c r="K114" s="236"/>
      <c r="L114" s="231" t="s">
        <v>136</v>
      </c>
      <c r="M114" s="237">
        <v>3.2</v>
      </c>
      <c r="N114" s="238">
        <v>0.96</v>
      </c>
      <c r="O114" s="294">
        <v>1</v>
      </c>
      <c r="P114" s="261">
        <v>0</v>
      </c>
      <c r="Q114" s="302">
        <v>0</v>
      </c>
      <c r="R114" s="303"/>
      <c r="S114" s="264">
        <v>0</v>
      </c>
      <c r="T114" s="297">
        <v>0</v>
      </c>
    </row>
    <row r="115" spans="1:20">
      <c r="A115" s="231" t="s">
        <v>607</v>
      </c>
      <c r="B115" s="259">
        <v>21384</v>
      </c>
      <c r="C115" s="260">
        <v>20033</v>
      </c>
      <c r="D115" s="234">
        <v>23</v>
      </c>
      <c r="E115" s="234" t="s">
        <v>358</v>
      </c>
      <c r="F115" s="234"/>
      <c r="G115" s="231" t="s">
        <v>608</v>
      </c>
      <c r="H115" s="231" t="s">
        <v>47</v>
      </c>
      <c r="I115" s="235" t="s">
        <v>60</v>
      </c>
      <c r="J115" s="236"/>
      <c r="K115" s="236"/>
      <c r="L115" s="231" t="s">
        <v>136</v>
      </c>
      <c r="M115" s="237">
        <v>3.2</v>
      </c>
      <c r="N115" s="238">
        <v>0.99</v>
      </c>
      <c r="O115" s="326">
        <v>1</v>
      </c>
      <c r="P115" s="261">
        <v>0</v>
      </c>
      <c r="Q115" s="324">
        <v>25646</v>
      </c>
      <c r="R115" s="325">
        <v>25646</v>
      </c>
      <c r="S115" s="264">
        <v>0</v>
      </c>
      <c r="T115" s="297">
        <v>0</v>
      </c>
    </row>
    <row r="116" spans="1:20">
      <c r="A116" s="231" t="s">
        <v>609</v>
      </c>
      <c r="B116" s="259">
        <v>16666.666666666668</v>
      </c>
      <c r="C116" s="260">
        <v>36001</v>
      </c>
      <c r="D116" s="234">
        <v>23</v>
      </c>
      <c r="E116" s="234"/>
      <c r="F116" s="234"/>
      <c r="G116" s="231" t="s">
        <v>610</v>
      </c>
      <c r="H116" s="231" t="s">
        <v>611</v>
      </c>
      <c r="I116" s="235" t="s">
        <v>60</v>
      </c>
      <c r="J116" s="236"/>
      <c r="K116" s="236" t="s">
        <v>326</v>
      </c>
      <c r="L116" s="231" t="s">
        <v>136</v>
      </c>
      <c r="M116" s="237">
        <v>3.2</v>
      </c>
      <c r="N116" s="238">
        <v>0.99</v>
      </c>
      <c r="O116" s="239"/>
      <c r="P116" s="261">
        <v>0</v>
      </c>
      <c r="Q116" s="262">
        <v>40000</v>
      </c>
      <c r="R116" s="263">
        <v>40000</v>
      </c>
      <c r="S116" s="264">
        <v>0</v>
      </c>
      <c r="T116" s="265">
        <v>0</v>
      </c>
    </row>
    <row r="117" spans="1:20">
      <c r="A117" s="231" t="s">
        <v>612</v>
      </c>
      <c r="B117" s="259">
        <v>2034</v>
      </c>
      <c r="C117" s="260">
        <v>31029</v>
      </c>
      <c r="D117" s="234">
        <v>23</v>
      </c>
      <c r="E117" s="234"/>
      <c r="F117" s="234"/>
      <c r="G117" s="231">
        <v>60127054</v>
      </c>
      <c r="H117" s="231" t="s">
        <v>613</v>
      </c>
      <c r="I117" s="235" t="s">
        <v>56</v>
      </c>
      <c r="J117" s="236"/>
      <c r="K117" s="236"/>
      <c r="L117" s="231" t="s">
        <v>136</v>
      </c>
      <c r="M117" s="237">
        <v>3.2</v>
      </c>
      <c r="N117" s="238">
        <v>1.08</v>
      </c>
      <c r="O117" s="239"/>
      <c r="P117" s="261">
        <v>0</v>
      </c>
      <c r="Q117" s="262">
        <v>852</v>
      </c>
      <c r="R117" s="263">
        <v>852</v>
      </c>
      <c r="S117" s="264">
        <v>0</v>
      </c>
      <c r="T117" s="265">
        <v>50000</v>
      </c>
    </row>
    <row r="118" spans="1:20">
      <c r="A118" s="231" t="s">
        <v>614</v>
      </c>
      <c r="B118" s="259">
        <v>5479</v>
      </c>
      <c r="C118" s="260">
        <v>31004</v>
      </c>
      <c r="D118" s="234">
        <v>23</v>
      </c>
      <c r="E118" s="234" t="s">
        <v>358</v>
      </c>
      <c r="F118" s="234"/>
      <c r="G118" s="231">
        <v>60126815</v>
      </c>
      <c r="H118" s="231" t="s">
        <v>615</v>
      </c>
      <c r="I118" s="235" t="s">
        <v>56</v>
      </c>
      <c r="J118" s="236"/>
      <c r="K118" s="236"/>
      <c r="L118" s="231" t="s">
        <v>136</v>
      </c>
      <c r="M118" s="237">
        <v>3.2</v>
      </c>
      <c r="N118" s="238">
        <v>1.08</v>
      </c>
      <c r="O118" s="294"/>
      <c r="P118" s="261">
        <v>0</v>
      </c>
      <c r="Q118" s="295">
        <v>4120</v>
      </c>
      <c r="R118" s="296">
        <v>4120</v>
      </c>
      <c r="S118" s="264">
        <v>50000</v>
      </c>
      <c r="T118" s="297">
        <v>1452300</v>
      </c>
    </row>
    <row r="119" spans="1:20">
      <c r="A119" s="231" t="s">
        <v>214</v>
      </c>
      <c r="B119" s="259">
        <v>1423040</v>
      </c>
      <c r="C119" s="260">
        <v>20501</v>
      </c>
      <c r="D119" s="234">
        <v>23</v>
      </c>
      <c r="E119" s="234"/>
      <c r="F119" s="234"/>
      <c r="G119" s="231" t="s">
        <v>616</v>
      </c>
      <c r="H119" s="231" t="s">
        <v>46</v>
      </c>
      <c r="I119" s="235" t="s">
        <v>56</v>
      </c>
      <c r="J119" s="236"/>
      <c r="K119" s="236"/>
      <c r="L119" s="231" t="s">
        <v>136</v>
      </c>
      <c r="M119" s="237">
        <v>3.2</v>
      </c>
      <c r="N119" s="238">
        <v>1.1399999999999999</v>
      </c>
      <c r="O119" s="294"/>
      <c r="P119" s="261">
        <v>0</v>
      </c>
      <c r="Q119" s="295">
        <v>0</v>
      </c>
      <c r="R119" s="296">
        <v>0</v>
      </c>
      <c r="S119" s="264">
        <v>4000000</v>
      </c>
      <c r="T119" s="297">
        <v>2800000</v>
      </c>
    </row>
    <row r="120" spans="1:20">
      <c r="A120" s="330" t="s">
        <v>80</v>
      </c>
      <c r="B120" s="331">
        <v>1551451</v>
      </c>
      <c r="C120" s="260">
        <v>20028</v>
      </c>
      <c r="D120" s="234">
        <v>23</v>
      </c>
      <c r="E120" s="234" t="s">
        <v>306</v>
      </c>
      <c r="F120" s="234"/>
      <c r="G120" s="231" t="s">
        <v>617</v>
      </c>
      <c r="H120" s="231" t="s">
        <v>81</v>
      </c>
      <c r="I120" s="235" t="s">
        <v>392</v>
      </c>
      <c r="J120" s="236"/>
      <c r="K120" s="236"/>
      <c r="L120" s="231" t="s">
        <v>136</v>
      </c>
      <c r="M120" s="237">
        <v>3.2</v>
      </c>
      <c r="N120" s="238">
        <v>1.21</v>
      </c>
      <c r="O120" s="294"/>
      <c r="P120" s="261">
        <v>0</v>
      </c>
      <c r="Q120" s="295">
        <v>153709.5</v>
      </c>
      <c r="R120" s="296">
        <v>153709.5</v>
      </c>
      <c r="S120" s="264">
        <v>7000000</v>
      </c>
      <c r="T120" s="297" t="s">
        <v>1287</v>
      </c>
    </row>
    <row r="121" spans="1:20">
      <c r="A121" s="231" t="s">
        <v>618</v>
      </c>
      <c r="B121" s="259">
        <v>0</v>
      </c>
      <c r="C121" s="260" t="e">
        <v>#N/A</v>
      </c>
      <c r="D121" s="234">
        <v>23</v>
      </c>
      <c r="E121" s="234" t="s">
        <v>306</v>
      </c>
      <c r="F121" s="234"/>
      <c r="G121" s="231">
        <v>10105682</v>
      </c>
      <c r="H121" s="231" t="s">
        <v>619</v>
      </c>
      <c r="I121" s="235" t="s">
        <v>620</v>
      </c>
      <c r="J121" s="236"/>
      <c r="K121" s="236"/>
      <c r="L121" s="231" t="s">
        <v>136</v>
      </c>
      <c r="M121" s="237">
        <v>3.2</v>
      </c>
      <c r="N121" s="238">
        <v>1.22</v>
      </c>
      <c r="O121" s="294"/>
      <c r="P121" s="261"/>
      <c r="Q121" s="295"/>
      <c r="R121" s="296"/>
      <c r="S121" s="264">
        <v>800000</v>
      </c>
      <c r="T121" s="297" t="s">
        <v>1287</v>
      </c>
    </row>
    <row r="122" spans="1:20">
      <c r="A122" s="231" t="s">
        <v>621</v>
      </c>
      <c r="B122" s="259">
        <v>76666.666666666672</v>
      </c>
      <c r="C122" s="260">
        <v>36003</v>
      </c>
      <c r="D122" s="234">
        <v>23</v>
      </c>
      <c r="E122" s="234"/>
      <c r="F122" s="234"/>
      <c r="G122" s="231" t="s">
        <v>622</v>
      </c>
      <c r="H122" s="231" t="s">
        <v>623</v>
      </c>
      <c r="I122" s="235" t="s">
        <v>60</v>
      </c>
      <c r="J122" s="236"/>
      <c r="K122" s="236"/>
      <c r="L122" s="231" t="s">
        <v>136</v>
      </c>
      <c r="M122" s="237">
        <v>3.2</v>
      </c>
      <c r="N122" s="238">
        <v>1.23</v>
      </c>
      <c r="O122" s="294">
        <v>1</v>
      </c>
      <c r="P122" s="261">
        <v>0</v>
      </c>
      <c r="Q122" s="295">
        <v>180000</v>
      </c>
      <c r="R122" s="296">
        <v>180000</v>
      </c>
      <c r="S122" s="264">
        <v>300000</v>
      </c>
      <c r="T122" s="297">
        <v>200000</v>
      </c>
    </row>
    <row r="123" spans="1:20">
      <c r="A123" s="231" t="s">
        <v>624</v>
      </c>
      <c r="B123" s="259">
        <v>96666.666666666672</v>
      </c>
      <c r="C123" s="260">
        <v>36002</v>
      </c>
      <c r="D123" s="234">
        <v>23</v>
      </c>
      <c r="E123" s="234"/>
      <c r="F123" s="234"/>
      <c r="G123" s="231" t="s">
        <v>625</v>
      </c>
      <c r="H123" s="231" t="s">
        <v>626</v>
      </c>
      <c r="I123" s="235" t="s">
        <v>60</v>
      </c>
      <c r="J123" s="236"/>
      <c r="K123" s="236"/>
      <c r="L123" s="231" t="s">
        <v>136</v>
      </c>
      <c r="M123" s="237">
        <v>3.2</v>
      </c>
      <c r="N123" s="238">
        <v>1.23</v>
      </c>
      <c r="O123" s="294">
        <v>1</v>
      </c>
      <c r="P123" s="261">
        <v>0</v>
      </c>
      <c r="Q123" s="295">
        <v>200000</v>
      </c>
      <c r="R123" s="296">
        <v>200000</v>
      </c>
      <c r="S123" s="264">
        <v>200000</v>
      </c>
      <c r="T123" s="297">
        <v>0</v>
      </c>
    </row>
    <row r="124" spans="1:20">
      <c r="A124" s="231" t="s">
        <v>627</v>
      </c>
      <c r="B124" s="259"/>
      <c r="C124" s="260">
        <v>0</v>
      </c>
      <c r="D124" s="234">
        <v>23</v>
      </c>
      <c r="E124" s="234" t="s">
        <v>306</v>
      </c>
      <c r="F124" s="234"/>
      <c r="G124" s="231" t="s">
        <v>628</v>
      </c>
      <c r="H124" s="231" t="s">
        <v>629</v>
      </c>
      <c r="I124" s="235" t="s">
        <v>414</v>
      </c>
      <c r="J124" s="236"/>
      <c r="K124" s="236"/>
      <c r="L124" s="231" t="s">
        <v>136</v>
      </c>
      <c r="M124" s="237">
        <v>3.2</v>
      </c>
      <c r="N124" s="238">
        <v>1.32</v>
      </c>
      <c r="O124" s="239"/>
      <c r="P124" s="261">
        <v>0</v>
      </c>
      <c r="Q124" s="262">
        <v>0</v>
      </c>
      <c r="R124" s="263"/>
      <c r="S124" s="264">
        <v>0</v>
      </c>
      <c r="T124" s="265">
        <v>0</v>
      </c>
    </row>
    <row r="125" spans="1:20">
      <c r="A125" s="231" t="s">
        <v>630</v>
      </c>
      <c r="B125" s="259">
        <v>0</v>
      </c>
      <c r="C125" s="260">
        <v>99006</v>
      </c>
      <c r="D125" s="234">
        <v>23</v>
      </c>
      <c r="E125" s="234"/>
      <c r="F125" s="234"/>
      <c r="G125" s="231" t="s">
        <v>631</v>
      </c>
      <c r="H125" s="231" t="s">
        <v>632</v>
      </c>
      <c r="I125" s="235" t="s">
        <v>59</v>
      </c>
      <c r="J125" s="236"/>
      <c r="K125" s="236"/>
      <c r="L125" s="231" t="s">
        <v>136</v>
      </c>
      <c r="M125" s="237">
        <v>3.2</v>
      </c>
      <c r="N125" s="238">
        <v>1.32</v>
      </c>
      <c r="O125" s="294">
        <v>1</v>
      </c>
      <c r="P125" s="261">
        <v>0</v>
      </c>
      <c r="Q125" s="295">
        <v>0</v>
      </c>
      <c r="R125" s="296">
        <v>0</v>
      </c>
      <c r="S125" s="264">
        <v>0</v>
      </c>
      <c r="T125" s="297">
        <v>200000</v>
      </c>
    </row>
    <row r="126" spans="1:20">
      <c r="A126" s="231" t="s">
        <v>633</v>
      </c>
      <c r="B126" s="259">
        <v>0</v>
      </c>
      <c r="C126" s="260" t="e">
        <v>#N/A</v>
      </c>
      <c r="D126" s="234">
        <v>23</v>
      </c>
      <c r="E126" s="234"/>
      <c r="F126" s="234"/>
      <c r="G126" s="231">
        <v>10105678</v>
      </c>
      <c r="H126" s="231" t="s">
        <v>619</v>
      </c>
      <c r="I126" s="235" t="s">
        <v>56</v>
      </c>
      <c r="J126" s="236"/>
      <c r="K126" s="236"/>
      <c r="L126" s="231" t="s">
        <v>136</v>
      </c>
      <c r="M126" s="237">
        <v>3.2</v>
      </c>
      <c r="N126" s="238">
        <v>1.34</v>
      </c>
      <c r="O126" s="294">
        <v>1</v>
      </c>
      <c r="P126" s="261"/>
      <c r="Q126" s="295"/>
      <c r="R126" s="296"/>
      <c r="S126" s="264">
        <v>200000</v>
      </c>
      <c r="T126" s="297">
        <v>0</v>
      </c>
    </row>
    <row r="127" spans="1:20">
      <c r="A127" s="231" t="s">
        <v>34</v>
      </c>
      <c r="B127" s="259">
        <v>0</v>
      </c>
      <c r="C127" s="260">
        <v>20502</v>
      </c>
      <c r="D127" s="234">
        <v>23</v>
      </c>
      <c r="E127" s="234"/>
      <c r="F127" s="234"/>
      <c r="G127" s="231" t="s">
        <v>634</v>
      </c>
      <c r="H127" s="231" t="s">
        <v>46</v>
      </c>
      <c r="I127" s="235" t="s">
        <v>58</v>
      </c>
      <c r="J127" s="236"/>
      <c r="K127" s="236"/>
      <c r="L127" s="231" t="s">
        <v>136</v>
      </c>
      <c r="M127" s="237">
        <v>3.2</v>
      </c>
      <c r="N127" s="238">
        <v>1.37</v>
      </c>
      <c r="O127" s="294">
        <v>1</v>
      </c>
      <c r="P127" s="261">
        <v>0</v>
      </c>
      <c r="Q127" s="295">
        <v>0</v>
      </c>
      <c r="R127" s="296">
        <v>0</v>
      </c>
      <c r="S127" s="264">
        <v>0</v>
      </c>
      <c r="T127" s="297">
        <v>7273600</v>
      </c>
    </row>
    <row r="128" spans="1:20">
      <c r="A128" s="330" t="s">
        <v>149</v>
      </c>
      <c r="B128" s="331">
        <v>6064120</v>
      </c>
      <c r="C128" s="260">
        <v>20301</v>
      </c>
      <c r="D128" s="234">
        <v>23</v>
      </c>
      <c r="E128" s="234" t="s">
        <v>306</v>
      </c>
      <c r="F128" s="234"/>
      <c r="G128" s="231" t="s">
        <v>635</v>
      </c>
      <c r="H128" s="231" t="s">
        <v>150</v>
      </c>
      <c r="I128" s="235" t="s">
        <v>56</v>
      </c>
      <c r="J128" s="236"/>
      <c r="K128" s="236"/>
      <c r="L128" s="231" t="s">
        <v>136</v>
      </c>
      <c r="M128" s="237">
        <v>3.2</v>
      </c>
      <c r="N128" s="238">
        <v>1.42</v>
      </c>
      <c r="O128" s="304">
        <v>1</v>
      </c>
      <c r="P128" s="261">
        <v>4629166.6666666698</v>
      </c>
      <c r="Q128" s="305">
        <v>5940345.6666666698</v>
      </c>
      <c r="R128" s="306">
        <v>2370359</v>
      </c>
      <c r="S128" s="264">
        <v>19200000</v>
      </c>
      <c r="T128" s="297">
        <v>5000000</v>
      </c>
    </row>
    <row r="129" spans="1:20">
      <c r="A129" s="330" t="s">
        <v>164</v>
      </c>
      <c r="B129" s="331">
        <v>2310340</v>
      </c>
      <c r="C129" s="260">
        <v>20037</v>
      </c>
      <c r="D129" s="234">
        <v>23</v>
      </c>
      <c r="E129" s="234"/>
      <c r="F129" s="234"/>
      <c r="G129" s="231" t="s">
        <v>636</v>
      </c>
      <c r="H129" s="231" t="s">
        <v>165</v>
      </c>
      <c r="I129" s="235" t="s">
        <v>56</v>
      </c>
      <c r="J129" s="236"/>
      <c r="K129" s="236"/>
      <c r="L129" s="231" t="s">
        <v>136</v>
      </c>
      <c r="M129" s="237">
        <v>3.2</v>
      </c>
      <c r="N129" s="238">
        <v>1.54</v>
      </c>
      <c r="O129" s="332">
        <v>1</v>
      </c>
      <c r="P129" s="261">
        <v>2305661.1666666698</v>
      </c>
      <c r="Q129" s="295">
        <v>2545149.9666666701</v>
      </c>
      <c r="R129" s="333">
        <v>239488.8</v>
      </c>
      <c r="S129" s="264">
        <v>9000000</v>
      </c>
      <c r="T129" s="297">
        <v>1200000</v>
      </c>
    </row>
    <row r="130" spans="1:20">
      <c r="A130" s="330" t="s">
        <v>637</v>
      </c>
      <c r="B130" s="331">
        <v>1200000</v>
      </c>
      <c r="C130" s="260">
        <v>99001</v>
      </c>
      <c r="D130" s="234">
        <v>23</v>
      </c>
      <c r="E130" s="234"/>
      <c r="F130" s="234"/>
      <c r="G130" s="231" t="s">
        <v>638</v>
      </c>
      <c r="H130" s="231" t="s">
        <v>81</v>
      </c>
      <c r="I130" s="235" t="s">
        <v>420</v>
      </c>
      <c r="J130" s="236"/>
      <c r="K130" s="236"/>
      <c r="L130" s="231" t="s">
        <v>136</v>
      </c>
      <c r="M130" s="237">
        <v>3.2</v>
      </c>
      <c r="N130" s="238">
        <v>1.55</v>
      </c>
      <c r="O130" s="294">
        <v>1</v>
      </c>
      <c r="P130" s="261">
        <v>0</v>
      </c>
      <c r="Q130" s="295">
        <v>0</v>
      </c>
      <c r="R130" s="296">
        <v>0</v>
      </c>
      <c r="S130" s="264">
        <v>3600000</v>
      </c>
      <c r="T130" s="297">
        <v>0</v>
      </c>
    </row>
    <row r="131" spans="1:20" ht="22.5">
      <c r="A131" s="231" t="s">
        <v>639</v>
      </c>
      <c r="B131" s="259">
        <v>33708</v>
      </c>
      <c r="C131" s="260">
        <v>20036</v>
      </c>
      <c r="D131" s="234">
        <v>23</v>
      </c>
      <c r="E131" s="334" t="s">
        <v>640</v>
      </c>
      <c r="F131" s="334"/>
      <c r="G131" s="231" t="s">
        <v>641</v>
      </c>
      <c r="H131" s="231" t="s">
        <v>642</v>
      </c>
      <c r="I131" s="235" t="s">
        <v>56</v>
      </c>
      <c r="J131" s="236"/>
      <c r="K131" s="236"/>
      <c r="L131" s="231" t="s">
        <v>136</v>
      </c>
      <c r="M131" s="335">
        <v>3.2</v>
      </c>
      <c r="N131" s="238">
        <v>1.55</v>
      </c>
      <c r="O131" s="336">
        <v>1</v>
      </c>
      <c r="P131" s="261">
        <v>735000</v>
      </c>
      <c r="Q131" s="295">
        <v>785000</v>
      </c>
      <c r="R131" s="296">
        <v>50000</v>
      </c>
      <c r="S131" s="264">
        <v>0</v>
      </c>
      <c r="T131" s="297">
        <v>1247100</v>
      </c>
    </row>
    <row r="132" spans="1:20">
      <c r="A132" s="330" t="s">
        <v>190</v>
      </c>
      <c r="B132" s="331">
        <v>1720902</v>
      </c>
      <c r="C132" s="260">
        <v>20040</v>
      </c>
      <c r="D132" s="234">
        <v>23</v>
      </c>
      <c r="E132" s="334"/>
      <c r="F132" s="334"/>
      <c r="G132" s="231" t="s">
        <v>643</v>
      </c>
      <c r="H132" s="231" t="s">
        <v>191</v>
      </c>
      <c r="I132" s="235" t="s">
        <v>86</v>
      </c>
      <c r="J132" s="236"/>
      <c r="K132" s="236"/>
      <c r="L132" s="231" t="s">
        <v>136</v>
      </c>
      <c r="M132" s="335">
        <v>3.2</v>
      </c>
      <c r="N132" s="238">
        <v>1.58</v>
      </c>
      <c r="O132" s="336"/>
      <c r="P132" s="261">
        <v>355833.33333333302</v>
      </c>
      <c r="Q132" s="295">
        <v>877791.33333333302</v>
      </c>
      <c r="R132" s="296">
        <v>521958</v>
      </c>
      <c r="S132" s="264">
        <v>4300000</v>
      </c>
      <c r="T132" s="297" t="s">
        <v>1287</v>
      </c>
    </row>
    <row r="133" spans="1:20">
      <c r="A133" s="231" t="s">
        <v>644</v>
      </c>
      <c r="B133" s="259">
        <v>0</v>
      </c>
      <c r="C133" s="260" t="e">
        <v>#N/A</v>
      </c>
      <c r="D133" s="234">
        <v>23</v>
      </c>
      <c r="E133" s="234"/>
      <c r="F133" s="234"/>
      <c r="G133" s="231">
        <v>10105684</v>
      </c>
      <c r="H133" s="231" t="s">
        <v>619</v>
      </c>
      <c r="I133" s="235" t="s">
        <v>645</v>
      </c>
      <c r="J133" s="236"/>
      <c r="K133" s="236"/>
      <c r="L133" s="231" t="s">
        <v>136</v>
      </c>
      <c r="M133" s="237">
        <v>3.2</v>
      </c>
      <c r="N133" s="238">
        <v>1.62</v>
      </c>
      <c r="O133" s="294">
        <v>1</v>
      </c>
      <c r="P133" s="261"/>
      <c r="Q133" s="295"/>
      <c r="R133" s="296"/>
      <c r="S133" s="264">
        <v>100000</v>
      </c>
      <c r="T133" s="297">
        <v>0</v>
      </c>
    </row>
    <row r="134" spans="1:20">
      <c r="A134" s="231" t="s">
        <v>646</v>
      </c>
      <c r="B134" s="259">
        <v>0</v>
      </c>
      <c r="C134" s="260" t="e">
        <v>#N/A</v>
      </c>
      <c r="D134" s="234">
        <v>23</v>
      </c>
      <c r="E134" s="234" t="s">
        <v>306</v>
      </c>
      <c r="F134" s="234"/>
      <c r="G134" s="231">
        <v>10105692</v>
      </c>
      <c r="H134" s="231" t="s">
        <v>47</v>
      </c>
      <c r="I134" s="235" t="s">
        <v>647</v>
      </c>
      <c r="J134" s="236"/>
      <c r="K134" s="236"/>
      <c r="L134" s="231" t="s">
        <v>136</v>
      </c>
      <c r="M134" s="237">
        <v>3.2</v>
      </c>
      <c r="N134" s="238">
        <v>1.67</v>
      </c>
      <c r="O134" s="239"/>
      <c r="P134" s="261"/>
      <c r="Q134" s="262"/>
      <c r="R134" s="263"/>
      <c r="S134" s="264">
        <v>0</v>
      </c>
      <c r="T134" s="265">
        <v>0</v>
      </c>
    </row>
    <row r="135" spans="1:20">
      <c r="A135" s="231" t="s">
        <v>648</v>
      </c>
      <c r="B135" s="259"/>
      <c r="C135" s="260">
        <v>0</v>
      </c>
      <c r="D135" s="234">
        <v>23</v>
      </c>
      <c r="E135" s="234"/>
      <c r="F135" s="234"/>
      <c r="G135" s="231" t="s">
        <v>649</v>
      </c>
      <c r="H135" s="231" t="s">
        <v>650</v>
      </c>
      <c r="I135" s="235" t="s">
        <v>603</v>
      </c>
      <c r="J135" s="236"/>
      <c r="K135" s="236"/>
      <c r="L135" s="231" t="s">
        <v>136</v>
      </c>
      <c r="M135" s="237">
        <v>3.2</v>
      </c>
      <c r="N135" s="238">
        <v>1.82</v>
      </c>
      <c r="O135" s="294">
        <v>1</v>
      </c>
      <c r="P135" s="261">
        <v>0</v>
      </c>
      <c r="Q135" s="295">
        <v>0</v>
      </c>
      <c r="R135" s="296"/>
      <c r="S135" s="264">
        <v>0</v>
      </c>
      <c r="T135" s="297">
        <v>0</v>
      </c>
    </row>
    <row r="136" spans="1:20">
      <c r="A136" s="231" t="s">
        <v>651</v>
      </c>
      <c r="B136" s="259">
        <v>162</v>
      </c>
      <c r="C136" s="260">
        <v>20038</v>
      </c>
      <c r="D136" s="234">
        <v>23</v>
      </c>
      <c r="E136" s="234"/>
      <c r="F136" s="234"/>
      <c r="G136" s="231" t="s">
        <v>652</v>
      </c>
      <c r="H136" s="231" t="s">
        <v>81</v>
      </c>
      <c r="I136" s="231" t="s">
        <v>653</v>
      </c>
      <c r="J136" s="328"/>
      <c r="K136" s="328"/>
      <c r="L136" s="231" t="s">
        <v>136</v>
      </c>
      <c r="M136" s="231">
        <v>3.2</v>
      </c>
      <c r="N136" s="238">
        <v>1.98</v>
      </c>
      <c r="O136" s="294">
        <v>1</v>
      </c>
      <c r="P136" s="261">
        <v>0</v>
      </c>
      <c r="Q136" s="295">
        <v>54</v>
      </c>
      <c r="R136" s="296">
        <v>54</v>
      </c>
      <c r="S136" s="264">
        <v>0</v>
      </c>
      <c r="T136" s="297">
        <v>0</v>
      </c>
    </row>
    <row r="137" spans="1:20">
      <c r="A137" s="231" t="s">
        <v>654</v>
      </c>
      <c r="B137" s="259"/>
      <c r="C137" s="260">
        <v>0</v>
      </c>
      <c r="D137" s="234">
        <v>23</v>
      </c>
      <c r="E137" s="234"/>
      <c r="F137" s="234"/>
      <c r="G137" s="231" t="s">
        <v>655</v>
      </c>
      <c r="H137" s="231" t="s">
        <v>656</v>
      </c>
      <c r="I137" s="231" t="s">
        <v>657</v>
      </c>
      <c r="J137" s="328"/>
      <c r="K137" s="328"/>
      <c r="L137" s="231" t="s">
        <v>136</v>
      </c>
      <c r="M137" s="231">
        <v>3.2</v>
      </c>
      <c r="N137" s="238">
        <v>2.1800000000000002</v>
      </c>
      <c r="O137" s="294">
        <v>1</v>
      </c>
      <c r="P137" s="261">
        <v>0</v>
      </c>
      <c r="Q137" s="295">
        <v>0</v>
      </c>
      <c r="R137" s="296"/>
      <c r="S137" s="264">
        <v>0</v>
      </c>
      <c r="T137" s="297" t="s">
        <v>1287</v>
      </c>
    </row>
    <row r="138" spans="1:20">
      <c r="A138" s="231" t="s">
        <v>658</v>
      </c>
      <c r="B138" s="259">
        <v>0</v>
      </c>
      <c r="C138" s="260"/>
      <c r="D138" s="234">
        <v>23</v>
      </c>
      <c r="E138" s="234"/>
      <c r="F138" s="234"/>
      <c r="G138" s="231">
        <v>10105685</v>
      </c>
      <c r="H138" s="231" t="s">
        <v>659</v>
      </c>
      <c r="I138" s="235" t="s">
        <v>400</v>
      </c>
      <c r="J138" s="236"/>
      <c r="K138" s="236"/>
      <c r="L138" s="231" t="s">
        <v>136</v>
      </c>
      <c r="M138" s="237">
        <v>3.2</v>
      </c>
      <c r="N138" s="238">
        <v>1.73</v>
      </c>
      <c r="O138" s="294"/>
      <c r="P138" s="261"/>
      <c r="Q138" s="295"/>
      <c r="R138" s="296"/>
      <c r="S138" s="264">
        <v>100000</v>
      </c>
      <c r="T138" s="297" t="s">
        <v>1287</v>
      </c>
    </row>
    <row r="139" spans="1:20">
      <c r="A139" s="231" t="s">
        <v>660</v>
      </c>
      <c r="B139" s="259">
        <v>0</v>
      </c>
      <c r="C139" s="260"/>
      <c r="D139" s="234">
        <v>23</v>
      </c>
      <c r="E139" s="234"/>
      <c r="F139" s="234"/>
      <c r="G139" s="231">
        <v>10105688</v>
      </c>
      <c r="H139" s="231" t="s">
        <v>661</v>
      </c>
      <c r="I139" s="235" t="s">
        <v>620</v>
      </c>
      <c r="J139" s="236"/>
      <c r="K139" s="236"/>
      <c r="L139" s="231" t="s">
        <v>136</v>
      </c>
      <c r="M139" s="237">
        <v>3.2</v>
      </c>
      <c r="N139" s="238">
        <v>1.62</v>
      </c>
      <c r="O139" s="294"/>
      <c r="P139" s="261"/>
      <c r="Q139" s="295"/>
      <c r="R139" s="296"/>
      <c r="S139" s="264">
        <v>100000</v>
      </c>
      <c r="T139" s="297">
        <v>100000</v>
      </c>
    </row>
    <row r="140" spans="1:20">
      <c r="A140" s="231" t="s">
        <v>662</v>
      </c>
      <c r="B140" s="259">
        <v>150000</v>
      </c>
      <c r="C140" s="260"/>
      <c r="D140" s="234">
        <v>23</v>
      </c>
      <c r="E140" s="234"/>
      <c r="F140" s="234"/>
      <c r="G140" s="231" t="s">
        <v>663</v>
      </c>
      <c r="H140" s="231" t="s">
        <v>664</v>
      </c>
      <c r="I140" s="235" t="s">
        <v>665</v>
      </c>
      <c r="J140" s="236"/>
      <c r="K140" s="236"/>
      <c r="L140" s="231" t="s">
        <v>136</v>
      </c>
      <c r="M140" s="237">
        <v>3.2</v>
      </c>
      <c r="N140" s="238">
        <v>1</v>
      </c>
      <c r="O140" s="294"/>
      <c r="P140" s="261"/>
      <c r="Q140" s="295"/>
      <c r="R140" s="296"/>
      <c r="S140" s="264">
        <v>800000</v>
      </c>
      <c r="T140" s="297">
        <v>816400</v>
      </c>
    </row>
    <row r="141" spans="1:20">
      <c r="A141" s="231" t="s">
        <v>222</v>
      </c>
      <c r="B141" s="259">
        <v>553220</v>
      </c>
      <c r="C141" s="260"/>
      <c r="D141" s="234">
        <v>23</v>
      </c>
      <c r="E141" s="234"/>
      <c r="F141" s="234"/>
      <c r="G141" s="231" t="s">
        <v>666</v>
      </c>
      <c r="H141" s="231" t="s">
        <v>201</v>
      </c>
      <c r="I141" s="235" t="s">
        <v>414</v>
      </c>
      <c r="J141" s="236"/>
      <c r="K141" s="236"/>
      <c r="L141" s="231" t="s">
        <v>136</v>
      </c>
      <c r="M141" s="237">
        <v>3.2</v>
      </c>
      <c r="N141" s="238">
        <v>1.1200000000000001</v>
      </c>
      <c r="O141" s="294"/>
      <c r="P141" s="261"/>
      <c r="Q141" s="295"/>
      <c r="R141" s="296"/>
      <c r="S141" s="264">
        <v>1000000</v>
      </c>
      <c r="T141" s="297">
        <v>86000</v>
      </c>
    </row>
    <row r="142" spans="1:20">
      <c r="A142" s="231" t="s">
        <v>221</v>
      </c>
      <c r="B142" s="259">
        <v>72033</v>
      </c>
      <c r="C142" s="260"/>
      <c r="D142" s="234">
        <v>23</v>
      </c>
      <c r="E142" s="234"/>
      <c r="F142" s="234"/>
      <c r="G142" s="231" t="s">
        <v>667</v>
      </c>
      <c r="H142" s="231" t="s">
        <v>204</v>
      </c>
      <c r="I142" s="235" t="s">
        <v>420</v>
      </c>
      <c r="J142" s="236"/>
      <c r="K142" s="236"/>
      <c r="L142" s="231" t="s">
        <v>136</v>
      </c>
      <c r="M142" s="237">
        <v>3.2</v>
      </c>
      <c r="N142" s="238">
        <v>1.34</v>
      </c>
      <c r="O142" s="294"/>
      <c r="P142" s="261"/>
      <c r="Q142" s="295"/>
      <c r="R142" s="296"/>
      <c r="S142" s="264">
        <v>250000</v>
      </c>
      <c r="T142" s="297">
        <v>0</v>
      </c>
    </row>
    <row r="143" spans="1:20">
      <c r="A143" s="231" t="s">
        <v>668</v>
      </c>
      <c r="B143" s="259"/>
      <c r="C143" s="260">
        <v>51801</v>
      </c>
      <c r="D143" s="234">
        <v>24</v>
      </c>
      <c r="E143" s="234" t="s">
        <v>306</v>
      </c>
      <c r="F143" s="234"/>
      <c r="G143" s="231" t="s">
        <v>669</v>
      </c>
      <c r="H143" s="231" t="s">
        <v>670</v>
      </c>
      <c r="I143" s="235" t="s">
        <v>620</v>
      </c>
      <c r="J143" s="236"/>
      <c r="K143" s="236"/>
      <c r="L143" s="231" t="s">
        <v>136</v>
      </c>
      <c r="M143" s="231">
        <v>3.25</v>
      </c>
      <c r="N143" s="238">
        <v>1</v>
      </c>
      <c r="O143" s="294"/>
      <c r="P143" s="261"/>
      <c r="Q143" s="295"/>
      <c r="R143" s="296"/>
      <c r="S143" s="264">
        <v>0</v>
      </c>
      <c r="T143" s="297">
        <v>200000</v>
      </c>
    </row>
    <row r="144" spans="1:20">
      <c r="A144" s="231" t="s">
        <v>671</v>
      </c>
      <c r="B144" s="259">
        <v>116666.66666666667</v>
      </c>
      <c r="C144" s="260">
        <v>36000</v>
      </c>
      <c r="D144" s="234">
        <v>24</v>
      </c>
      <c r="E144" s="234" t="s">
        <v>358</v>
      </c>
      <c r="F144" s="234"/>
      <c r="G144" s="231" t="s">
        <v>672</v>
      </c>
      <c r="H144" s="231" t="s">
        <v>255</v>
      </c>
      <c r="I144" s="235" t="s">
        <v>673</v>
      </c>
      <c r="J144" s="236"/>
      <c r="K144" s="236"/>
      <c r="L144" s="231" t="s">
        <v>136</v>
      </c>
      <c r="M144" s="237">
        <v>3.25</v>
      </c>
      <c r="N144" s="238">
        <v>0.82</v>
      </c>
      <c r="O144" s="326">
        <v>1</v>
      </c>
      <c r="P144" s="261">
        <v>0</v>
      </c>
      <c r="Q144" s="324">
        <v>250000</v>
      </c>
      <c r="R144" s="325">
        <v>250000</v>
      </c>
      <c r="S144" s="264">
        <v>200000</v>
      </c>
      <c r="T144" s="297">
        <v>0</v>
      </c>
    </row>
    <row r="145" spans="1:20">
      <c r="A145" s="231" t="s">
        <v>674</v>
      </c>
      <c r="B145" s="259"/>
      <c r="C145" s="260">
        <v>0</v>
      </c>
      <c r="D145" s="234">
        <v>24</v>
      </c>
      <c r="E145" s="234" t="s">
        <v>358</v>
      </c>
      <c r="F145" s="234"/>
      <c r="G145" s="231" t="s">
        <v>675</v>
      </c>
      <c r="H145" s="337" t="s">
        <v>676</v>
      </c>
      <c r="I145" s="235" t="s">
        <v>414</v>
      </c>
      <c r="J145" s="236"/>
      <c r="K145" s="236"/>
      <c r="L145" s="231" t="s">
        <v>136</v>
      </c>
      <c r="M145" s="237">
        <v>3.25</v>
      </c>
      <c r="N145" s="238">
        <v>0.94</v>
      </c>
      <c r="O145" s="329"/>
      <c r="P145" s="261">
        <v>0</v>
      </c>
      <c r="Q145" s="262">
        <v>0</v>
      </c>
      <c r="R145" s="263"/>
      <c r="S145" s="264">
        <v>0</v>
      </c>
      <c r="T145" s="265">
        <v>0</v>
      </c>
    </row>
    <row r="146" spans="1:20">
      <c r="A146" s="231" t="s">
        <v>677</v>
      </c>
      <c r="B146" s="259"/>
      <c r="C146" s="260">
        <v>0</v>
      </c>
      <c r="D146" s="234">
        <v>24</v>
      </c>
      <c r="E146" s="234"/>
      <c r="F146" s="234"/>
      <c r="G146" s="231" t="s">
        <v>678</v>
      </c>
      <c r="H146" s="231" t="s">
        <v>679</v>
      </c>
      <c r="I146" s="235" t="s">
        <v>420</v>
      </c>
      <c r="J146" s="236"/>
      <c r="K146" s="236"/>
      <c r="L146" s="231" t="s">
        <v>136</v>
      </c>
      <c r="M146" s="237">
        <v>3.25</v>
      </c>
      <c r="N146" s="238">
        <v>1.1000000000000001</v>
      </c>
      <c r="O146" s="294"/>
      <c r="P146" s="261">
        <v>0</v>
      </c>
      <c r="Q146" s="295">
        <v>0</v>
      </c>
      <c r="R146" s="296"/>
      <c r="S146" s="338">
        <v>0</v>
      </c>
      <c r="T146" s="339" t="s">
        <v>1287</v>
      </c>
    </row>
    <row r="147" spans="1:20">
      <c r="A147" s="231" t="s">
        <v>88</v>
      </c>
      <c r="B147" s="259">
        <v>123193</v>
      </c>
      <c r="C147" s="260">
        <v>20069</v>
      </c>
      <c r="D147" s="234">
        <v>24</v>
      </c>
      <c r="E147" s="234" t="s">
        <v>680</v>
      </c>
      <c r="F147" s="234"/>
      <c r="G147" s="231" t="s">
        <v>681</v>
      </c>
      <c r="H147" s="231" t="s">
        <v>89</v>
      </c>
      <c r="I147" s="235" t="s">
        <v>603</v>
      </c>
      <c r="J147" s="236"/>
      <c r="K147" s="236"/>
      <c r="L147" s="231" t="s">
        <v>136</v>
      </c>
      <c r="M147" s="237">
        <v>3.25</v>
      </c>
      <c r="N147" s="238">
        <v>1.1200000000000001</v>
      </c>
      <c r="O147" s="327">
        <v>1</v>
      </c>
      <c r="P147" s="261">
        <v>0</v>
      </c>
      <c r="Q147" s="324">
        <v>47413</v>
      </c>
      <c r="R147" s="325">
        <v>47413</v>
      </c>
      <c r="S147" s="264">
        <v>200000</v>
      </c>
      <c r="T147" s="339" t="s">
        <v>1287</v>
      </c>
    </row>
    <row r="148" spans="1:20">
      <c r="A148" s="231" t="s">
        <v>682</v>
      </c>
      <c r="B148" s="259">
        <v>242557.59999999998</v>
      </c>
      <c r="C148" s="260">
        <v>20022</v>
      </c>
      <c r="D148" s="234">
        <v>24</v>
      </c>
      <c r="E148" s="234"/>
      <c r="F148" s="234"/>
      <c r="G148" s="231" t="s">
        <v>683</v>
      </c>
      <c r="H148" s="231" t="s">
        <v>684</v>
      </c>
      <c r="I148" s="235" t="s">
        <v>57</v>
      </c>
      <c r="J148" s="236"/>
      <c r="K148" s="236"/>
      <c r="L148" s="231" t="s">
        <v>136</v>
      </c>
      <c r="M148" s="237">
        <v>3.25</v>
      </c>
      <c r="N148" s="238">
        <v>1.25</v>
      </c>
      <c r="O148" s="294">
        <v>1</v>
      </c>
      <c r="P148" s="261">
        <v>0</v>
      </c>
      <c r="Q148" s="295">
        <v>107477</v>
      </c>
      <c r="R148" s="296">
        <v>107477</v>
      </c>
      <c r="S148" s="264">
        <v>500000</v>
      </c>
      <c r="T148" s="297" t="s">
        <v>1287</v>
      </c>
    </row>
    <row r="149" spans="1:20">
      <c r="A149" s="231" t="s">
        <v>685</v>
      </c>
      <c r="B149" s="259">
        <v>18478</v>
      </c>
      <c r="C149" s="260">
        <v>20021</v>
      </c>
      <c r="D149" s="234">
        <v>24</v>
      </c>
      <c r="E149" s="234"/>
      <c r="F149" s="234"/>
      <c r="G149" s="231" t="s">
        <v>686</v>
      </c>
      <c r="H149" s="231" t="s">
        <v>687</v>
      </c>
      <c r="I149" s="235" t="s">
        <v>59</v>
      </c>
      <c r="J149" s="236"/>
      <c r="K149" s="236"/>
      <c r="L149" s="231" t="s">
        <v>136</v>
      </c>
      <c r="M149" s="237">
        <v>3.25</v>
      </c>
      <c r="N149" s="238">
        <v>1.45</v>
      </c>
      <c r="O149" s="294"/>
      <c r="P149" s="261">
        <v>0</v>
      </c>
      <c r="Q149" s="295">
        <v>48394</v>
      </c>
      <c r="R149" s="296">
        <v>48394</v>
      </c>
      <c r="S149" s="264">
        <v>100000</v>
      </c>
      <c r="T149" s="297">
        <v>3523100</v>
      </c>
    </row>
    <row r="150" spans="1:20">
      <c r="A150" s="330" t="s">
        <v>162</v>
      </c>
      <c r="B150" s="331">
        <v>4317838.0999999996</v>
      </c>
      <c r="C150" s="260">
        <v>20018</v>
      </c>
      <c r="D150" s="234">
        <v>24</v>
      </c>
      <c r="E150" s="234"/>
      <c r="F150" s="234"/>
      <c r="G150" s="231" t="s">
        <v>688</v>
      </c>
      <c r="H150" s="231" t="s">
        <v>163</v>
      </c>
      <c r="I150" s="235" t="s">
        <v>56</v>
      </c>
      <c r="J150" s="236"/>
      <c r="K150" s="236"/>
      <c r="L150" s="231" t="s">
        <v>136</v>
      </c>
      <c r="M150" s="237">
        <v>3.25</v>
      </c>
      <c r="N150" s="238">
        <v>1.52</v>
      </c>
      <c r="O150" s="294"/>
      <c r="P150" s="261">
        <v>1799256.33333333</v>
      </c>
      <c r="Q150" s="302">
        <v>3794051.5333333299</v>
      </c>
      <c r="R150" s="303">
        <v>1994795.2</v>
      </c>
      <c r="S150" s="264">
        <v>12600000</v>
      </c>
      <c r="T150" s="297">
        <v>0</v>
      </c>
    </row>
    <row r="151" spans="1:20">
      <c r="A151" s="231" t="s">
        <v>689</v>
      </c>
      <c r="B151" s="259">
        <v>15024</v>
      </c>
      <c r="C151" s="260">
        <v>31011</v>
      </c>
      <c r="D151" s="234">
        <v>24</v>
      </c>
      <c r="E151" s="234" t="s">
        <v>690</v>
      </c>
      <c r="F151" s="234"/>
      <c r="G151" s="231">
        <v>60125531</v>
      </c>
      <c r="H151" s="231" t="s">
        <v>691</v>
      </c>
      <c r="I151" s="235" t="s">
        <v>56</v>
      </c>
      <c r="J151" s="236"/>
      <c r="K151" s="236"/>
      <c r="L151" s="231" t="s">
        <v>136</v>
      </c>
      <c r="M151" s="237">
        <v>3.25</v>
      </c>
      <c r="N151" s="238">
        <v>1.54</v>
      </c>
      <c r="O151" s="294"/>
      <c r="P151" s="261">
        <v>0</v>
      </c>
      <c r="Q151" s="302">
        <v>17360</v>
      </c>
      <c r="R151" s="303">
        <v>17360</v>
      </c>
      <c r="S151" s="264">
        <v>0</v>
      </c>
      <c r="T151" s="297">
        <v>0</v>
      </c>
    </row>
    <row r="152" spans="1:20">
      <c r="A152" s="231" t="s">
        <v>76</v>
      </c>
      <c r="B152" s="259">
        <v>18950</v>
      </c>
      <c r="C152" s="260">
        <v>52000</v>
      </c>
      <c r="D152" s="234">
        <v>24</v>
      </c>
      <c r="E152" s="234"/>
      <c r="F152" s="234"/>
      <c r="G152" s="231">
        <v>7004001314</v>
      </c>
      <c r="H152" s="231" t="s">
        <v>692</v>
      </c>
      <c r="I152" s="235" t="s">
        <v>420</v>
      </c>
      <c r="J152" s="236"/>
      <c r="K152" s="236"/>
      <c r="L152" s="231" t="s">
        <v>136</v>
      </c>
      <c r="M152" s="237">
        <v>3.25</v>
      </c>
      <c r="N152" s="238">
        <v>1.54</v>
      </c>
      <c r="O152" s="294">
        <v>1</v>
      </c>
      <c r="P152" s="261">
        <v>0</v>
      </c>
      <c r="Q152" s="295">
        <v>27215</v>
      </c>
      <c r="R152" s="296">
        <v>27215</v>
      </c>
      <c r="S152" s="264">
        <v>0</v>
      </c>
      <c r="T152" s="297">
        <v>0</v>
      </c>
    </row>
    <row r="153" spans="1:20">
      <c r="A153" s="231" t="s">
        <v>693</v>
      </c>
      <c r="B153" s="259">
        <v>0</v>
      </c>
      <c r="C153" s="260">
        <v>99003</v>
      </c>
      <c r="D153" s="234">
        <v>24</v>
      </c>
      <c r="E153" s="234"/>
      <c r="F153" s="234"/>
      <c r="G153" s="231">
        <v>3016002720</v>
      </c>
      <c r="H153" s="231" t="s">
        <v>694</v>
      </c>
      <c r="I153" s="235" t="s">
        <v>420</v>
      </c>
      <c r="J153" s="236"/>
      <c r="K153" s="236" t="s">
        <v>326</v>
      </c>
      <c r="L153" s="231" t="s">
        <v>136</v>
      </c>
      <c r="M153" s="237">
        <v>3.25</v>
      </c>
      <c r="N153" s="238">
        <v>1.55</v>
      </c>
      <c r="O153" s="329"/>
      <c r="P153" s="261">
        <v>0</v>
      </c>
      <c r="Q153" s="295">
        <v>0</v>
      </c>
      <c r="R153" s="296"/>
      <c r="S153" s="264">
        <v>0</v>
      </c>
      <c r="T153" s="297">
        <v>0</v>
      </c>
    </row>
    <row r="154" spans="1:20">
      <c r="A154" s="330" t="s">
        <v>695</v>
      </c>
      <c r="B154" s="331">
        <v>1763853.5999999999</v>
      </c>
      <c r="C154" s="260">
        <v>20039</v>
      </c>
      <c r="D154" s="234">
        <v>24</v>
      </c>
      <c r="E154" s="234"/>
      <c r="F154" s="234"/>
      <c r="G154" s="231" t="s">
        <v>696</v>
      </c>
      <c r="H154" s="231" t="s">
        <v>45</v>
      </c>
      <c r="I154" s="235" t="s">
        <v>57</v>
      </c>
      <c r="J154" s="236"/>
      <c r="K154" s="236"/>
      <c r="L154" s="231" t="s">
        <v>136</v>
      </c>
      <c r="M154" s="237">
        <v>3.25</v>
      </c>
      <c r="N154" s="238">
        <v>1.67</v>
      </c>
      <c r="O154" s="294"/>
      <c r="P154" s="261">
        <v>1205750</v>
      </c>
      <c r="Q154" s="295">
        <v>1271198.3999999999</v>
      </c>
      <c r="R154" s="296">
        <v>65448.4</v>
      </c>
      <c r="S154" s="264">
        <v>2500000</v>
      </c>
      <c r="T154" s="297">
        <v>0</v>
      </c>
    </row>
    <row r="155" spans="1:20">
      <c r="A155" s="231" t="s">
        <v>697</v>
      </c>
      <c r="B155" s="259">
        <v>0</v>
      </c>
      <c r="C155" s="260">
        <v>99002</v>
      </c>
      <c r="D155" s="234">
        <v>24</v>
      </c>
      <c r="E155" s="234"/>
      <c r="F155" s="234"/>
      <c r="G155" s="231" t="s">
        <v>698</v>
      </c>
      <c r="H155" s="231" t="s">
        <v>694</v>
      </c>
      <c r="I155" s="235" t="s">
        <v>620</v>
      </c>
      <c r="J155" s="236"/>
      <c r="K155" s="236"/>
      <c r="L155" s="231" t="s">
        <v>136</v>
      </c>
      <c r="M155" s="237">
        <v>3.25</v>
      </c>
      <c r="N155" s="238">
        <v>1.69</v>
      </c>
      <c r="O155" s="294"/>
      <c r="P155" s="261">
        <v>0</v>
      </c>
      <c r="Q155" s="295">
        <v>0</v>
      </c>
      <c r="R155" s="296"/>
      <c r="S155" s="264">
        <v>0</v>
      </c>
      <c r="T155" s="297">
        <v>0</v>
      </c>
    </row>
    <row r="156" spans="1:20">
      <c r="A156" s="231" t="s">
        <v>699</v>
      </c>
      <c r="B156" s="259"/>
      <c r="C156" s="260">
        <v>0</v>
      </c>
      <c r="D156" s="234">
        <v>24</v>
      </c>
      <c r="E156" s="234"/>
      <c r="F156" s="234"/>
      <c r="G156" s="231" t="s">
        <v>700</v>
      </c>
      <c r="H156" s="231" t="s">
        <v>701</v>
      </c>
      <c r="I156" s="235" t="s">
        <v>58</v>
      </c>
      <c r="J156" s="236"/>
      <c r="K156" s="236"/>
      <c r="L156" s="231" t="s">
        <v>136</v>
      </c>
      <c r="M156" s="237">
        <v>3.25</v>
      </c>
      <c r="N156" s="238">
        <v>1.72</v>
      </c>
      <c r="O156" s="294">
        <v>1</v>
      </c>
      <c r="P156" s="261">
        <v>0</v>
      </c>
      <c r="Q156" s="295">
        <v>0</v>
      </c>
      <c r="R156" s="296"/>
      <c r="S156" s="264">
        <v>0</v>
      </c>
      <c r="T156" s="297" t="s">
        <v>1287</v>
      </c>
    </row>
    <row r="157" spans="1:20">
      <c r="A157" s="231" t="s">
        <v>702</v>
      </c>
      <c r="B157" s="259">
        <v>69774</v>
      </c>
      <c r="C157" s="260">
        <v>20053</v>
      </c>
      <c r="D157" s="234">
        <v>24</v>
      </c>
      <c r="E157" s="234" t="s">
        <v>306</v>
      </c>
      <c r="F157" s="298" t="s">
        <v>365</v>
      </c>
      <c r="G157" s="231" t="s">
        <v>703</v>
      </c>
      <c r="H157" s="231" t="s">
        <v>704</v>
      </c>
      <c r="I157" s="235" t="s">
        <v>58</v>
      </c>
      <c r="J157" s="236"/>
      <c r="K157" s="236"/>
      <c r="L157" s="231" t="s">
        <v>136</v>
      </c>
      <c r="M157" s="237">
        <v>3.25</v>
      </c>
      <c r="N157" s="231">
        <v>1.84</v>
      </c>
      <c r="O157" s="294"/>
      <c r="P157" s="261">
        <v>0</v>
      </c>
      <c r="Q157" s="295">
        <v>52640</v>
      </c>
      <c r="R157" s="296">
        <v>52640</v>
      </c>
      <c r="S157" s="264">
        <v>300000</v>
      </c>
      <c r="T157" s="297" t="s">
        <v>1287</v>
      </c>
    </row>
    <row r="158" spans="1:20">
      <c r="A158" s="231" t="s">
        <v>33</v>
      </c>
      <c r="B158" s="259">
        <v>563059</v>
      </c>
      <c r="C158" s="260">
        <v>20020</v>
      </c>
      <c r="D158" s="234">
        <v>24</v>
      </c>
      <c r="E158" s="234"/>
      <c r="F158" s="234"/>
      <c r="G158" s="231" t="s">
        <v>705</v>
      </c>
      <c r="H158" s="231" t="s">
        <v>45</v>
      </c>
      <c r="I158" s="235" t="s">
        <v>58</v>
      </c>
      <c r="J158" s="236"/>
      <c r="K158" s="236"/>
      <c r="L158" s="231" t="s">
        <v>136</v>
      </c>
      <c r="M158" s="237">
        <v>3.25</v>
      </c>
      <c r="N158" s="238">
        <v>1.84</v>
      </c>
      <c r="O158" s="294">
        <v>1</v>
      </c>
      <c r="P158" s="261">
        <v>307559.33333333302</v>
      </c>
      <c r="Q158" s="295">
        <v>777115.33333333302</v>
      </c>
      <c r="R158" s="296">
        <v>469556</v>
      </c>
      <c r="S158" s="264">
        <v>1200000</v>
      </c>
      <c r="T158" s="297">
        <v>0</v>
      </c>
    </row>
    <row r="159" spans="1:20">
      <c r="A159" s="231" t="s">
        <v>706</v>
      </c>
      <c r="B159" s="259">
        <v>0</v>
      </c>
      <c r="C159" s="260">
        <v>99004</v>
      </c>
      <c r="D159" s="234">
        <v>24</v>
      </c>
      <c r="E159" s="234"/>
      <c r="F159" s="234"/>
      <c r="G159" s="231">
        <v>3016004800</v>
      </c>
      <c r="H159" s="231" t="s">
        <v>694</v>
      </c>
      <c r="I159" s="235" t="s">
        <v>645</v>
      </c>
      <c r="J159" s="236"/>
      <c r="K159" s="236" t="s">
        <v>326</v>
      </c>
      <c r="L159" s="231" t="s">
        <v>136</v>
      </c>
      <c r="M159" s="237">
        <v>3.25</v>
      </c>
      <c r="N159" s="238">
        <v>2.41</v>
      </c>
      <c r="O159" s="294"/>
      <c r="P159" s="261">
        <v>0</v>
      </c>
      <c r="Q159" s="295">
        <v>0</v>
      </c>
      <c r="R159" s="296"/>
      <c r="S159" s="264">
        <v>0</v>
      </c>
      <c r="T159" s="297">
        <v>100000</v>
      </c>
    </row>
    <row r="160" spans="1:20">
      <c r="A160" s="231" t="s">
        <v>707</v>
      </c>
      <c r="B160" s="259">
        <v>69278</v>
      </c>
      <c r="C160" s="260" t="e">
        <v>#N/A</v>
      </c>
      <c r="D160" s="234">
        <v>24</v>
      </c>
      <c r="E160" s="234"/>
      <c r="F160" s="234"/>
      <c r="G160" s="231" t="s">
        <v>708</v>
      </c>
      <c r="H160" s="231" t="s">
        <v>709</v>
      </c>
      <c r="I160" s="235" t="s">
        <v>710</v>
      </c>
      <c r="J160" s="236"/>
      <c r="K160" s="236"/>
      <c r="L160" s="231" t="s">
        <v>136</v>
      </c>
      <c r="M160" s="237">
        <v>3.25</v>
      </c>
      <c r="N160" s="238">
        <v>3.54</v>
      </c>
      <c r="O160" s="294">
        <v>1</v>
      </c>
      <c r="P160" s="261"/>
      <c r="Q160" s="302"/>
      <c r="R160" s="303"/>
      <c r="S160" s="264">
        <v>200000</v>
      </c>
      <c r="T160" s="297">
        <v>0</v>
      </c>
    </row>
    <row r="161" spans="1:20">
      <c r="A161" s="231" t="s">
        <v>711</v>
      </c>
      <c r="B161" s="259">
        <v>20000</v>
      </c>
      <c r="C161" s="260"/>
      <c r="D161" s="234">
        <v>25</v>
      </c>
      <c r="E161" s="234"/>
      <c r="F161" s="234"/>
      <c r="G161" s="231" t="s">
        <v>712</v>
      </c>
      <c r="H161" s="231" t="s">
        <v>546</v>
      </c>
      <c r="I161" s="235" t="s">
        <v>603</v>
      </c>
      <c r="J161" s="236"/>
      <c r="K161" s="236"/>
      <c r="L161" s="231" t="s">
        <v>136</v>
      </c>
      <c r="M161" s="322">
        <v>3.3</v>
      </c>
      <c r="N161" s="238">
        <v>1.65</v>
      </c>
      <c r="O161" s="294"/>
      <c r="P161" s="261"/>
      <c r="Q161" s="295"/>
      <c r="R161" s="296"/>
      <c r="S161" s="264">
        <v>0</v>
      </c>
      <c r="T161" s="297">
        <v>0</v>
      </c>
    </row>
    <row r="162" spans="1:20" ht="22.5">
      <c r="A162" s="231" t="s">
        <v>713</v>
      </c>
      <c r="B162" s="259"/>
      <c r="C162" s="260" t="e">
        <v>#N/A</v>
      </c>
      <c r="D162" s="234">
        <v>25</v>
      </c>
      <c r="E162" s="334" t="s">
        <v>714</v>
      </c>
      <c r="F162" s="334"/>
      <c r="G162" s="231" t="s">
        <v>715</v>
      </c>
      <c r="H162" s="231" t="s">
        <v>716</v>
      </c>
      <c r="I162" s="235" t="s">
        <v>59</v>
      </c>
      <c r="J162" s="236"/>
      <c r="K162" s="236"/>
      <c r="L162" s="231" t="s">
        <v>136</v>
      </c>
      <c r="M162" s="237">
        <v>3.3</v>
      </c>
      <c r="N162" s="238">
        <v>1.05</v>
      </c>
      <c r="O162" s="294">
        <v>1</v>
      </c>
      <c r="P162" s="261"/>
      <c r="Q162" s="295"/>
      <c r="R162" s="296"/>
      <c r="S162" s="264">
        <v>0</v>
      </c>
      <c r="T162" s="297">
        <v>171300</v>
      </c>
    </row>
    <row r="163" spans="1:20">
      <c r="A163" s="231" t="s">
        <v>195</v>
      </c>
      <c r="B163" s="259">
        <v>59358</v>
      </c>
      <c r="C163" s="260">
        <v>20068</v>
      </c>
      <c r="D163" s="234">
        <v>25</v>
      </c>
      <c r="E163" s="234"/>
      <c r="F163" s="234"/>
      <c r="G163" s="231" t="s">
        <v>717</v>
      </c>
      <c r="H163" s="231" t="s">
        <v>167</v>
      </c>
      <c r="I163" s="235" t="s">
        <v>59</v>
      </c>
      <c r="J163" s="236"/>
      <c r="K163" s="236"/>
      <c r="L163" s="231" t="s">
        <v>136</v>
      </c>
      <c r="M163" s="237">
        <v>3.3</v>
      </c>
      <c r="N163" s="238">
        <v>1.05</v>
      </c>
      <c r="O163" s="294">
        <v>1</v>
      </c>
      <c r="P163" s="261">
        <v>0</v>
      </c>
      <c r="Q163" s="295">
        <v>0</v>
      </c>
      <c r="R163" s="296">
        <v>0</v>
      </c>
      <c r="S163" s="264">
        <v>390000</v>
      </c>
      <c r="T163" s="297">
        <v>0</v>
      </c>
    </row>
    <row r="164" spans="1:20">
      <c r="A164" s="231" t="s">
        <v>718</v>
      </c>
      <c r="B164" s="259">
        <v>59358</v>
      </c>
      <c r="C164" s="260" t="e">
        <v>#N/A</v>
      </c>
      <c r="D164" s="234">
        <v>25</v>
      </c>
      <c r="E164" s="234"/>
      <c r="F164" s="298" t="s">
        <v>365</v>
      </c>
      <c r="G164" s="231" t="s">
        <v>719</v>
      </c>
      <c r="H164" s="231" t="s">
        <v>720</v>
      </c>
      <c r="I164" s="235" t="s">
        <v>59</v>
      </c>
      <c r="J164" s="236"/>
      <c r="K164" s="236"/>
      <c r="L164" s="231" t="s">
        <v>136</v>
      </c>
      <c r="M164" s="237">
        <v>3.3</v>
      </c>
      <c r="N164" s="238">
        <v>1.9</v>
      </c>
      <c r="O164" s="294"/>
      <c r="P164" s="261"/>
      <c r="Q164" s="295"/>
      <c r="R164" s="296">
        <v>28333.5</v>
      </c>
      <c r="S164" s="264">
        <v>0</v>
      </c>
      <c r="T164" s="297">
        <v>0</v>
      </c>
    </row>
    <row r="165" spans="1:20">
      <c r="A165" s="231" t="s">
        <v>721</v>
      </c>
      <c r="B165" s="259"/>
      <c r="C165" s="260">
        <v>99005</v>
      </c>
      <c r="D165" s="234">
        <v>25</v>
      </c>
      <c r="E165" s="234"/>
      <c r="F165" s="234"/>
      <c r="G165" s="231">
        <v>3016043710</v>
      </c>
      <c r="H165" s="231" t="s">
        <v>722</v>
      </c>
      <c r="I165" s="235" t="s">
        <v>723</v>
      </c>
      <c r="J165" s="236"/>
      <c r="K165" s="236" t="s">
        <v>326</v>
      </c>
      <c r="L165" s="231" t="s">
        <v>136</v>
      </c>
      <c r="M165" s="237">
        <v>3.3</v>
      </c>
      <c r="N165" s="238">
        <v>2.15</v>
      </c>
      <c r="O165" s="294">
        <v>1</v>
      </c>
      <c r="P165" s="261">
        <v>0</v>
      </c>
      <c r="Q165" s="295">
        <v>0</v>
      </c>
      <c r="R165" s="296"/>
      <c r="S165" s="264">
        <v>0</v>
      </c>
      <c r="T165" s="297">
        <v>300000</v>
      </c>
    </row>
    <row r="166" spans="1:20">
      <c r="A166" s="231" t="s">
        <v>724</v>
      </c>
      <c r="B166" s="259">
        <v>225000</v>
      </c>
      <c r="C166" s="260">
        <v>51806</v>
      </c>
      <c r="D166" s="234">
        <v>26</v>
      </c>
      <c r="E166" s="234" t="s">
        <v>306</v>
      </c>
      <c r="F166" s="234"/>
      <c r="G166" s="231" t="s">
        <v>725</v>
      </c>
      <c r="H166" s="231" t="s">
        <v>726</v>
      </c>
      <c r="I166" s="235" t="s">
        <v>727</v>
      </c>
      <c r="J166" s="236"/>
      <c r="K166" s="236"/>
      <c r="L166" s="231" t="s">
        <v>136</v>
      </c>
      <c r="M166" s="231">
        <v>4.0599999999999996</v>
      </c>
      <c r="N166" s="238">
        <v>1.41</v>
      </c>
      <c r="O166" s="294"/>
      <c r="P166" s="261"/>
      <c r="Q166" s="295"/>
      <c r="R166" s="296"/>
      <c r="S166" s="264">
        <v>300000</v>
      </c>
      <c r="T166" s="297">
        <v>710000</v>
      </c>
    </row>
    <row r="167" spans="1:20">
      <c r="A167" s="231" t="s">
        <v>87</v>
      </c>
      <c r="B167" s="259">
        <v>513132</v>
      </c>
      <c r="C167" s="260">
        <v>20013</v>
      </c>
      <c r="D167" s="234">
        <v>26</v>
      </c>
      <c r="E167" s="234"/>
      <c r="F167" s="234"/>
      <c r="G167" s="231" t="s">
        <v>728</v>
      </c>
      <c r="H167" s="231" t="s">
        <v>81</v>
      </c>
      <c r="I167" s="340" t="s">
        <v>54</v>
      </c>
      <c r="J167" s="341"/>
      <c r="K167" s="341"/>
      <c r="L167" s="231" t="s">
        <v>136</v>
      </c>
      <c r="M167" s="237">
        <v>4.0599999999999996</v>
      </c>
      <c r="N167" s="238">
        <v>3.03</v>
      </c>
      <c r="O167" s="294"/>
      <c r="P167" s="261">
        <v>0</v>
      </c>
      <c r="Q167" s="295">
        <v>313520</v>
      </c>
      <c r="R167" s="296">
        <v>313520</v>
      </c>
      <c r="S167" s="264">
        <v>1600000</v>
      </c>
      <c r="T167" s="297">
        <v>424000</v>
      </c>
    </row>
    <row r="168" spans="1:20">
      <c r="A168" s="231" t="s">
        <v>198</v>
      </c>
      <c r="B168" s="259">
        <v>422928</v>
      </c>
      <c r="C168" s="260">
        <v>20012</v>
      </c>
      <c r="D168" s="234">
        <v>26</v>
      </c>
      <c r="E168" s="234"/>
      <c r="F168" s="234"/>
      <c r="G168" s="231" t="s">
        <v>729</v>
      </c>
      <c r="H168" s="231" t="s">
        <v>199</v>
      </c>
      <c r="I168" s="235" t="s">
        <v>54</v>
      </c>
      <c r="J168" s="236"/>
      <c r="K168" s="236"/>
      <c r="L168" s="231" t="s">
        <v>136</v>
      </c>
      <c r="M168" s="237">
        <v>4.0599999999999996</v>
      </c>
      <c r="N168" s="238">
        <v>3.61</v>
      </c>
      <c r="O168" s="294"/>
      <c r="P168" s="261">
        <v>23750</v>
      </c>
      <c r="Q168" s="302">
        <v>182984</v>
      </c>
      <c r="R168" s="303">
        <v>220818</v>
      </c>
      <c r="S168" s="264">
        <v>1400000</v>
      </c>
      <c r="T168" s="297">
        <v>0</v>
      </c>
    </row>
    <row r="169" spans="1:20">
      <c r="A169" s="231" t="s">
        <v>730</v>
      </c>
      <c r="B169" s="259">
        <v>225000</v>
      </c>
      <c r="C169" s="260"/>
      <c r="D169" s="234">
        <v>26</v>
      </c>
      <c r="E169" s="234"/>
      <c r="F169" s="234"/>
      <c r="G169" s="231" t="s">
        <v>731</v>
      </c>
      <c r="H169" s="231" t="s">
        <v>732</v>
      </c>
      <c r="I169" s="235" t="s">
        <v>733</v>
      </c>
      <c r="J169" s="236"/>
      <c r="K169" s="236"/>
      <c r="L169" s="231" t="s">
        <v>136</v>
      </c>
      <c r="M169" s="237">
        <v>4.0599999999999996</v>
      </c>
      <c r="N169" s="238">
        <v>1.29</v>
      </c>
      <c r="O169" s="294"/>
      <c r="P169" s="261"/>
      <c r="Q169" s="295"/>
      <c r="R169" s="296"/>
      <c r="S169" s="264">
        <v>300000</v>
      </c>
      <c r="T169" s="297">
        <v>0</v>
      </c>
    </row>
    <row r="170" spans="1:20">
      <c r="A170" s="231" t="s">
        <v>734</v>
      </c>
      <c r="B170" s="259">
        <v>0</v>
      </c>
      <c r="C170" s="260">
        <v>0</v>
      </c>
      <c r="D170" s="234">
        <v>27</v>
      </c>
      <c r="E170" s="234" t="s">
        <v>735</v>
      </c>
      <c r="F170" s="234"/>
      <c r="G170" s="231">
        <v>7871400811</v>
      </c>
      <c r="H170" s="231" t="s">
        <v>736</v>
      </c>
      <c r="I170" s="235" t="s">
        <v>392</v>
      </c>
      <c r="J170" s="236"/>
      <c r="K170" s="236" t="s">
        <v>326</v>
      </c>
      <c r="L170" s="231" t="s">
        <v>136</v>
      </c>
      <c r="M170" s="237" t="s">
        <v>397</v>
      </c>
      <c r="N170" s="238">
        <v>1.0900000000000001</v>
      </c>
      <c r="O170" s="294"/>
      <c r="P170" s="261">
        <v>0</v>
      </c>
      <c r="Q170" s="295">
        <v>0</v>
      </c>
      <c r="R170" s="296">
        <v>0</v>
      </c>
      <c r="S170" s="264">
        <v>0</v>
      </c>
      <c r="T170" s="297">
        <v>0</v>
      </c>
    </row>
    <row r="171" spans="1:20">
      <c r="A171" s="231" t="s">
        <v>737</v>
      </c>
      <c r="B171" s="259">
        <v>0</v>
      </c>
      <c r="C171" s="260" t="e">
        <v>#N/A</v>
      </c>
      <c r="D171" s="234">
        <v>27</v>
      </c>
      <c r="E171" s="234" t="s">
        <v>738</v>
      </c>
      <c r="F171" s="234"/>
      <c r="G171" s="231">
        <v>10105681</v>
      </c>
      <c r="H171" s="231" t="s">
        <v>739</v>
      </c>
      <c r="I171" s="235" t="s">
        <v>392</v>
      </c>
      <c r="J171" s="236"/>
      <c r="K171" s="236"/>
      <c r="L171" s="231" t="s">
        <v>136</v>
      </c>
      <c r="M171" s="237" t="s">
        <v>397</v>
      </c>
      <c r="N171" s="238">
        <v>1.1399999999999999</v>
      </c>
      <c r="O171" s="327"/>
      <c r="P171" s="261"/>
      <c r="Q171" s="324"/>
      <c r="R171" s="325"/>
      <c r="S171" s="264">
        <v>0</v>
      </c>
      <c r="T171" s="297">
        <v>2114500</v>
      </c>
    </row>
    <row r="172" spans="1:20">
      <c r="A172" s="330" t="s">
        <v>128</v>
      </c>
      <c r="B172" s="331">
        <v>1956846</v>
      </c>
      <c r="C172" s="260">
        <v>20023</v>
      </c>
      <c r="D172" s="234">
        <v>27</v>
      </c>
      <c r="E172" s="234"/>
      <c r="F172" s="234"/>
      <c r="G172" s="231" t="s">
        <v>740</v>
      </c>
      <c r="H172" s="231" t="s">
        <v>129</v>
      </c>
      <c r="I172" s="235" t="s">
        <v>59</v>
      </c>
      <c r="J172" s="236"/>
      <c r="K172" s="236" t="s">
        <v>326</v>
      </c>
      <c r="L172" s="231" t="s">
        <v>136</v>
      </c>
      <c r="M172" s="237" t="s">
        <v>397</v>
      </c>
      <c r="N172" s="238">
        <v>1.44</v>
      </c>
      <c r="O172" s="294">
        <v>1</v>
      </c>
      <c r="P172" s="261">
        <v>390587.5</v>
      </c>
      <c r="Q172" s="295">
        <v>806856.5</v>
      </c>
      <c r="R172" s="296">
        <v>639981</v>
      </c>
      <c r="S172" s="264">
        <v>7900000</v>
      </c>
      <c r="T172" s="297">
        <v>0</v>
      </c>
    </row>
    <row r="173" spans="1:20">
      <c r="A173" s="231" t="s">
        <v>741</v>
      </c>
      <c r="B173" s="259">
        <v>0</v>
      </c>
      <c r="C173" s="260">
        <v>0</v>
      </c>
      <c r="D173" s="234">
        <v>27</v>
      </c>
      <c r="E173" s="234"/>
      <c r="F173" s="234"/>
      <c r="G173" s="231">
        <v>7271401011</v>
      </c>
      <c r="H173" s="231" t="s">
        <v>742</v>
      </c>
      <c r="I173" s="235" t="s">
        <v>420</v>
      </c>
      <c r="J173" s="236"/>
      <c r="K173" s="236"/>
      <c r="L173" s="231" t="s">
        <v>136</v>
      </c>
      <c r="M173" s="237" t="s">
        <v>397</v>
      </c>
      <c r="N173" s="238">
        <v>1.51</v>
      </c>
      <c r="O173" s="294">
        <v>1</v>
      </c>
      <c r="P173" s="261">
        <v>0</v>
      </c>
      <c r="Q173" s="302">
        <v>0</v>
      </c>
      <c r="R173" s="303">
        <v>0</v>
      </c>
      <c r="S173" s="264">
        <v>0</v>
      </c>
      <c r="T173" s="297">
        <v>0</v>
      </c>
    </row>
    <row r="174" spans="1:20">
      <c r="A174" s="231" t="s">
        <v>743</v>
      </c>
      <c r="B174" s="259">
        <v>30000</v>
      </c>
      <c r="C174" s="260">
        <v>36004</v>
      </c>
      <c r="D174" s="234">
        <v>27</v>
      </c>
      <c r="E174" s="234"/>
      <c r="F174" s="234"/>
      <c r="G174" s="231" t="s">
        <v>744</v>
      </c>
      <c r="H174" s="231" t="s">
        <v>742</v>
      </c>
      <c r="I174" s="235" t="s">
        <v>745</v>
      </c>
      <c r="J174" s="236"/>
      <c r="K174" s="236"/>
      <c r="L174" s="231" t="s">
        <v>136</v>
      </c>
      <c r="M174" s="237" t="s">
        <v>397</v>
      </c>
      <c r="N174" s="238">
        <v>1.76</v>
      </c>
      <c r="O174" s="294">
        <v>1</v>
      </c>
      <c r="P174" s="261">
        <v>0</v>
      </c>
      <c r="Q174" s="295">
        <v>75000</v>
      </c>
      <c r="R174" s="296">
        <v>75000</v>
      </c>
      <c r="S174" s="264">
        <v>0</v>
      </c>
      <c r="T174" s="297">
        <v>0</v>
      </c>
    </row>
    <row r="175" spans="1:20">
      <c r="A175" s="231" t="s">
        <v>746</v>
      </c>
      <c r="B175" s="259">
        <v>39256</v>
      </c>
      <c r="C175" s="260">
        <v>20060</v>
      </c>
      <c r="D175" s="234">
        <v>27</v>
      </c>
      <c r="E175" s="234"/>
      <c r="F175" s="234"/>
      <c r="G175" s="231" t="s">
        <v>747</v>
      </c>
      <c r="H175" s="231" t="s">
        <v>220</v>
      </c>
      <c r="I175" s="235" t="s">
        <v>653</v>
      </c>
      <c r="J175" s="236"/>
      <c r="K175" s="236"/>
      <c r="L175" s="231" t="s">
        <v>136</v>
      </c>
      <c r="M175" s="237" t="s">
        <v>397</v>
      </c>
      <c r="N175" s="238">
        <v>1.97</v>
      </c>
      <c r="O175" s="294"/>
      <c r="P175" s="261">
        <v>0</v>
      </c>
      <c r="Q175" s="295">
        <v>22122</v>
      </c>
      <c r="R175" s="296">
        <v>22122</v>
      </c>
      <c r="S175" s="264">
        <v>0</v>
      </c>
      <c r="T175" s="297">
        <v>199800</v>
      </c>
    </row>
    <row r="176" spans="1:20">
      <c r="A176" s="231" t="s">
        <v>748</v>
      </c>
      <c r="B176" s="259">
        <v>132693</v>
      </c>
      <c r="C176" s="260">
        <v>20052</v>
      </c>
      <c r="D176" s="234">
        <v>28</v>
      </c>
      <c r="E176" s="234" t="s">
        <v>749</v>
      </c>
      <c r="F176" s="234"/>
      <c r="G176" s="231" t="s">
        <v>750</v>
      </c>
      <c r="H176" s="231" t="s">
        <v>751</v>
      </c>
      <c r="I176" s="235" t="s">
        <v>752</v>
      </c>
      <c r="J176" s="236"/>
      <c r="K176" s="236"/>
      <c r="L176" s="231" t="s">
        <v>136</v>
      </c>
      <c r="M176" s="237" t="s">
        <v>753</v>
      </c>
      <c r="N176" s="238">
        <v>0.82</v>
      </c>
      <c r="O176" s="294"/>
      <c r="P176" s="261">
        <v>0</v>
      </c>
      <c r="Q176" s="295">
        <v>228114</v>
      </c>
      <c r="R176" s="296">
        <v>228114</v>
      </c>
      <c r="S176" s="264">
        <v>800000</v>
      </c>
      <c r="T176" s="297">
        <v>687800</v>
      </c>
    </row>
    <row r="177" spans="1:20">
      <c r="A177" s="231" t="s">
        <v>196</v>
      </c>
      <c r="B177" s="259">
        <v>495538</v>
      </c>
      <c r="C177" s="260">
        <v>20043</v>
      </c>
      <c r="D177" s="234">
        <v>28</v>
      </c>
      <c r="E177" s="234" t="s">
        <v>754</v>
      </c>
      <c r="F177" s="234"/>
      <c r="G177" s="231" t="s">
        <v>755</v>
      </c>
      <c r="H177" s="231" t="s">
        <v>197</v>
      </c>
      <c r="I177" s="235" t="s">
        <v>60</v>
      </c>
      <c r="J177" s="236"/>
      <c r="K177" s="236"/>
      <c r="L177" s="231" t="s">
        <v>136</v>
      </c>
      <c r="M177" s="237" t="s">
        <v>753</v>
      </c>
      <c r="N177" s="238">
        <v>1.34</v>
      </c>
      <c r="O177" s="294">
        <v>1</v>
      </c>
      <c r="P177" s="261">
        <v>0</v>
      </c>
      <c r="Q177" s="302">
        <v>225064</v>
      </c>
      <c r="R177" s="303">
        <v>225064</v>
      </c>
      <c r="S177" s="264">
        <v>1700000</v>
      </c>
      <c r="T177" s="297">
        <v>0</v>
      </c>
    </row>
    <row r="178" spans="1:20">
      <c r="A178" s="231" t="s">
        <v>756</v>
      </c>
      <c r="B178" s="259"/>
      <c r="C178" s="260">
        <v>0</v>
      </c>
      <c r="D178" s="234">
        <v>29</v>
      </c>
      <c r="E178" s="234" t="s">
        <v>480</v>
      </c>
      <c r="F178" s="234"/>
      <c r="G178" s="231" t="s">
        <v>757</v>
      </c>
      <c r="H178" s="231" t="s">
        <v>77</v>
      </c>
      <c r="I178" s="235" t="s">
        <v>434</v>
      </c>
      <c r="J178" s="236"/>
      <c r="K178" s="236"/>
      <c r="L178" s="231" t="s">
        <v>136</v>
      </c>
      <c r="M178" s="237" t="s">
        <v>758</v>
      </c>
      <c r="N178" s="238">
        <v>2.42</v>
      </c>
      <c r="O178" s="304">
        <v>1</v>
      </c>
      <c r="P178" s="261">
        <v>0</v>
      </c>
      <c r="Q178" s="342">
        <v>0</v>
      </c>
      <c r="R178" s="343"/>
      <c r="S178" s="264">
        <v>0</v>
      </c>
      <c r="T178" s="297">
        <v>200000</v>
      </c>
    </row>
    <row r="179" spans="1:20">
      <c r="A179" s="231" t="s">
        <v>759</v>
      </c>
      <c r="B179" s="259">
        <v>223854</v>
      </c>
      <c r="C179" s="260">
        <v>20017</v>
      </c>
      <c r="D179" s="234">
        <v>29</v>
      </c>
      <c r="E179" s="234"/>
      <c r="F179" s="234"/>
      <c r="G179" s="231" t="s">
        <v>760</v>
      </c>
      <c r="H179" s="231" t="s">
        <v>45</v>
      </c>
      <c r="I179" s="340" t="s">
        <v>54</v>
      </c>
      <c r="J179" s="341"/>
      <c r="K179" s="341"/>
      <c r="L179" s="231" t="s">
        <v>136</v>
      </c>
      <c r="M179" s="237" t="s">
        <v>758</v>
      </c>
      <c r="N179" s="238">
        <v>2.97</v>
      </c>
      <c r="O179" s="294"/>
      <c r="P179" s="261">
        <v>105000</v>
      </c>
      <c r="Q179" s="295">
        <v>258242</v>
      </c>
      <c r="R179" s="296">
        <v>153242</v>
      </c>
      <c r="S179" s="264">
        <v>200000</v>
      </c>
      <c r="T179" s="297">
        <v>143800</v>
      </c>
    </row>
    <row r="180" spans="1:20">
      <c r="A180" s="231" t="s">
        <v>159</v>
      </c>
      <c r="B180" s="259">
        <v>34639</v>
      </c>
      <c r="C180" s="260" t="e">
        <v>#N/A</v>
      </c>
      <c r="D180" s="234">
        <v>29</v>
      </c>
      <c r="E180" s="234"/>
      <c r="F180" s="234"/>
      <c r="G180" s="231" t="s">
        <v>761</v>
      </c>
      <c r="H180" s="231" t="s">
        <v>160</v>
      </c>
      <c r="I180" s="235" t="s">
        <v>762</v>
      </c>
      <c r="J180" s="236"/>
      <c r="K180" s="236"/>
      <c r="L180" s="231" t="s">
        <v>136</v>
      </c>
      <c r="M180" s="237" t="s">
        <v>758</v>
      </c>
      <c r="N180" s="238">
        <v>7.6</v>
      </c>
      <c r="O180" s="294"/>
      <c r="P180" s="261"/>
      <c r="Q180" s="302"/>
      <c r="R180" s="303"/>
      <c r="S180" s="264">
        <v>200000</v>
      </c>
      <c r="T180" s="297">
        <v>107700</v>
      </c>
    </row>
    <row r="181" spans="1:20">
      <c r="A181" s="307" t="s">
        <v>103</v>
      </c>
      <c r="B181" s="308">
        <v>90000</v>
      </c>
      <c r="C181" s="309">
        <v>30000</v>
      </c>
      <c r="D181" s="310">
        <v>30</v>
      </c>
      <c r="E181" s="310"/>
      <c r="F181" s="311" t="s">
        <v>365</v>
      </c>
      <c r="G181" s="307" t="s">
        <v>763</v>
      </c>
      <c r="H181" s="307" t="s">
        <v>104</v>
      </c>
      <c r="I181" s="312" t="s">
        <v>105</v>
      </c>
      <c r="J181" s="313"/>
      <c r="K181" s="313"/>
      <c r="L181" s="307" t="s">
        <v>136</v>
      </c>
      <c r="M181" s="314" t="s">
        <v>429</v>
      </c>
      <c r="N181" s="315">
        <v>2.36</v>
      </c>
      <c r="O181" s="316"/>
      <c r="P181" s="317">
        <v>0</v>
      </c>
      <c r="Q181" s="318">
        <v>30000</v>
      </c>
      <c r="R181" s="319">
        <v>30000</v>
      </c>
      <c r="S181" s="320">
        <v>172700</v>
      </c>
      <c r="T181" s="321">
        <v>0</v>
      </c>
    </row>
    <row r="182" spans="1:20">
      <c r="A182" s="231" t="s">
        <v>764</v>
      </c>
      <c r="B182" s="259">
        <v>0</v>
      </c>
      <c r="C182" s="260">
        <v>20056</v>
      </c>
      <c r="D182" s="234">
        <v>30</v>
      </c>
      <c r="E182" s="234" t="s">
        <v>480</v>
      </c>
      <c r="F182" s="234"/>
      <c r="G182" s="231" t="s">
        <v>765</v>
      </c>
      <c r="H182" s="231" t="s">
        <v>766</v>
      </c>
      <c r="I182" s="235" t="s">
        <v>767</v>
      </c>
      <c r="J182" s="236"/>
      <c r="K182" s="236"/>
      <c r="L182" s="231" t="s">
        <v>136</v>
      </c>
      <c r="M182" s="237" t="s">
        <v>429</v>
      </c>
      <c r="N182" s="238">
        <v>2.36</v>
      </c>
      <c r="O182" s="294">
        <v>1</v>
      </c>
      <c r="P182" s="261">
        <v>0</v>
      </c>
      <c r="Q182" s="295">
        <v>36932</v>
      </c>
      <c r="R182" s="296">
        <v>36932</v>
      </c>
      <c r="S182" s="264">
        <v>0</v>
      </c>
      <c r="T182" s="297">
        <v>0</v>
      </c>
    </row>
    <row r="183" spans="1:20">
      <c r="A183" s="231" t="s">
        <v>768</v>
      </c>
      <c r="B183" s="259">
        <v>23812</v>
      </c>
      <c r="C183" s="260">
        <v>20401</v>
      </c>
      <c r="D183" s="234">
        <v>30</v>
      </c>
      <c r="E183" s="234"/>
      <c r="F183" s="234"/>
      <c r="G183" s="231" t="s">
        <v>769</v>
      </c>
      <c r="H183" s="231" t="s">
        <v>770</v>
      </c>
      <c r="I183" s="340" t="s">
        <v>576</v>
      </c>
      <c r="J183" s="341"/>
      <c r="K183" s="341"/>
      <c r="L183" s="231" t="s">
        <v>136</v>
      </c>
      <c r="M183" s="237" t="s">
        <v>429</v>
      </c>
      <c r="N183" s="238">
        <v>2.92</v>
      </c>
      <c r="O183" s="294"/>
      <c r="P183" s="261">
        <v>0</v>
      </c>
      <c r="Q183" s="295">
        <v>17000</v>
      </c>
      <c r="R183" s="296">
        <v>17000</v>
      </c>
      <c r="S183" s="264">
        <v>0</v>
      </c>
      <c r="T183" s="297">
        <v>300000</v>
      </c>
    </row>
    <row r="184" spans="1:20">
      <c r="A184" s="231" t="s">
        <v>248</v>
      </c>
      <c r="B184" s="259">
        <v>80262</v>
      </c>
      <c r="C184" s="260">
        <v>20050</v>
      </c>
      <c r="D184" s="234">
        <v>30</v>
      </c>
      <c r="E184" s="234"/>
      <c r="F184" s="234"/>
      <c r="G184" s="231" t="s">
        <v>771</v>
      </c>
      <c r="H184" s="231" t="s">
        <v>249</v>
      </c>
      <c r="I184" s="235" t="s">
        <v>105</v>
      </c>
      <c r="J184" s="236"/>
      <c r="K184" s="236"/>
      <c r="L184" s="231" t="s">
        <v>136</v>
      </c>
      <c r="M184" s="237" t="s">
        <v>429</v>
      </c>
      <c r="N184" s="238">
        <v>3.72</v>
      </c>
      <c r="O184" s="294"/>
      <c r="P184" s="261">
        <v>245833.33333333299</v>
      </c>
      <c r="Q184" s="302">
        <v>325509.33333333302</v>
      </c>
      <c r="R184" s="303">
        <v>79676</v>
      </c>
      <c r="S184" s="264">
        <v>300000</v>
      </c>
      <c r="T184" s="297">
        <v>722000</v>
      </c>
    </row>
    <row r="185" spans="1:20">
      <c r="A185" s="231" t="s">
        <v>29</v>
      </c>
      <c r="B185" s="259">
        <v>546032</v>
      </c>
      <c r="C185" s="260">
        <v>20010</v>
      </c>
      <c r="D185" s="234">
        <v>30</v>
      </c>
      <c r="E185" s="234"/>
      <c r="F185" s="234"/>
      <c r="G185" s="231" t="s">
        <v>772</v>
      </c>
      <c r="H185" s="231" t="s">
        <v>42</v>
      </c>
      <c r="I185" s="235" t="s">
        <v>54</v>
      </c>
      <c r="J185" s="236"/>
      <c r="K185" s="236"/>
      <c r="L185" s="231" t="s">
        <v>136</v>
      </c>
      <c r="M185" s="237" t="s">
        <v>429</v>
      </c>
      <c r="N185" s="238">
        <v>3.73</v>
      </c>
      <c r="O185" s="294"/>
      <c r="P185" s="261">
        <v>0</v>
      </c>
      <c r="Q185" s="302">
        <v>414285</v>
      </c>
      <c r="R185" s="303">
        <v>414285</v>
      </c>
      <c r="S185" s="264">
        <v>1900000</v>
      </c>
      <c r="T185" s="297">
        <v>0</v>
      </c>
    </row>
    <row r="186" spans="1:20">
      <c r="A186" s="344" t="s">
        <v>773</v>
      </c>
      <c r="B186" s="345">
        <v>3720</v>
      </c>
      <c r="C186" s="346">
        <v>0</v>
      </c>
      <c r="D186" s="347">
        <v>30</v>
      </c>
      <c r="E186" s="347"/>
      <c r="F186" s="347"/>
      <c r="G186" s="344">
        <v>7137051611</v>
      </c>
      <c r="H186" s="344" t="s">
        <v>774</v>
      </c>
      <c r="I186" s="348" t="s">
        <v>434</v>
      </c>
      <c r="J186" s="349"/>
      <c r="K186" s="349"/>
      <c r="L186" s="344" t="s">
        <v>136</v>
      </c>
      <c r="M186" s="350" t="s">
        <v>429</v>
      </c>
      <c r="N186" s="351">
        <v>4.0199999999999996</v>
      </c>
      <c r="O186" s="352"/>
      <c r="P186" s="353">
        <v>0</v>
      </c>
      <c r="Q186" s="354">
        <v>5580</v>
      </c>
      <c r="R186" s="355">
        <v>5580</v>
      </c>
      <c r="S186" s="356">
        <v>0</v>
      </c>
      <c r="T186" s="297">
        <v>200000</v>
      </c>
    </row>
    <row r="187" spans="1:20">
      <c r="A187" s="344" t="s">
        <v>775</v>
      </c>
      <c r="B187" s="345">
        <v>96507</v>
      </c>
      <c r="C187" s="346">
        <v>20070</v>
      </c>
      <c r="D187" s="347">
        <v>30</v>
      </c>
      <c r="E187" s="347"/>
      <c r="F187" s="347"/>
      <c r="G187" s="350" t="s">
        <v>776</v>
      </c>
      <c r="H187" s="344" t="s">
        <v>777</v>
      </c>
      <c r="I187" s="348" t="s">
        <v>778</v>
      </c>
      <c r="J187" s="349"/>
      <c r="K187" s="349"/>
      <c r="L187" s="344" t="s">
        <v>136</v>
      </c>
      <c r="M187" s="350" t="s">
        <v>429</v>
      </c>
      <c r="N187" s="351">
        <v>4.25</v>
      </c>
      <c r="O187" s="352"/>
      <c r="P187" s="353">
        <v>0</v>
      </c>
      <c r="Q187" s="354">
        <v>0</v>
      </c>
      <c r="R187" s="355">
        <v>0</v>
      </c>
      <c r="S187" s="356">
        <v>200000</v>
      </c>
      <c r="T187" s="357">
        <v>160000</v>
      </c>
    </row>
    <row r="188" spans="1:20">
      <c r="A188" s="344" t="s">
        <v>234</v>
      </c>
      <c r="B188" s="345">
        <v>95750</v>
      </c>
      <c r="C188" s="346">
        <v>20067</v>
      </c>
      <c r="D188" s="347">
        <v>30</v>
      </c>
      <c r="E188" s="347"/>
      <c r="F188" s="347"/>
      <c r="G188" s="344" t="s">
        <v>779</v>
      </c>
      <c r="H188" s="344" t="s">
        <v>235</v>
      </c>
      <c r="I188" s="348" t="s">
        <v>236</v>
      </c>
      <c r="J188" s="349"/>
      <c r="K188" s="349"/>
      <c r="L188" s="344" t="s">
        <v>136</v>
      </c>
      <c r="M188" s="350" t="s">
        <v>429</v>
      </c>
      <c r="N188" s="351">
        <v>7.78</v>
      </c>
      <c r="O188" s="352">
        <v>1</v>
      </c>
      <c r="P188" s="353">
        <v>0</v>
      </c>
      <c r="Q188" s="358">
        <v>0</v>
      </c>
      <c r="R188" s="359">
        <v>0</v>
      </c>
      <c r="S188" s="356">
        <v>320000</v>
      </c>
      <c r="T188" s="357" t="s">
        <v>1287</v>
      </c>
    </row>
    <row r="189" spans="1:20">
      <c r="A189" s="360" t="s">
        <v>780</v>
      </c>
      <c r="B189" s="345">
        <v>94504</v>
      </c>
      <c r="C189" s="361">
        <v>20048</v>
      </c>
      <c r="D189" s="362">
        <v>31</v>
      </c>
      <c r="E189" s="362" t="s">
        <v>781</v>
      </c>
      <c r="F189" s="362"/>
      <c r="G189" s="360" t="s">
        <v>782</v>
      </c>
      <c r="H189" s="360" t="s">
        <v>783</v>
      </c>
      <c r="I189" s="363" t="s">
        <v>56</v>
      </c>
      <c r="J189" s="364"/>
      <c r="K189" s="364"/>
      <c r="L189" s="360" t="s">
        <v>136</v>
      </c>
      <c r="M189" s="365" t="s">
        <v>784</v>
      </c>
      <c r="N189" s="366">
        <v>2.5</v>
      </c>
      <c r="O189" s="352"/>
      <c r="P189" s="353">
        <v>0</v>
      </c>
      <c r="Q189" s="358">
        <v>43201</v>
      </c>
      <c r="R189" s="359">
        <v>43201</v>
      </c>
      <c r="S189" s="356">
        <v>200000</v>
      </c>
      <c r="T189" s="357">
        <v>4850000</v>
      </c>
    </row>
    <row r="190" spans="1:20">
      <c r="A190" s="231" t="s">
        <v>27</v>
      </c>
      <c r="B190" s="259">
        <v>2309693</v>
      </c>
      <c r="C190" s="260">
        <v>20004</v>
      </c>
      <c r="D190" s="234">
        <v>32</v>
      </c>
      <c r="E190" s="234"/>
      <c r="F190" s="298" t="s">
        <v>365</v>
      </c>
      <c r="G190" s="231" t="s">
        <v>785</v>
      </c>
      <c r="H190" s="231" t="s">
        <v>40</v>
      </c>
      <c r="I190" s="235" t="s">
        <v>52</v>
      </c>
      <c r="J190" s="236"/>
      <c r="K190" s="236"/>
      <c r="L190" s="231" t="s">
        <v>136</v>
      </c>
      <c r="M190" s="237" t="s">
        <v>786</v>
      </c>
      <c r="N190" s="238">
        <v>9.4</v>
      </c>
      <c r="O190" s="294"/>
      <c r="P190" s="261">
        <v>0</v>
      </c>
      <c r="Q190" s="302">
        <v>1234034</v>
      </c>
      <c r="R190" s="303">
        <v>1234034</v>
      </c>
      <c r="S190" s="264">
        <v>8500000</v>
      </c>
      <c r="T190" s="297">
        <v>0</v>
      </c>
    </row>
    <row r="191" spans="1:20">
      <c r="A191" s="231" t="s">
        <v>787</v>
      </c>
      <c r="B191" s="259"/>
      <c r="C191" s="260" t="e">
        <v>#N/A</v>
      </c>
      <c r="D191" s="234">
        <v>33</v>
      </c>
      <c r="E191" s="234"/>
      <c r="F191" s="234"/>
      <c r="G191" s="231">
        <v>30600520</v>
      </c>
      <c r="H191" s="231" t="s">
        <v>123</v>
      </c>
      <c r="I191" s="235" t="s">
        <v>788</v>
      </c>
      <c r="J191" s="236"/>
      <c r="K191" s="236"/>
      <c r="L191" s="231" t="s">
        <v>136</v>
      </c>
      <c r="M191" s="237" t="s">
        <v>789</v>
      </c>
      <c r="N191" s="238">
        <v>4.83</v>
      </c>
      <c r="O191" s="294"/>
      <c r="P191" s="261"/>
      <c r="Q191" s="302"/>
      <c r="R191" s="303"/>
      <c r="S191" s="264">
        <v>0</v>
      </c>
      <c r="T191" s="297">
        <v>0</v>
      </c>
    </row>
    <row r="192" spans="1:20">
      <c r="A192" s="245" t="s">
        <v>790</v>
      </c>
      <c r="B192" s="266"/>
      <c r="C192" s="267">
        <v>0</v>
      </c>
      <c r="D192" s="248">
        <v>34</v>
      </c>
      <c r="E192" s="248"/>
      <c r="F192" s="248"/>
      <c r="G192" s="245" t="s">
        <v>791</v>
      </c>
      <c r="H192" s="245" t="s">
        <v>792</v>
      </c>
      <c r="I192" s="249" t="s">
        <v>793</v>
      </c>
      <c r="J192" s="250" t="s">
        <v>325</v>
      </c>
      <c r="K192" s="250" t="s">
        <v>326</v>
      </c>
      <c r="L192" s="245" t="s">
        <v>136</v>
      </c>
      <c r="M192" s="251" t="s">
        <v>462</v>
      </c>
      <c r="N192" s="252">
        <v>11.75</v>
      </c>
      <c r="O192" s="271">
        <v>1</v>
      </c>
      <c r="P192" s="254">
        <v>0</v>
      </c>
      <c r="Q192" s="272">
        <v>0</v>
      </c>
      <c r="R192" s="273"/>
      <c r="S192" s="269">
        <v>0</v>
      </c>
      <c r="T192" s="274">
        <v>171000</v>
      </c>
    </row>
    <row r="193" spans="1:20">
      <c r="A193" s="245" t="s">
        <v>223</v>
      </c>
      <c r="B193" s="266">
        <v>80262</v>
      </c>
      <c r="C193" s="267">
        <v>20049</v>
      </c>
      <c r="D193" s="248">
        <v>35</v>
      </c>
      <c r="E193" s="248"/>
      <c r="F193" s="367" t="s">
        <v>365</v>
      </c>
      <c r="G193" s="245" t="s">
        <v>794</v>
      </c>
      <c r="H193" s="245" t="s">
        <v>224</v>
      </c>
      <c r="I193" s="249" t="s">
        <v>225</v>
      </c>
      <c r="J193" s="250"/>
      <c r="K193" s="250"/>
      <c r="L193" s="245" t="s">
        <v>136</v>
      </c>
      <c r="M193" s="251" t="s">
        <v>466</v>
      </c>
      <c r="N193" s="252">
        <v>6.82</v>
      </c>
      <c r="O193" s="271"/>
      <c r="P193" s="254"/>
      <c r="Q193" s="368"/>
      <c r="R193" s="369"/>
      <c r="S193" s="269">
        <v>200000</v>
      </c>
      <c r="T193" s="274">
        <v>0</v>
      </c>
    </row>
    <row r="194" spans="1:20">
      <c r="A194" s="245" t="s">
        <v>795</v>
      </c>
      <c r="B194" s="266">
        <v>0</v>
      </c>
      <c r="C194" s="267">
        <v>20049</v>
      </c>
      <c r="D194" s="248">
        <v>35</v>
      </c>
      <c r="E194" s="248"/>
      <c r="F194" s="367" t="s">
        <v>365</v>
      </c>
      <c r="G194" s="245" t="s">
        <v>796</v>
      </c>
      <c r="H194" s="245" t="s">
        <v>224</v>
      </c>
      <c r="I194" s="249" t="s">
        <v>225</v>
      </c>
      <c r="J194" s="250"/>
      <c r="K194" s="250"/>
      <c r="L194" s="245" t="s">
        <v>136</v>
      </c>
      <c r="M194" s="251" t="s">
        <v>466</v>
      </c>
      <c r="N194" s="252">
        <v>6.82</v>
      </c>
      <c r="O194" s="271"/>
      <c r="P194" s="254">
        <v>251250</v>
      </c>
      <c r="Q194" s="368">
        <v>330926</v>
      </c>
      <c r="R194" s="369">
        <v>79676</v>
      </c>
      <c r="S194" s="269">
        <v>0</v>
      </c>
      <c r="T194" s="274">
        <v>0</v>
      </c>
    </row>
    <row r="195" spans="1:20">
      <c r="A195" s="245" t="s">
        <v>797</v>
      </c>
      <c r="B195" s="266"/>
      <c r="C195" s="267" t="e">
        <v>#N/A</v>
      </c>
      <c r="D195" s="248">
        <v>36</v>
      </c>
      <c r="E195" s="248" t="s">
        <v>798</v>
      </c>
      <c r="F195" s="248"/>
      <c r="G195" s="245" t="s">
        <v>799</v>
      </c>
      <c r="H195" s="245" t="s">
        <v>477</v>
      </c>
      <c r="I195" s="249" t="s">
        <v>800</v>
      </c>
      <c r="J195" s="250"/>
      <c r="K195" s="250"/>
      <c r="L195" s="245" t="s">
        <v>141</v>
      </c>
      <c r="M195" s="251" t="s">
        <v>801</v>
      </c>
      <c r="N195" s="252">
        <v>43.61</v>
      </c>
      <c r="O195" s="271">
        <v>1</v>
      </c>
      <c r="P195" s="254"/>
      <c r="Q195" s="368"/>
      <c r="R195" s="369"/>
      <c r="S195" s="269">
        <v>0</v>
      </c>
      <c r="T195" s="274">
        <v>610000</v>
      </c>
    </row>
    <row r="196" spans="1:20">
      <c r="A196" s="231" t="s">
        <v>139</v>
      </c>
      <c r="B196" s="259">
        <v>361732</v>
      </c>
      <c r="C196" s="260">
        <v>20300</v>
      </c>
      <c r="D196" s="234">
        <v>37</v>
      </c>
      <c r="E196" s="234"/>
      <c r="F196" s="234"/>
      <c r="G196" s="231" t="s">
        <v>802</v>
      </c>
      <c r="H196" s="231" t="s">
        <v>140</v>
      </c>
      <c r="I196" s="235" t="s">
        <v>142</v>
      </c>
      <c r="J196" s="236"/>
      <c r="K196" s="236"/>
      <c r="L196" s="231" t="s">
        <v>141</v>
      </c>
      <c r="M196" s="237" t="s">
        <v>484</v>
      </c>
      <c r="N196" s="238">
        <v>24.7</v>
      </c>
      <c r="O196" s="294"/>
      <c r="P196" s="261">
        <v>0</v>
      </c>
      <c r="Q196" s="295">
        <v>100296</v>
      </c>
      <c r="R196" s="296">
        <v>161880</v>
      </c>
      <c r="S196" s="264">
        <v>1200000</v>
      </c>
      <c r="T196" s="297">
        <v>0</v>
      </c>
    </row>
    <row r="197" spans="1:20">
      <c r="A197" s="231" t="s">
        <v>803</v>
      </c>
      <c r="B197" s="259"/>
      <c r="C197" s="260" t="e">
        <v>#N/A</v>
      </c>
      <c r="D197" s="234">
        <v>38</v>
      </c>
      <c r="E197" s="234"/>
      <c r="F197" s="234"/>
      <c r="G197" s="231" t="s">
        <v>804</v>
      </c>
      <c r="H197" s="231" t="s">
        <v>805</v>
      </c>
      <c r="I197" s="235" t="s">
        <v>375</v>
      </c>
      <c r="J197" s="236"/>
      <c r="K197" s="236"/>
      <c r="L197" s="231" t="s">
        <v>141</v>
      </c>
      <c r="M197" s="237" t="s">
        <v>806</v>
      </c>
      <c r="N197" s="238">
        <v>28.51</v>
      </c>
      <c r="O197" s="294"/>
      <c r="P197" s="261"/>
      <c r="Q197" s="302"/>
      <c r="R197" s="303"/>
      <c r="S197" s="264">
        <v>0</v>
      </c>
      <c r="T197" s="297">
        <v>0</v>
      </c>
    </row>
    <row r="198" spans="1:20">
      <c r="A198" s="231" t="s">
        <v>807</v>
      </c>
      <c r="B198" s="259"/>
      <c r="C198" s="260" t="e">
        <v>#N/A</v>
      </c>
      <c r="D198" s="234">
        <v>39</v>
      </c>
      <c r="E198" s="234"/>
      <c r="F198" s="234"/>
      <c r="G198" s="231" t="s">
        <v>808</v>
      </c>
      <c r="H198" s="231" t="s">
        <v>809</v>
      </c>
      <c r="I198" s="235" t="s">
        <v>810</v>
      </c>
      <c r="J198" s="236"/>
      <c r="K198" s="236"/>
      <c r="L198" s="231" t="s">
        <v>811</v>
      </c>
      <c r="M198" s="237" t="s">
        <v>440</v>
      </c>
      <c r="N198" s="238">
        <v>4.9000000000000004</v>
      </c>
      <c r="O198" s="294">
        <v>1</v>
      </c>
      <c r="P198" s="261"/>
      <c r="Q198" s="295"/>
      <c r="R198" s="296"/>
      <c r="S198" s="264">
        <v>0</v>
      </c>
      <c r="T198" s="297">
        <v>0</v>
      </c>
    </row>
    <row r="199" spans="1:20">
      <c r="A199" s="231" t="s">
        <v>812</v>
      </c>
      <c r="B199" s="259"/>
      <c r="C199" s="260" t="e">
        <v>#N/A</v>
      </c>
      <c r="D199" s="234">
        <v>40</v>
      </c>
      <c r="E199" s="234"/>
      <c r="F199" s="234"/>
      <c r="G199" s="231" t="s">
        <v>813</v>
      </c>
      <c r="H199" s="231" t="s">
        <v>805</v>
      </c>
      <c r="I199" s="235" t="s">
        <v>814</v>
      </c>
      <c r="J199" s="236"/>
      <c r="K199" s="236"/>
      <c r="L199" s="231" t="s">
        <v>815</v>
      </c>
      <c r="M199" s="237" t="s">
        <v>816</v>
      </c>
      <c r="N199" s="238">
        <v>4.32</v>
      </c>
      <c r="O199" s="294"/>
      <c r="P199" s="261"/>
      <c r="Q199" s="295"/>
      <c r="R199" s="296"/>
      <c r="S199" s="264">
        <v>0</v>
      </c>
      <c r="T199" s="297">
        <v>0</v>
      </c>
    </row>
    <row r="200" spans="1:20">
      <c r="A200" s="231" t="s">
        <v>817</v>
      </c>
      <c r="B200" s="259"/>
      <c r="C200" s="260">
        <v>0</v>
      </c>
      <c r="D200" s="234">
        <v>41</v>
      </c>
      <c r="E200" s="234"/>
      <c r="F200" s="234"/>
      <c r="G200" s="231" t="s">
        <v>818</v>
      </c>
      <c r="H200" s="231" t="s">
        <v>477</v>
      </c>
      <c r="I200" s="235" t="s">
        <v>819</v>
      </c>
      <c r="J200" s="236"/>
      <c r="K200" s="236"/>
      <c r="L200" s="231" t="s">
        <v>815</v>
      </c>
      <c r="M200" s="237" t="s">
        <v>820</v>
      </c>
      <c r="N200" s="238">
        <v>12.6</v>
      </c>
      <c r="O200" s="294"/>
      <c r="P200" s="261">
        <v>0</v>
      </c>
      <c r="Q200" s="295">
        <v>0</v>
      </c>
      <c r="R200" s="296"/>
      <c r="S200" s="264">
        <v>0</v>
      </c>
      <c r="T200" s="297">
        <v>0</v>
      </c>
    </row>
    <row r="201" spans="1:20">
      <c r="A201" s="231" t="s">
        <v>821</v>
      </c>
      <c r="B201" s="259">
        <v>0</v>
      </c>
      <c r="C201" s="260">
        <v>51503</v>
      </c>
      <c r="D201" s="234">
        <v>42</v>
      </c>
      <c r="E201" s="234"/>
      <c r="F201" s="234"/>
      <c r="G201" s="231" t="s">
        <v>822</v>
      </c>
      <c r="H201" s="231" t="s">
        <v>823</v>
      </c>
      <c r="I201" s="235" t="s">
        <v>824</v>
      </c>
      <c r="J201" s="236"/>
      <c r="K201" s="236"/>
      <c r="L201" s="231" t="s">
        <v>825</v>
      </c>
      <c r="M201" s="237" t="s">
        <v>429</v>
      </c>
      <c r="N201" s="238">
        <v>2.85</v>
      </c>
      <c r="O201" s="294"/>
      <c r="P201" s="261">
        <v>0</v>
      </c>
      <c r="Q201" s="295">
        <v>0</v>
      </c>
      <c r="R201" s="296"/>
      <c r="S201" s="264">
        <v>0</v>
      </c>
      <c r="T201" s="297">
        <v>0</v>
      </c>
    </row>
    <row r="202" spans="1:20">
      <c r="A202" s="231" t="s">
        <v>826</v>
      </c>
      <c r="B202" s="259">
        <v>0</v>
      </c>
      <c r="C202" s="260">
        <v>0</v>
      </c>
      <c r="D202" s="234">
        <v>43</v>
      </c>
      <c r="E202" s="234"/>
      <c r="F202" s="298" t="s">
        <v>365</v>
      </c>
      <c r="G202" s="231" t="s">
        <v>827</v>
      </c>
      <c r="H202" s="231" t="s">
        <v>828</v>
      </c>
      <c r="I202" s="235" t="s">
        <v>829</v>
      </c>
      <c r="J202" s="236"/>
      <c r="K202" s="236"/>
      <c r="L202" s="231" t="s">
        <v>825</v>
      </c>
      <c r="M202" s="237" t="s">
        <v>806</v>
      </c>
      <c r="N202" s="238">
        <v>15</v>
      </c>
      <c r="O202" s="294"/>
      <c r="P202" s="261">
        <v>0</v>
      </c>
      <c r="Q202" s="295">
        <v>0</v>
      </c>
      <c r="R202" s="296">
        <v>0</v>
      </c>
      <c r="S202" s="264">
        <v>0</v>
      </c>
      <c r="T202" s="297">
        <v>0</v>
      </c>
    </row>
    <row r="203" spans="1:20">
      <c r="A203" s="231" t="s">
        <v>830</v>
      </c>
      <c r="B203" s="259"/>
      <c r="C203" s="260" t="e">
        <v>#N/A</v>
      </c>
      <c r="D203" s="234">
        <v>44</v>
      </c>
      <c r="E203" s="234"/>
      <c r="F203" s="298" t="s">
        <v>365</v>
      </c>
      <c r="G203" s="231" t="s">
        <v>831</v>
      </c>
      <c r="H203" s="231" t="s">
        <v>805</v>
      </c>
      <c r="I203" s="235" t="s">
        <v>832</v>
      </c>
      <c r="J203" s="236"/>
      <c r="K203" s="236"/>
      <c r="L203" s="231" t="s">
        <v>825</v>
      </c>
      <c r="M203" s="370">
        <v>10.55</v>
      </c>
      <c r="N203" s="238">
        <v>33.799999999999997</v>
      </c>
      <c r="O203" s="294"/>
      <c r="P203" s="261"/>
      <c r="Q203" s="295"/>
      <c r="R203" s="296"/>
      <c r="S203" s="264">
        <v>0</v>
      </c>
      <c r="T203" s="297">
        <v>0</v>
      </c>
    </row>
    <row r="204" spans="1:20">
      <c r="A204" s="231" t="s">
        <v>833</v>
      </c>
      <c r="B204" s="259">
        <v>18546</v>
      </c>
      <c r="C204" s="260">
        <v>20009</v>
      </c>
      <c r="D204" s="234">
        <v>45</v>
      </c>
      <c r="E204" s="234"/>
      <c r="F204" s="234"/>
      <c r="G204" s="231" t="s">
        <v>834</v>
      </c>
      <c r="H204" s="231" t="s">
        <v>43</v>
      </c>
      <c r="I204" s="235" t="s">
        <v>835</v>
      </c>
      <c r="J204" s="236" t="s">
        <v>325</v>
      </c>
      <c r="K204" s="236" t="s">
        <v>326</v>
      </c>
      <c r="L204" s="231" t="s">
        <v>134</v>
      </c>
      <c r="M204" s="237" t="s">
        <v>440</v>
      </c>
      <c r="N204" s="238">
        <v>7.23</v>
      </c>
      <c r="O204" s="294"/>
      <c r="P204" s="261">
        <v>0</v>
      </c>
      <c r="Q204" s="295">
        <v>20592</v>
      </c>
      <c r="R204" s="296">
        <v>20592</v>
      </c>
      <c r="S204" s="264">
        <v>0</v>
      </c>
      <c r="T204" s="297">
        <v>1700000</v>
      </c>
    </row>
    <row r="205" spans="1:20">
      <c r="A205" s="231" t="s">
        <v>30</v>
      </c>
      <c r="B205" s="259">
        <v>1027998</v>
      </c>
      <c r="C205" s="260">
        <v>20008</v>
      </c>
      <c r="D205" s="234">
        <v>45</v>
      </c>
      <c r="E205" s="234" t="s">
        <v>306</v>
      </c>
      <c r="F205" s="234"/>
      <c r="G205" s="231" t="s">
        <v>836</v>
      </c>
      <c r="H205" s="231" t="s">
        <v>43</v>
      </c>
      <c r="I205" s="235" t="s">
        <v>837</v>
      </c>
      <c r="J205" s="236" t="s">
        <v>325</v>
      </c>
      <c r="K205" s="236" t="s">
        <v>326</v>
      </c>
      <c r="L205" s="231" t="s">
        <v>134</v>
      </c>
      <c r="M205" s="237" t="s">
        <v>440</v>
      </c>
      <c r="N205" s="238">
        <v>12.3</v>
      </c>
      <c r="O205" s="294">
        <v>1</v>
      </c>
      <c r="P205" s="261">
        <v>0</v>
      </c>
      <c r="Q205" s="295">
        <v>238674</v>
      </c>
      <c r="R205" s="296">
        <v>423426</v>
      </c>
      <c r="S205" s="264">
        <v>3200000</v>
      </c>
      <c r="T205" s="297">
        <v>100000</v>
      </c>
    </row>
    <row r="206" spans="1:20">
      <c r="A206" s="231" t="s">
        <v>98</v>
      </c>
      <c r="B206" s="259">
        <v>80000</v>
      </c>
      <c r="C206" s="260">
        <v>20047</v>
      </c>
      <c r="D206" s="234">
        <v>46</v>
      </c>
      <c r="E206" s="234"/>
      <c r="F206" s="298" t="s">
        <v>365</v>
      </c>
      <c r="G206" s="231" t="s">
        <v>838</v>
      </c>
      <c r="H206" s="231" t="s">
        <v>36</v>
      </c>
      <c r="I206" s="235" t="s">
        <v>99</v>
      </c>
      <c r="J206" s="236"/>
      <c r="K206" s="236"/>
      <c r="L206" s="231" t="s">
        <v>134</v>
      </c>
      <c r="M206" s="237" t="s">
        <v>786</v>
      </c>
      <c r="N206" s="238">
        <v>24.57</v>
      </c>
      <c r="O206" s="294"/>
      <c r="P206" s="261">
        <v>0</v>
      </c>
      <c r="Q206" s="295">
        <v>150000</v>
      </c>
      <c r="R206" s="296">
        <v>150000</v>
      </c>
      <c r="S206" s="264">
        <v>100000</v>
      </c>
      <c r="T206" s="297">
        <v>727800</v>
      </c>
    </row>
    <row r="207" spans="1:20">
      <c r="A207" s="231" t="s">
        <v>206</v>
      </c>
      <c r="B207" s="259">
        <v>400000</v>
      </c>
      <c r="C207" s="260">
        <v>20065</v>
      </c>
      <c r="D207" s="234">
        <v>46</v>
      </c>
      <c r="E207" s="234"/>
      <c r="F207" s="298" t="s">
        <v>365</v>
      </c>
      <c r="G207" s="231" t="s">
        <v>839</v>
      </c>
      <c r="H207" s="231" t="s">
        <v>36</v>
      </c>
      <c r="I207" s="235" t="s">
        <v>207</v>
      </c>
      <c r="J207" s="236"/>
      <c r="K207" s="236"/>
      <c r="L207" s="231" t="s">
        <v>134</v>
      </c>
      <c r="M207" s="237" t="s">
        <v>786</v>
      </c>
      <c r="N207" s="238">
        <v>26.4</v>
      </c>
      <c r="O207" s="294"/>
      <c r="P207" s="261">
        <v>0</v>
      </c>
      <c r="Q207" s="295">
        <v>260000</v>
      </c>
      <c r="R207" s="296">
        <v>260000</v>
      </c>
      <c r="S207" s="264">
        <v>1500000</v>
      </c>
      <c r="T207" s="297">
        <v>1583000</v>
      </c>
    </row>
    <row r="208" spans="1:20">
      <c r="A208" s="231" t="s">
        <v>171</v>
      </c>
      <c r="B208" s="259">
        <v>1046695</v>
      </c>
      <c r="C208" s="260">
        <v>20046</v>
      </c>
      <c r="D208" s="234">
        <v>47</v>
      </c>
      <c r="E208" s="234"/>
      <c r="F208" s="234"/>
      <c r="G208" s="231" t="s">
        <v>840</v>
      </c>
      <c r="H208" s="231" t="s">
        <v>172</v>
      </c>
      <c r="I208" s="235" t="s">
        <v>177</v>
      </c>
      <c r="J208" s="236"/>
      <c r="K208" s="236" t="s">
        <v>326</v>
      </c>
      <c r="L208" s="231" t="s">
        <v>134</v>
      </c>
      <c r="M208" s="237" t="s">
        <v>841</v>
      </c>
      <c r="N208" s="238">
        <v>12.68</v>
      </c>
      <c r="O208" s="294"/>
      <c r="P208" s="261">
        <v>962205.16666666698</v>
      </c>
      <c r="Q208" s="295">
        <v>1493751.16666667</v>
      </c>
      <c r="R208" s="296">
        <v>654714</v>
      </c>
      <c r="S208" s="264">
        <v>2300000</v>
      </c>
      <c r="T208" s="297">
        <v>609000</v>
      </c>
    </row>
    <row r="209" spans="1:20">
      <c r="A209" s="231" t="s">
        <v>173</v>
      </c>
      <c r="B209" s="259">
        <v>210000</v>
      </c>
      <c r="C209" s="260">
        <v>40007</v>
      </c>
      <c r="D209" s="234">
        <v>48</v>
      </c>
      <c r="E209" s="234"/>
      <c r="F209" s="298" t="s">
        <v>365</v>
      </c>
      <c r="G209" s="231" t="s">
        <v>842</v>
      </c>
      <c r="H209" s="231" t="s">
        <v>174</v>
      </c>
      <c r="I209" s="235" t="s">
        <v>843</v>
      </c>
      <c r="J209" s="236"/>
      <c r="K209" s="236"/>
      <c r="L209" s="231" t="s">
        <v>134</v>
      </c>
      <c r="M209" s="237" t="s">
        <v>462</v>
      </c>
      <c r="N209" s="238">
        <v>38</v>
      </c>
      <c r="O209" s="294"/>
      <c r="P209" s="261">
        <v>0</v>
      </c>
      <c r="Q209" s="295">
        <v>0</v>
      </c>
      <c r="R209" s="296">
        <v>0</v>
      </c>
      <c r="S209" s="264">
        <v>650000</v>
      </c>
      <c r="T209" s="297">
        <v>364700</v>
      </c>
    </row>
    <row r="210" spans="1:20">
      <c r="A210" s="231" t="s">
        <v>168</v>
      </c>
      <c r="B210" s="259">
        <v>210000</v>
      </c>
      <c r="C210" s="260">
        <v>40008</v>
      </c>
      <c r="D210" s="234">
        <v>48</v>
      </c>
      <c r="E210" s="234"/>
      <c r="F210" s="298" t="s">
        <v>365</v>
      </c>
      <c r="G210" s="231" t="s">
        <v>844</v>
      </c>
      <c r="H210" s="231" t="s">
        <v>169</v>
      </c>
      <c r="I210" s="235" t="s">
        <v>170</v>
      </c>
      <c r="J210" s="236"/>
      <c r="K210" s="236"/>
      <c r="L210" s="231" t="s">
        <v>134</v>
      </c>
      <c r="M210" s="237" t="s">
        <v>462</v>
      </c>
      <c r="N210" s="238">
        <v>49.9</v>
      </c>
      <c r="O210" s="294"/>
      <c r="P210" s="261">
        <v>0</v>
      </c>
      <c r="Q210" s="295">
        <v>0</v>
      </c>
      <c r="R210" s="296">
        <v>0</v>
      </c>
      <c r="S210" s="264">
        <v>600000</v>
      </c>
      <c r="T210" s="297">
        <v>0</v>
      </c>
    </row>
    <row r="211" spans="1:20">
      <c r="A211" s="231" t="s">
        <v>845</v>
      </c>
      <c r="B211" s="259"/>
      <c r="C211" s="260">
        <v>20202</v>
      </c>
      <c r="D211" s="234">
        <v>49</v>
      </c>
      <c r="E211" s="234"/>
      <c r="F211" s="234"/>
      <c r="G211" s="231" t="s">
        <v>846</v>
      </c>
      <c r="H211" s="231" t="s">
        <v>36</v>
      </c>
      <c r="I211" s="235" t="s">
        <v>847</v>
      </c>
      <c r="J211" s="236"/>
      <c r="K211" s="236"/>
      <c r="L211" s="231" t="s">
        <v>184</v>
      </c>
      <c r="M211" s="237" t="s">
        <v>848</v>
      </c>
      <c r="N211" s="238">
        <v>80.599999999999994</v>
      </c>
      <c r="O211" s="304"/>
      <c r="P211" s="371">
        <v>0</v>
      </c>
      <c r="Q211" s="305">
        <v>0</v>
      </c>
      <c r="R211" s="306">
        <v>0</v>
      </c>
      <c r="S211" s="264">
        <v>0</v>
      </c>
      <c r="T211" s="297">
        <v>365000</v>
      </c>
    </row>
    <row r="212" spans="1:20">
      <c r="A212" s="231" t="s">
        <v>23</v>
      </c>
      <c r="B212" s="259">
        <v>130000</v>
      </c>
      <c r="C212" s="260">
        <v>20200</v>
      </c>
      <c r="D212" s="234">
        <v>49</v>
      </c>
      <c r="E212" s="234"/>
      <c r="F212" s="298" t="s">
        <v>365</v>
      </c>
      <c r="G212" s="231" t="s">
        <v>849</v>
      </c>
      <c r="H212" s="231" t="s">
        <v>36</v>
      </c>
      <c r="I212" s="235" t="s">
        <v>48</v>
      </c>
      <c r="J212" s="236"/>
      <c r="K212" s="236"/>
      <c r="L212" s="231" t="s">
        <v>184</v>
      </c>
      <c r="M212" s="237" t="s">
        <v>848</v>
      </c>
      <c r="N212" s="238">
        <v>86.1</v>
      </c>
      <c r="O212" s="336"/>
      <c r="P212" s="372">
        <v>0</v>
      </c>
      <c r="Q212" s="373">
        <v>280000</v>
      </c>
      <c r="R212" s="374">
        <v>280000</v>
      </c>
      <c r="S212" s="264">
        <v>400000</v>
      </c>
      <c r="T212" s="375">
        <v>0</v>
      </c>
    </row>
    <row r="213" spans="1:20">
      <c r="A213" s="231" t="s">
        <v>850</v>
      </c>
      <c r="B213" s="259">
        <v>6000</v>
      </c>
      <c r="C213" s="260">
        <v>20201</v>
      </c>
      <c r="D213" s="234">
        <v>49</v>
      </c>
      <c r="E213" s="234"/>
      <c r="F213" s="234"/>
      <c r="G213" s="231" t="s">
        <v>851</v>
      </c>
      <c r="H213" s="231" t="s">
        <v>36</v>
      </c>
      <c r="I213" s="235" t="s">
        <v>852</v>
      </c>
      <c r="J213" s="236"/>
      <c r="K213" s="236"/>
      <c r="L213" s="231" t="s">
        <v>184</v>
      </c>
      <c r="M213" s="237" t="s">
        <v>848</v>
      </c>
      <c r="N213" s="238">
        <v>95.4</v>
      </c>
      <c r="O213" s="294"/>
      <c r="P213" s="261">
        <v>0</v>
      </c>
      <c r="Q213" s="295">
        <v>30000</v>
      </c>
      <c r="R213" s="296">
        <v>30000</v>
      </c>
      <c r="S213" s="264">
        <v>0</v>
      </c>
      <c r="T213" s="297">
        <v>0</v>
      </c>
    </row>
    <row r="214" spans="1:20">
      <c r="A214" s="231" t="s">
        <v>853</v>
      </c>
      <c r="B214" s="259"/>
      <c r="C214" s="260">
        <v>0</v>
      </c>
      <c r="D214" s="234">
        <v>49</v>
      </c>
      <c r="E214" s="234" t="s">
        <v>680</v>
      </c>
      <c r="F214" s="234"/>
      <c r="G214" s="231" t="s">
        <v>854</v>
      </c>
      <c r="H214" s="231" t="s">
        <v>855</v>
      </c>
      <c r="I214" s="235" t="s">
        <v>856</v>
      </c>
      <c r="J214" s="236"/>
      <c r="K214" s="236"/>
      <c r="L214" s="231" t="s">
        <v>184</v>
      </c>
      <c r="M214" s="237" t="s">
        <v>848</v>
      </c>
      <c r="N214" s="238">
        <v>97.6</v>
      </c>
      <c r="O214" s="294">
        <v>1</v>
      </c>
      <c r="P214" s="261">
        <v>0</v>
      </c>
      <c r="Q214" s="295">
        <v>0</v>
      </c>
      <c r="R214" s="296"/>
      <c r="S214" s="264">
        <v>0</v>
      </c>
      <c r="T214" s="297">
        <v>72600</v>
      </c>
    </row>
    <row r="215" spans="1:20">
      <c r="A215" s="231" t="s">
        <v>215</v>
      </c>
      <c r="B215" s="259">
        <v>42000</v>
      </c>
      <c r="C215" s="260">
        <v>20901</v>
      </c>
      <c r="D215" s="234">
        <v>50</v>
      </c>
      <c r="E215" s="234" t="s">
        <v>680</v>
      </c>
      <c r="F215" s="234"/>
      <c r="G215" s="231" t="s">
        <v>857</v>
      </c>
      <c r="H215" s="231" t="s">
        <v>216</v>
      </c>
      <c r="I215" s="235" t="s">
        <v>217</v>
      </c>
      <c r="J215" s="236"/>
      <c r="K215" s="236"/>
      <c r="L215" s="231" t="s">
        <v>858</v>
      </c>
      <c r="M215" s="237" t="s">
        <v>859</v>
      </c>
      <c r="N215" s="238">
        <v>26.3</v>
      </c>
      <c r="O215" s="294"/>
      <c r="P215" s="261">
        <v>0</v>
      </c>
      <c r="Q215" s="295">
        <v>9000</v>
      </c>
      <c r="R215" s="296">
        <v>9000</v>
      </c>
      <c r="S215" s="264">
        <v>120000</v>
      </c>
      <c r="T215" s="297">
        <v>0</v>
      </c>
    </row>
    <row r="216" spans="1:20">
      <c r="A216" s="231" t="s">
        <v>74</v>
      </c>
      <c r="B216" s="259">
        <v>0</v>
      </c>
      <c r="C216" s="260">
        <v>51700</v>
      </c>
      <c r="D216" s="234">
        <v>51</v>
      </c>
      <c r="E216" s="234"/>
      <c r="F216" s="298" t="s">
        <v>365</v>
      </c>
      <c r="G216" s="231" t="s">
        <v>860</v>
      </c>
      <c r="H216" s="231" t="s">
        <v>75</v>
      </c>
      <c r="I216" s="235" t="s">
        <v>861</v>
      </c>
      <c r="J216" s="236"/>
      <c r="K216" s="236"/>
      <c r="L216" s="231" t="s">
        <v>862</v>
      </c>
      <c r="M216" s="237" t="s">
        <v>789</v>
      </c>
      <c r="N216" s="238">
        <v>13.86</v>
      </c>
      <c r="O216" s="294"/>
      <c r="P216" s="261">
        <v>0</v>
      </c>
      <c r="Q216" s="295">
        <v>0</v>
      </c>
      <c r="R216" s="296">
        <v>0</v>
      </c>
      <c r="S216" s="264">
        <v>0</v>
      </c>
      <c r="T216" s="297" t="s">
        <v>1287</v>
      </c>
    </row>
    <row r="217" spans="1:20">
      <c r="A217" s="231" t="s">
        <v>863</v>
      </c>
      <c r="B217" s="259">
        <v>69742</v>
      </c>
      <c r="C217" s="260">
        <v>20900</v>
      </c>
      <c r="D217" s="234">
        <v>52</v>
      </c>
      <c r="E217" s="234"/>
      <c r="F217" s="234"/>
      <c r="G217" s="231" t="s">
        <v>864</v>
      </c>
      <c r="H217" s="231" t="s">
        <v>865</v>
      </c>
      <c r="I217" s="235" t="s">
        <v>866</v>
      </c>
      <c r="J217" s="236"/>
      <c r="K217" s="236"/>
      <c r="L217" s="231" t="s">
        <v>867</v>
      </c>
      <c r="M217" s="237" t="s">
        <v>868</v>
      </c>
      <c r="N217" s="238">
        <v>2.82</v>
      </c>
      <c r="O217" s="294"/>
      <c r="P217" s="261">
        <v>0</v>
      </c>
      <c r="Q217" s="295">
        <v>40000</v>
      </c>
      <c r="R217" s="296">
        <v>40000</v>
      </c>
      <c r="S217" s="264">
        <v>200000</v>
      </c>
      <c r="T217" s="297">
        <v>15100</v>
      </c>
    </row>
    <row r="218" spans="1:20">
      <c r="A218" s="307" t="s">
        <v>154</v>
      </c>
      <c r="B218" s="308">
        <v>9273</v>
      </c>
      <c r="C218" s="309">
        <v>20003</v>
      </c>
      <c r="D218" s="310">
        <v>53</v>
      </c>
      <c r="E218" s="310"/>
      <c r="F218" s="311" t="s">
        <v>365</v>
      </c>
      <c r="G218" s="307" t="s">
        <v>869</v>
      </c>
      <c r="H218" s="307" t="s">
        <v>155</v>
      </c>
      <c r="I218" s="312" t="s">
        <v>870</v>
      </c>
      <c r="J218" s="313"/>
      <c r="K218" s="313"/>
      <c r="L218" s="307" t="s">
        <v>156</v>
      </c>
      <c r="M218" s="314" t="s">
        <v>871</v>
      </c>
      <c r="N218" s="315">
        <v>16.5</v>
      </c>
      <c r="O218" s="316"/>
      <c r="P218" s="317">
        <v>0</v>
      </c>
      <c r="Q218" s="318">
        <v>10296</v>
      </c>
      <c r="R218" s="319">
        <v>10296</v>
      </c>
      <c r="S218" s="320">
        <v>60000</v>
      </c>
      <c r="T218" s="321">
        <v>0</v>
      </c>
    </row>
    <row r="219" spans="1:20">
      <c r="A219" s="231" t="s">
        <v>872</v>
      </c>
      <c r="B219" s="259">
        <v>0</v>
      </c>
      <c r="C219" s="260">
        <v>51505</v>
      </c>
      <c r="D219" s="234">
        <v>54</v>
      </c>
      <c r="E219" s="234"/>
      <c r="F219" s="234"/>
      <c r="G219" s="231" t="s">
        <v>873</v>
      </c>
      <c r="H219" s="231" t="s">
        <v>874</v>
      </c>
      <c r="I219" s="235" t="s">
        <v>312</v>
      </c>
      <c r="J219" s="236"/>
      <c r="K219" s="236"/>
      <c r="L219" s="231" t="s">
        <v>135</v>
      </c>
      <c r="M219" s="237" t="s">
        <v>875</v>
      </c>
      <c r="N219" s="238">
        <v>0.4</v>
      </c>
      <c r="O219" s="294"/>
      <c r="P219" s="261">
        <v>0</v>
      </c>
      <c r="Q219" s="295">
        <v>0</v>
      </c>
      <c r="R219" s="296"/>
      <c r="S219" s="264">
        <v>0</v>
      </c>
      <c r="T219" s="297">
        <v>0</v>
      </c>
    </row>
    <row r="220" spans="1:20">
      <c r="A220" s="231" t="s">
        <v>876</v>
      </c>
      <c r="B220" s="259">
        <v>0</v>
      </c>
      <c r="C220" s="260">
        <v>51504</v>
      </c>
      <c r="D220" s="234">
        <v>54</v>
      </c>
      <c r="E220" s="234"/>
      <c r="F220" s="234"/>
      <c r="G220" s="231" t="s">
        <v>877</v>
      </c>
      <c r="H220" s="231" t="s">
        <v>878</v>
      </c>
      <c r="I220" s="235" t="s">
        <v>879</v>
      </c>
      <c r="J220" s="236"/>
      <c r="K220" s="236"/>
      <c r="L220" s="231" t="s">
        <v>135</v>
      </c>
      <c r="M220" s="237" t="s">
        <v>875</v>
      </c>
      <c r="N220" s="238">
        <v>1.18</v>
      </c>
      <c r="O220" s="294"/>
      <c r="P220" s="261">
        <v>0</v>
      </c>
      <c r="Q220" s="295">
        <v>0</v>
      </c>
      <c r="R220" s="296"/>
      <c r="S220" s="264">
        <v>0</v>
      </c>
      <c r="T220" s="297">
        <v>0</v>
      </c>
    </row>
    <row r="221" spans="1:20">
      <c r="A221" s="231" t="s">
        <v>880</v>
      </c>
      <c r="B221" s="259"/>
      <c r="C221" s="260">
        <v>0</v>
      </c>
      <c r="D221" s="234">
        <v>55</v>
      </c>
      <c r="E221" s="234"/>
      <c r="F221" s="234"/>
      <c r="G221" s="231" t="s">
        <v>881</v>
      </c>
      <c r="H221" s="231" t="s">
        <v>882</v>
      </c>
      <c r="I221" s="235" t="s">
        <v>414</v>
      </c>
      <c r="J221" s="236"/>
      <c r="K221" s="236"/>
      <c r="L221" s="231" t="s">
        <v>135</v>
      </c>
      <c r="M221" s="237" t="s">
        <v>393</v>
      </c>
      <c r="N221" s="238">
        <v>0.95</v>
      </c>
      <c r="O221" s="294"/>
      <c r="P221" s="261">
        <v>0</v>
      </c>
      <c r="Q221" s="295">
        <v>0</v>
      </c>
      <c r="R221" s="296"/>
      <c r="S221" s="264">
        <v>0</v>
      </c>
      <c r="T221" s="297">
        <v>0</v>
      </c>
    </row>
    <row r="222" spans="1:20">
      <c r="A222" s="231" t="s">
        <v>883</v>
      </c>
      <c r="B222" s="259"/>
      <c r="C222" s="260">
        <v>0</v>
      </c>
      <c r="D222" s="234">
        <v>55</v>
      </c>
      <c r="E222" s="234"/>
      <c r="F222" s="234"/>
      <c r="G222" s="231" t="s">
        <v>884</v>
      </c>
      <c r="H222" s="231" t="s">
        <v>885</v>
      </c>
      <c r="I222" s="235" t="s">
        <v>420</v>
      </c>
      <c r="J222" s="236"/>
      <c r="K222" s="236"/>
      <c r="L222" s="231" t="s">
        <v>135</v>
      </c>
      <c r="M222" s="237" t="s">
        <v>393</v>
      </c>
      <c r="N222" s="238">
        <v>1.08</v>
      </c>
      <c r="O222" s="294"/>
      <c r="P222" s="261">
        <v>0</v>
      </c>
      <c r="Q222" s="295">
        <v>0</v>
      </c>
      <c r="R222" s="296"/>
      <c r="S222" s="264">
        <v>0</v>
      </c>
      <c r="T222" s="297">
        <v>10100</v>
      </c>
    </row>
    <row r="223" spans="1:20">
      <c r="A223" s="231" t="s">
        <v>886</v>
      </c>
      <c r="B223" s="259">
        <v>88299</v>
      </c>
      <c r="C223" s="260">
        <v>20600</v>
      </c>
      <c r="D223" s="234">
        <v>55</v>
      </c>
      <c r="E223" s="234"/>
      <c r="F223" s="234"/>
      <c r="G223" s="231" t="s">
        <v>887</v>
      </c>
      <c r="H223" s="231" t="s">
        <v>888</v>
      </c>
      <c r="I223" s="235" t="s">
        <v>889</v>
      </c>
      <c r="J223" s="236"/>
      <c r="K223" s="236"/>
      <c r="L223" s="231" t="s">
        <v>135</v>
      </c>
      <c r="M223" s="237" t="s">
        <v>393</v>
      </c>
      <c r="N223" s="238">
        <v>1.21</v>
      </c>
      <c r="O223" s="294"/>
      <c r="P223" s="261">
        <v>0</v>
      </c>
      <c r="Q223" s="295">
        <v>60703</v>
      </c>
      <c r="R223" s="296">
        <v>60703</v>
      </c>
      <c r="S223" s="264">
        <v>300000</v>
      </c>
      <c r="T223" s="297">
        <v>0</v>
      </c>
    </row>
    <row r="224" spans="1:20">
      <c r="A224" s="231" t="s">
        <v>890</v>
      </c>
      <c r="B224" s="259">
        <v>0</v>
      </c>
      <c r="C224" s="260">
        <v>50631</v>
      </c>
      <c r="D224" s="234">
        <v>55</v>
      </c>
      <c r="E224" s="234"/>
      <c r="F224" s="234"/>
      <c r="G224" s="231">
        <v>10105689</v>
      </c>
      <c r="H224" s="231" t="s">
        <v>891</v>
      </c>
      <c r="I224" s="235" t="s">
        <v>60</v>
      </c>
      <c r="J224" s="236"/>
      <c r="K224" s="236" t="s">
        <v>326</v>
      </c>
      <c r="L224" s="231" t="s">
        <v>135</v>
      </c>
      <c r="M224" s="237" t="s">
        <v>393</v>
      </c>
      <c r="N224" s="238">
        <v>1.22</v>
      </c>
      <c r="O224" s="294"/>
      <c r="P224" s="261">
        <v>0</v>
      </c>
      <c r="Q224" s="295">
        <v>0</v>
      </c>
      <c r="R224" s="296">
        <v>0</v>
      </c>
      <c r="S224" s="264">
        <v>0</v>
      </c>
      <c r="T224" s="297">
        <v>0</v>
      </c>
    </row>
    <row r="225" spans="1:20">
      <c r="A225" s="231" t="s">
        <v>892</v>
      </c>
      <c r="B225" s="259"/>
      <c r="C225" s="260">
        <v>0</v>
      </c>
      <c r="D225" s="234">
        <v>55</v>
      </c>
      <c r="E225" s="234"/>
      <c r="F225" s="234"/>
      <c r="G225" s="231" t="s">
        <v>893</v>
      </c>
      <c r="H225" s="231" t="s">
        <v>629</v>
      </c>
      <c r="I225" s="235" t="s">
        <v>414</v>
      </c>
      <c r="J225" s="236"/>
      <c r="K225" s="236"/>
      <c r="L225" s="231" t="s">
        <v>135</v>
      </c>
      <c r="M225" s="237" t="s">
        <v>393</v>
      </c>
      <c r="N225" s="238">
        <v>1.25</v>
      </c>
      <c r="O225" s="294"/>
      <c r="P225" s="261">
        <v>0</v>
      </c>
      <c r="Q225" s="295">
        <v>0</v>
      </c>
      <c r="R225" s="296"/>
      <c r="S225" s="264">
        <v>0</v>
      </c>
      <c r="T225" s="297">
        <v>0</v>
      </c>
    </row>
    <row r="226" spans="1:20">
      <c r="A226" s="231" t="s">
        <v>894</v>
      </c>
      <c r="B226" s="259"/>
      <c r="C226" s="260">
        <v>0</v>
      </c>
      <c r="D226" s="234">
        <v>55</v>
      </c>
      <c r="E226" s="234"/>
      <c r="F226" s="234"/>
      <c r="G226" s="231" t="s">
        <v>895</v>
      </c>
      <c r="H226" s="231" t="s">
        <v>896</v>
      </c>
      <c r="I226" s="235" t="s">
        <v>420</v>
      </c>
      <c r="J226" s="236"/>
      <c r="K226" s="236"/>
      <c r="L226" s="231" t="s">
        <v>135</v>
      </c>
      <c r="M226" s="237" t="s">
        <v>393</v>
      </c>
      <c r="N226" s="238">
        <v>1.46</v>
      </c>
      <c r="O226" s="294"/>
      <c r="P226" s="261">
        <v>0</v>
      </c>
      <c r="Q226" s="295">
        <v>0</v>
      </c>
      <c r="R226" s="296"/>
      <c r="S226" s="264">
        <v>0</v>
      </c>
      <c r="T226" s="297" t="s">
        <v>1287</v>
      </c>
    </row>
    <row r="227" spans="1:20">
      <c r="A227" s="231" t="s">
        <v>897</v>
      </c>
      <c r="B227" s="259">
        <v>0</v>
      </c>
      <c r="C227" s="260">
        <v>50632</v>
      </c>
      <c r="D227" s="234">
        <v>55</v>
      </c>
      <c r="E227" s="234"/>
      <c r="F227" s="234"/>
      <c r="G227" s="231">
        <v>10105691</v>
      </c>
      <c r="H227" s="231" t="s">
        <v>898</v>
      </c>
      <c r="I227" s="235" t="s">
        <v>56</v>
      </c>
      <c r="J227" s="236"/>
      <c r="K227" s="236" t="s">
        <v>326</v>
      </c>
      <c r="L227" s="231" t="s">
        <v>135</v>
      </c>
      <c r="M227" s="237" t="s">
        <v>393</v>
      </c>
      <c r="N227" s="238">
        <v>1.47</v>
      </c>
      <c r="O227" s="294"/>
      <c r="P227" s="261">
        <v>0</v>
      </c>
      <c r="Q227" s="295">
        <v>0</v>
      </c>
      <c r="R227" s="296">
        <v>0</v>
      </c>
      <c r="S227" s="264">
        <v>180000</v>
      </c>
      <c r="T227" s="297">
        <v>0</v>
      </c>
    </row>
    <row r="228" spans="1:20">
      <c r="A228" s="231" t="s">
        <v>899</v>
      </c>
      <c r="B228" s="259"/>
      <c r="C228" s="260"/>
      <c r="D228" s="234">
        <v>55</v>
      </c>
      <c r="E228" s="234"/>
      <c r="F228" s="234"/>
      <c r="G228" s="231"/>
      <c r="H228" s="231" t="s">
        <v>888</v>
      </c>
      <c r="I228" s="235" t="s">
        <v>56</v>
      </c>
      <c r="J228" s="236"/>
      <c r="K228" s="236"/>
      <c r="L228" s="231" t="s">
        <v>135</v>
      </c>
      <c r="M228" s="237">
        <v>3.2</v>
      </c>
      <c r="N228" s="238">
        <v>1.47</v>
      </c>
      <c r="O228" s="294"/>
      <c r="P228" s="261"/>
      <c r="Q228" s="295"/>
      <c r="R228" s="296"/>
      <c r="S228" s="264">
        <v>0</v>
      </c>
      <c r="T228" s="297">
        <v>0</v>
      </c>
    </row>
    <row r="229" spans="1:20">
      <c r="A229" s="231" t="s">
        <v>900</v>
      </c>
      <c r="B229" s="259"/>
      <c r="C229" s="260"/>
      <c r="D229" s="234">
        <v>55</v>
      </c>
      <c r="E229" s="234"/>
      <c r="F229" s="234"/>
      <c r="G229" s="231" t="s">
        <v>901</v>
      </c>
      <c r="H229" s="231" t="s">
        <v>902</v>
      </c>
      <c r="I229" s="235" t="s">
        <v>657</v>
      </c>
      <c r="J229" s="236"/>
      <c r="K229" s="236"/>
      <c r="L229" s="231" t="s">
        <v>135</v>
      </c>
      <c r="M229" s="237">
        <v>3.2</v>
      </c>
      <c r="N229" s="238">
        <v>1.62</v>
      </c>
      <c r="O229" s="294"/>
      <c r="P229" s="261"/>
      <c r="Q229" s="295"/>
      <c r="R229" s="296"/>
      <c r="S229" s="264">
        <v>0</v>
      </c>
      <c r="T229" s="297">
        <v>0</v>
      </c>
    </row>
    <row r="230" spans="1:20">
      <c r="A230" s="231" t="s">
        <v>903</v>
      </c>
      <c r="B230" s="259">
        <v>18546</v>
      </c>
      <c r="C230" s="260">
        <v>20041</v>
      </c>
      <c r="D230" s="234">
        <v>56</v>
      </c>
      <c r="E230" s="234"/>
      <c r="F230" s="234"/>
      <c r="G230" s="231" t="s">
        <v>904</v>
      </c>
      <c r="H230" s="231" t="s">
        <v>240</v>
      </c>
      <c r="I230" s="235" t="s">
        <v>56</v>
      </c>
      <c r="J230" s="236"/>
      <c r="K230" s="236"/>
      <c r="L230" s="231" t="s">
        <v>135</v>
      </c>
      <c r="M230" s="237" t="s">
        <v>905</v>
      </c>
      <c r="N230" s="238">
        <v>1.1100000000000001</v>
      </c>
      <c r="O230" s="294"/>
      <c r="P230" s="261">
        <v>0</v>
      </c>
      <c r="Q230" s="295">
        <v>28140</v>
      </c>
      <c r="R230" s="296">
        <v>28140</v>
      </c>
      <c r="S230" s="264">
        <v>0</v>
      </c>
      <c r="T230" s="297" t="s">
        <v>1287</v>
      </c>
    </row>
    <row r="231" spans="1:20">
      <c r="A231" s="231" t="s">
        <v>906</v>
      </c>
      <c r="B231" s="259">
        <v>215770</v>
      </c>
      <c r="C231" s="260">
        <v>0</v>
      </c>
      <c r="D231" s="234">
        <v>56</v>
      </c>
      <c r="E231" s="234"/>
      <c r="F231" s="234"/>
      <c r="G231" s="231">
        <v>7112401008</v>
      </c>
      <c r="H231" s="231" t="s">
        <v>629</v>
      </c>
      <c r="I231" s="235" t="s">
        <v>414</v>
      </c>
      <c r="J231" s="236"/>
      <c r="K231" s="236"/>
      <c r="L231" s="231" t="s">
        <v>135</v>
      </c>
      <c r="M231" s="237" t="s">
        <v>905</v>
      </c>
      <c r="N231" s="238">
        <v>1.26</v>
      </c>
      <c r="O231" s="294"/>
      <c r="P231" s="261">
        <v>0</v>
      </c>
      <c r="Q231" s="295">
        <v>203335</v>
      </c>
      <c r="R231" s="296">
        <v>203335</v>
      </c>
      <c r="S231" s="264">
        <v>400000</v>
      </c>
      <c r="T231" s="297">
        <v>200000</v>
      </c>
    </row>
    <row r="232" spans="1:20">
      <c r="A232" s="231" t="s">
        <v>239</v>
      </c>
      <c r="B232" s="259">
        <v>90824</v>
      </c>
      <c r="C232" s="260">
        <v>20042</v>
      </c>
      <c r="D232" s="234">
        <v>56</v>
      </c>
      <c r="E232" s="234"/>
      <c r="F232" s="234"/>
      <c r="G232" s="231" t="s">
        <v>907</v>
      </c>
      <c r="H232" s="231" t="s">
        <v>240</v>
      </c>
      <c r="I232" s="235" t="s">
        <v>58</v>
      </c>
      <c r="J232" s="236"/>
      <c r="K232" s="236"/>
      <c r="L232" s="231" t="s">
        <v>135</v>
      </c>
      <c r="M232" s="237" t="s">
        <v>905</v>
      </c>
      <c r="N232" s="238">
        <v>1.42</v>
      </c>
      <c r="O232" s="294"/>
      <c r="P232" s="261">
        <v>234984.16666666701</v>
      </c>
      <c r="Q232" s="295">
        <v>409944.16666666698</v>
      </c>
      <c r="R232" s="296">
        <v>174960</v>
      </c>
      <c r="S232" s="264">
        <v>200000</v>
      </c>
      <c r="T232" s="297" t="s">
        <v>1287</v>
      </c>
    </row>
    <row r="233" spans="1:20">
      <c r="A233" s="231" t="s">
        <v>71</v>
      </c>
      <c r="B233" s="259">
        <v>227485</v>
      </c>
      <c r="C233" s="260">
        <v>20032</v>
      </c>
      <c r="D233" s="234">
        <v>56</v>
      </c>
      <c r="E233" s="234"/>
      <c r="F233" s="234"/>
      <c r="G233" s="231" t="s">
        <v>908</v>
      </c>
      <c r="H233" s="231" t="s">
        <v>72</v>
      </c>
      <c r="I233" s="235" t="s">
        <v>56</v>
      </c>
      <c r="J233" s="236"/>
      <c r="K233" s="236"/>
      <c r="L233" s="231" t="s">
        <v>135</v>
      </c>
      <c r="M233" s="237" t="s">
        <v>905</v>
      </c>
      <c r="N233" s="238">
        <v>1.54</v>
      </c>
      <c r="O233" s="294"/>
      <c r="P233" s="261">
        <v>194500</v>
      </c>
      <c r="Q233" s="295">
        <v>563975</v>
      </c>
      <c r="R233" s="296">
        <v>369475</v>
      </c>
      <c r="S233" s="264">
        <v>300000</v>
      </c>
      <c r="T233" s="297">
        <v>0</v>
      </c>
    </row>
    <row r="234" spans="1:20">
      <c r="A234" s="231" t="s">
        <v>909</v>
      </c>
      <c r="B234" s="259">
        <v>3910</v>
      </c>
      <c r="C234" s="260">
        <v>0</v>
      </c>
      <c r="D234" s="234">
        <v>56</v>
      </c>
      <c r="E234" s="234"/>
      <c r="F234" s="234"/>
      <c r="G234" s="231">
        <v>3026000100</v>
      </c>
      <c r="H234" s="231" t="s">
        <v>910</v>
      </c>
      <c r="I234" s="235" t="s">
        <v>420</v>
      </c>
      <c r="J234" s="236"/>
      <c r="K234" s="236" t="s">
        <v>326</v>
      </c>
      <c r="L234" s="231" t="s">
        <v>135</v>
      </c>
      <c r="M234" s="237" t="s">
        <v>905</v>
      </c>
      <c r="N234" s="238">
        <v>1.55</v>
      </c>
      <c r="O234" s="294"/>
      <c r="P234" s="261">
        <v>0</v>
      </c>
      <c r="Q234" s="295">
        <v>7965</v>
      </c>
      <c r="R234" s="296">
        <v>7965</v>
      </c>
      <c r="S234" s="264">
        <v>50000</v>
      </c>
      <c r="T234" s="297">
        <v>0</v>
      </c>
    </row>
    <row r="235" spans="1:20">
      <c r="A235" s="231" t="s">
        <v>911</v>
      </c>
      <c r="B235" s="259"/>
      <c r="C235" s="260">
        <v>20051</v>
      </c>
      <c r="D235" s="234">
        <v>56</v>
      </c>
      <c r="E235" s="234"/>
      <c r="F235" s="234"/>
      <c r="G235" s="231" t="s">
        <v>912</v>
      </c>
      <c r="H235" s="231" t="s">
        <v>913</v>
      </c>
      <c r="I235" s="235" t="s">
        <v>57</v>
      </c>
      <c r="J235" s="236"/>
      <c r="K235" s="236"/>
      <c r="L235" s="231" t="s">
        <v>135</v>
      </c>
      <c r="M235" s="237" t="s">
        <v>905</v>
      </c>
      <c r="N235" s="238">
        <v>1.72</v>
      </c>
      <c r="O235" s="294"/>
      <c r="P235" s="261">
        <v>0</v>
      </c>
      <c r="Q235" s="295">
        <v>0</v>
      </c>
      <c r="R235" s="296">
        <v>0</v>
      </c>
      <c r="S235" s="264">
        <v>0</v>
      </c>
      <c r="T235" s="297">
        <v>0</v>
      </c>
    </row>
    <row r="236" spans="1:20">
      <c r="A236" s="234" t="s">
        <v>914</v>
      </c>
      <c r="B236" s="259"/>
      <c r="C236" s="260">
        <v>0</v>
      </c>
      <c r="D236" s="234">
        <v>56</v>
      </c>
      <c r="E236" s="234"/>
      <c r="F236" s="234"/>
      <c r="G236" s="231" t="s">
        <v>915</v>
      </c>
      <c r="H236" s="231" t="s">
        <v>916</v>
      </c>
      <c r="I236" s="235" t="s">
        <v>645</v>
      </c>
      <c r="J236" s="236"/>
      <c r="K236" s="236"/>
      <c r="L236" s="231" t="s">
        <v>135</v>
      </c>
      <c r="M236" s="237" t="s">
        <v>905</v>
      </c>
      <c r="N236" s="238">
        <v>1.98</v>
      </c>
      <c r="O236" s="294"/>
      <c r="P236" s="261">
        <v>0</v>
      </c>
      <c r="Q236" s="295">
        <v>0</v>
      </c>
      <c r="R236" s="296"/>
      <c r="S236" s="264">
        <v>0</v>
      </c>
      <c r="T236" s="297">
        <v>0</v>
      </c>
    </row>
    <row r="237" spans="1:20">
      <c r="A237" s="234" t="s">
        <v>917</v>
      </c>
      <c r="B237" s="259">
        <v>12364</v>
      </c>
      <c r="C237" s="260">
        <v>20026</v>
      </c>
      <c r="D237" s="234">
        <v>57</v>
      </c>
      <c r="E237" s="234"/>
      <c r="F237" s="234"/>
      <c r="G237" s="231" t="s">
        <v>918</v>
      </c>
      <c r="H237" s="231" t="s">
        <v>919</v>
      </c>
      <c r="I237" s="235" t="s">
        <v>56</v>
      </c>
      <c r="J237" s="236"/>
      <c r="K237" s="236"/>
      <c r="L237" s="231" t="s">
        <v>135</v>
      </c>
      <c r="M237" s="237" t="s">
        <v>397</v>
      </c>
      <c r="N237" s="238">
        <v>1.1499999999999999</v>
      </c>
      <c r="O237" s="294"/>
      <c r="P237" s="261">
        <v>124166.66666666701</v>
      </c>
      <c r="Q237" s="295">
        <v>137894.66666666701</v>
      </c>
      <c r="R237" s="296">
        <v>13728</v>
      </c>
      <c r="S237" s="264">
        <v>100000</v>
      </c>
      <c r="T237" s="297">
        <v>0</v>
      </c>
    </row>
    <row r="238" spans="1:20">
      <c r="A238" s="234" t="s">
        <v>920</v>
      </c>
      <c r="B238" s="259">
        <v>540</v>
      </c>
      <c r="C238" s="260">
        <v>0</v>
      </c>
      <c r="D238" s="234">
        <v>57</v>
      </c>
      <c r="E238" s="234"/>
      <c r="F238" s="234"/>
      <c r="G238" s="231">
        <v>7002400808</v>
      </c>
      <c r="H238" s="231" t="s">
        <v>921</v>
      </c>
      <c r="I238" s="235" t="s">
        <v>392</v>
      </c>
      <c r="J238" s="236"/>
      <c r="K238" s="236"/>
      <c r="L238" s="231" t="s">
        <v>135</v>
      </c>
      <c r="M238" s="237" t="s">
        <v>397</v>
      </c>
      <c r="N238" s="238">
        <v>1.4</v>
      </c>
      <c r="O238" s="294"/>
      <c r="P238" s="261">
        <v>0</v>
      </c>
      <c r="Q238" s="295">
        <v>820</v>
      </c>
      <c r="R238" s="296">
        <v>820</v>
      </c>
      <c r="S238" s="264">
        <v>0</v>
      </c>
      <c r="T238" s="297">
        <v>169000</v>
      </c>
    </row>
    <row r="239" spans="1:20">
      <c r="A239" s="234" t="s">
        <v>82</v>
      </c>
      <c r="B239" s="259">
        <v>64338</v>
      </c>
      <c r="C239" s="260">
        <v>0</v>
      </c>
      <c r="D239" s="234">
        <v>57</v>
      </c>
      <c r="E239" s="234"/>
      <c r="F239" s="234"/>
      <c r="G239" s="231" t="s">
        <v>922</v>
      </c>
      <c r="H239" s="231" t="s">
        <v>83</v>
      </c>
      <c r="I239" s="235" t="s">
        <v>59</v>
      </c>
      <c r="J239" s="236"/>
      <c r="K239" s="236"/>
      <c r="L239" s="231" t="s">
        <v>135</v>
      </c>
      <c r="M239" s="237" t="s">
        <v>397</v>
      </c>
      <c r="N239" s="238">
        <v>1.56</v>
      </c>
      <c r="O239" s="294"/>
      <c r="P239" s="261">
        <v>0</v>
      </c>
      <c r="Q239" s="295">
        <v>38912</v>
      </c>
      <c r="R239" s="296">
        <v>38912</v>
      </c>
      <c r="S239" s="264">
        <v>200000</v>
      </c>
      <c r="T239" s="297">
        <v>0</v>
      </c>
    </row>
    <row r="240" spans="1:20">
      <c r="A240" s="234" t="s">
        <v>923</v>
      </c>
      <c r="B240" s="259"/>
      <c r="C240" s="260">
        <v>20025</v>
      </c>
      <c r="D240" s="234">
        <v>57</v>
      </c>
      <c r="E240" s="234"/>
      <c r="F240" s="234"/>
      <c r="G240" s="231" t="s">
        <v>924</v>
      </c>
      <c r="H240" s="231" t="s">
        <v>925</v>
      </c>
      <c r="I240" s="235" t="s">
        <v>59</v>
      </c>
      <c r="J240" s="236"/>
      <c r="K240" s="236" t="s">
        <v>326</v>
      </c>
      <c r="L240" s="231" t="s">
        <v>135</v>
      </c>
      <c r="M240" s="237" t="s">
        <v>397</v>
      </c>
      <c r="N240" s="238">
        <v>1.56</v>
      </c>
      <c r="O240" s="294"/>
      <c r="P240" s="261">
        <v>0</v>
      </c>
      <c r="Q240" s="295">
        <v>0</v>
      </c>
      <c r="R240" s="296"/>
      <c r="S240" s="264">
        <v>0</v>
      </c>
      <c r="T240" s="297">
        <v>200000</v>
      </c>
    </row>
    <row r="241" spans="1:20">
      <c r="A241" s="234" t="s">
        <v>926</v>
      </c>
      <c r="B241" s="259">
        <v>126600</v>
      </c>
      <c r="C241" s="260">
        <v>31000</v>
      </c>
      <c r="D241" s="234">
        <v>58</v>
      </c>
      <c r="E241" s="234"/>
      <c r="F241" s="234"/>
      <c r="G241" s="231">
        <v>30600499</v>
      </c>
      <c r="H241" s="231" t="s">
        <v>927</v>
      </c>
      <c r="I241" s="235" t="s">
        <v>928</v>
      </c>
      <c r="J241" s="236"/>
      <c r="K241" s="236"/>
      <c r="L241" s="231" t="s">
        <v>135</v>
      </c>
      <c r="M241" s="237" t="s">
        <v>758</v>
      </c>
      <c r="N241" s="238">
        <v>3.57</v>
      </c>
      <c r="O241" s="294"/>
      <c r="P241" s="261">
        <v>0</v>
      </c>
      <c r="Q241" s="295">
        <v>111200</v>
      </c>
      <c r="R241" s="296">
        <v>111200</v>
      </c>
      <c r="S241" s="264">
        <v>200000</v>
      </c>
      <c r="T241" s="297">
        <v>0</v>
      </c>
    </row>
    <row r="242" spans="1:20">
      <c r="A242" s="234" t="s">
        <v>929</v>
      </c>
      <c r="B242" s="259"/>
      <c r="C242" s="260">
        <v>33000</v>
      </c>
      <c r="D242" s="234">
        <v>59</v>
      </c>
      <c r="E242" s="234"/>
      <c r="F242" s="234"/>
      <c r="G242" s="231" t="s">
        <v>930</v>
      </c>
      <c r="H242" s="231" t="s">
        <v>83</v>
      </c>
      <c r="I242" s="235" t="s">
        <v>931</v>
      </c>
      <c r="J242" s="236"/>
      <c r="K242" s="236"/>
      <c r="L242" s="231" t="s">
        <v>135</v>
      </c>
      <c r="M242" s="237" t="s">
        <v>932</v>
      </c>
      <c r="N242" s="238">
        <v>2.42</v>
      </c>
      <c r="O242" s="294"/>
      <c r="P242" s="261">
        <v>0</v>
      </c>
      <c r="Q242" s="295">
        <v>0</v>
      </c>
      <c r="R242" s="296"/>
      <c r="S242" s="264">
        <v>0</v>
      </c>
      <c r="T242" s="297">
        <v>0</v>
      </c>
    </row>
    <row r="243" spans="1:20">
      <c r="A243" s="234" t="s">
        <v>933</v>
      </c>
      <c r="B243" s="259">
        <v>0</v>
      </c>
      <c r="C243" s="260">
        <v>51501</v>
      </c>
      <c r="D243" s="234">
        <v>59</v>
      </c>
      <c r="E243" s="234"/>
      <c r="F243" s="234"/>
      <c r="G243" s="231" t="s">
        <v>934</v>
      </c>
      <c r="H243" s="231" t="s">
        <v>874</v>
      </c>
      <c r="I243" s="235" t="s">
        <v>434</v>
      </c>
      <c r="J243" s="236"/>
      <c r="K243" s="236"/>
      <c r="L243" s="231" t="s">
        <v>135</v>
      </c>
      <c r="M243" s="237" t="s">
        <v>932</v>
      </c>
      <c r="N243" s="238">
        <v>2.52</v>
      </c>
      <c r="O243" s="294"/>
      <c r="P243" s="261">
        <v>0</v>
      </c>
      <c r="Q243" s="295">
        <v>0</v>
      </c>
      <c r="R243" s="296">
        <v>0</v>
      </c>
      <c r="S243" s="264">
        <v>0</v>
      </c>
      <c r="T243" s="297">
        <v>0</v>
      </c>
    </row>
    <row r="244" spans="1:20">
      <c r="A244" s="234" t="s">
        <v>935</v>
      </c>
      <c r="B244" s="259">
        <v>0</v>
      </c>
      <c r="C244" s="260">
        <v>51500</v>
      </c>
      <c r="D244" s="234">
        <v>59</v>
      </c>
      <c r="E244" s="234"/>
      <c r="F244" s="234"/>
      <c r="G244" s="231" t="s">
        <v>936</v>
      </c>
      <c r="H244" s="231" t="s">
        <v>878</v>
      </c>
      <c r="I244" s="235" t="s">
        <v>431</v>
      </c>
      <c r="J244" s="236"/>
      <c r="K244" s="236"/>
      <c r="L244" s="231" t="s">
        <v>135</v>
      </c>
      <c r="M244" s="237" t="s">
        <v>932</v>
      </c>
      <c r="N244" s="238">
        <v>2.6</v>
      </c>
      <c r="O244" s="294"/>
      <c r="P244" s="261">
        <v>0</v>
      </c>
      <c r="Q244" s="295">
        <v>0</v>
      </c>
      <c r="R244" s="296">
        <v>0</v>
      </c>
      <c r="S244" s="264">
        <v>0</v>
      </c>
      <c r="T244" s="297">
        <v>0</v>
      </c>
    </row>
    <row r="245" spans="1:20">
      <c r="A245" s="234" t="s">
        <v>112</v>
      </c>
      <c r="B245" s="259">
        <v>0</v>
      </c>
      <c r="C245" s="260">
        <v>34005</v>
      </c>
      <c r="D245" s="234">
        <v>59</v>
      </c>
      <c r="E245" s="234"/>
      <c r="F245" s="298" t="s">
        <v>365</v>
      </c>
      <c r="G245" s="231" t="s">
        <v>937</v>
      </c>
      <c r="H245" s="231" t="s">
        <v>113</v>
      </c>
      <c r="I245" s="235" t="s">
        <v>114</v>
      </c>
      <c r="J245" s="236" t="s">
        <v>325</v>
      </c>
      <c r="K245" s="236"/>
      <c r="L245" s="231" t="s">
        <v>135</v>
      </c>
      <c r="M245" s="237" t="s">
        <v>932</v>
      </c>
      <c r="N245" s="238">
        <v>2.7</v>
      </c>
      <c r="O245" s="294"/>
      <c r="P245" s="261">
        <v>0</v>
      </c>
      <c r="Q245" s="295">
        <v>0</v>
      </c>
      <c r="R245" s="296">
        <v>0</v>
      </c>
      <c r="S245" s="264">
        <v>0</v>
      </c>
      <c r="T245" s="297">
        <v>0</v>
      </c>
    </row>
    <row r="246" spans="1:20">
      <c r="A246" s="234" t="s">
        <v>938</v>
      </c>
      <c r="B246" s="259">
        <v>0</v>
      </c>
      <c r="C246" s="260">
        <v>51502</v>
      </c>
      <c r="D246" s="234">
        <v>59</v>
      </c>
      <c r="E246" s="234"/>
      <c r="F246" s="234"/>
      <c r="G246" s="231" t="s">
        <v>939</v>
      </c>
      <c r="H246" s="231" t="s">
        <v>940</v>
      </c>
      <c r="I246" s="235" t="s">
        <v>941</v>
      </c>
      <c r="J246" s="236"/>
      <c r="K246" s="236"/>
      <c r="L246" s="231" t="s">
        <v>135</v>
      </c>
      <c r="M246" s="237" t="s">
        <v>932</v>
      </c>
      <c r="N246" s="238">
        <v>3</v>
      </c>
      <c r="O246" s="294"/>
      <c r="P246" s="261">
        <v>0</v>
      </c>
      <c r="Q246" s="295">
        <v>0</v>
      </c>
      <c r="R246" s="296"/>
      <c r="S246" s="264">
        <v>0</v>
      </c>
      <c r="T246" s="297">
        <v>0</v>
      </c>
    </row>
    <row r="247" spans="1:20">
      <c r="A247" s="234" t="s">
        <v>942</v>
      </c>
      <c r="B247" s="259"/>
      <c r="C247" s="260">
        <v>0</v>
      </c>
      <c r="D247" s="234">
        <v>60</v>
      </c>
      <c r="E247" s="234"/>
      <c r="F247" s="234"/>
      <c r="G247" s="231" t="s">
        <v>943</v>
      </c>
      <c r="H247" s="231" t="s">
        <v>944</v>
      </c>
      <c r="I247" s="235" t="s">
        <v>420</v>
      </c>
      <c r="J247" s="236"/>
      <c r="K247" s="236"/>
      <c r="L247" s="231" t="s">
        <v>135</v>
      </c>
      <c r="M247" s="237" t="s">
        <v>784</v>
      </c>
      <c r="N247" s="238">
        <v>2.83</v>
      </c>
      <c r="O247" s="294"/>
      <c r="P247" s="261">
        <v>0</v>
      </c>
      <c r="Q247" s="295">
        <v>0</v>
      </c>
      <c r="R247" s="296"/>
      <c r="S247" s="264">
        <v>0</v>
      </c>
      <c r="T247" s="297">
        <v>0</v>
      </c>
    </row>
    <row r="248" spans="1:20">
      <c r="A248" s="234" t="s">
        <v>945</v>
      </c>
      <c r="B248" s="259">
        <v>0</v>
      </c>
      <c r="C248" s="260" t="e">
        <v>#N/A</v>
      </c>
      <c r="D248" s="234">
        <v>61</v>
      </c>
      <c r="E248" s="234"/>
      <c r="F248" s="234"/>
      <c r="G248" s="231" t="s">
        <v>946</v>
      </c>
      <c r="H248" s="231" t="s">
        <v>947</v>
      </c>
      <c r="I248" s="235" t="s">
        <v>434</v>
      </c>
      <c r="J248" s="236" t="s">
        <v>325</v>
      </c>
      <c r="K248" s="236"/>
      <c r="L248" s="231" t="s">
        <v>135</v>
      </c>
      <c r="M248" s="237" t="s">
        <v>440</v>
      </c>
      <c r="N248" s="238">
        <v>3.83</v>
      </c>
      <c r="O248" s="294"/>
      <c r="P248" s="261"/>
      <c r="Q248" s="295"/>
      <c r="R248" s="296"/>
      <c r="S248" s="264">
        <v>73000</v>
      </c>
      <c r="T248" s="297">
        <v>0</v>
      </c>
    </row>
    <row r="249" spans="1:20">
      <c r="A249" s="231" t="s">
        <v>948</v>
      </c>
      <c r="B249" s="259">
        <v>1000</v>
      </c>
      <c r="C249" s="260">
        <v>32000</v>
      </c>
      <c r="D249" s="234">
        <v>61</v>
      </c>
      <c r="E249" s="234"/>
      <c r="F249" s="234"/>
      <c r="G249" s="231" t="s">
        <v>949</v>
      </c>
      <c r="H249" s="231" t="s">
        <v>220</v>
      </c>
      <c r="I249" s="235" t="s">
        <v>950</v>
      </c>
      <c r="J249" s="236"/>
      <c r="K249" s="236"/>
      <c r="L249" s="231" t="s">
        <v>135</v>
      </c>
      <c r="M249" s="237" t="s">
        <v>440</v>
      </c>
      <c r="N249" s="238">
        <v>3.47</v>
      </c>
      <c r="O249" s="294"/>
      <c r="P249" s="261">
        <v>0</v>
      </c>
      <c r="Q249" s="295">
        <v>0</v>
      </c>
      <c r="R249" s="296"/>
      <c r="S249" s="264">
        <v>0</v>
      </c>
      <c r="T249" s="297" t="s">
        <v>1287</v>
      </c>
    </row>
    <row r="250" spans="1:20">
      <c r="A250" s="234" t="s">
        <v>951</v>
      </c>
      <c r="B250" s="259">
        <v>1000</v>
      </c>
      <c r="C250" s="260">
        <v>32001</v>
      </c>
      <c r="D250" s="234">
        <v>61</v>
      </c>
      <c r="E250" s="234"/>
      <c r="F250" s="234"/>
      <c r="G250" s="231" t="s">
        <v>952</v>
      </c>
      <c r="H250" s="231" t="s">
        <v>220</v>
      </c>
      <c r="I250" s="235" t="s">
        <v>953</v>
      </c>
      <c r="J250" s="236"/>
      <c r="K250" s="236"/>
      <c r="L250" s="231" t="s">
        <v>135</v>
      </c>
      <c r="M250" s="237" t="s">
        <v>440</v>
      </c>
      <c r="N250" s="238">
        <v>4.51</v>
      </c>
      <c r="O250" s="294"/>
      <c r="P250" s="261">
        <v>0</v>
      </c>
      <c r="Q250" s="295">
        <v>0</v>
      </c>
      <c r="R250" s="296"/>
      <c r="S250" s="264">
        <v>5000</v>
      </c>
      <c r="T250" s="297">
        <v>0</v>
      </c>
    </row>
    <row r="251" spans="1:20">
      <c r="A251" s="234" t="s">
        <v>954</v>
      </c>
      <c r="B251" s="259"/>
      <c r="C251" s="260">
        <v>31002</v>
      </c>
      <c r="D251" s="234">
        <v>61</v>
      </c>
      <c r="E251" s="234"/>
      <c r="F251" s="234"/>
      <c r="G251" s="231">
        <v>30600460</v>
      </c>
      <c r="H251" s="231" t="s">
        <v>955</v>
      </c>
      <c r="I251" s="235" t="s">
        <v>956</v>
      </c>
      <c r="J251" s="236"/>
      <c r="K251" s="236" t="s">
        <v>326</v>
      </c>
      <c r="L251" s="231" t="s">
        <v>135</v>
      </c>
      <c r="M251" s="237" t="s">
        <v>440</v>
      </c>
      <c r="N251" s="238">
        <v>6.6</v>
      </c>
      <c r="O251" s="294"/>
      <c r="P251" s="261">
        <v>0</v>
      </c>
      <c r="Q251" s="295">
        <v>0</v>
      </c>
      <c r="R251" s="296"/>
      <c r="S251" s="264">
        <v>0</v>
      </c>
      <c r="T251" s="297">
        <v>1000</v>
      </c>
    </row>
    <row r="252" spans="1:20">
      <c r="A252" s="234" t="s">
        <v>232</v>
      </c>
      <c r="B252" s="259">
        <v>100</v>
      </c>
      <c r="C252" s="260">
        <v>32002</v>
      </c>
      <c r="D252" s="234">
        <v>61</v>
      </c>
      <c r="E252" s="234"/>
      <c r="F252" s="234"/>
      <c r="G252" s="231" t="s">
        <v>957</v>
      </c>
      <c r="H252" s="231" t="s">
        <v>220</v>
      </c>
      <c r="I252" s="235" t="s">
        <v>958</v>
      </c>
      <c r="J252" s="236"/>
      <c r="K252" s="236"/>
      <c r="L252" s="231" t="s">
        <v>135</v>
      </c>
      <c r="M252" s="237" t="s">
        <v>440</v>
      </c>
      <c r="N252" s="238">
        <v>10.19</v>
      </c>
      <c r="O252" s="294"/>
      <c r="P252" s="261">
        <v>0</v>
      </c>
      <c r="Q252" s="295">
        <v>0</v>
      </c>
      <c r="R252" s="296"/>
      <c r="S252" s="264">
        <v>1000</v>
      </c>
      <c r="T252" s="297">
        <v>0</v>
      </c>
    </row>
    <row r="253" spans="1:20">
      <c r="A253" s="234" t="s">
        <v>959</v>
      </c>
      <c r="B253" s="259">
        <v>0</v>
      </c>
      <c r="C253" s="260"/>
      <c r="D253" s="234">
        <v>61</v>
      </c>
      <c r="E253" s="234"/>
      <c r="F253" s="234"/>
      <c r="G253" s="231" t="s">
        <v>960</v>
      </c>
      <c r="H253" s="231" t="s">
        <v>961</v>
      </c>
      <c r="I253" s="235" t="s">
        <v>814</v>
      </c>
      <c r="J253" s="236"/>
      <c r="K253" s="236"/>
      <c r="L253" s="231" t="s">
        <v>135</v>
      </c>
      <c r="M253" s="237">
        <v>5.25</v>
      </c>
      <c r="N253" s="238">
        <v>3.95</v>
      </c>
      <c r="O253" s="294"/>
      <c r="P253" s="261"/>
      <c r="Q253" s="295"/>
      <c r="R253" s="296"/>
      <c r="S253" s="264">
        <v>0</v>
      </c>
      <c r="T253" s="297">
        <v>0</v>
      </c>
    </row>
    <row r="254" spans="1:20">
      <c r="A254" s="234" t="s">
        <v>962</v>
      </c>
      <c r="B254" s="259"/>
      <c r="C254" s="260"/>
      <c r="D254" s="234">
        <v>61</v>
      </c>
      <c r="E254" s="234"/>
      <c r="F254" s="234"/>
      <c r="G254" s="231"/>
      <c r="H254" s="231" t="s">
        <v>963</v>
      </c>
      <c r="I254" s="235" t="s">
        <v>964</v>
      </c>
      <c r="J254" s="236"/>
      <c r="K254" s="236"/>
      <c r="L254" s="231" t="s">
        <v>135</v>
      </c>
      <c r="M254" s="237">
        <v>5.25</v>
      </c>
      <c r="N254" s="238">
        <v>2.42</v>
      </c>
      <c r="O254" s="294"/>
      <c r="P254" s="261"/>
      <c r="Q254" s="295"/>
      <c r="R254" s="296"/>
      <c r="S254" s="264">
        <v>1000</v>
      </c>
      <c r="T254" s="297">
        <v>1236700</v>
      </c>
    </row>
    <row r="255" spans="1:20">
      <c r="A255" s="310" t="s">
        <v>151</v>
      </c>
      <c r="B255" s="308">
        <v>500790</v>
      </c>
      <c r="C255" s="309" t="e">
        <v>#N/A</v>
      </c>
      <c r="D255" s="310">
        <v>62</v>
      </c>
      <c r="E255" s="310"/>
      <c r="F255" s="310"/>
      <c r="G255" s="307" t="s">
        <v>965</v>
      </c>
      <c r="H255" s="307" t="s">
        <v>152</v>
      </c>
      <c r="I255" s="312" t="s">
        <v>966</v>
      </c>
      <c r="J255" s="313"/>
      <c r="K255" s="313"/>
      <c r="L255" s="307" t="s">
        <v>135</v>
      </c>
      <c r="M255" s="314" t="s">
        <v>967</v>
      </c>
      <c r="N255" s="315">
        <v>12.47</v>
      </c>
      <c r="O255" s="316"/>
      <c r="P255" s="317"/>
      <c r="Q255" s="318"/>
      <c r="R255" s="319"/>
      <c r="S255" s="320">
        <v>1700000</v>
      </c>
      <c r="T255" s="321">
        <v>300000</v>
      </c>
    </row>
    <row r="256" spans="1:20">
      <c r="A256" s="310" t="s">
        <v>968</v>
      </c>
      <c r="B256" s="308">
        <v>125668</v>
      </c>
      <c r="C256" s="309">
        <v>40001</v>
      </c>
      <c r="D256" s="310">
        <v>62</v>
      </c>
      <c r="E256" s="310"/>
      <c r="F256" s="311" t="s">
        <v>365</v>
      </c>
      <c r="G256" s="307" t="s">
        <v>969</v>
      </c>
      <c r="H256" s="307" t="s">
        <v>152</v>
      </c>
      <c r="I256" s="312" t="s">
        <v>970</v>
      </c>
      <c r="J256" s="313"/>
      <c r="K256" s="313"/>
      <c r="L256" s="307" t="s">
        <v>135</v>
      </c>
      <c r="M256" s="314" t="s">
        <v>967</v>
      </c>
      <c r="N256" s="315">
        <v>12.48</v>
      </c>
      <c r="O256" s="316"/>
      <c r="P256" s="317">
        <v>0</v>
      </c>
      <c r="Q256" s="318">
        <v>84000</v>
      </c>
      <c r="R256" s="319">
        <v>84000</v>
      </c>
      <c r="S256" s="320">
        <v>600000</v>
      </c>
      <c r="T256" s="321">
        <v>0</v>
      </c>
    </row>
    <row r="257" spans="1:20">
      <c r="A257" s="310" t="s">
        <v>971</v>
      </c>
      <c r="B257" s="308"/>
      <c r="C257" s="309" t="e">
        <v>#N/A</v>
      </c>
      <c r="D257" s="310">
        <v>62</v>
      </c>
      <c r="E257" s="310"/>
      <c r="F257" s="310"/>
      <c r="G257" s="307" t="s">
        <v>972</v>
      </c>
      <c r="H257" s="307" t="s">
        <v>973</v>
      </c>
      <c r="I257" s="312" t="s">
        <v>974</v>
      </c>
      <c r="J257" s="313"/>
      <c r="K257" s="313" t="s">
        <v>326</v>
      </c>
      <c r="L257" s="307" t="s">
        <v>135</v>
      </c>
      <c r="M257" s="314" t="s">
        <v>967</v>
      </c>
      <c r="N257" s="315">
        <v>14.7</v>
      </c>
      <c r="O257" s="316"/>
      <c r="P257" s="317"/>
      <c r="Q257" s="318"/>
      <c r="R257" s="319"/>
      <c r="S257" s="320">
        <v>0</v>
      </c>
      <c r="T257" s="321">
        <v>200000</v>
      </c>
    </row>
    <row r="258" spans="1:20">
      <c r="A258" s="234" t="s">
        <v>975</v>
      </c>
      <c r="B258" s="259">
        <v>100000</v>
      </c>
      <c r="C258" s="260">
        <v>40202</v>
      </c>
      <c r="D258" s="234">
        <v>63</v>
      </c>
      <c r="E258" s="234" t="s">
        <v>306</v>
      </c>
      <c r="F258" s="234"/>
      <c r="G258" s="231" t="s">
        <v>976</v>
      </c>
      <c r="H258" s="231" t="s">
        <v>977</v>
      </c>
      <c r="I258" s="235" t="s">
        <v>603</v>
      </c>
      <c r="J258" s="236"/>
      <c r="K258" s="236"/>
      <c r="L258" s="231" t="s">
        <v>185</v>
      </c>
      <c r="M258" s="231" t="s">
        <v>393</v>
      </c>
      <c r="N258" s="238">
        <v>1.65</v>
      </c>
      <c r="O258" s="294"/>
      <c r="P258" s="261"/>
      <c r="Q258" s="295"/>
      <c r="R258" s="296"/>
      <c r="S258" s="264">
        <v>200000</v>
      </c>
      <c r="T258" s="297">
        <v>677300</v>
      </c>
    </row>
    <row r="259" spans="1:20">
      <c r="A259" s="234" t="s">
        <v>31</v>
      </c>
      <c r="B259" s="259">
        <v>392494</v>
      </c>
      <c r="C259" s="260">
        <v>20035</v>
      </c>
      <c r="D259" s="234">
        <v>63</v>
      </c>
      <c r="E259" s="234"/>
      <c r="F259" s="234"/>
      <c r="G259" s="231" t="s">
        <v>978</v>
      </c>
      <c r="H259" s="231" t="s">
        <v>44</v>
      </c>
      <c r="I259" s="235" t="s">
        <v>56</v>
      </c>
      <c r="J259" s="236"/>
      <c r="K259" s="236"/>
      <c r="L259" s="231" t="s">
        <v>185</v>
      </c>
      <c r="M259" s="237" t="s">
        <v>393</v>
      </c>
      <c r="N259" s="238">
        <v>1.46</v>
      </c>
      <c r="O259" s="294"/>
      <c r="P259" s="261">
        <v>178000</v>
      </c>
      <c r="Q259" s="295">
        <v>495332</v>
      </c>
      <c r="R259" s="296">
        <v>348124</v>
      </c>
      <c r="S259" s="264">
        <v>800000</v>
      </c>
      <c r="T259" s="297">
        <v>1800000</v>
      </c>
    </row>
    <row r="260" spans="1:20">
      <c r="A260" s="234" t="s">
        <v>125</v>
      </c>
      <c r="B260" s="259">
        <v>893074</v>
      </c>
      <c r="C260" s="260">
        <v>20030</v>
      </c>
      <c r="D260" s="234">
        <v>63</v>
      </c>
      <c r="E260" s="234"/>
      <c r="F260" s="234"/>
      <c r="G260" s="231" t="s">
        <v>979</v>
      </c>
      <c r="H260" s="231" t="s">
        <v>980</v>
      </c>
      <c r="I260" s="235" t="s">
        <v>57</v>
      </c>
      <c r="J260" s="236"/>
      <c r="K260" s="236"/>
      <c r="L260" s="231" t="s">
        <v>185</v>
      </c>
      <c r="M260" s="237" t="s">
        <v>393</v>
      </c>
      <c r="N260" s="238">
        <v>1.65</v>
      </c>
      <c r="O260" s="294"/>
      <c r="P260" s="261">
        <v>143583.33333333299</v>
      </c>
      <c r="Q260" s="295">
        <v>887815.33333333302</v>
      </c>
      <c r="R260" s="296">
        <v>836608</v>
      </c>
      <c r="S260" s="264">
        <v>2200000</v>
      </c>
      <c r="T260" s="297">
        <v>1179000</v>
      </c>
    </row>
    <row r="261" spans="1:20">
      <c r="A261" s="234" t="s">
        <v>85</v>
      </c>
      <c r="B261" s="259">
        <v>723793</v>
      </c>
      <c r="C261" s="260">
        <v>20031</v>
      </c>
      <c r="D261" s="234">
        <v>63</v>
      </c>
      <c r="E261" s="234"/>
      <c r="F261" s="234"/>
      <c r="G261" s="231" t="s">
        <v>981</v>
      </c>
      <c r="H261" s="231" t="s">
        <v>41</v>
      </c>
      <c r="I261" s="235" t="s">
        <v>86</v>
      </c>
      <c r="J261" s="236"/>
      <c r="K261" s="236"/>
      <c r="L261" s="231" t="s">
        <v>185</v>
      </c>
      <c r="M261" s="237" t="s">
        <v>393</v>
      </c>
      <c r="N261" s="238">
        <v>1.8</v>
      </c>
      <c r="O261" s="294"/>
      <c r="P261" s="261">
        <v>1339479</v>
      </c>
      <c r="Q261" s="295">
        <v>1533592</v>
      </c>
      <c r="R261" s="296">
        <v>382949</v>
      </c>
      <c r="S261" s="264">
        <v>1179000</v>
      </c>
      <c r="T261" s="297">
        <v>100000</v>
      </c>
    </row>
    <row r="262" spans="1:20">
      <c r="A262" s="234" t="s">
        <v>982</v>
      </c>
      <c r="B262" s="259">
        <v>25552</v>
      </c>
      <c r="C262" s="260"/>
      <c r="D262" s="234">
        <v>63</v>
      </c>
      <c r="E262" s="234"/>
      <c r="F262" s="234"/>
      <c r="G262" s="231" t="s">
        <v>983</v>
      </c>
      <c r="H262" s="231" t="s">
        <v>984</v>
      </c>
      <c r="I262" s="235" t="s">
        <v>420</v>
      </c>
      <c r="J262" s="236"/>
      <c r="K262" s="236"/>
      <c r="L262" s="231" t="s">
        <v>185</v>
      </c>
      <c r="M262" s="237">
        <v>3.2</v>
      </c>
      <c r="N262" s="238">
        <v>1.46</v>
      </c>
      <c r="O262" s="294"/>
      <c r="P262" s="261"/>
      <c r="Q262" s="295"/>
      <c r="R262" s="296"/>
      <c r="S262" s="264">
        <v>100000</v>
      </c>
      <c r="T262" s="297">
        <v>100000</v>
      </c>
    </row>
    <row r="263" spans="1:20">
      <c r="A263" s="234" t="s">
        <v>122</v>
      </c>
      <c r="B263" s="259">
        <v>150300</v>
      </c>
      <c r="C263" s="260">
        <v>50633</v>
      </c>
      <c r="D263" s="234">
        <v>64</v>
      </c>
      <c r="E263" s="234"/>
      <c r="F263" s="234"/>
      <c r="G263" s="231" t="s">
        <v>985</v>
      </c>
      <c r="H263" s="231" t="s">
        <v>123</v>
      </c>
      <c r="I263" s="235" t="s">
        <v>56</v>
      </c>
      <c r="J263" s="236"/>
      <c r="K263" s="236"/>
      <c r="L263" s="231" t="s">
        <v>185</v>
      </c>
      <c r="M263" s="237" t="s">
        <v>905</v>
      </c>
      <c r="N263" s="238">
        <v>1.54</v>
      </c>
      <c r="O263" s="294"/>
      <c r="P263" s="261">
        <v>0</v>
      </c>
      <c r="Q263" s="295">
        <v>201500</v>
      </c>
      <c r="R263" s="296">
        <v>201500</v>
      </c>
      <c r="S263" s="264">
        <v>100000</v>
      </c>
      <c r="T263" s="297">
        <v>426700</v>
      </c>
    </row>
    <row r="264" spans="1:20">
      <c r="A264" s="234" t="s">
        <v>118</v>
      </c>
      <c r="B264" s="259">
        <v>344186</v>
      </c>
      <c r="C264" s="260">
        <v>20019</v>
      </c>
      <c r="D264" s="234">
        <v>64</v>
      </c>
      <c r="E264" s="234"/>
      <c r="F264" s="234"/>
      <c r="G264" s="231" t="s">
        <v>986</v>
      </c>
      <c r="H264" s="231" t="s">
        <v>213</v>
      </c>
      <c r="I264" s="235" t="s">
        <v>56</v>
      </c>
      <c r="J264" s="236"/>
      <c r="K264" s="236"/>
      <c r="L264" s="231" t="s">
        <v>185</v>
      </c>
      <c r="M264" s="237" t="s">
        <v>905</v>
      </c>
      <c r="N264" s="238">
        <v>1.63</v>
      </c>
      <c r="O264" s="294"/>
      <c r="P264" s="261">
        <v>0</v>
      </c>
      <c r="Q264" s="295">
        <v>143262</v>
      </c>
      <c r="R264" s="296">
        <v>204846</v>
      </c>
      <c r="S264" s="264">
        <v>800000</v>
      </c>
      <c r="T264" s="297">
        <v>100000</v>
      </c>
    </row>
    <row r="265" spans="1:20">
      <c r="A265" s="234" t="s">
        <v>32</v>
      </c>
      <c r="B265" s="259">
        <v>95100</v>
      </c>
      <c r="C265" s="260">
        <v>31010</v>
      </c>
      <c r="D265" s="234">
        <v>64</v>
      </c>
      <c r="E265" s="234"/>
      <c r="F265" s="234"/>
      <c r="G265" s="231">
        <v>30600528</v>
      </c>
      <c r="H265" s="231" t="s">
        <v>45</v>
      </c>
      <c r="I265" s="235" t="s">
        <v>58</v>
      </c>
      <c r="J265" s="236"/>
      <c r="K265" s="236"/>
      <c r="L265" s="231" t="s">
        <v>185</v>
      </c>
      <c r="M265" s="237" t="s">
        <v>905</v>
      </c>
      <c r="N265" s="238">
        <v>1.86</v>
      </c>
      <c r="O265" s="294"/>
      <c r="P265" s="261">
        <v>0</v>
      </c>
      <c r="Q265" s="295">
        <v>61000</v>
      </c>
      <c r="R265" s="296">
        <v>61000</v>
      </c>
      <c r="S265" s="264">
        <v>100000</v>
      </c>
      <c r="T265" s="297">
        <v>597000</v>
      </c>
    </row>
    <row r="266" spans="1:20">
      <c r="A266" s="310" t="s">
        <v>226</v>
      </c>
      <c r="B266" s="308">
        <v>440527.20000000007</v>
      </c>
      <c r="C266" s="309">
        <v>20014</v>
      </c>
      <c r="D266" s="310">
        <v>65</v>
      </c>
      <c r="E266" s="310"/>
      <c r="F266" s="311" t="s">
        <v>365</v>
      </c>
      <c r="G266" s="307" t="s">
        <v>987</v>
      </c>
      <c r="H266" s="307" t="s">
        <v>227</v>
      </c>
      <c r="I266" s="312" t="s">
        <v>54</v>
      </c>
      <c r="J266" s="313"/>
      <c r="K266" s="313"/>
      <c r="L266" s="307" t="s">
        <v>137</v>
      </c>
      <c r="M266" s="314" t="s">
        <v>932</v>
      </c>
      <c r="N266" s="315">
        <v>3.16</v>
      </c>
      <c r="O266" s="316"/>
      <c r="P266" s="317">
        <v>0</v>
      </c>
      <c r="Q266" s="318">
        <v>314097</v>
      </c>
      <c r="R266" s="319">
        <v>314097</v>
      </c>
      <c r="S266" s="320">
        <v>1800000</v>
      </c>
      <c r="T266" s="321">
        <v>700000</v>
      </c>
    </row>
    <row r="267" spans="1:20">
      <c r="A267" s="310" t="s">
        <v>988</v>
      </c>
      <c r="B267" s="308">
        <v>445278</v>
      </c>
      <c r="C267" s="309">
        <v>20016</v>
      </c>
      <c r="D267" s="310">
        <v>65</v>
      </c>
      <c r="E267" s="310"/>
      <c r="F267" s="311" t="s">
        <v>365</v>
      </c>
      <c r="G267" s="307" t="s">
        <v>989</v>
      </c>
      <c r="H267" s="307" t="s">
        <v>990</v>
      </c>
      <c r="I267" s="312" t="s">
        <v>54</v>
      </c>
      <c r="J267" s="313"/>
      <c r="K267" s="313"/>
      <c r="L267" s="307" t="s">
        <v>137</v>
      </c>
      <c r="M267" s="314" t="s">
        <v>932</v>
      </c>
      <c r="N267" s="315">
        <v>4.25</v>
      </c>
      <c r="O267" s="316"/>
      <c r="P267" s="317">
        <v>606150</v>
      </c>
      <c r="Q267" s="318">
        <v>798156</v>
      </c>
      <c r="R267" s="319">
        <v>253590</v>
      </c>
      <c r="S267" s="320">
        <v>1800000</v>
      </c>
      <c r="T267" s="321">
        <v>0</v>
      </c>
    </row>
    <row r="268" spans="1:20">
      <c r="A268" s="234" t="s">
        <v>991</v>
      </c>
      <c r="B268" s="259">
        <v>18546</v>
      </c>
      <c r="C268" s="260">
        <v>20011</v>
      </c>
      <c r="D268" s="234">
        <v>66</v>
      </c>
      <c r="E268" s="234"/>
      <c r="F268" s="234"/>
      <c r="G268" s="231" t="s">
        <v>992</v>
      </c>
      <c r="H268" s="231" t="s">
        <v>41</v>
      </c>
      <c r="I268" s="235" t="s">
        <v>54</v>
      </c>
      <c r="J268" s="236"/>
      <c r="K268" s="236"/>
      <c r="L268" s="231" t="s">
        <v>137</v>
      </c>
      <c r="M268" s="237" t="s">
        <v>993</v>
      </c>
      <c r="N268" s="238">
        <v>2.31</v>
      </c>
      <c r="O268" s="294"/>
      <c r="P268" s="261">
        <v>82000</v>
      </c>
      <c r="Q268" s="295">
        <v>102592</v>
      </c>
      <c r="R268" s="296">
        <v>20592</v>
      </c>
      <c r="S268" s="264">
        <v>0</v>
      </c>
      <c r="T268" s="297">
        <v>2578000</v>
      </c>
    </row>
    <row r="269" spans="1:20">
      <c r="A269" s="234" t="s">
        <v>28</v>
      </c>
      <c r="B269" s="259">
        <v>1517461</v>
      </c>
      <c r="C269" s="260">
        <v>20015</v>
      </c>
      <c r="D269" s="234">
        <v>67</v>
      </c>
      <c r="E269" s="234"/>
      <c r="F269" s="298" t="s">
        <v>365</v>
      </c>
      <c r="G269" s="231" t="s">
        <v>994</v>
      </c>
      <c r="H269" s="231" t="s">
        <v>41</v>
      </c>
      <c r="I269" s="235" t="s">
        <v>53</v>
      </c>
      <c r="J269" s="236"/>
      <c r="K269" s="236"/>
      <c r="L269" s="231" t="s">
        <v>137</v>
      </c>
      <c r="M269" s="237" t="s">
        <v>995</v>
      </c>
      <c r="N269" s="238">
        <v>3.18</v>
      </c>
      <c r="O269" s="294"/>
      <c r="P269" s="261">
        <v>968333.33333333302</v>
      </c>
      <c r="Q269" s="295">
        <v>1333322.33333333</v>
      </c>
      <c r="R269" s="296">
        <v>843205</v>
      </c>
      <c r="S269" s="264">
        <v>5800000</v>
      </c>
      <c r="T269" s="297">
        <v>1296100</v>
      </c>
    </row>
    <row r="270" spans="1:20">
      <c r="A270" s="310" t="s">
        <v>26</v>
      </c>
      <c r="B270" s="308">
        <v>1148391</v>
      </c>
      <c r="C270" s="309">
        <v>20005</v>
      </c>
      <c r="D270" s="310">
        <v>68</v>
      </c>
      <c r="E270" s="310"/>
      <c r="F270" s="311" t="s">
        <v>365</v>
      </c>
      <c r="G270" s="307" t="s">
        <v>996</v>
      </c>
      <c r="H270" s="307" t="s">
        <v>39</v>
      </c>
      <c r="I270" s="312" t="s">
        <v>51</v>
      </c>
      <c r="J270" s="313"/>
      <c r="K270" s="313"/>
      <c r="L270" s="307" t="s">
        <v>137</v>
      </c>
      <c r="M270" s="314" t="s">
        <v>967</v>
      </c>
      <c r="N270" s="315">
        <v>14.86</v>
      </c>
      <c r="O270" s="316"/>
      <c r="P270" s="317">
        <v>0</v>
      </c>
      <c r="Q270" s="318">
        <v>358188</v>
      </c>
      <c r="R270" s="319">
        <v>542940</v>
      </c>
      <c r="S270" s="320">
        <v>3250000</v>
      </c>
      <c r="T270" s="321" t="s">
        <v>1287</v>
      </c>
    </row>
    <row r="271" spans="1:20">
      <c r="A271" s="234" t="s">
        <v>997</v>
      </c>
      <c r="B271" s="259">
        <v>96702</v>
      </c>
      <c r="C271" s="260">
        <v>20054</v>
      </c>
      <c r="D271" s="234">
        <v>69</v>
      </c>
      <c r="E271" s="234"/>
      <c r="F271" s="298" t="s">
        <v>365</v>
      </c>
      <c r="G271" s="231" t="s">
        <v>998</v>
      </c>
      <c r="H271" s="231" t="s">
        <v>999</v>
      </c>
      <c r="I271" s="235" t="s">
        <v>653</v>
      </c>
      <c r="J271" s="236"/>
      <c r="K271" s="236"/>
      <c r="L271" s="231" t="s">
        <v>1000</v>
      </c>
      <c r="M271" s="237" t="s">
        <v>440</v>
      </c>
      <c r="N271" s="238">
        <v>4.4400000000000004</v>
      </c>
      <c r="O271" s="294"/>
      <c r="P271" s="261">
        <v>0</v>
      </c>
      <c r="Q271" s="295">
        <v>57957</v>
      </c>
      <c r="R271" s="296">
        <v>57957</v>
      </c>
      <c r="S271" s="264">
        <v>300000</v>
      </c>
      <c r="T271" s="297">
        <v>100000</v>
      </c>
    </row>
    <row r="272" spans="1:20">
      <c r="A272" s="234" t="s">
        <v>1001</v>
      </c>
      <c r="B272" s="259">
        <v>0</v>
      </c>
      <c r="C272" s="260" t="e">
        <v>#N/A</v>
      </c>
      <c r="D272" s="234">
        <v>69</v>
      </c>
      <c r="E272" s="234"/>
      <c r="F272" s="234"/>
      <c r="G272" s="231">
        <v>10105686</v>
      </c>
      <c r="H272" s="231" t="s">
        <v>1002</v>
      </c>
      <c r="I272" s="235" t="s">
        <v>1003</v>
      </c>
      <c r="J272" s="236"/>
      <c r="K272" s="236"/>
      <c r="L272" s="231" t="s">
        <v>1000</v>
      </c>
      <c r="M272" s="237" t="s">
        <v>440</v>
      </c>
      <c r="N272" s="238">
        <v>4.8600000000000003</v>
      </c>
      <c r="O272" s="294"/>
      <c r="P272" s="261"/>
      <c r="Q272" s="295"/>
      <c r="R272" s="296"/>
      <c r="S272" s="264">
        <v>100000</v>
      </c>
      <c r="T272" s="297">
        <v>0</v>
      </c>
    </row>
    <row r="273" spans="1:20">
      <c r="A273" s="234" t="s">
        <v>1004</v>
      </c>
      <c r="B273" s="259"/>
      <c r="C273" s="260">
        <v>32003</v>
      </c>
      <c r="D273" s="234">
        <v>70</v>
      </c>
      <c r="E273" s="234"/>
      <c r="F273" s="234"/>
      <c r="G273" s="231" t="s">
        <v>1005</v>
      </c>
      <c r="H273" s="231" t="s">
        <v>1006</v>
      </c>
      <c r="I273" s="235" t="s">
        <v>1007</v>
      </c>
      <c r="J273" s="236" t="s">
        <v>325</v>
      </c>
      <c r="K273" s="236" t="s">
        <v>326</v>
      </c>
      <c r="L273" s="231" t="s">
        <v>1008</v>
      </c>
      <c r="M273" s="237" t="s">
        <v>1009</v>
      </c>
      <c r="N273" s="238">
        <v>2.42</v>
      </c>
      <c r="O273" s="294"/>
      <c r="P273" s="261">
        <v>0</v>
      </c>
      <c r="Q273" s="295">
        <v>0</v>
      </c>
      <c r="R273" s="296"/>
      <c r="S273" s="264">
        <v>0</v>
      </c>
      <c r="T273" s="297">
        <v>0</v>
      </c>
    </row>
    <row r="274" spans="1:20">
      <c r="A274" s="298" t="s">
        <v>1010</v>
      </c>
      <c r="B274" s="259"/>
      <c r="C274" s="376" t="e">
        <v>#N/A</v>
      </c>
      <c r="D274" s="298">
        <v>70</v>
      </c>
      <c r="E274" s="298" t="s">
        <v>781</v>
      </c>
      <c r="F274" s="298"/>
      <c r="G274" s="377" t="s">
        <v>1011</v>
      </c>
      <c r="H274" s="377" t="s">
        <v>1012</v>
      </c>
      <c r="I274" s="378" t="s">
        <v>931</v>
      </c>
      <c r="J274" s="379"/>
      <c r="K274" s="379"/>
      <c r="L274" s="377" t="s">
        <v>1008</v>
      </c>
      <c r="M274" s="380" t="s">
        <v>1009</v>
      </c>
      <c r="N274" s="381">
        <v>3.44</v>
      </c>
      <c r="O274" s="294"/>
      <c r="P274" s="261"/>
      <c r="Q274" s="295"/>
      <c r="R274" s="296"/>
      <c r="S274" s="264">
        <v>0</v>
      </c>
      <c r="T274" s="297">
        <v>0</v>
      </c>
    </row>
    <row r="275" spans="1:20">
      <c r="A275" s="298" t="s">
        <v>1013</v>
      </c>
      <c r="B275" s="259"/>
      <c r="C275" s="376">
        <v>32004</v>
      </c>
      <c r="D275" s="298">
        <v>71</v>
      </c>
      <c r="E275" s="298" t="s">
        <v>781</v>
      </c>
      <c r="F275" s="298"/>
      <c r="G275" s="377" t="s">
        <v>1014</v>
      </c>
      <c r="H275" s="377" t="s">
        <v>1006</v>
      </c>
      <c r="I275" s="378" t="s">
        <v>950</v>
      </c>
      <c r="J275" s="379" t="s">
        <v>325</v>
      </c>
      <c r="K275" s="379" t="s">
        <v>326</v>
      </c>
      <c r="L275" s="377" t="s">
        <v>1008</v>
      </c>
      <c r="M275" s="380" t="s">
        <v>440</v>
      </c>
      <c r="N275" s="381">
        <v>3.66</v>
      </c>
      <c r="O275" s="294"/>
      <c r="P275" s="261">
        <v>0</v>
      </c>
      <c r="Q275" s="295">
        <v>0</v>
      </c>
      <c r="R275" s="296"/>
      <c r="S275" s="264">
        <v>0</v>
      </c>
      <c r="T275" s="297">
        <v>0</v>
      </c>
    </row>
    <row r="276" spans="1:20">
      <c r="A276" s="298" t="s">
        <v>1015</v>
      </c>
      <c r="B276" s="259"/>
      <c r="C276" s="376" t="e">
        <v>#N/A</v>
      </c>
      <c r="D276" s="298">
        <v>71</v>
      </c>
      <c r="E276" s="298" t="s">
        <v>781</v>
      </c>
      <c r="F276" s="298"/>
      <c r="G276" s="377" t="s">
        <v>1016</v>
      </c>
      <c r="H276" s="377" t="s">
        <v>1012</v>
      </c>
      <c r="I276" s="378" t="s">
        <v>1017</v>
      </c>
      <c r="J276" s="379"/>
      <c r="K276" s="379"/>
      <c r="L276" s="377" t="s">
        <v>1008</v>
      </c>
      <c r="M276" s="380" t="s">
        <v>440</v>
      </c>
      <c r="N276" s="381">
        <v>6.21</v>
      </c>
      <c r="O276" s="294"/>
      <c r="P276" s="261"/>
      <c r="Q276" s="295"/>
      <c r="R276" s="296"/>
      <c r="S276" s="264">
        <v>0</v>
      </c>
      <c r="T276" s="297">
        <v>0</v>
      </c>
    </row>
    <row r="277" spans="1:20">
      <c r="A277" s="234" t="s">
        <v>1018</v>
      </c>
      <c r="B277" s="259"/>
      <c r="C277" s="260"/>
      <c r="D277" s="234">
        <v>72</v>
      </c>
      <c r="E277" s="234"/>
      <c r="F277" s="234"/>
      <c r="G277" s="231"/>
      <c r="H277" s="231" t="s">
        <v>1019</v>
      </c>
      <c r="I277" s="235" t="s">
        <v>1020</v>
      </c>
      <c r="J277" s="236"/>
      <c r="K277" s="236"/>
      <c r="L277" s="231" t="s">
        <v>133</v>
      </c>
      <c r="M277" s="237">
        <v>5.9</v>
      </c>
      <c r="N277" s="238">
        <v>3.52</v>
      </c>
      <c r="O277" s="294"/>
      <c r="P277" s="261"/>
      <c r="Q277" s="295"/>
      <c r="R277" s="296"/>
      <c r="S277" s="264">
        <v>1000</v>
      </c>
      <c r="T277" s="297">
        <v>0</v>
      </c>
    </row>
    <row r="278" spans="1:20">
      <c r="A278" s="234" t="s">
        <v>1021</v>
      </c>
      <c r="B278" s="259"/>
      <c r="C278" s="260"/>
      <c r="D278" s="234">
        <v>73</v>
      </c>
      <c r="E278" s="234"/>
      <c r="F278" s="234"/>
      <c r="G278" s="231"/>
      <c r="H278" s="231" t="s">
        <v>1022</v>
      </c>
      <c r="I278" s="235" t="s">
        <v>1023</v>
      </c>
      <c r="J278" s="236"/>
      <c r="K278" s="236"/>
      <c r="L278" s="231" t="s">
        <v>1024</v>
      </c>
      <c r="M278" s="237">
        <v>7.02</v>
      </c>
      <c r="N278" s="238">
        <v>22.1</v>
      </c>
      <c r="O278" s="294"/>
      <c r="P278" s="261"/>
      <c r="Q278" s="295"/>
      <c r="R278" s="296"/>
      <c r="S278" s="264">
        <v>0</v>
      </c>
      <c r="T278" s="297">
        <v>0</v>
      </c>
    </row>
    <row r="279" spans="1:20">
      <c r="A279" s="234" t="s">
        <v>1025</v>
      </c>
      <c r="B279" s="259">
        <v>12364</v>
      </c>
      <c r="C279" s="260">
        <v>20024</v>
      </c>
      <c r="D279" s="234">
        <v>74</v>
      </c>
      <c r="E279" s="234"/>
      <c r="F279" s="234"/>
      <c r="G279" s="231" t="s">
        <v>1026</v>
      </c>
      <c r="H279" s="231" t="s">
        <v>1027</v>
      </c>
      <c r="I279" s="235" t="s">
        <v>59</v>
      </c>
      <c r="J279" s="236"/>
      <c r="K279" s="236"/>
      <c r="L279" s="231" t="s">
        <v>136</v>
      </c>
      <c r="M279" s="237" t="s">
        <v>1028</v>
      </c>
      <c r="N279" s="238">
        <v>1.47</v>
      </c>
      <c r="O279" s="294"/>
      <c r="P279" s="261">
        <v>401666.66666666698</v>
      </c>
      <c r="Q279" s="302">
        <v>415394.66666666698</v>
      </c>
      <c r="R279" s="303">
        <v>13728</v>
      </c>
      <c r="S279" s="264">
        <v>0</v>
      </c>
      <c r="T279" s="297"/>
    </row>
    <row r="280" spans="1:20">
      <c r="A280" s="298" t="s">
        <v>1029</v>
      </c>
      <c r="B280" s="259">
        <v>0</v>
      </c>
      <c r="C280" s="376">
        <v>0</v>
      </c>
      <c r="D280" s="298" t="s">
        <v>1030</v>
      </c>
      <c r="E280" s="298" t="s">
        <v>781</v>
      </c>
      <c r="F280" s="298"/>
      <c r="G280" s="377" t="s">
        <v>1031</v>
      </c>
      <c r="H280" s="377" t="s">
        <v>220</v>
      </c>
      <c r="I280" s="378" t="s">
        <v>1032</v>
      </c>
      <c r="J280" s="379"/>
      <c r="K280" s="379"/>
      <c r="L280" s="377" t="s">
        <v>133</v>
      </c>
      <c r="M280" s="377" t="s">
        <v>1033</v>
      </c>
      <c r="N280" s="381">
        <v>0.3</v>
      </c>
      <c r="O280" s="239"/>
      <c r="P280" s="261">
        <v>0</v>
      </c>
      <c r="Q280" s="262">
        <v>0</v>
      </c>
      <c r="R280" s="263"/>
      <c r="S280" s="264">
        <v>0</v>
      </c>
      <c r="T280" s="265">
        <v>50000</v>
      </c>
    </row>
    <row r="281" spans="1:20">
      <c r="A281" s="298" t="s">
        <v>1034</v>
      </c>
      <c r="B281" s="259"/>
      <c r="C281" s="376" t="e">
        <v>#N/A</v>
      </c>
      <c r="D281" s="298" t="s">
        <v>1030</v>
      </c>
      <c r="E281" s="298" t="s">
        <v>781</v>
      </c>
      <c r="F281" s="298"/>
      <c r="G281" s="377" t="s">
        <v>1035</v>
      </c>
      <c r="H281" s="377" t="s">
        <v>1036</v>
      </c>
      <c r="I281" s="378" t="s">
        <v>1037</v>
      </c>
      <c r="J281" s="379"/>
      <c r="K281" s="379" t="s">
        <v>326</v>
      </c>
      <c r="L281" s="377" t="s">
        <v>1038</v>
      </c>
      <c r="M281" s="377" t="s">
        <v>1039</v>
      </c>
      <c r="N281" s="381">
        <v>0.37</v>
      </c>
      <c r="O281" s="294"/>
      <c r="P281" s="261"/>
      <c r="Q281" s="295"/>
      <c r="R281" s="296"/>
      <c r="S281" s="264">
        <v>50000</v>
      </c>
      <c r="T281" s="297">
        <v>0</v>
      </c>
    </row>
    <row r="282" spans="1:20">
      <c r="A282" s="298" t="s">
        <v>1040</v>
      </c>
      <c r="B282" s="259">
        <v>2000</v>
      </c>
      <c r="C282" s="376">
        <v>0</v>
      </c>
      <c r="D282" s="298" t="s">
        <v>1030</v>
      </c>
      <c r="E282" s="298" t="s">
        <v>781</v>
      </c>
      <c r="F282" s="298"/>
      <c r="G282" s="377" t="s">
        <v>1041</v>
      </c>
      <c r="H282" s="377" t="s">
        <v>1042</v>
      </c>
      <c r="I282" s="378" t="s">
        <v>1043</v>
      </c>
      <c r="J282" s="379" t="s">
        <v>362</v>
      </c>
      <c r="K282" s="379"/>
      <c r="L282" s="377" t="s">
        <v>1044</v>
      </c>
      <c r="M282" s="377" t="s">
        <v>1045</v>
      </c>
      <c r="N282" s="381">
        <v>0.39</v>
      </c>
      <c r="O282" s="294"/>
      <c r="P282" s="261">
        <v>0</v>
      </c>
      <c r="Q282" s="295">
        <v>2000</v>
      </c>
      <c r="R282" s="296">
        <v>2000</v>
      </c>
      <c r="S282" s="264">
        <v>0</v>
      </c>
      <c r="T282" s="297">
        <v>90000</v>
      </c>
    </row>
    <row r="283" spans="1:20">
      <c r="A283" s="298" t="s">
        <v>1046</v>
      </c>
      <c r="B283" s="259">
        <v>60000</v>
      </c>
      <c r="C283" s="376">
        <v>0</v>
      </c>
      <c r="D283" s="298" t="s">
        <v>1030</v>
      </c>
      <c r="E283" s="298" t="s">
        <v>781</v>
      </c>
      <c r="F283" s="298"/>
      <c r="G283" s="377" t="s">
        <v>1047</v>
      </c>
      <c r="H283" s="377" t="s">
        <v>1048</v>
      </c>
      <c r="I283" s="378" t="s">
        <v>1049</v>
      </c>
      <c r="J283" s="379" t="s">
        <v>325</v>
      </c>
      <c r="K283" s="379"/>
      <c r="L283" s="377" t="s">
        <v>1050</v>
      </c>
      <c r="M283" s="377" t="s">
        <v>1045</v>
      </c>
      <c r="N283" s="381">
        <v>0.39</v>
      </c>
      <c r="O283" s="294"/>
      <c r="P283" s="261">
        <v>0</v>
      </c>
      <c r="Q283" s="295">
        <v>60000</v>
      </c>
      <c r="R283" s="296">
        <v>60000</v>
      </c>
      <c r="S283" s="264">
        <v>90000</v>
      </c>
      <c r="T283" s="297">
        <v>0</v>
      </c>
    </row>
    <row r="284" spans="1:20">
      <c r="A284" s="298" t="s">
        <v>1051</v>
      </c>
      <c r="B284" s="259"/>
      <c r="C284" s="376">
        <v>0</v>
      </c>
      <c r="D284" s="298" t="s">
        <v>1030</v>
      </c>
      <c r="E284" s="298" t="s">
        <v>781</v>
      </c>
      <c r="F284" s="298"/>
      <c r="G284" s="377" t="s">
        <v>1052</v>
      </c>
      <c r="H284" s="377" t="s">
        <v>324</v>
      </c>
      <c r="I284" s="378" t="s">
        <v>1053</v>
      </c>
      <c r="J284" s="379" t="s">
        <v>325</v>
      </c>
      <c r="K284" s="379"/>
      <c r="L284" s="377" t="s">
        <v>133</v>
      </c>
      <c r="M284" s="377" t="s">
        <v>1045</v>
      </c>
      <c r="N284" s="381">
        <v>0.43</v>
      </c>
      <c r="O284" s="239"/>
      <c r="P284" s="261">
        <v>0</v>
      </c>
      <c r="Q284" s="262">
        <v>0</v>
      </c>
      <c r="R284" s="263"/>
      <c r="S284" s="264">
        <v>2000</v>
      </c>
      <c r="T284" s="265">
        <v>0</v>
      </c>
    </row>
    <row r="285" spans="1:20">
      <c r="A285" s="298" t="s">
        <v>1054</v>
      </c>
      <c r="B285" s="259">
        <v>2000</v>
      </c>
      <c r="C285" s="376">
        <v>0</v>
      </c>
      <c r="D285" s="298" t="s">
        <v>1030</v>
      </c>
      <c r="E285" s="298" t="s">
        <v>781</v>
      </c>
      <c r="F285" s="298"/>
      <c r="G285" s="377" t="s">
        <v>1055</v>
      </c>
      <c r="H285" s="377" t="s">
        <v>1056</v>
      </c>
      <c r="I285" s="378" t="s">
        <v>1057</v>
      </c>
      <c r="J285" s="379"/>
      <c r="K285" s="379" t="s">
        <v>326</v>
      </c>
      <c r="L285" s="377" t="s">
        <v>1058</v>
      </c>
      <c r="M285" s="377" t="s">
        <v>1059</v>
      </c>
      <c r="N285" s="381">
        <v>0.51</v>
      </c>
      <c r="O285" s="294"/>
      <c r="P285" s="261">
        <v>0</v>
      </c>
      <c r="Q285" s="295">
        <v>0</v>
      </c>
      <c r="R285" s="296">
        <v>0</v>
      </c>
      <c r="S285" s="264">
        <v>0</v>
      </c>
      <c r="T285" s="297">
        <v>0</v>
      </c>
    </row>
    <row r="286" spans="1:20">
      <c r="A286" s="298" t="s">
        <v>1060</v>
      </c>
      <c r="B286" s="259">
        <v>17887</v>
      </c>
      <c r="C286" s="376">
        <v>0</v>
      </c>
      <c r="D286" s="298" t="s">
        <v>1030</v>
      </c>
      <c r="E286" s="298" t="s">
        <v>781</v>
      </c>
      <c r="F286" s="298"/>
      <c r="G286" s="377" t="s">
        <v>1061</v>
      </c>
      <c r="H286" s="377" t="s">
        <v>1062</v>
      </c>
      <c r="I286" s="378" t="s">
        <v>1063</v>
      </c>
      <c r="J286" s="379"/>
      <c r="K286" s="379" t="s">
        <v>326</v>
      </c>
      <c r="L286" s="377" t="s">
        <v>1064</v>
      </c>
      <c r="M286" s="377" t="s">
        <v>1045</v>
      </c>
      <c r="N286" s="381">
        <v>0.62</v>
      </c>
      <c r="O286" s="294"/>
      <c r="P286" s="261">
        <v>0</v>
      </c>
      <c r="Q286" s="295">
        <v>17000</v>
      </c>
      <c r="R286" s="296">
        <v>17000</v>
      </c>
      <c r="S286" s="264">
        <v>56000</v>
      </c>
      <c r="T286" s="297">
        <v>50000</v>
      </c>
    </row>
    <row r="287" spans="1:20">
      <c r="A287" s="298" t="s">
        <v>1065</v>
      </c>
      <c r="B287" s="259">
        <v>39256</v>
      </c>
      <c r="C287" s="376">
        <v>0</v>
      </c>
      <c r="D287" s="298" t="s">
        <v>326</v>
      </c>
      <c r="E287" s="298" t="s">
        <v>306</v>
      </c>
      <c r="F287" s="298"/>
      <c r="G287" s="377" t="s">
        <v>1066</v>
      </c>
      <c r="H287" s="377" t="s">
        <v>1067</v>
      </c>
      <c r="I287" s="378" t="s">
        <v>1068</v>
      </c>
      <c r="J287" s="379"/>
      <c r="K287" s="379" t="s">
        <v>1069</v>
      </c>
      <c r="L287" s="377" t="s">
        <v>133</v>
      </c>
      <c r="M287" s="377" t="s">
        <v>1069</v>
      </c>
      <c r="N287" s="381">
        <v>0.69</v>
      </c>
      <c r="O287" s="239"/>
      <c r="P287" s="261">
        <v>0</v>
      </c>
      <c r="Q287" s="262">
        <v>22122</v>
      </c>
      <c r="R287" s="263">
        <v>22122</v>
      </c>
      <c r="S287" s="264">
        <v>50000</v>
      </c>
      <c r="T287" s="265">
        <v>0</v>
      </c>
    </row>
    <row r="288" spans="1:20">
      <c r="A288" s="298" t="s">
        <v>1070</v>
      </c>
      <c r="B288" s="259">
        <v>25000</v>
      </c>
      <c r="C288" s="376">
        <v>0</v>
      </c>
      <c r="D288" s="298" t="s">
        <v>1030</v>
      </c>
      <c r="E288" s="298" t="s">
        <v>306</v>
      </c>
      <c r="F288" s="298"/>
      <c r="G288" s="377" t="s">
        <v>1071</v>
      </c>
      <c r="H288" s="377" t="s">
        <v>1056</v>
      </c>
      <c r="I288" s="378" t="s">
        <v>1072</v>
      </c>
      <c r="J288" s="379"/>
      <c r="K288" s="379" t="s">
        <v>363</v>
      </c>
      <c r="L288" s="377" t="s">
        <v>1073</v>
      </c>
      <c r="M288" s="377" t="s">
        <v>1045</v>
      </c>
      <c r="N288" s="381">
        <v>7.18</v>
      </c>
      <c r="O288" s="239"/>
      <c r="P288" s="261"/>
      <c r="Q288" s="262"/>
      <c r="R288" s="263"/>
      <c r="S288" s="264">
        <v>0</v>
      </c>
      <c r="T288" s="265">
        <v>0</v>
      </c>
    </row>
    <row r="289" spans="1:20">
      <c r="A289" s="298" t="s">
        <v>1074</v>
      </c>
      <c r="B289" s="259">
        <v>300</v>
      </c>
      <c r="C289" s="376">
        <v>0</v>
      </c>
      <c r="D289" s="298" t="s">
        <v>1030</v>
      </c>
      <c r="E289" s="298" t="s">
        <v>781</v>
      </c>
      <c r="F289" s="298"/>
      <c r="G289" s="377" t="s">
        <v>1075</v>
      </c>
      <c r="H289" s="377" t="s">
        <v>1042</v>
      </c>
      <c r="I289" s="378" t="s">
        <v>1076</v>
      </c>
      <c r="J289" s="379" t="s">
        <v>325</v>
      </c>
      <c r="K289" s="379"/>
      <c r="L289" s="377" t="s">
        <v>1044</v>
      </c>
      <c r="M289" s="377" t="s">
        <v>1045</v>
      </c>
      <c r="N289" s="381">
        <v>0.95</v>
      </c>
      <c r="O289" s="294"/>
      <c r="P289" s="261">
        <v>0</v>
      </c>
      <c r="Q289" s="295">
        <v>300</v>
      </c>
      <c r="R289" s="296">
        <v>300</v>
      </c>
      <c r="S289" s="264">
        <v>0</v>
      </c>
      <c r="T289" s="297">
        <v>60000</v>
      </c>
    </row>
    <row r="290" spans="1:20">
      <c r="A290" s="298" t="s">
        <v>1077</v>
      </c>
      <c r="B290" s="259">
        <v>50000</v>
      </c>
      <c r="C290" s="376">
        <v>0</v>
      </c>
      <c r="D290" s="298" t="s">
        <v>1030</v>
      </c>
      <c r="E290" s="298" t="s">
        <v>781</v>
      </c>
      <c r="F290" s="298"/>
      <c r="G290" s="377" t="s">
        <v>1078</v>
      </c>
      <c r="H290" s="377" t="s">
        <v>1042</v>
      </c>
      <c r="I290" s="378" t="s">
        <v>1079</v>
      </c>
      <c r="J290" s="379" t="s">
        <v>325</v>
      </c>
      <c r="K290" s="379"/>
      <c r="L290" s="377" t="s">
        <v>1050</v>
      </c>
      <c r="M290" s="377" t="s">
        <v>1045</v>
      </c>
      <c r="N290" s="381">
        <v>0.95</v>
      </c>
      <c r="O290" s="294"/>
      <c r="P290" s="261">
        <v>0</v>
      </c>
      <c r="Q290" s="295">
        <v>30000</v>
      </c>
      <c r="R290" s="296">
        <v>30000</v>
      </c>
      <c r="S290" s="264">
        <v>60000</v>
      </c>
      <c r="T290" s="297">
        <v>0</v>
      </c>
    </row>
    <row r="291" spans="1:20">
      <c r="A291" s="298" t="s">
        <v>1080</v>
      </c>
      <c r="B291" s="259"/>
      <c r="C291" s="376">
        <v>0</v>
      </c>
      <c r="D291" s="298" t="s">
        <v>1030</v>
      </c>
      <c r="E291" s="298" t="s">
        <v>781</v>
      </c>
      <c r="F291" s="298"/>
      <c r="G291" s="377" t="s">
        <v>1081</v>
      </c>
      <c r="H291" s="377" t="s">
        <v>1082</v>
      </c>
      <c r="I291" s="378" t="s">
        <v>1083</v>
      </c>
      <c r="J291" s="379"/>
      <c r="K291" s="379"/>
      <c r="L291" s="377" t="s">
        <v>1084</v>
      </c>
      <c r="M291" s="377" t="s">
        <v>1033</v>
      </c>
      <c r="N291" s="381">
        <v>0.96</v>
      </c>
      <c r="O291" s="294"/>
      <c r="P291" s="261">
        <v>0</v>
      </c>
      <c r="Q291" s="295">
        <v>0</v>
      </c>
      <c r="R291" s="296"/>
      <c r="S291" s="264">
        <v>0</v>
      </c>
      <c r="T291" s="297">
        <v>320000</v>
      </c>
    </row>
    <row r="292" spans="1:20">
      <c r="A292" s="298" t="s">
        <v>1085</v>
      </c>
      <c r="B292" s="259">
        <v>95750</v>
      </c>
      <c r="C292" s="376">
        <v>0</v>
      </c>
      <c r="D292" s="298" t="s">
        <v>1030</v>
      </c>
      <c r="E292" s="298" t="s">
        <v>781</v>
      </c>
      <c r="F292" s="298"/>
      <c r="G292" s="377" t="s">
        <v>1086</v>
      </c>
      <c r="H292" s="377" t="s">
        <v>1087</v>
      </c>
      <c r="I292" s="378" t="s">
        <v>1088</v>
      </c>
      <c r="J292" s="379"/>
      <c r="K292" s="379"/>
      <c r="L292" s="377" t="s">
        <v>1089</v>
      </c>
      <c r="M292" s="377" t="s">
        <v>1090</v>
      </c>
      <c r="N292" s="381">
        <v>1</v>
      </c>
      <c r="O292" s="294"/>
      <c r="P292" s="261">
        <v>0</v>
      </c>
      <c r="Q292" s="295">
        <v>0</v>
      </c>
      <c r="R292" s="296">
        <v>0</v>
      </c>
      <c r="S292" s="264">
        <v>320000</v>
      </c>
      <c r="T292" s="297">
        <v>0</v>
      </c>
    </row>
    <row r="293" spans="1:20">
      <c r="A293" s="298" t="s">
        <v>1091</v>
      </c>
      <c r="B293" s="259"/>
      <c r="C293" s="376" t="e">
        <v>#N/A</v>
      </c>
      <c r="D293" s="298" t="s">
        <v>1030</v>
      </c>
      <c r="E293" s="298" t="s">
        <v>781</v>
      </c>
      <c r="F293" s="298"/>
      <c r="G293" s="377" t="s">
        <v>1092</v>
      </c>
      <c r="H293" s="377" t="s">
        <v>1056</v>
      </c>
      <c r="I293" s="378" t="s">
        <v>1093</v>
      </c>
      <c r="J293" s="379"/>
      <c r="K293" s="379" t="s">
        <v>363</v>
      </c>
      <c r="L293" s="377" t="s">
        <v>1056</v>
      </c>
      <c r="M293" s="377" t="s">
        <v>1045</v>
      </c>
      <c r="N293" s="381">
        <v>1</v>
      </c>
      <c r="O293" s="294"/>
      <c r="P293" s="261"/>
      <c r="Q293" s="295"/>
      <c r="R293" s="296"/>
      <c r="S293" s="264">
        <v>0</v>
      </c>
      <c r="T293" s="297">
        <v>0</v>
      </c>
    </row>
    <row r="294" spans="1:20">
      <c r="A294" s="298" t="s">
        <v>1094</v>
      </c>
      <c r="B294" s="259">
        <v>3341.4472000000001</v>
      </c>
      <c r="C294" s="376" t="e">
        <v>#N/A</v>
      </c>
      <c r="D294" s="298" t="s">
        <v>1030</v>
      </c>
      <c r="E294" s="298" t="s">
        <v>781</v>
      </c>
      <c r="F294" s="298"/>
      <c r="G294" s="377" t="s">
        <v>1095</v>
      </c>
      <c r="H294" s="377" t="s">
        <v>1056</v>
      </c>
      <c r="I294" s="378" t="s">
        <v>1096</v>
      </c>
      <c r="J294" s="379"/>
      <c r="K294" s="379" t="s">
        <v>1097</v>
      </c>
      <c r="L294" s="377" t="s">
        <v>1098</v>
      </c>
      <c r="M294" s="377" t="s">
        <v>1045</v>
      </c>
      <c r="N294" s="381">
        <v>1.03</v>
      </c>
      <c r="O294" s="294"/>
      <c r="P294" s="261"/>
      <c r="Q294" s="295"/>
      <c r="R294" s="296"/>
      <c r="S294" s="264">
        <v>0</v>
      </c>
      <c r="T294" s="297">
        <v>10000</v>
      </c>
    </row>
    <row r="295" spans="1:20">
      <c r="A295" s="298" t="s">
        <v>1099</v>
      </c>
      <c r="B295" s="259">
        <v>8000</v>
      </c>
      <c r="C295" s="376">
        <v>0</v>
      </c>
      <c r="D295" s="298" t="s">
        <v>1030</v>
      </c>
      <c r="E295" s="298" t="s">
        <v>781</v>
      </c>
      <c r="F295" s="298"/>
      <c r="G295" s="377" t="s">
        <v>1100</v>
      </c>
      <c r="H295" s="377" t="s">
        <v>1042</v>
      </c>
      <c r="I295" s="378" t="s">
        <v>1101</v>
      </c>
      <c r="J295" s="379" t="s">
        <v>325</v>
      </c>
      <c r="K295" s="379"/>
      <c r="L295" s="377" t="s">
        <v>1044</v>
      </c>
      <c r="M295" s="377" t="s">
        <v>1045</v>
      </c>
      <c r="N295" s="381">
        <v>1.68</v>
      </c>
      <c r="O295" s="294"/>
      <c r="P295" s="261">
        <v>0</v>
      </c>
      <c r="Q295" s="295">
        <v>8000</v>
      </c>
      <c r="R295" s="296">
        <v>8000</v>
      </c>
      <c r="S295" s="264">
        <v>10000</v>
      </c>
      <c r="T295" s="297">
        <v>10000</v>
      </c>
    </row>
    <row r="296" spans="1:20">
      <c r="A296" s="298" t="s">
        <v>1102</v>
      </c>
      <c r="B296" s="259">
        <v>8000</v>
      </c>
      <c r="C296" s="376">
        <v>0</v>
      </c>
      <c r="D296" s="298" t="s">
        <v>1030</v>
      </c>
      <c r="E296" s="298" t="s">
        <v>781</v>
      </c>
      <c r="F296" s="298"/>
      <c r="G296" s="377" t="s">
        <v>1103</v>
      </c>
      <c r="H296" s="377" t="s">
        <v>1056</v>
      </c>
      <c r="I296" s="378" t="s">
        <v>1104</v>
      </c>
      <c r="J296" s="379"/>
      <c r="K296" s="379" t="s">
        <v>363</v>
      </c>
      <c r="L296" s="377" t="s">
        <v>1058</v>
      </c>
      <c r="M296" s="377" t="s">
        <v>1045</v>
      </c>
      <c r="N296" s="381">
        <v>1.87</v>
      </c>
      <c r="O296" s="294"/>
      <c r="P296" s="261">
        <v>0</v>
      </c>
      <c r="Q296" s="295">
        <v>6000</v>
      </c>
      <c r="R296" s="296">
        <v>6000</v>
      </c>
      <c r="S296" s="264">
        <v>10000</v>
      </c>
      <c r="T296" s="297">
        <v>40000</v>
      </c>
    </row>
    <row r="297" spans="1:20">
      <c r="A297" s="298" t="s">
        <v>1105</v>
      </c>
      <c r="B297" s="259">
        <v>20000</v>
      </c>
      <c r="C297" s="376">
        <v>0</v>
      </c>
      <c r="D297" s="298" t="s">
        <v>1030</v>
      </c>
      <c r="E297" s="298" t="s">
        <v>781</v>
      </c>
      <c r="F297" s="298"/>
      <c r="G297" s="377" t="s">
        <v>1106</v>
      </c>
      <c r="H297" s="377" t="s">
        <v>1048</v>
      </c>
      <c r="I297" s="378" t="s">
        <v>1101</v>
      </c>
      <c r="J297" s="379" t="s">
        <v>325</v>
      </c>
      <c r="K297" s="379"/>
      <c r="L297" s="377" t="s">
        <v>1050</v>
      </c>
      <c r="M297" s="377" t="s">
        <v>1045</v>
      </c>
      <c r="N297" s="381">
        <v>1.87</v>
      </c>
      <c r="O297" s="294"/>
      <c r="P297" s="261">
        <v>0</v>
      </c>
      <c r="Q297" s="295">
        <v>20000</v>
      </c>
      <c r="R297" s="296">
        <v>20000</v>
      </c>
      <c r="S297" s="264">
        <v>40000</v>
      </c>
      <c r="T297" s="297">
        <v>0</v>
      </c>
    </row>
    <row r="298" spans="1:20">
      <c r="A298" s="298" t="s">
        <v>1107</v>
      </c>
      <c r="B298" s="259"/>
      <c r="C298" s="376">
        <v>0</v>
      </c>
      <c r="D298" s="298" t="s">
        <v>1030</v>
      </c>
      <c r="E298" s="298" t="s">
        <v>781</v>
      </c>
      <c r="F298" s="298"/>
      <c r="G298" s="377" t="s">
        <v>1108</v>
      </c>
      <c r="H298" s="377" t="s">
        <v>1109</v>
      </c>
      <c r="I298" s="378" t="s">
        <v>1110</v>
      </c>
      <c r="J298" s="379" t="s">
        <v>362</v>
      </c>
      <c r="K298" s="379"/>
      <c r="L298" s="377" t="s">
        <v>1084</v>
      </c>
      <c r="M298" s="377" t="s">
        <v>1045</v>
      </c>
      <c r="N298" s="381">
        <v>2.75</v>
      </c>
      <c r="O298" s="294"/>
      <c r="P298" s="261">
        <v>0</v>
      </c>
      <c r="Q298" s="295">
        <v>0</v>
      </c>
      <c r="R298" s="296"/>
      <c r="S298" s="264">
        <v>0</v>
      </c>
      <c r="T298" s="297">
        <v>0</v>
      </c>
    </row>
    <row r="299" spans="1:20">
      <c r="A299" s="298" t="s">
        <v>1111</v>
      </c>
      <c r="B299" s="259">
        <v>10825.1962</v>
      </c>
      <c r="C299" s="376" t="e">
        <v>#N/A</v>
      </c>
      <c r="D299" s="298" t="s">
        <v>1030</v>
      </c>
      <c r="E299" s="298" t="s">
        <v>781</v>
      </c>
      <c r="F299" s="298"/>
      <c r="G299" s="377" t="s">
        <v>1112</v>
      </c>
      <c r="H299" s="377" t="s">
        <v>1056</v>
      </c>
      <c r="I299" s="378" t="s">
        <v>1113</v>
      </c>
      <c r="J299" s="379"/>
      <c r="K299" s="379" t="s">
        <v>363</v>
      </c>
      <c r="L299" s="377" t="s">
        <v>1098</v>
      </c>
      <c r="M299" s="377" t="s">
        <v>1045</v>
      </c>
      <c r="N299" s="381">
        <v>2.98</v>
      </c>
      <c r="O299" s="294"/>
      <c r="P299" s="261"/>
      <c r="Q299" s="295"/>
      <c r="R299" s="296"/>
      <c r="S299" s="264">
        <v>0</v>
      </c>
      <c r="T299" s="297">
        <v>0</v>
      </c>
    </row>
    <row r="300" spans="1:20">
      <c r="A300" s="298" t="s">
        <v>1114</v>
      </c>
      <c r="B300" s="259">
        <v>1000</v>
      </c>
      <c r="C300" s="376">
        <v>0</v>
      </c>
      <c r="D300" s="298" t="s">
        <v>1030</v>
      </c>
      <c r="E300" s="298" t="s">
        <v>781</v>
      </c>
      <c r="F300" s="298"/>
      <c r="G300" s="377" t="s">
        <v>1115</v>
      </c>
      <c r="H300" s="377" t="s">
        <v>1042</v>
      </c>
      <c r="I300" s="378" t="s">
        <v>1116</v>
      </c>
      <c r="J300" s="379" t="s">
        <v>325</v>
      </c>
      <c r="K300" s="379"/>
      <c r="L300" s="377" t="s">
        <v>1050</v>
      </c>
      <c r="M300" s="377" t="s">
        <v>1045</v>
      </c>
      <c r="N300" s="381">
        <v>3.1</v>
      </c>
      <c r="O300" s="336"/>
      <c r="P300" s="372">
        <v>0</v>
      </c>
      <c r="Q300" s="373">
        <v>1500</v>
      </c>
      <c r="R300" s="374">
        <v>1500</v>
      </c>
      <c r="S300" s="264">
        <v>0</v>
      </c>
      <c r="T300" s="265">
        <v>0</v>
      </c>
    </row>
    <row r="301" spans="1:20">
      <c r="A301" s="298" t="s">
        <v>1117</v>
      </c>
      <c r="B301" s="259"/>
      <c r="C301" s="376">
        <v>0</v>
      </c>
      <c r="D301" s="298" t="s">
        <v>1030</v>
      </c>
      <c r="E301" s="298" t="s">
        <v>306</v>
      </c>
      <c r="F301" s="298"/>
      <c r="G301" s="377" t="s">
        <v>1118</v>
      </c>
      <c r="H301" s="377" t="s">
        <v>1119</v>
      </c>
      <c r="I301" s="378" t="s">
        <v>1120</v>
      </c>
      <c r="J301" s="379"/>
      <c r="K301" s="379"/>
      <c r="L301" s="377" t="s">
        <v>133</v>
      </c>
      <c r="M301" s="377" t="s">
        <v>1069</v>
      </c>
      <c r="N301" s="381">
        <v>3.52</v>
      </c>
      <c r="O301" s="294"/>
      <c r="P301" s="261">
        <v>0</v>
      </c>
      <c r="Q301" s="302">
        <v>0</v>
      </c>
      <c r="R301" s="303"/>
      <c r="S301" s="264">
        <v>0</v>
      </c>
      <c r="T301" s="297">
        <v>20000</v>
      </c>
    </row>
    <row r="302" spans="1:20">
      <c r="A302" s="298" t="s">
        <v>1121</v>
      </c>
      <c r="B302" s="259">
        <v>60538</v>
      </c>
      <c r="C302" s="376">
        <v>0</v>
      </c>
      <c r="D302" s="298" t="s">
        <v>1030</v>
      </c>
      <c r="E302" s="298" t="s">
        <v>369</v>
      </c>
      <c r="F302" s="298"/>
      <c r="G302" s="377" t="s">
        <v>1122</v>
      </c>
      <c r="H302" s="377" t="s">
        <v>1123</v>
      </c>
      <c r="I302" s="378" t="s">
        <v>1124</v>
      </c>
      <c r="J302" s="379" t="s">
        <v>1069</v>
      </c>
      <c r="K302" s="379"/>
      <c r="L302" s="377" t="s">
        <v>133</v>
      </c>
      <c r="M302" s="377" t="s">
        <v>1069</v>
      </c>
      <c r="N302" s="381">
        <v>5.58</v>
      </c>
      <c r="O302" s="294"/>
      <c r="P302" s="261">
        <v>0</v>
      </c>
      <c r="Q302" s="302">
        <v>18502</v>
      </c>
      <c r="R302" s="303">
        <v>18502</v>
      </c>
      <c r="S302" s="264">
        <v>100000</v>
      </c>
      <c r="T302" s="297">
        <v>0</v>
      </c>
    </row>
    <row r="303" spans="1:20">
      <c r="A303" s="298" t="s">
        <v>1125</v>
      </c>
      <c r="B303" s="259">
        <v>6266.8813480000008</v>
      </c>
      <c r="C303" s="376" t="e">
        <v>#N/A</v>
      </c>
      <c r="D303" s="298" t="s">
        <v>1030</v>
      </c>
      <c r="E303" s="298" t="s">
        <v>781</v>
      </c>
      <c r="F303" s="298"/>
      <c r="G303" s="377" t="s">
        <v>1126</v>
      </c>
      <c r="H303" s="377" t="s">
        <v>1056</v>
      </c>
      <c r="I303" s="378" t="s">
        <v>1127</v>
      </c>
      <c r="J303" s="379"/>
      <c r="K303" s="379" t="s">
        <v>363</v>
      </c>
      <c r="L303" s="377" t="s">
        <v>1098</v>
      </c>
      <c r="M303" s="377" t="s">
        <v>1045</v>
      </c>
      <c r="N303" s="381">
        <v>5.94</v>
      </c>
      <c r="O303" s="294"/>
      <c r="P303" s="261"/>
      <c r="Q303" s="295"/>
      <c r="R303" s="296"/>
      <c r="S303" s="264">
        <v>0</v>
      </c>
      <c r="T303" s="297">
        <v>0</v>
      </c>
    </row>
    <row r="304" spans="1:20">
      <c r="A304" s="298" t="s">
        <v>1128</v>
      </c>
      <c r="B304" s="259"/>
      <c r="C304" s="376">
        <v>0</v>
      </c>
      <c r="D304" s="298" t="s">
        <v>1030</v>
      </c>
      <c r="E304" s="298" t="s">
        <v>480</v>
      </c>
      <c r="F304" s="298"/>
      <c r="G304" s="377" t="s">
        <v>1129</v>
      </c>
      <c r="H304" s="377" t="s">
        <v>1130</v>
      </c>
      <c r="I304" s="378" t="s">
        <v>1131</v>
      </c>
      <c r="J304" s="379" t="s">
        <v>1132</v>
      </c>
      <c r="K304" s="379"/>
      <c r="L304" s="377" t="s">
        <v>133</v>
      </c>
      <c r="M304" s="377" t="s">
        <v>1069</v>
      </c>
      <c r="N304" s="381">
        <v>9.5</v>
      </c>
      <c r="O304" s="304">
        <v>1</v>
      </c>
      <c r="P304" s="261">
        <v>0</v>
      </c>
      <c r="Q304" s="305">
        <v>0</v>
      </c>
      <c r="R304" s="306"/>
      <c r="S304" s="264">
        <v>0</v>
      </c>
      <c r="T304" s="297">
        <v>0</v>
      </c>
    </row>
    <row r="305" spans="1:20">
      <c r="A305" s="298" t="s">
        <v>1133</v>
      </c>
      <c r="B305" s="259">
        <v>0</v>
      </c>
      <c r="C305" s="376">
        <v>0</v>
      </c>
      <c r="D305" s="298" t="s">
        <v>1030</v>
      </c>
      <c r="E305" s="298" t="s">
        <v>1134</v>
      </c>
      <c r="F305" s="298"/>
      <c r="G305" s="377" t="s">
        <v>1135</v>
      </c>
      <c r="H305" s="377" t="s">
        <v>1056</v>
      </c>
      <c r="I305" s="378" t="s">
        <v>1136</v>
      </c>
      <c r="J305" s="379"/>
      <c r="K305" s="379" t="s">
        <v>363</v>
      </c>
      <c r="L305" s="377" t="s">
        <v>1064</v>
      </c>
      <c r="M305" s="377" t="s">
        <v>1045</v>
      </c>
      <c r="N305" s="381">
        <v>9.66</v>
      </c>
      <c r="O305" s="294"/>
      <c r="P305" s="261">
        <v>0</v>
      </c>
      <c r="Q305" s="295">
        <v>260000</v>
      </c>
      <c r="R305" s="296">
        <v>260000</v>
      </c>
      <c r="S305" s="264">
        <v>0</v>
      </c>
      <c r="T305" s="297">
        <v>0</v>
      </c>
    </row>
    <row r="306" spans="1:20">
      <c r="A306" s="298" t="s">
        <v>1137</v>
      </c>
      <c r="B306" s="259">
        <v>500</v>
      </c>
      <c r="C306" s="376">
        <v>0</v>
      </c>
      <c r="D306" s="298" t="s">
        <v>1030</v>
      </c>
      <c r="E306" s="298" t="s">
        <v>781</v>
      </c>
      <c r="F306" s="298"/>
      <c r="G306" s="377" t="s">
        <v>1138</v>
      </c>
      <c r="H306" s="377" t="s">
        <v>1042</v>
      </c>
      <c r="I306" s="378" t="s">
        <v>1139</v>
      </c>
      <c r="J306" s="379" t="s">
        <v>325</v>
      </c>
      <c r="K306" s="379"/>
      <c r="L306" s="377" t="s">
        <v>1050</v>
      </c>
      <c r="M306" s="377" t="s">
        <v>1045</v>
      </c>
      <c r="N306" s="381">
        <v>11.19</v>
      </c>
      <c r="O306" s="336"/>
      <c r="P306" s="372">
        <v>0</v>
      </c>
      <c r="Q306" s="373">
        <v>700</v>
      </c>
      <c r="R306" s="374">
        <v>700</v>
      </c>
      <c r="S306" s="264">
        <v>0</v>
      </c>
      <c r="T306" s="265">
        <v>0</v>
      </c>
    </row>
    <row r="307" spans="1:20">
      <c r="A307" s="298" t="s">
        <v>1140</v>
      </c>
      <c r="B307" s="259"/>
      <c r="C307" s="376">
        <v>0</v>
      </c>
      <c r="D307" s="298" t="s">
        <v>1030</v>
      </c>
      <c r="E307" s="298" t="s">
        <v>781</v>
      </c>
      <c r="F307" s="298"/>
      <c r="G307" s="377" t="s">
        <v>1141</v>
      </c>
      <c r="H307" s="377" t="s">
        <v>1142</v>
      </c>
      <c r="I307" s="378" t="s">
        <v>1143</v>
      </c>
      <c r="J307" s="379" t="s">
        <v>1069</v>
      </c>
      <c r="K307" s="379"/>
      <c r="L307" s="377" t="s">
        <v>133</v>
      </c>
      <c r="M307" s="377" t="s">
        <v>1069</v>
      </c>
      <c r="N307" s="381">
        <v>13.2</v>
      </c>
      <c r="O307" s="239"/>
      <c r="P307" s="261">
        <v>0</v>
      </c>
      <c r="Q307" s="262">
        <v>0</v>
      </c>
      <c r="R307" s="263"/>
      <c r="S307" s="264">
        <v>0</v>
      </c>
      <c r="T307" s="265">
        <v>550</v>
      </c>
    </row>
    <row r="308" spans="1:20">
      <c r="A308" s="298" t="s">
        <v>1144</v>
      </c>
      <c r="B308" s="259">
        <v>200</v>
      </c>
      <c r="C308" s="376">
        <v>0</v>
      </c>
      <c r="D308" s="298" t="s">
        <v>326</v>
      </c>
      <c r="E308" s="298" t="s">
        <v>781</v>
      </c>
      <c r="F308" s="298"/>
      <c r="G308" s="377" t="s">
        <v>1145</v>
      </c>
      <c r="H308" s="377" t="s">
        <v>1056</v>
      </c>
      <c r="I308" s="378" t="s">
        <v>1146</v>
      </c>
      <c r="J308" s="379"/>
      <c r="K308" s="379" t="s">
        <v>363</v>
      </c>
      <c r="L308" s="377" t="s">
        <v>1147</v>
      </c>
      <c r="M308" s="377" t="s">
        <v>1045</v>
      </c>
      <c r="N308" s="381">
        <v>111.5</v>
      </c>
      <c r="O308" s="294"/>
      <c r="P308" s="261">
        <v>0</v>
      </c>
      <c r="Q308" s="295">
        <v>0</v>
      </c>
      <c r="R308" s="296">
        <v>0</v>
      </c>
      <c r="S308" s="264">
        <v>1000</v>
      </c>
      <c r="T308" s="265">
        <v>0</v>
      </c>
    </row>
    <row r="309" spans="1:20">
      <c r="A309" s="298" t="s">
        <v>1148</v>
      </c>
      <c r="B309" s="259">
        <v>20600</v>
      </c>
      <c r="C309" s="376">
        <v>0</v>
      </c>
      <c r="D309" s="298" t="s">
        <v>326</v>
      </c>
      <c r="E309" s="298"/>
      <c r="F309" s="298"/>
      <c r="G309" s="377">
        <v>30600461</v>
      </c>
      <c r="H309" s="377" t="s">
        <v>1149</v>
      </c>
      <c r="I309" s="378" t="s">
        <v>1150</v>
      </c>
      <c r="J309" s="379"/>
      <c r="K309" s="379" t="s">
        <v>363</v>
      </c>
      <c r="L309" s="377" t="s">
        <v>135</v>
      </c>
      <c r="M309" s="380" t="s">
        <v>1045</v>
      </c>
      <c r="N309" s="381">
        <v>0.36</v>
      </c>
      <c r="O309" s="294"/>
      <c r="P309" s="261">
        <v>0</v>
      </c>
      <c r="Q309" s="295">
        <v>15400</v>
      </c>
      <c r="R309" s="296">
        <v>15400</v>
      </c>
      <c r="S309" s="264">
        <v>0</v>
      </c>
      <c r="T309" s="297">
        <v>0</v>
      </c>
    </row>
    <row r="310" spans="1:20">
      <c r="A310" s="298" t="s">
        <v>1151</v>
      </c>
      <c r="B310" s="259">
        <v>70348</v>
      </c>
      <c r="C310" s="376">
        <v>0</v>
      </c>
      <c r="D310" s="298" t="s">
        <v>326</v>
      </c>
      <c r="E310" s="298" t="s">
        <v>781</v>
      </c>
      <c r="F310" s="298"/>
      <c r="G310" s="377" t="s">
        <v>1152</v>
      </c>
      <c r="H310" s="377" t="s">
        <v>1153</v>
      </c>
      <c r="I310" s="378" t="s">
        <v>1154</v>
      </c>
      <c r="J310" s="379"/>
      <c r="K310" s="379"/>
      <c r="L310" s="377" t="s">
        <v>1155</v>
      </c>
      <c r="M310" s="380" t="s">
        <v>1090</v>
      </c>
      <c r="N310" s="381">
        <v>1.1000000000000001</v>
      </c>
      <c r="O310" s="294">
        <v>1</v>
      </c>
      <c r="P310" s="261">
        <v>0</v>
      </c>
      <c r="Q310" s="295">
        <v>0</v>
      </c>
      <c r="R310" s="296"/>
      <c r="S310" s="264">
        <v>200000</v>
      </c>
      <c r="T310" s="297">
        <v>0</v>
      </c>
    </row>
    <row r="311" spans="1:20">
      <c r="A311" s="298" t="s">
        <v>1156</v>
      </c>
      <c r="B311" s="259"/>
      <c r="C311" s="376">
        <v>0</v>
      </c>
      <c r="D311" s="298" t="s">
        <v>326</v>
      </c>
      <c r="E311" s="298" t="s">
        <v>781</v>
      </c>
      <c r="F311" s="298"/>
      <c r="G311" s="377" t="s">
        <v>1157</v>
      </c>
      <c r="H311" s="377" t="s">
        <v>1158</v>
      </c>
      <c r="I311" s="378" t="s">
        <v>59</v>
      </c>
      <c r="J311" s="379"/>
      <c r="K311" s="379"/>
      <c r="L311" s="377" t="s">
        <v>1155</v>
      </c>
      <c r="M311" s="380" t="s">
        <v>1090</v>
      </c>
      <c r="N311" s="381">
        <v>1.8</v>
      </c>
      <c r="O311" s="294"/>
      <c r="P311" s="261">
        <v>0</v>
      </c>
      <c r="Q311" s="295">
        <v>0</v>
      </c>
      <c r="R311" s="296">
        <v>0</v>
      </c>
      <c r="S311" s="264">
        <v>0</v>
      </c>
      <c r="T311" s="297">
        <v>0</v>
      </c>
    </row>
    <row r="312" spans="1:20">
      <c r="A312" s="298" t="s">
        <v>1159</v>
      </c>
      <c r="B312" s="259">
        <v>13040.846000000001</v>
      </c>
      <c r="C312" s="376" t="e">
        <v>#N/A</v>
      </c>
      <c r="D312" s="298" t="s">
        <v>326</v>
      </c>
      <c r="E312" s="298"/>
      <c r="F312" s="298"/>
      <c r="G312" s="377" t="s">
        <v>1160</v>
      </c>
      <c r="H312" s="377" t="s">
        <v>1056</v>
      </c>
      <c r="I312" s="378" t="s">
        <v>1161</v>
      </c>
      <c r="J312" s="379"/>
      <c r="K312" s="379" t="s">
        <v>363</v>
      </c>
      <c r="L312" s="377" t="s">
        <v>1162</v>
      </c>
      <c r="M312" s="380" t="s">
        <v>1045</v>
      </c>
      <c r="N312" s="381">
        <v>0.6</v>
      </c>
      <c r="O312" s="294">
        <v>1</v>
      </c>
      <c r="P312" s="261"/>
      <c r="Q312" s="295"/>
      <c r="R312" s="296"/>
      <c r="S312" s="264">
        <v>0</v>
      </c>
      <c r="T312" s="297">
        <v>0</v>
      </c>
    </row>
    <row r="313" spans="1:20">
      <c r="A313" s="362" t="s">
        <v>1163</v>
      </c>
      <c r="B313" s="345">
        <v>1504.628944</v>
      </c>
      <c r="C313" s="361"/>
      <c r="D313" s="362" t="s">
        <v>326</v>
      </c>
      <c r="E313" s="362"/>
      <c r="F313" s="362"/>
      <c r="G313" s="360" t="s">
        <v>1164</v>
      </c>
      <c r="H313" s="360" t="s">
        <v>1056</v>
      </c>
      <c r="I313" s="382" t="s">
        <v>1165</v>
      </c>
      <c r="J313" s="383"/>
      <c r="K313" s="383"/>
      <c r="L313" s="360"/>
      <c r="M313" s="365" t="s">
        <v>1039</v>
      </c>
      <c r="N313" s="366">
        <v>2.17</v>
      </c>
      <c r="O313" s="352"/>
      <c r="P313" s="353"/>
      <c r="Q313" s="358"/>
      <c r="R313" s="359"/>
      <c r="S313" s="356">
        <v>0</v>
      </c>
      <c r="T313" s="357">
        <v>0</v>
      </c>
    </row>
    <row r="314" spans="1:20">
      <c r="A314" s="298" t="s">
        <v>1166</v>
      </c>
      <c r="B314" s="259">
        <v>0</v>
      </c>
      <c r="C314" s="376">
        <v>0</v>
      </c>
      <c r="D314" s="298" t="s">
        <v>326</v>
      </c>
      <c r="E314" s="298" t="s">
        <v>781</v>
      </c>
      <c r="F314" s="298"/>
      <c r="G314" s="377" t="s">
        <v>1167</v>
      </c>
      <c r="H314" s="377" t="s">
        <v>1042</v>
      </c>
      <c r="I314" s="378" t="s">
        <v>1168</v>
      </c>
      <c r="J314" s="379" t="s">
        <v>325</v>
      </c>
      <c r="K314" s="379"/>
      <c r="L314" s="377" t="s">
        <v>1169</v>
      </c>
      <c r="M314" s="380" t="s">
        <v>1045</v>
      </c>
      <c r="N314" s="381">
        <v>0.86</v>
      </c>
      <c r="O314" s="294"/>
      <c r="P314" s="261">
        <v>0</v>
      </c>
      <c r="Q314" s="295">
        <v>0</v>
      </c>
      <c r="R314" s="296"/>
      <c r="S314" s="264">
        <v>0</v>
      </c>
      <c r="T314" s="297">
        <v>300000</v>
      </c>
    </row>
    <row r="315" spans="1:20">
      <c r="A315" s="298" t="s">
        <v>1170</v>
      </c>
      <c r="B315" s="259">
        <v>90000</v>
      </c>
      <c r="C315" s="376" t="e">
        <v>#N/A</v>
      </c>
      <c r="D315" s="298" t="s">
        <v>326</v>
      </c>
      <c r="E315" s="298" t="s">
        <v>781</v>
      </c>
      <c r="F315" s="298"/>
      <c r="G315" s="377" t="s">
        <v>1171</v>
      </c>
      <c r="H315" s="377" t="s">
        <v>1172</v>
      </c>
      <c r="I315" s="378" t="s">
        <v>1173</v>
      </c>
      <c r="J315" s="379"/>
      <c r="K315" s="379"/>
      <c r="L315" s="377" t="s">
        <v>136</v>
      </c>
      <c r="M315" s="380" t="s">
        <v>1090</v>
      </c>
      <c r="N315" s="381">
        <v>0.24</v>
      </c>
      <c r="O315" s="294">
        <v>1</v>
      </c>
      <c r="P315" s="261"/>
      <c r="Q315" s="302"/>
      <c r="R315" s="303">
        <v>0</v>
      </c>
      <c r="S315" s="264">
        <v>300000</v>
      </c>
      <c r="T315" s="297">
        <v>0</v>
      </c>
    </row>
    <row r="316" spans="1:20">
      <c r="A316" s="298" t="s">
        <v>1174</v>
      </c>
      <c r="B316" s="259">
        <v>16123.4892</v>
      </c>
      <c r="C316" s="376" t="e">
        <v>#N/A</v>
      </c>
      <c r="D316" s="298" t="s">
        <v>326</v>
      </c>
      <c r="E316" s="298"/>
      <c r="F316" s="298"/>
      <c r="G316" s="377" t="s">
        <v>1175</v>
      </c>
      <c r="H316" s="377" t="s">
        <v>1056</v>
      </c>
      <c r="I316" s="378" t="s">
        <v>1176</v>
      </c>
      <c r="J316" s="379"/>
      <c r="K316" s="379" t="s">
        <v>363</v>
      </c>
      <c r="L316" s="377" t="s">
        <v>1162</v>
      </c>
      <c r="M316" s="380" t="s">
        <v>1045</v>
      </c>
      <c r="N316" s="381">
        <v>1.06</v>
      </c>
      <c r="O316" s="294">
        <v>1</v>
      </c>
      <c r="P316" s="261"/>
      <c r="Q316" s="295"/>
      <c r="R316" s="296"/>
      <c r="S316" s="264">
        <v>0</v>
      </c>
      <c r="T316" s="297">
        <v>0</v>
      </c>
    </row>
    <row r="317" spans="1:20">
      <c r="A317" s="298" t="s">
        <v>1177</v>
      </c>
      <c r="B317" s="259"/>
      <c r="C317" s="376">
        <v>0</v>
      </c>
      <c r="D317" s="298" t="s">
        <v>326</v>
      </c>
      <c r="E317" s="298"/>
      <c r="F317" s="298"/>
      <c r="G317" s="377" t="s">
        <v>1178</v>
      </c>
      <c r="H317" s="377" t="s">
        <v>1179</v>
      </c>
      <c r="I317" s="378" t="s">
        <v>1120</v>
      </c>
      <c r="J317" s="379"/>
      <c r="K317" s="379" t="s">
        <v>326</v>
      </c>
      <c r="L317" s="377" t="s">
        <v>1180</v>
      </c>
      <c r="M317" s="380" t="s">
        <v>1069</v>
      </c>
      <c r="N317" s="381">
        <v>5.58</v>
      </c>
      <c r="O317" s="294"/>
      <c r="P317" s="261">
        <v>0</v>
      </c>
      <c r="Q317" s="295">
        <v>0</v>
      </c>
      <c r="R317" s="296"/>
      <c r="S317" s="264">
        <v>0</v>
      </c>
      <c r="T317" s="297">
        <v>0</v>
      </c>
    </row>
    <row r="318" spans="1:20">
      <c r="A318" s="298" t="s">
        <v>1181</v>
      </c>
      <c r="B318" s="259"/>
      <c r="C318" s="376">
        <v>0</v>
      </c>
      <c r="D318" s="298" t="s">
        <v>326</v>
      </c>
      <c r="E318" s="298"/>
      <c r="F318" s="298"/>
      <c r="G318" s="377" t="s">
        <v>1182</v>
      </c>
      <c r="H318" s="377" t="s">
        <v>1183</v>
      </c>
      <c r="I318" s="378" t="s">
        <v>1184</v>
      </c>
      <c r="J318" s="379"/>
      <c r="K318" s="379" t="s">
        <v>326</v>
      </c>
      <c r="L318" s="377" t="s">
        <v>1185</v>
      </c>
      <c r="M318" s="380" t="s">
        <v>1069</v>
      </c>
      <c r="N318" s="381">
        <v>14.1</v>
      </c>
      <c r="O318" s="294"/>
      <c r="P318" s="261">
        <v>0</v>
      </c>
      <c r="Q318" s="295">
        <v>0</v>
      </c>
      <c r="R318" s="296"/>
      <c r="S318" s="264">
        <v>0</v>
      </c>
      <c r="T318" s="297">
        <v>0</v>
      </c>
    </row>
    <row r="319" spans="1:20">
      <c r="A319" s="234" t="s">
        <v>1186</v>
      </c>
      <c r="B319" s="259"/>
      <c r="C319" s="260">
        <v>0</v>
      </c>
      <c r="D319" s="234" t="s">
        <v>326</v>
      </c>
      <c r="E319" s="234"/>
      <c r="F319" s="234"/>
      <c r="G319" s="231" t="s">
        <v>1187</v>
      </c>
      <c r="H319" s="231" t="s">
        <v>1188</v>
      </c>
      <c r="I319" s="235" t="s">
        <v>1189</v>
      </c>
      <c r="J319" s="236"/>
      <c r="K319" s="236"/>
      <c r="L319" s="231" t="s">
        <v>133</v>
      </c>
      <c r="M319" s="237" t="s">
        <v>1190</v>
      </c>
      <c r="N319" s="238">
        <v>25</v>
      </c>
      <c r="O319" s="294"/>
      <c r="P319" s="261">
        <v>0</v>
      </c>
      <c r="Q319" s="295">
        <v>0</v>
      </c>
      <c r="R319" s="296"/>
      <c r="S319" s="264">
        <v>0</v>
      </c>
      <c r="T319" s="297">
        <v>260000</v>
      </c>
    </row>
    <row r="320" spans="1:20">
      <c r="A320" s="298" t="s">
        <v>1191</v>
      </c>
      <c r="B320" s="259">
        <v>90000</v>
      </c>
      <c r="C320" s="376" t="e">
        <v>#N/A</v>
      </c>
      <c r="D320" s="298" t="s">
        <v>326</v>
      </c>
      <c r="E320" s="298" t="s">
        <v>781</v>
      </c>
      <c r="F320" s="298"/>
      <c r="G320" s="377" t="s">
        <v>1192</v>
      </c>
      <c r="H320" s="377" t="s">
        <v>1193</v>
      </c>
      <c r="I320" s="378" t="s">
        <v>1194</v>
      </c>
      <c r="J320" s="379"/>
      <c r="K320" s="379"/>
      <c r="L320" s="377" t="s">
        <v>136</v>
      </c>
      <c r="M320" s="380" t="s">
        <v>1195</v>
      </c>
      <c r="N320" s="381">
        <v>0.47</v>
      </c>
      <c r="O320" s="294">
        <v>1</v>
      </c>
      <c r="P320" s="261"/>
      <c r="Q320" s="295"/>
      <c r="R320" s="296">
        <v>0</v>
      </c>
      <c r="S320" s="264">
        <v>400000</v>
      </c>
      <c r="T320" s="297">
        <v>0</v>
      </c>
    </row>
    <row r="321" spans="1:20">
      <c r="A321" s="234" t="s">
        <v>1196</v>
      </c>
      <c r="B321" s="259">
        <v>0</v>
      </c>
      <c r="C321" s="260">
        <v>0</v>
      </c>
      <c r="D321" s="234" t="s">
        <v>326</v>
      </c>
      <c r="E321" s="234"/>
      <c r="F321" s="234"/>
      <c r="G321" s="231">
        <v>7004001614</v>
      </c>
      <c r="H321" s="231" t="s">
        <v>1197</v>
      </c>
      <c r="I321" s="235" t="s">
        <v>1198</v>
      </c>
      <c r="J321" s="236"/>
      <c r="K321" s="236"/>
      <c r="L321" s="231" t="s">
        <v>1199</v>
      </c>
      <c r="M321" s="237" t="s">
        <v>905</v>
      </c>
      <c r="N321" s="238">
        <v>1.4</v>
      </c>
      <c r="O321" s="294">
        <v>1</v>
      </c>
      <c r="P321" s="261">
        <v>0</v>
      </c>
      <c r="Q321" s="295">
        <v>0</v>
      </c>
      <c r="R321" s="296">
        <v>0</v>
      </c>
      <c r="S321" s="264">
        <v>0</v>
      </c>
      <c r="T321" s="297">
        <v>173000</v>
      </c>
    </row>
    <row r="322" spans="1:20">
      <c r="A322" s="234" t="s">
        <v>1200</v>
      </c>
      <c r="B322" s="259">
        <v>69742</v>
      </c>
      <c r="C322" s="260">
        <v>0</v>
      </c>
      <c r="D322" s="234" t="s">
        <v>326</v>
      </c>
      <c r="E322" s="234"/>
      <c r="F322" s="234"/>
      <c r="G322" s="231" t="s">
        <v>1201</v>
      </c>
      <c r="H322" s="231" t="s">
        <v>1202</v>
      </c>
      <c r="I322" s="235" t="s">
        <v>1203</v>
      </c>
      <c r="J322" s="236"/>
      <c r="K322" s="236"/>
      <c r="L322" s="231" t="s">
        <v>1199</v>
      </c>
      <c r="M322" s="237" t="s">
        <v>905</v>
      </c>
      <c r="N322" s="238">
        <v>1.73</v>
      </c>
      <c r="O322" s="294"/>
      <c r="P322" s="261">
        <v>0</v>
      </c>
      <c r="Q322" s="302">
        <v>40000</v>
      </c>
      <c r="R322" s="303">
        <v>40000</v>
      </c>
      <c r="S322" s="264">
        <v>300000</v>
      </c>
      <c r="T322" s="297">
        <v>0</v>
      </c>
    </row>
    <row r="323" spans="1:20">
      <c r="A323" s="234" t="s">
        <v>1204</v>
      </c>
      <c r="B323" s="259">
        <v>48895</v>
      </c>
      <c r="C323" s="260" t="e">
        <v>#N/A</v>
      </c>
      <c r="D323" s="234" t="s">
        <v>326</v>
      </c>
      <c r="E323" s="234"/>
      <c r="F323" s="298" t="s">
        <v>365</v>
      </c>
      <c r="G323" s="231" t="s">
        <v>1205</v>
      </c>
      <c r="H323" s="231" t="s">
        <v>720</v>
      </c>
      <c r="I323" s="235" t="s">
        <v>236</v>
      </c>
      <c r="J323" s="236"/>
      <c r="K323" s="236"/>
      <c r="L323" s="231" t="s">
        <v>136</v>
      </c>
      <c r="M323" s="237" t="s">
        <v>932</v>
      </c>
      <c r="N323" s="238">
        <v>7.78</v>
      </c>
      <c r="O323" s="294">
        <v>1</v>
      </c>
      <c r="P323" s="261"/>
      <c r="Q323" s="295"/>
      <c r="R323" s="296"/>
      <c r="S323" s="264">
        <v>0</v>
      </c>
      <c r="T323" s="297">
        <v>0</v>
      </c>
    </row>
    <row r="324" spans="1:20">
      <c r="A324" s="234" t="s">
        <v>1206</v>
      </c>
      <c r="B324" s="259"/>
      <c r="C324" s="260">
        <v>0</v>
      </c>
      <c r="D324" s="234" t="s">
        <v>326</v>
      </c>
      <c r="E324" s="234"/>
      <c r="F324" s="234"/>
      <c r="G324" s="231" t="s">
        <v>1207</v>
      </c>
      <c r="H324" s="231" t="s">
        <v>961</v>
      </c>
      <c r="I324" s="235" t="s">
        <v>1208</v>
      </c>
      <c r="J324" s="236"/>
      <c r="K324" s="236"/>
      <c r="L324" s="231" t="s">
        <v>1209</v>
      </c>
      <c r="M324" s="237" t="s">
        <v>1210</v>
      </c>
      <c r="N324" s="238">
        <v>0.17</v>
      </c>
      <c r="O324" s="294"/>
      <c r="P324" s="261">
        <v>0</v>
      </c>
      <c r="Q324" s="295">
        <v>0</v>
      </c>
      <c r="R324" s="296"/>
      <c r="S324" s="264">
        <v>0</v>
      </c>
      <c r="T324" s="297">
        <v>0</v>
      </c>
    </row>
    <row r="325" spans="1:20">
      <c r="A325" s="234" t="s">
        <v>1211</v>
      </c>
      <c r="B325" s="259"/>
      <c r="C325" s="260"/>
      <c r="D325" s="234"/>
      <c r="E325" s="234"/>
      <c r="F325" s="234"/>
      <c r="G325" s="231">
        <v>7112402511</v>
      </c>
      <c r="H325" s="231" t="s">
        <v>45</v>
      </c>
      <c r="I325" s="235" t="s">
        <v>1212</v>
      </c>
      <c r="J325" s="236"/>
      <c r="K325" s="236"/>
      <c r="L325" s="231" t="s">
        <v>136</v>
      </c>
      <c r="M325" s="237">
        <v>3.25</v>
      </c>
      <c r="N325" s="238">
        <v>2.2799999999999998</v>
      </c>
      <c r="O325" s="294"/>
      <c r="P325" s="261"/>
      <c r="Q325" s="295"/>
      <c r="R325" s="296"/>
      <c r="S325" s="264">
        <v>0</v>
      </c>
      <c r="T325" s="297">
        <v>10000</v>
      </c>
    </row>
    <row r="326" spans="1:20">
      <c r="A326" s="234" t="s">
        <v>1213</v>
      </c>
      <c r="B326" s="259">
        <v>2000</v>
      </c>
      <c r="C326" s="260"/>
      <c r="D326" s="234"/>
      <c r="E326" s="234"/>
      <c r="F326" s="234"/>
      <c r="G326" s="231" t="s">
        <v>1214</v>
      </c>
      <c r="H326" s="231" t="s">
        <v>1056</v>
      </c>
      <c r="I326" s="235" t="s">
        <v>1215</v>
      </c>
      <c r="J326" s="236"/>
      <c r="K326" s="236"/>
      <c r="L326" s="231" t="s">
        <v>1044</v>
      </c>
      <c r="M326" s="237" t="s">
        <v>1216</v>
      </c>
      <c r="N326" s="238">
        <v>0.34</v>
      </c>
      <c r="O326" s="294"/>
      <c r="P326" s="261"/>
      <c r="Q326" s="295"/>
      <c r="R326" s="296"/>
      <c r="S326" s="264">
        <v>10000</v>
      </c>
      <c r="T326" s="297">
        <v>0</v>
      </c>
    </row>
    <row r="327" spans="1:20">
      <c r="A327" s="234" t="s">
        <v>1217</v>
      </c>
      <c r="B327" s="259"/>
      <c r="C327" s="260"/>
      <c r="D327" s="234"/>
      <c r="E327" s="234"/>
      <c r="F327" s="234"/>
      <c r="G327" s="231" t="s">
        <v>1218</v>
      </c>
      <c r="H327" s="231" t="s">
        <v>1219</v>
      </c>
      <c r="I327" s="235" t="s">
        <v>1220</v>
      </c>
      <c r="J327" s="236"/>
      <c r="K327" s="236"/>
      <c r="L327" s="231" t="s">
        <v>1185</v>
      </c>
      <c r="M327" s="237" t="s">
        <v>1221</v>
      </c>
      <c r="N327" s="238">
        <v>2.11</v>
      </c>
      <c r="O327" s="294"/>
      <c r="P327" s="261"/>
      <c r="Q327" s="295"/>
      <c r="R327" s="296"/>
      <c r="S327" s="264">
        <v>0</v>
      </c>
      <c r="T327" s="297">
        <v>0</v>
      </c>
    </row>
    <row r="328" spans="1:20">
      <c r="A328" s="234" t="s">
        <v>1222</v>
      </c>
      <c r="B328" s="259"/>
      <c r="C328" s="260"/>
      <c r="D328" s="234"/>
      <c r="E328" s="234"/>
      <c r="F328" s="234"/>
      <c r="G328" s="231" t="s">
        <v>1223</v>
      </c>
      <c r="H328" s="231" t="s">
        <v>1224</v>
      </c>
      <c r="I328" s="235" t="s">
        <v>1225</v>
      </c>
      <c r="J328" s="236"/>
      <c r="K328" s="236"/>
      <c r="L328" s="231" t="s">
        <v>135</v>
      </c>
      <c r="M328" s="237">
        <v>5.25</v>
      </c>
      <c r="N328" s="238">
        <v>12.01</v>
      </c>
      <c r="O328" s="294"/>
      <c r="P328" s="261"/>
      <c r="Q328" s="295"/>
      <c r="R328" s="296"/>
      <c r="S328" s="264">
        <v>1000</v>
      </c>
      <c r="T328" s="297">
        <v>0</v>
      </c>
    </row>
    <row r="329" spans="1:20">
      <c r="A329" s="234" t="s">
        <v>1226</v>
      </c>
      <c r="B329" s="259"/>
      <c r="C329" s="260"/>
      <c r="D329" s="234"/>
      <c r="E329" s="234"/>
      <c r="F329" s="234"/>
      <c r="G329" s="231" t="s">
        <v>1227</v>
      </c>
      <c r="H329" s="231" t="s">
        <v>1228</v>
      </c>
      <c r="I329" s="235" t="s">
        <v>1229</v>
      </c>
      <c r="J329" s="236"/>
      <c r="K329" s="236"/>
      <c r="L329" s="231" t="s">
        <v>1185</v>
      </c>
      <c r="M329" s="237" t="s">
        <v>1221</v>
      </c>
      <c r="N329" s="238">
        <v>3.88</v>
      </c>
      <c r="O329" s="294"/>
      <c r="P329" s="261"/>
      <c r="Q329" s="295"/>
      <c r="R329" s="296"/>
      <c r="S329" s="264">
        <v>0</v>
      </c>
      <c r="T329" s="297">
        <v>0</v>
      </c>
    </row>
    <row r="330" spans="1:20">
      <c r="A330" s="234" t="s">
        <v>1230</v>
      </c>
      <c r="B330" s="259">
        <v>0</v>
      </c>
      <c r="C330" s="260"/>
      <c r="D330" s="234"/>
      <c r="E330" s="234"/>
      <c r="F330" s="234"/>
      <c r="G330" s="231" t="s">
        <v>1231</v>
      </c>
      <c r="H330" s="231" t="s">
        <v>1232</v>
      </c>
      <c r="I330" s="235" t="s">
        <v>1233</v>
      </c>
      <c r="J330" s="236"/>
      <c r="K330" s="236"/>
      <c r="L330" s="231" t="s">
        <v>133</v>
      </c>
      <c r="M330" s="237">
        <v>7.9</v>
      </c>
      <c r="N330" s="238">
        <v>3.78</v>
      </c>
      <c r="O330" s="294"/>
      <c r="P330" s="261"/>
      <c r="Q330" s="295"/>
      <c r="R330" s="296"/>
      <c r="S330" s="264">
        <v>0</v>
      </c>
      <c r="T330" s="297">
        <v>0</v>
      </c>
    </row>
    <row r="331" spans="1:20">
      <c r="A331" s="234" t="s">
        <v>1234</v>
      </c>
      <c r="B331" s="259"/>
      <c r="C331" s="260"/>
      <c r="D331" s="234"/>
      <c r="E331" s="234"/>
      <c r="F331" s="234"/>
      <c r="G331" s="231" t="s">
        <v>1235</v>
      </c>
      <c r="H331" s="231" t="s">
        <v>1236</v>
      </c>
      <c r="I331" s="235" t="s">
        <v>1237</v>
      </c>
      <c r="J331" s="236"/>
      <c r="K331" s="236"/>
      <c r="L331" s="231" t="s">
        <v>1185</v>
      </c>
      <c r="M331" s="237" t="s">
        <v>1221</v>
      </c>
      <c r="N331" s="238">
        <v>5.9</v>
      </c>
      <c r="O331" s="294"/>
      <c r="P331" s="261"/>
      <c r="Q331" s="295"/>
      <c r="R331" s="296"/>
      <c r="S331" s="264">
        <v>0</v>
      </c>
      <c r="T331" s="297">
        <v>0</v>
      </c>
    </row>
    <row r="332" spans="1:20">
      <c r="A332" s="234" t="s">
        <v>1238</v>
      </c>
      <c r="B332" s="259">
        <v>1485.9663</v>
      </c>
      <c r="C332" s="260"/>
      <c r="D332" s="234"/>
      <c r="E332" s="234"/>
      <c r="F332" s="234"/>
      <c r="G332" s="231" t="s">
        <v>1239</v>
      </c>
      <c r="H332" s="231" t="s">
        <v>1232</v>
      </c>
      <c r="I332" s="235" t="s">
        <v>1240</v>
      </c>
      <c r="J332" s="236"/>
      <c r="K332" s="236"/>
      <c r="L332" s="231" t="s">
        <v>133</v>
      </c>
      <c r="M332" s="237">
        <v>11.9</v>
      </c>
      <c r="N332" s="238">
        <v>13.59</v>
      </c>
      <c r="O332" s="294"/>
      <c r="P332" s="261"/>
      <c r="Q332" s="295"/>
      <c r="R332" s="296"/>
      <c r="S332" s="264">
        <v>0</v>
      </c>
      <c r="T332" s="297">
        <v>10000</v>
      </c>
    </row>
    <row r="333" spans="1:20">
      <c r="A333" s="234" t="s">
        <v>1241</v>
      </c>
      <c r="B333" s="259">
        <v>1624.7140000000002</v>
      </c>
      <c r="C333" s="260"/>
      <c r="D333" s="234"/>
      <c r="E333" s="234"/>
      <c r="F333" s="234"/>
      <c r="G333" s="231" t="s">
        <v>1242</v>
      </c>
      <c r="H333" s="231" t="s">
        <v>1232</v>
      </c>
      <c r="I333" s="235" t="s">
        <v>1243</v>
      </c>
      <c r="J333" s="236"/>
      <c r="K333" s="236"/>
      <c r="L333" s="231" t="s">
        <v>133</v>
      </c>
      <c r="M333" s="237">
        <v>5.9</v>
      </c>
      <c r="N333" s="238">
        <v>2.1</v>
      </c>
      <c r="O333" s="294"/>
      <c r="P333" s="261"/>
      <c r="Q333" s="295"/>
      <c r="R333" s="296"/>
      <c r="S333" s="264">
        <v>10000</v>
      </c>
      <c r="T333" s="297">
        <v>0</v>
      </c>
    </row>
    <row r="334" spans="1:20">
      <c r="A334" s="234" t="s">
        <v>1244</v>
      </c>
      <c r="B334" s="259">
        <v>200</v>
      </c>
      <c r="C334" s="260"/>
      <c r="D334" s="234"/>
      <c r="E334" s="234"/>
      <c r="F334" s="234"/>
      <c r="G334" s="231" t="s">
        <v>1245</v>
      </c>
      <c r="H334" s="231" t="s">
        <v>1042</v>
      </c>
      <c r="I334" s="235" t="s">
        <v>1246</v>
      </c>
      <c r="J334" s="236"/>
      <c r="K334" s="236"/>
      <c r="L334" s="231" t="s">
        <v>1169</v>
      </c>
      <c r="M334" s="237" t="s">
        <v>1216</v>
      </c>
      <c r="N334" s="238">
        <v>19.899999999999999</v>
      </c>
      <c r="O334" s="294"/>
      <c r="P334" s="261"/>
      <c r="Q334" s="295"/>
      <c r="R334" s="296"/>
      <c r="S334" s="264">
        <v>0</v>
      </c>
      <c r="T334" s="297">
        <v>0</v>
      </c>
    </row>
    <row r="335" spans="1:20">
      <c r="A335" s="234" t="s">
        <v>1247</v>
      </c>
      <c r="B335" s="259">
        <v>16531.824400000001</v>
      </c>
      <c r="C335" s="260"/>
      <c r="D335" s="234"/>
      <c r="E335" s="234"/>
      <c r="F335" s="234"/>
      <c r="G335" s="231" t="s">
        <v>1248</v>
      </c>
      <c r="H335" s="231" t="s">
        <v>1249</v>
      </c>
      <c r="I335" s="235" t="s">
        <v>1250</v>
      </c>
      <c r="J335" s="236"/>
      <c r="K335" s="236"/>
      <c r="L335" s="231" t="s">
        <v>1251</v>
      </c>
      <c r="M335" s="237">
        <v>2.95</v>
      </c>
      <c r="N335" s="238">
        <v>0.68</v>
      </c>
      <c r="O335" s="294"/>
      <c r="P335" s="261"/>
      <c r="Q335" s="295"/>
      <c r="R335" s="296"/>
      <c r="S335" s="264">
        <v>0</v>
      </c>
      <c r="T335" s="297">
        <v>0</v>
      </c>
    </row>
    <row r="336" spans="1:20">
      <c r="A336" s="298" t="s">
        <v>1252</v>
      </c>
      <c r="B336" s="259">
        <v>21543.995200000001</v>
      </c>
      <c r="C336" s="376" t="e">
        <v>#N/A</v>
      </c>
      <c r="D336" s="298" t="s">
        <v>326</v>
      </c>
      <c r="E336" s="298"/>
      <c r="F336" s="298"/>
      <c r="G336" s="377" t="s">
        <v>1253</v>
      </c>
      <c r="H336" s="377" t="s">
        <v>1056</v>
      </c>
      <c r="I336" s="378" t="s">
        <v>1254</v>
      </c>
      <c r="J336" s="379"/>
      <c r="K336" s="379" t="s">
        <v>326</v>
      </c>
      <c r="L336" s="377" t="s">
        <v>1073</v>
      </c>
      <c r="M336" s="380" t="s">
        <v>1045</v>
      </c>
      <c r="N336" s="381">
        <v>2.52</v>
      </c>
      <c r="O336" s="294">
        <v>1</v>
      </c>
      <c r="P336" s="261"/>
      <c r="Q336" s="295"/>
      <c r="R336" s="296"/>
      <c r="S336" s="264">
        <v>0</v>
      </c>
      <c r="T336" s="297">
        <v>5000</v>
      </c>
    </row>
    <row r="337" spans="1:20">
      <c r="A337" s="298" t="s">
        <v>1255</v>
      </c>
      <c r="B337" s="259">
        <v>11718.07</v>
      </c>
      <c r="C337" s="376" t="e">
        <v>#N/A</v>
      </c>
      <c r="D337" s="298" t="s">
        <v>326</v>
      </c>
      <c r="E337" s="298"/>
      <c r="F337" s="298"/>
      <c r="G337" s="377" t="s">
        <v>1256</v>
      </c>
      <c r="H337" s="377" t="s">
        <v>1056</v>
      </c>
      <c r="I337" s="378" t="s">
        <v>1257</v>
      </c>
      <c r="J337" s="379"/>
      <c r="K337" s="379" t="s">
        <v>326</v>
      </c>
      <c r="L337" s="377" t="s">
        <v>1073</v>
      </c>
      <c r="M337" s="380" t="s">
        <v>1045</v>
      </c>
      <c r="N337" s="381">
        <v>7.46</v>
      </c>
      <c r="O337" s="294"/>
      <c r="P337" s="261"/>
      <c r="Q337" s="295"/>
      <c r="R337" s="296"/>
      <c r="S337" s="264">
        <v>5000</v>
      </c>
      <c r="T337" s="297">
        <v>0</v>
      </c>
    </row>
    <row r="338" spans="1:20">
      <c r="A338" s="298" t="s">
        <v>1258</v>
      </c>
      <c r="B338" s="259">
        <v>122.94340240000001</v>
      </c>
      <c r="C338" s="376" t="e">
        <v>#N/A</v>
      </c>
      <c r="D338" s="298" t="s">
        <v>326</v>
      </c>
      <c r="E338" s="298"/>
      <c r="F338" s="298"/>
      <c r="G338" s="377" t="s">
        <v>1259</v>
      </c>
      <c r="H338" s="377" t="s">
        <v>1056</v>
      </c>
      <c r="I338" s="378" t="s">
        <v>1260</v>
      </c>
      <c r="J338" s="379"/>
      <c r="K338" s="379" t="s">
        <v>326</v>
      </c>
      <c r="L338" s="377" t="s">
        <v>1073</v>
      </c>
      <c r="M338" s="380" t="s">
        <v>1261</v>
      </c>
      <c r="N338" s="381">
        <v>10.58</v>
      </c>
      <c r="O338" s="294"/>
      <c r="P338" s="261"/>
      <c r="Q338" s="295"/>
      <c r="R338" s="296"/>
      <c r="S338" s="264">
        <v>0</v>
      </c>
      <c r="T338" s="297">
        <v>0</v>
      </c>
    </row>
    <row r="339" spans="1:20">
      <c r="A339" s="298" t="s">
        <v>1262</v>
      </c>
      <c r="B339" s="259">
        <v>0</v>
      </c>
      <c r="C339" s="260"/>
      <c r="D339" s="234" t="s">
        <v>326</v>
      </c>
      <c r="E339" s="234"/>
      <c r="F339" s="234"/>
      <c r="G339" s="231" t="s">
        <v>1263</v>
      </c>
      <c r="H339" s="231" t="s">
        <v>1264</v>
      </c>
      <c r="I339" s="235" t="s">
        <v>1203</v>
      </c>
      <c r="J339" s="236"/>
      <c r="K339" s="236"/>
      <c r="L339" s="231" t="s">
        <v>1265</v>
      </c>
      <c r="M339" s="237">
        <v>3.25</v>
      </c>
      <c r="N339" s="238">
        <v>1.53</v>
      </c>
      <c r="O339" s="294"/>
      <c r="P339" s="261"/>
      <c r="Q339" s="295"/>
      <c r="R339" s="296"/>
      <c r="S339" s="264">
        <v>0</v>
      </c>
      <c r="T339" s="297">
        <v>0</v>
      </c>
    </row>
    <row r="340" spans="1:20">
      <c r="A340" s="298" t="s">
        <v>1266</v>
      </c>
      <c r="B340" s="259">
        <v>0</v>
      </c>
      <c r="C340" s="260"/>
      <c r="D340" s="234" t="s">
        <v>326</v>
      </c>
      <c r="E340" s="234"/>
      <c r="F340" s="234"/>
      <c r="G340" s="231" t="s">
        <v>1267</v>
      </c>
      <c r="H340" s="231" t="s">
        <v>1268</v>
      </c>
      <c r="I340" s="235" t="s">
        <v>1203</v>
      </c>
      <c r="J340" s="236"/>
      <c r="K340" s="236"/>
      <c r="L340" s="231" t="s">
        <v>1265</v>
      </c>
      <c r="M340" s="237">
        <v>3.25</v>
      </c>
      <c r="N340" s="238">
        <v>1.17</v>
      </c>
      <c r="O340" s="294"/>
      <c r="P340" s="261"/>
      <c r="Q340" s="295"/>
      <c r="R340" s="296"/>
      <c r="S340" s="264">
        <v>0</v>
      </c>
      <c r="T340" s="297">
        <v>0</v>
      </c>
    </row>
    <row r="341" spans="1:20">
      <c r="A341" s="298" t="s">
        <v>1269</v>
      </c>
      <c r="B341" s="259"/>
      <c r="C341" s="260"/>
      <c r="D341" s="234" t="s">
        <v>326</v>
      </c>
      <c r="E341" s="234"/>
      <c r="F341" s="234"/>
      <c r="G341" s="231" t="s">
        <v>1270</v>
      </c>
      <c r="H341" s="231" t="s">
        <v>1271</v>
      </c>
      <c r="I341" s="235" t="s">
        <v>344</v>
      </c>
      <c r="J341" s="236"/>
      <c r="K341" s="236"/>
      <c r="L341" s="231" t="s">
        <v>134</v>
      </c>
      <c r="M341" s="237">
        <v>0</v>
      </c>
      <c r="N341" s="238">
        <v>0.35</v>
      </c>
      <c r="O341" s="294"/>
      <c r="P341" s="261"/>
      <c r="Q341" s="295"/>
      <c r="R341" s="296"/>
      <c r="S341" s="264">
        <v>0</v>
      </c>
      <c r="T341" s="297">
        <v>0</v>
      </c>
    </row>
    <row r="342" spans="1:20">
      <c r="A342" s="298" t="s">
        <v>1272</v>
      </c>
      <c r="B342" s="259"/>
      <c r="C342" s="260"/>
      <c r="D342" s="234" t="s">
        <v>326</v>
      </c>
      <c r="E342" s="234"/>
      <c r="F342" s="234"/>
      <c r="G342" s="231" t="s">
        <v>1273</v>
      </c>
      <c r="H342" s="231" t="s">
        <v>1274</v>
      </c>
      <c r="I342" s="235" t="s">
        <v>1275</v>
      </c>
      <c r="J342" s="236"/>
      <c r="K342" s="236"/>
      <c r="L342" s="231" t="s">
        <v>133</v>
      </c>
      <c r="M342" s="237">
        <v>0</v>
      </c>
      <c r="N342" s="238">
        <v>0.56000000000000005</v>
      </c>
      <c r="O342" s="294"/>
      <c r="P342" s="261"/>
      <c r="Q342" s="295"/>
      <c r="R342" s="296"/>
      <c r="S342" s="264">
        <v>0</v>
      </c>
      <c r="T342" s="297">
        <v>0</v>
      </c>
    </row>
    <row r="343" spans="1:20">
      <c r="A343" s="298" t="s">
        <v>1276</v>
      </c>
      <c r="B343" s="259"/>
      <c r="C343" s="260"/>
      <c r="D343" s="234" t="s">
        <v>326</v>
      </c>
      <c r="E343" s="234"/>
      <c r="F343" s="234"/>
      <c r="G343" s="231" t="s">
        <v>1277</v>
      </c>
      <c r="H343" s="231" t="s">
        <v>1278</v>
      </c>
      <c r="I343" s="235" t="s">
        <v>1275</v>
      </c>
      <c r="J343" s="236"/>
      <c r="K343" s="236"/>
      <c r="L343" s="231" t="s">
        <v>133</v>
      </c>
      <c r="M343" s="237">
        <v>0</v>
      </c>
      <c r="N343" s="238">
        <v>0.61</v>
      </c>
      <c r="O343" s="294"/>
      <c r="P343" s="261"/>
      <c r="Q343" s="295"/>
      <c r="R343" s="296"/>
      <c r="S343" s="264">
        <v>0</v>
      </c>
      <c r="T343" s="297">
        <v>0</v>
      </c>
    </row>
    <row r="344" spans="1:20">
      <c r="A344" s="298" t="s">
        <v>1279</v>
      </c>
      <c r="B344" s="259"/>
      <c r="C344" s="260"/>
      <c r="D344" s="234" t="s">
        <v>326</v>
      </c>
      <c r="E344" s="234"/>
      <c r="F344" s="234"/>
      <c r="G344" s="231" t="s">
        <v>1280</v>
      </c>
      <c r="H344" s="231" t="s">
        <v>1271</v>
      </c>
      <c r="I344" s="235" t="s">
        <v>396</v>
      </c>
      <c r="J344" s="236"/>
      <c r="K344" s="236"/>
      <c r="L344" s="231" t="s">
        <v>134</v>
      </c>
      <c r="M344" s="237">
        <v>0</v>
      </c>
      <c r="N344" s="238">
        <v>0.17</v>
      </c>
      <c r="O344" s="294"/>
      <c r="P344" s="261"/>
      <c r="Q344" s="295"/>
      <c r="R344" s="296"/>
      <c r="S344" s="264">
        <v>0</v>
      </c>
      <c r="T344" s="297">
        <v>0</v>
      </c>
    </row>
    <row r="345" spans="1:20">
      <c r="A345" s="298" t="s">
        <v>1281</v>
      </c>
      <c r="B345" s="259"/>
      <c r="C345" s="260"/>
      <c r="D345" s="234" t="s">
        <v>326</v>
      </c>
      <c r="E345" s="234"/>
      <c r="F345" s="234"/>
      <c r="G345" s="231" t="s">
        <v>1092</v>
      </c>
      <c r="H345" s="231" t="s">
        <v>1064</v>
      </c>
      <c r="I345" s="235" t="s">
        <v>1282</v>
      </c>
      <c r="J345" s="236"/>
      <c r="K345" s="236"/>
      <c r="L345" s="231" t="s">
        <v>135</v>
      </c>
      <c r="M345" s="237">
        <v>0</v>
      </c>
      <c r="N345" s="238">
        <v>1.48</v>
      </c>
      <c r="O345" s="294"/>
      <c r="P345" s="261"/>
      <c r="Q345" s="295"/>
      <c r="R345" s="296"/>
      <c r="S345" s="264">
        <v>0</v>
      </c>
      <c r="T345" s="297">
        <v>0</v>
      </c>
    </row>
    <row r="346" spans="1:20">
      <c r="A346" s="298" t="s">
        <v>1283</v>
      </c>
      <c r="B346" s="259"/>
      <c r="C346" s="376" t="e">
        <v>#N/A</v>
      </c>
      <c r="D346" s="298" t="s">
        <v>326</v>
      </c>
      <c r="E346" s="298" t="s">
        <v>1134</v>
      </c>
      <c r="F346" s="298"/>
      <c r="G346" s="377" t="s">
        <v>1284</v>
      </c>
      <c r="H346" s="377" t="s">
        <v>1285</v>
      </c>
      <c r="I346" s="378" t="s">
        <v>153</v>
      </c>
      <c r="J346" s="379"/>
      <c r="K346" s="379"/>
      <c r="L346" s="377" t="s">
        <v>1286</v>
      </c>
      <c r="M346" s="380" t="s">
        <v>875</v>
      </c>
      <c r="N346" s="381">
        <v>0.76</v>
      </c>
      <c r="O346" s="294"/>
      <c r="P346" s="261"/>
      <c r="Q346" s="295"/>
      <c r="R346" s="296"/>
      <c r="S346" s="264">
        <v>0</v>
      </c>
      <c r="T346" s="297">
        <f>IF(S346-V346&lt;0,"0",S346-V346)</f>
        <v>0</v>
      </c>
    </row>
  </sheetData>
  <mergeCells count="22">
    <mergeCell ref="R4:R5"/>
    <mergeCell ref="F4:F5"/>
    <mergeCell ref="G4:G5"/>
    <mergeCell ref="H4:H5"/>
    <mergeCell ref="I4:I5"/>
    <mergeCell ref="J4:K4"/>
    <mergeCell ref="L4:L5"/>
    <mergeCell ref="M4:M5"/>
    <mergeCell ref="N4:N5"/>
    <mergeCell ref="O4:O5"/>
    <mergeCell ref="P4:P5"/>
    <mergeCell ref="Q4:Q5"/>
    <mergeCell ref="C1:E1"/>
    <mergeCell ref="C2:R2"/>
    <mergeCell ref="C3:I3"/>
    <mergeCell ref="J3:N3"/>
    <mergeCell ref="O3:R3"/>
    <mergeCell ref="A4:A5"/>
    <mergeCell ref="B4:B5"/>
    <mergeCell ref="C4:C5"/>
    <mergeCell ref="D4:D5"/>
    <mergeCell ref="E4:E5"/>
  </mergeCells>
  <phoneticPr fontId="74" type="noConversion"/>
  <conditionalFormatting sqref="A7:A350">
    <cfRule type="duplicateValues" dxfId="4" priority="24"/>
  </conditionalFormatting>
  <conditionalFormatting sqref="A7:A353">
    <cfRule type="duplicateValues" dxfId="3" priority="25"/>
  </conditionalFormatting>
  <conditionalFormatting sqref="G6">
    <cfRule type="duplicateValues" dxfId="2" priority="7"/>
  </conditionalFormatting>
  <conditionalFormatting sqref="G171:G173">
    <cfRule type="duplicateValues" dxfId="1" priority="8"/>
  </conditionalFormatting>
  <conditionalFormatting sqref="G211:G214">
    <cfRule type="duplicateValues" dxfId="0" priority="9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39"/>
  <dimension ref="A1"/>
  <sheetViews>
    <sheetView workbookViewId="0">
      <selection activeCell="C23" sqref="C23:E23"/>
    </sheetView>
  </sheetViews>
  <sheetFormatPr defaultRowHeight="15"/>
  <sheetData/>
  <phoneticPr fontId="74" type="noConversion"/>
  <printOptions horizontalCentered="1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42</vt:i4>
      </vt:variant>
    </vt:vector>
  </HeadingPairs>
  <TitlesOfParts>
    <vt:vector size="72" baseType="lpstr">
      <vt:lpstr>Main (2)</vt:lpstr>
      <vt:lpstr>ERP</vt:lpstr>
      <vt:lpstr>FG Stock</vt:lpstr>
      <vt:lpstr>NVL Stock</vt:lpstr>
      <vt:lpstr>FILE MẪU (3)</vt:lpstr>
      <vt:lpstr>03.11</vt:lpstr>
      <vt:lpstr>19.10     </vt:lpstr>
      <vt:lpstr>17.10     </vt:lpstr>
      <vt:lpstr>16.10    </vt:lpstr>
      <vt:lpstr>15.10   </vt:lpstr>
      <vt:lpstr>14.10  </vt:lpstr>
      <vt:lpstr>13.10  </vt:lpstr>
      <vt:lpstr>12.10 </vt:lpstr>
      <vt:lpstr>10.10</vt:lpstr>
      <vt:lpstr>15.9</vt:lpstr>
      <vt:lpstr>14</vt:lpstr>
      <vt:lpstr>13</vt:lpstr>
      <vt:lpstr>21</vt:lpstr>
      <vt:lpstr>20</vt:lpstr>
      <vt:lpstr>19</vt:lpstr>
      <vt:lpstr>18</vt:lpstr>
      <vt:lpstr>17</vt:lpstr>
      <vt:lpstr>15</vt:lpstr>
      <vt:lpstr>15.08  </vt:lpstr>
      <vt:lpstr>14.08 </vt:lpstr>
      <vt:lpstr>13 (2)</vt:lpstr>
      <vt:lpstr>13.08</vt:lpstr>
      <vt:lpstr>ISO IATF</vt:lpstr>
      <vt:lpstr>Sheet2</vt:lpstr>
      <vt:lpstr>Sheet1</vt:lpstr>
      <vt:lpstr>'03.11'!Print_Area</vt:lpstr>
      <vt:lpstr>'10.10'!Print_Area</vt:lpstr>
      <vt:lpstr>'12.10 '!Print_Area</vt:lpstr>
      <vt:lpstr>'13'!Print_Area</vt:lpstr>
      <vt:lpstr>'13 (2)'!Print_Area</vt:lpstr>
      <vt:lpstr>'13.10  '!Print_Area</vt:lpstr>
      <vt:lpstr>'14'!Print_Area</vt:lpstr>
      <vt:lpstr>'14.10  '!Print_Area</vt:lpstr>
      <vt:lpstr>'15'!Print_Area</vt:lpstr>
      <vt:lpstr>'15.10   '!Print_Area</vt:lpstr>
      <vt:lpstr>'15.9'!Print_Area</vt:lpstr>
      <vt:lpstr>'16.10    '!Print_Area</vt:lpstr>
      <vt:lpstr>'17'!Print_Area</vt:lpstr>
      <vt:lpstr>'17.10     '!Print_Area</vt:lpstr>
      <vt:lpstr>'18'!Print_Area</vt:lpstr>
      <vt:lpstr>'19'!Print_Area</vt:lpstr>
      <vt:lpstr>'19.10     '!Print_Area</vt:lpstr>
      <vt:lpstr>'20'!Print_Area</vt:lpstr>
      <vt:lpstr>'21'!Print_Area</vt:lpstr>
      <vt:lpstr>'Main (2)'!Print_Area</vt:lpstr>
      <vt:lpstr>'03.11'!Print_Titles</vt:lpstr>
      <vt:lpstr>'10.10'!Print_Titles</vt:lpstr>
      <vt:lpstr>'12.10 '!Print_Titles</vt:lpstr>
      <vt:lpstr>'13'!Print_Titles</vt:lpstr>
      <vt:lpstr>'13 (2)'!Print_Titles</vt:lpstr>
      <vt:lpstr>'13.08'!Print_Titles</vt:lpstr>
      <vt:lpstr>'13.10  '!Print_Titles</vt:lpstr>
      <vt:lpstr>'14'!Print_Titles</vt:lpstr>
      <vt:lpstr>'14.08 '!Print_Titles</vt:lpstr>
      <vt:lpstr>'14.10  '!Print_Titles</vt:lpstr>
      <vt:lpstr>'15'!Print_Titles</vt:lpstr>
      <vt:lpstr>'15.08  '!Print_Titles</vt:lpstr>
      <vt:lpstr>'15.10   '!Print_Titles</vt:lpstr>
      <vt:lpstr>'15.9'!Print_Titles</vt:lpstr>
      <vt:lpstr>'16.10    '!Print_Titles</vt:lpstr>
      <vt:lpstr>'17'!Print_Titles</vt:lpstr>
      <vt:lpstr>'17.10     '!Print_Titles</vt:lpstr>
      <vt:lpstr>'18'!Print_Titles</vt:lpstr>
      <vt:lpstr>'19'!Print_Titles</vt:lpstr>
      <vt:lpstr>'19.10     '!Print_Titles</vt:lpstr>
      <vt:lpstr>'20'!Print_Titles</vt:lpstr>
      <vt:lpstr>'21'!Print_Titles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 Original</dc:creator>
  <cp:lastModifiedBy>Sigur Ros</cp:lastModifiedBy>
  <cp:lastPrinted>2026-04-18T00:01:20Z</cp:lastPrinted>
  <dcterms:created xsi:type="dcterms:W3CDTF">2017-04-26T01:09:58Z</dcterms:created>
  <dcterms:modified xsi:type="dcterms:W3CDTF">2026-04-18T12:50:51Z</dcterms:modified>
</cp:coreProperties>
</file>